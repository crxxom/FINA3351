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adonng/Desktop/Fina3351/Lecture 8 Stock Simulation - Factor Model-20250408/"/>
    </mc:Choice>
  </mc:AlternateContent>
  <xr:revisionPtr revIDLastSave="0" documentId="13_ncr:1_{08C38087-2B50-0F42-BCEA-048C6A97CDB8}" xr6:coauthVersionLast="47" xr6:coauthVersionMax="47" xr10:uidLastSave="{00000000-0000-0000-0000-000000000000}"/>
  <bookViews>
    <workbookView xWindow="0" yWindow="720" windowWidth="29400" windowHeight="18400" tabRatio="665" activeTab="8" xr2:uid="{00000000-000D-0000-FFFF-FFFF00000000}"/>
  </bookViews>
  <sheets>
    <sheet name="HKData" sheetId="28" r:id="rId1"/>
    <sheet name="T7.3.1" sheetId="46" r:id="rId2"/>
    <sheet name="DailyHIBOR" sheetId="31" r:id="rId3"/>
    <sheet name="MCM_Excel" sheetId="32" r:id="rId4"/>
    <sheet name="DataTable" sheetId="38" r:id="rId5"/>
    <sheet name="Exercise_DataTable" sheetId="47" r:id="rId6"/>
    <sheet name="Simfactor" sheetId="35" r:id="rId7"/>
    <sheet name="MCM_VBA" sheetId="40" r:id="rId8"/>
    <sheet name="Bootstrap_Excel" sheetId="42" r:id="rId9"/>
    <sheet name="Bootstrap_VBA" sheetId="45" r:id="rId10"/>
  </sheets>
  <functionGroups builtInGroupCount="19"/>
  <definedNames>
    <definedName name="ad">#REF!</definedName>
    <definedName name="AverageVec" localSheetId="8">#REF!</definedName>
    <definedName name="AverageVec">#REF!</definedName>
    <definedName name="CovarMatrix" localSheetId="8">#REF!</definedName>
    <definedName name="CovarMatrix">#REF!</definedName>
    <definedName name="ExternalData_1" localSheetId="0" hidden="1">HKData!#REF!</definedName>
    <definedName name="Index">#REF!</definedName>
    <definedName name="market_port">#REF!</definedName>
    <definedName name="_xlnm.Print_Area" localSheetId="1">'T7.3.1'!$A$414:$H$440</definedName>
    <definedName name="_xlnm.Print_Titles" localSheetId="1">'T7.3.1'!$A:$H,'T7.3.1'!$1:$15</definedName>
    <definedName name="ShareA">#REF!</definedName>
    <definedName name="StdevVec" localSheetId="8">#REF!</definedName>
    <definedName name="StdevVec">#REF!</definedName>
    <definedName name="var_cov">#REF!</definedName>
    <definedName name="var_M">#REF!</definedName>
    <definedName name="varcov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32" l="1"/>
  <c r="Q5" i="42" l="1" a="1"/>
  <c r="Q5" i="42" s="1"/>
  <c r="R5" i="42" a="1"/>
  <c r="R5" i="42" s="1"/>
  <c r="Q6" i="42" a="1"/>
  <c r="Q6" i="42" s="1"/>
  <c r="R6" i="42" a="1"/>
  <c r="R6" i="42" s="1"/>
  <c r="Q7" i="42" a="1"/>
  <c r="Q7" i="42" s="1"/>
  <c r="R7" i="42" a="1"/>
  <c r="R7" i="42" s="1"/>
  <c r="Q8" i="42" a="1"/>
  <c r="Q8" i="42" s="1"/>
  <c r="R8" i="42" a="1"/>
  <c r="R8" i="42" s="1"/>
  <c r="Q9" i="42" a="1"/>
  <c r="Q9" i="42" s="1"/>
  <c r="R9" i="42" a="1"/>
  <c r="R9" i="42" s="1"/>
  <c r="Q10" i="42" a="1"/>
  <c r="Q10" i="42" s="1"/>
  <c r="R10" i="42" a="1"/>
  <c r="R10" i="42" s="1"/>
  <c r="Q11" i="42" a="1"/>
  <c r="Q11" i="42" s="1"/>
  <c r="R11" i="42" a="1"/>
  <c r="R11" i="42" s="1"/>
  <c r="Q12" i="42" a="1"/>
  <c r="Q12" i="42" s="1"/>
  <c r="R12" i="42" a="1"/>
  <c r="R12" i="42" s="1"/>
  <c r="Q13" i="42" a="1"/>
  <c r="Q13" i="42" s="1"/>
  <c r="R13" i="42" a="1"/>
  <c r="R13" i="42" s="1"/>
  <c r="Q14" i="42" a="1"/>
  <c r="Q14" i="42" s="1"/>
  <c r="R14" i="42" a="1"/>
  <c r="R14" i="42" s="1"/>
  <c r="Q15" i="42" a="1"/>
  <c r="Q15" i="42" s="1"/>
  <c r="R15" i="42" a="1"/>
  <c r="R15" i="42" s="1"/>
  <c r="Q16" i="42" a="1"/>
  <c r="Q16" i="42" s="1"/>
  <c r="R16" i="42" a="1"/>
  <c r="R16" i="42" s="1"/>
  <c r="Q17" i="42" a="1"/>
  <c r="Q17" i="42" s="1"/>
  <c r="R17" i="42" a="1"/>
  <c r="R17" i="42" s="1"/>
  <c r="Q18" i="42" a="1"/>
  <c r="Q18" i="42" s="1"/>
  <c r="R18" i="42" a="1"/>
  <c r="R18" i="42" s="1"/>
  <c r="Q19" i="42" a="1"/>
  <c r="Q19" i="42" s="1"/>
  <c r="R19" i="42" a="1"/>
  <c r="R19" i="42" s="1"/>
  <c r="Q20" i="42" a="1"/>
  <c r="Q20" i="42" s="1"/>
  <c r="R20" i="42" a="1"/>
  <c r="R20" i="42" s="1"/>
  <c r="Q21" i="42" a="1"/>
  <c r="Q21" i="42" s="1"/>
  <c r="R21" i="42" a="1"/>
  <c r="R21" i="42" s="1"/>
  <c r="Q22" i="42" a="1"/>
  <c r="Q22" i="42" s="1"/>
  <c r="R22" i="42" a="1"/>
  <c r="R22" i="42" s="1"/>
  <c r="Q23" i="42" a="1"/>
  <c r="Q23" i="42" s="1"/>
  <c r="R23" i="42" a="1"/>
  <c r="R23" i="42" s="1"/>
  <c r="Q24" i="42" a="1"/>
  <c r="Q24" i="42" s="1"/>
  <c r="R24" i="42" a="1"/>
  <c r="R24" i="42" s="1"/>
  <c r="Q25" i="42" a="1"/>
  <c r="Q25" i="42" s="1"/>
  <c r="R25" i="42" a="1"/>
  <c r="R25" i="42" s="1"/>
  <c r="R4" i="42" a="1"/>
  <c r="R4" i="42" s="1"/>
  <c r="Q4" i="42" a="1"/>
  <c r="Q4" i="42" s="1"/>
  <c r="A29" i="47"/>
  <c r="A30" i="47" s="1"/>
  <c r="A19" i="47"/>
  <c r="A20" i="47" s="1"/>
  <c r="C10" i="47"/>
  <c r="C13" i="47" s="1"/>
  <c r="B17" i="47" s="1"/>
  <c r="D10" i="47" a="1"/>
  <c r="D13" i="47" a="1"/>
  <c r="D12" i="47" a="1"/>
  <c r="S4" i="42" l="1"/>
  <c r="D12" i="47"/>
  <c r="D13" i="47"/>
  <c r="D10" i="47"/>
  <c r="A31" i="47"/>
  <c r="A21" i="47"/>
  <c r="C12" i="47"/>
  <c r="C17" i="47" s="1"/>
  <c r="A22" i="47" l="1"/>
  <c r="A32" i="47"/>
  <c r="A33" i="47" l="1"/>
  <c r="A23" i="47"/>
  <c r="A24" i="47" l="1"/>
  <c r="A34" i="47"/>
  <c r="A35" i="47" l="1"/>
  <c r="A25" i="47"/>
  <c r="A26" i="47" l="1"/>
  <c r="A36" i="47"/>
  <c r="A37" i="47" l="1"/>
  <c r="A27" i="47"/>
  <c r="A38" i="47" l="1"/>
  <c r="A39" i="47" l="1"/>
  <c r="A40" i="47" l="1"/>
  <c r="A41" i="47" l="1"/>
  <c r="A42" i="47" l="1"/>
  <c r="A43" i="47" l="1"/>
  <c r="A44" i="47" l="1"/>
  <c r="A45" i="47" l="1"/>
  <c r="A46" i="47" l="1"/>
  <c r="A47" i="47" l="1"/>
  <c r="A48" i="47" l="1"/>
  <c r="D4" i="32" l="1"/>
  <c r="G13" i="32" a="1"/>
  <c r="G13" i="32" s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C71" i="31"/>
  <c r="C72" i="31"/>
  <c r="C73" i="31"/>
  <c r="C74" i="31"/>
  <c r="C75" i="31"/>
  <c r="C76" i="31"/>
  <c r="C77" i="31"/>
  <c r="C78" i="31"/>
  <c r="C79" i="31"/>
  <c r="C80" i="31"/>
  <c r="C81" i="31"/>
  <c r="C82" i="31"/>
  <c r="C83" i="31"/>
  <c r="C84" i="31"/>
  <c r="C85" i="31"/>
  <c r="C86" i="31"/>
  <c r="C87" i="31"/>
  <c r="C88" i="31"/>
  <c r="C89" i="31"/>
  <c r="C90" i="31"/>
  <c r="C91" i="31"/>
  <c r="C92" i="31"/>
  <c r="C93" i="31"/>
  <c r="C94" i="31"/>
  <c r="C95" i="31"/>
  <c r="C96" i="31"/>
  <c r="C97" i="31"/>
  <c r="C98" i="31"/>
  <c r="C99" i="31"/>
  <c r="C100" i="31"/>
  <c r="C101" i="31"/>
  <c r="C102" i="31"/>
  <c r="C103" i="31"/>
  <c r="C104" i="3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C148" i="31"/>
  <c r="C149" i="31"/>
  <c r="C150" i="31"/>
  <c r="C151" i="31"/>
  <c r="C152" i="31"/>
  <c r="C153" i="31"/>
  <c r="C154" i="31"/>
  <c r="C155" i="31"/>
  <c r="C156" i="31"/>
  <c r="C157" i="31"/>
  <c r="C158" i="31"/>
  <c r="C159" i="31"/>
  <c r="C160" i="31"/>
  <c r="C161" i="31"/>
  <c r="C162" i="31"/>
  <c r="C163" i="31"/>
  <c r="C164" i="31"/>
  <c r="C165" i="31"/>
  <c r="C166" i="31"/>
  <c r="C167" i="31"/>
  <c r="C168" i="31"/>
  <c r="C169" i="31"/>
  <c r="C170" i="31"/>
  <c r="C171" i="31"/>
  <c r="C172" i="31"/>
  <c r="C173" i="31"/>
  <c r="C174" i="31"/>
  <c r="C175" i="31"/>
  <c r="C176" i="31"/>
  <c r="C177" i="31"/>
  <c r="C178" i="31"/>
  <c r="C179" i="31"/>
  <c r="C180" i="31"/>
  <c r="C181" i="31"/>
  <c r="C182" i="31"/>
  <c r="C183" i="31"/>
  <c r="C184" i="31"/>
  <c r="C185" i="31"/>
  <c r="C186" i="31"/>
  <c r="C187" i="31"/>
  <c r="C188" i="31"/>
  <c r="C189" i="31"/>
  <c r="C190" i="31"/>
  <c r="C191" i="31"/>
  <c r="C192" i="31"/>
  <c r="C193" i="31"/>
  <c r="C194" i="31"/>
  <c r="C195" i="31"/>
  <c r="C196" i="31"/>
  <c r="C197" i="31"/>
  <c r="C198" i="31"/>
  <c r="C199" i="31"/>
  <c r="C200" i="31"/>
  <c r="C201" i="31"/>
  <c r="C202" i="31"/>
  <c r="C203" i="31"/>
  <c r="C204" i="31"/>
  <c r="C205" i="31"/>
  <c r="C206" i="31"/>
  <c r="C207" i="31"/>
  <c r="C208" i="31"/>
  <c r="C209" i="31"/>
  <c r="C210" i="31"/>
  <c r="C211" i="31"/>
  <c r="C212" i="31"/>
  <c r="C213" i="31"/>
  <c r="C214" i="31"/>
  <c r="C215" i="31"/>
  <c r="C216" i="31"/>
  <c r="C217" i="31"/>
  <c r="C218" i="31"/>
  <c r="C219" i="31"/>
  <c r="C220" i="31"/>
  <c r="C221" i="31"/>
  <c r="C222" i="31"/>
  <c r="C223" i="31"/>
  <c r="C224" i="31"/>
  <c r="C225" i="31"/>
  <c r="C226" i="31"/>
  <c r="C227" i="31"/>
  <c r="C228" i="31"/>
  <c r="C229" i="31"/>
  <c r="C230" i="31"/>
  <c r="C231" i="31"/>
  <c r="C232" i="31"/>
  <c r="C233" i="31"/>
  <c r="C234" i="31"/>
  <c r="C235" i="31"/>
  <c r="C236" i="31"/>
  <c r="C237" i="31"/>
  <c r="C238" i="31"/>
  <c r="C239" i="31"/>
  <c r="C240" i="31"/>
  <c r="C241" i="31"/>
  <c r="C242" i="31"/>
  <c r="C243" i="31"/>
  <c r="C244" i="31"/>
  <c r="C245" i="31"/>
  <c r="C246" i="31"/>
  <c r="C2" i="31"/>
  <c r="F6" i="31"/>
  <c r="F7" i="31"/>
  <c r="F8" i="31"/>
  <c r="F9" i="31"/>
  <c r="F10" i="31"/>
  <c r="F11" i="31"/>
  <c r="F12" i="31"/>
  <c r="F13" i="31"/>
  <c r="F5" i="31"/>
  <c r="F3" i="31"/>
  <c r="F4" i="31"/>
  <c r="F2" i="31"/>
  <c r="G186" i="46"/>
  <c r="H154" i="46"/>
  <c r="H146" i="46"/>
  <c r="H144" i="46"/>
  <c r="H143" i="46"/>
  <c r="H142" i="46"/>
  <c r="H141" i="46"/>
  <c r="H137" i="46"/>
  <c r="H136" i="46"/>
  <c r="I9" i="42"/>
  <c r="B7" i="45" s="1"/>
  <c r="M5" i="42"/>
  <c r="M6" i="42"/>
  <c r="M7" i="42"/>
  <c r="M8" i="42"/>
  <c r="M9" i="42"/>
  <c r="M10" i="42"/>
  <c r="M11" i="42"/>
  <c r="M12" i="42"/>
  <c r="M13" i="42"/>
  <c r="M14" i="42"/>
  <c r="M15" i="42"/>
  <c r="M16" i="42"/>
  <c r="M17" i="42"/>
  <c r="M18" i="42"/>
  <c r="M19" i="42"/>
  <c r="M20" i="42"/>
  <c r="M21" i="42"/>
  <c r="M22" i="42"/>
  <c r="M23" i="42"/>
  <c r="M24" i="42"/>
  <c r="M25" i="42"/>
  <c r="R28" i="42" a="1"/>
  <c r="R27" i="42" a="1"/>
  <c r="M26" i="42" a="1"/>
  <c r="R30" i="42" a="1"/>
  <c r="R29" i="42" a="1"/>
  <c r="T3" i="42" l="1"/>
  <c r="R30" i="42"/>
  <c r="R29" i="42"/>
  <c r="R28" i="42"/>
  <c r="R27" i="42"/>
  <c r="M26" i="42"/>
  <c r="M4" i="42"/>
  <c r="X4" i="42" a="1"/>
  <c r="X4" i="42" l="1"/>
  <c r="A4" i="42" l="1"/>
  <c r="A5" i="42"/>
  <c r="A6" i="42"/>
  <c r="A7" i="42"/>
  <c r="A8" i="42"/>
  <c r="A9" i="42"/>
  <c r="A10" i="42"/>
  <c r="A11" i="42"/>
  <c r="A12" i="42"/>
  <c r="A13" i="42"/>
  <c r="A14" i="42"/>
  <c r="A15" i="42"/>
  <c r="A16" i="42"/>
  <c r="A17" i="42"/>
  <c r="A18" i="42"/>
  <c r="A19" i="42"/>
  <c r="A20" i="42"/>
  <c r="A21" i="42"/>
  <c r="A22" i="42"/>
  <c r="A23" i="42"/>
  <c r="A24" i="42"/>
  <c r="A25" i="42"/>
  <c r="A26" i="42"/>
  <c r="A27" i="42"/>
  <c r="A28" i="42"/>
  <c r="A29" i="42"/>
  <c r="A30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A49" i="42"/>
  <c r="A50" i="42"/>
  <c r="A51" i="42"/>
  <c r="A52" i="42"/>
  <c r="A53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6" i="42"/>
  <c r="A67" i="42"/>
  <c r="A68" i="42"/>
  <c r="A69" i="42"/>
  <c r="A70" i="42"/>
  <c r="A71" i="42"/>
  <c r="A72" i="42"/>
  <c r="A73" i="42"/>
  <c r="A74" i="42"/>
  <c r="A75" i="42"/>
  <c r="A76" i="42"/>
  <c r="A77" i="42"/>
  <c r="A78" i="42"/>
  <c r="A79" i="42"/>
  <c r="A80" i="42"/>
  <c r="A81" i="42"/>
  <c r="A82" i="42"/>
  <c r="A83" i="42"/>
  <c r="A84" i="42"/>
  <c r="A85" i="42"/>
  <c r="A86" i="42"/>
  <c r="A87" i="42"/>
  <c r="A88" i="42"/>
  <c r="A89" i="42"/>
  <c r="A90" i="42"/>
  <c r="A91" i="42"/>
  <c r="A92" i="42"/>
  <c r="A93" i="42"/>
  <c r="A94" i="42"/>
  <c r="A95" i="42"/>
  <c r="A96" i="42"/>
  <c r="A97" i="42"/>
  <c r="A98" i="42"/>
  <c r="A99" i="42"/>
  <c r="A100" i="42"/>
  <c r="A101" i="42"/>
  <c r="A102" i="42"/>
  <c r="A103" i="42"/>
  <c r="A104" i="42"/>
  <c r="A105" i="42"/>
  <c r="A106" i="42"/>
  <c r="A107" i="42"/>
  <c r="A108" i="42"/>
  <c r="A109" i="42"/>
  <c r="A110" i="42"/>
  <c r="A111" i="42"/>
  <c r="A112" i="42"/>
  <c r="A113" i="42"/>
  <c r="A114" i="42"/>
  <c r="A115" i="42"/>
  <c r="A116" i="42"/>
  <c r="A117" i="42"/>
  <c r="A118" i="42"/>
  <c r="A119" i="42"/>
  <c r="A120" i="42"/>
  <c r="A121" i="42"/>
  <c r="A122" i="42"/>
  <c r="A123" i="42"/>
  <c r="A124" i="42"/>
  <c r="A125" i="42"/>
  <c r="A126" i="42"/>
  <c r="A127" i="42"/>
  <c r="A128" i="42"/>
  <c r="A129" i="42"/>
  <c r="A130" i="42"/>
  <c r="A131" i="42"/>
  <c r="A132" i="42"/>
  <c r="A133" i="42"/>
  <c r="A134" i="42"/>
  <c r="A135" i="42"/>
  <c r="A136" i="42"/>
  <c r="A137" i="42"/>
  <c r="A138" i="42"/>
  <c r="A139" i="42"/>
  <c r="A140" i="42"/>
  <c r="A141" i="42"/>
  <c r="A142" i="42"/>
  <c r="A143" i="42"/>
  <c r="A144" i="42"/>
  <c r="A145" i="42"/>
  <c r="A146" i="42"/>
  <c r="A147" i="42"/>
  <c r="A148" i="42"/>
  <c r="A149" i="42"/>
  <c r="A150" i="42"/>
  <c r="A151" i="42"/>
  <c r="A152" i="42"/>
  <c r="A153" i="42"/>
  <c r="A154" i="42"/>
  <c r="A155" i="42"/>
  <c r="A156" i="42"/>
  <c r="A157" i="42"/>
  <c r="A158" i="42"/>
  <c r="A159" i="42"/>
  <c r="A160" i="42"/>
  <c r="A161" i="42"/>
  <c r="A162" i="42"/>
  <c r="A163" i="42"/>
  <c r="A164" i="42"/>
  <c r="A165" i="42"/>
  <c r="A166" i="42"/>
  <c r="A167" i="42"/>
  <c r="A168" i="42"/>
  <c r="A169" i="42"/>
  <c r="A170" i="42"/>
  <c r="A171" i="42"/>
  <c r="A172" i="42"/>
  <c r="A173" i="42"/>
  <c r="A174" i="42"/>
  <c r="A175" i="42"/>
  <c r="A176" i="42"/>
  <c r="A177" i="42"/>
  <c r="A178" i="42"/>
  <c r="A179" i="42"/>
  <c r="A180" i="42"/>
  <c r="A181" i="42"/>
  <c r="A182" i="42"/>
  <c r="A183" i="42"/>
  <c r="A184" i="42"/>
  <c r="A185" i="42"/>
  <c r="A186" i="42"/>
  <c r="A187" i="42"/>
  <c r="A188" i="42"/>
  <c r="A189" i="42"/>
  <c r="A190" i="42"/>
  <c r="A191" i="42"/>
  <c r="A192" i="42"/>
  <c r="A193" i="42"/>
  <c r="A194" i="42"/>
  <c r="A195" i="42"/>
  <c r="A196" i="42"/>
  <c r="A197" i="42"/>
  <c r="A198" i="42"/>
  <c r="A199" i="42"/>
  <c r="A200" i="42"/>
  <c r="A201" i="42"/>
  <c r="A202" i="42"/>
  <c r="A203" i="42"/>
  <c r="A204" i="42"/>
  <c r="A205" i="42"/>
  <c r="A206" i="42"/>
  <c r="A207" i="42"/>
  <c r="A208" i="42"/>
  <c r="A209" i="42"/>
  <c r="A210" i="42"/>
  <c r="A211" i="42"/>
  <c r="A212" i="42"/>
  <c r="A213" i="42"/>
  <c r="A214" i="42"/>
  <c r="A215" i="42"/>
  <c r="A216" i="42"/>
  <c r="A217" i="42"/>
  <c r="A218" i="42"/>
  <c r="A219" i="42"/>
  <c r="A220" i="42"/>
  <c r="A221" i="42"/>
  <c r="A222" i="42"/>
  <c r="A223" i="42"/>
  <c r="A224" i="42"/>
  <c r="A225" i="42"/>
  <c r="A226" i="42"/>
  <c r="A227" i="42"/>
  <c r="A228" i="42"/>
  <c r="A229" i="42"/>
  <c r="A230" i="42"/>
  <c r="A231" i="42"/>
  <c r="A232" i="42"/>
  <c r="A233" i="42"/>
  <c r="A234" i="42"/>
  <c r="A235" i="42"/>
  <c r="A236" i="42"/>
  <c r="A237" i="42"/>
  <c r="A238" i="42"/>
  <c r="A239" i="42"/>
  <c r="A240" i="42"/>
  <c r="A241" i="42"/>
  <c r="A242" i="42"/>
  <c r="A243" i="42"/>
  <c r="A244" i="42"/>
  <c r="A245" i="42"/>
  <c r="A246" i="42"/>
  <c r="A247" i="42"/>
  <c r="A248" i="42"/>
  <c r="A3" i="42"/>
  <c r="J7" i="42" a="1"/>
  <c r="J6" i="42" a="1"/>
  <c r="F3" i="42" a="1"/>
  <c r="J13" i="42" a="1"/>
  <c r="J12" i="42" a="1"/>
  <c r="J16" i="42" a="1"/>
  <c r="J17" i="42" a="1"/>
  <c r="F3" i="42" l="1"/>
  <c r="J12" i="42"/>
  <c r="J13" i="42"/>
  <c r="J16" i="42"/>
  <c r="J17" i="42"/>
  <c r="J7" i="42"/>
  <c r="J6" i="42"/>
  <c r="A4" i="32" l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114" i="32"/>
  <c r="A115" i="32"/>
  <c r="A116" i="32"/>
  <c r="A117" i="32"/>
  <c r="A118" i="32"/>
  <c r="A119" i="32"/>
  <c r="A120" i="32"/>
  <c r="A121" i="32"/>
  <c r="A122" i="32"/>
  <c r="A123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162" i="32"/>
  <c r="A163" i="32"/>
  <c r="A164" i="32"/>
  <c r="A165" i="32"/>
  <c r="A166" i="32"/>
  <c r="A167" i="32"/>
  <c r="A168" i="32"/>
  <c r="A169" i="32"/>
  <c r="A170" i="32"/>
  <c r="A171" i="32"/>
  <c r="A172" i="32"/>
  <c r="A173" i="32"/>
  <c r="A174" i="32"/>
  <c r="A175" i="32"/>
  <c r="A176" i="32"/>
  <c r="A177" i="32"/>
  <c r="A178" i="32"/>
  <c r="A179" i="32"/>
  <c r="A180" i="32"/>
  <c r="A181" i="32"/>
  <c r="A182" i="32"/>
  <c r="A183" i="32"/>
  <c r="A184" i="32"/>
  <c r="A185" i="32"/>
  <c r="A186" i="32"/>
  <c r="A187" i="32"/>
  <c r="A188" i="32"/>
  <c r="A189" i="32"/>
  <c r="A190" i="32"/>
  <c r="A191" i="32"/>
  <c r="A192" i="32"/>
  <c r="A193" i="32"/>
  <c r="A194" i="32"/>
  <c r="A195" i="32"/>
  <c r="A196" i="32"/>
  <c r="A197" i="32"/>
  <c r="A198" i="32"/>
  <c r="A199" i="32"/>
  <c r="A200" i="32"/>
  <c r="A201" i="32"/>
  <c r="A202" i="32"/>
  <c r="A203" i="32"/>
  <c r="A204" i="32"/>
  <c r="A205" i="32"/>
  <c r="A206" i="32"/>
  <c r="A207" i="32"/>
  <c r="A208" i="32"/>
  <c r="A209" i="32"/>
  <c r="A210" i="32"/>
  <c r="A211" i="32"/>
  <c r="A212" i="32"/>
  <c r="A213" i="32"/>
  <c r="A214" i="32"/>
  <c r="A215" i="32"/>
  <c r="A216" i="32"/>
  <c r="A217" i="32"/>
  <c r="A218" i="32"/>
  <c r="A219" i="32"/>
  <c r="A220" i="32"/>
  <c r="A221" i="32"/>
  <c r="A222" i="32"/>
  <c r="A223" i="32"/>
  <c r="A224" i="32"/>
  <c r="A225" i="32"/>
  <c r="A226" i="32"/>
  <c r="A227" i="32"/>
  <c r="A228" i="32"/>
  <c r="A229" i="32"/>
  <c r="A230" i="32"/>
  <c r="A23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248" i="32"/>
  <c r="B246" i="31" l="1"/>
  <c r="B245" i="31"/>
  <c r="G10" i="32"/>
  <c r="A245" i="31"/>
  <c r="A246" i="31"/>
  <c r="M28" i="32" a="1"/>
  <c r="H9" i="32" a="1"/>
  <c r="H6" i="32" a="1"/>
  <c r="P3" i="32" a="1"/>
  <c r="P5" i="32" a="1"/>
  <c r="H7" i="32" a="1"/>
  <c r="H8" i="32" a="1"/>
  <c r="C4" i="38" a="1"/>
  <c r="P4" i="32" a="1"/>
  <c r="M29" i="32" a="1"/>
  <c r="M27" i="32" a="1"/>
  <c r="H10" i="32" a="1"/>
  <c r="B247" i="32" l="1"/>
  <c r="D247" i="32" s="1"/>
  <c r="C247" i="42"/>
  <c r="C248" i="42"/>
  <c r="B248" i="32"/>
  <c r="G9" i="32" s="1"/>
  <c r="B9" i="40" s="1"/>
  <c r="O3" i="32"/>
  <c r="B10" i="40"/>
  <c r="B10" i="35"/>
  <c r="H10" i="32"/>
  <c r="H9" i="32"/>
  <c r="C4" i="38"/>
  <c r="P5" i="32"/>
  <c r="P4" i="32"/>
  <c r="P3" i="32"/>
  <c r="M29" i="32"/>
  <c r="M28" i="32"/>
  <c r="M27" i="32"/>
  <c r="H7" i="32"/>
  <c r="H8" i="32"/>
  <c r="H6" i="32"/>
  <c r="A3" i="32"/>
  <c r="A67" i="31"/>
  <c r="B67" i="31" s="1"/>
  <c r="A68" i="31"/>
  <c r="B68" i="31" s="1"/>
  <c r="A69" i="31"/>
  <c r="A70" i="31"/>
  <c r="A71" i="31"/>
  <c r="B71" i="31" s="1"/>
  <c r="A72" i="31"/>
  <c r="B72" i="31" s="1"/>
  <c r="A73" i="31"/>
  <c r="B73" i="31" s="1"/>
  <c r="A74" i="31"/>
  <c r="B74" i="31" s="1"/>
  <c r="A75" i="31"/>
  <c r="B75" i="31" s="1"/>
  <c r="A76" i="31"/>
  <c r="B76" i="31" s="1"/>
  <c r="A77" i="31"/>
  <c r="B77" i="31" s="1"/>
  <c r="A78" i="31"/>
  <c r="B78" i="31" s="1"/>
  <c r="A79" i="31"/>
  <c r="B79" i="31" s="1"/>
  <c r="A80" i="31"/>
  <c r="B80" i="31" s="1"/>
  <c r="A81" i="31"/>
  <c r="B81" i="31" s="1"/>
  <c r="A82" i="31"/>
  <c r="B82" i="31" s="1"/>
  <c r="A83" i="31"/>
  <c r="B83" i="31" s="1"/>
  <c r="A84" i="31"/>
  <c r="B84" i="31" s="1"/>
  <c r="A85" i="31"/>
  <c r="B85" i="31" s="1"/>
  <c r="A86" i="31"/>
  <c r="B86" i="31" s="1"/>
  <c r="A87" i="31"/>
  <c r="B87" i="31" s="1"/>
  <c r="A88" i="31"/>
  <c r="B88" i="31" s="1"/>
  <c r="A89" i="31"/>
  <c r="B89" i="31" s="1"/>
  <c r="A90" i="31"/>
  <c r="B90" i="31" s="1"/>
  <c r="A91" i="31"/>
  <c r="B91" i="31" s="1"/>
  <c r="A92" i="31"/>
  <c r="B92" i="31" s="1"/>
  <c r="A93" i="31"/>
  <c r="B93" i="31" s="1"/>
  <c r="A94" i="31"/>
  <c r="B94" i="31" s="1"/>
  <c r="A95" i="31"/>
  <c r="B95" i="31" s="1"/>
  <c r="A96" i="31"/>
  <c r="B96" i="31" s="1"/>
  <c r="A97" i="31"/>
  <c r="B97" i="31" s="1"/>
  <c r="A98" i="31"/>
  <c r="B98" i="31" s="1"/>
  <c r="A99" i="31"/>
  <c r="B99" i="31" s="1"/>
  <c r="A100" i="31"/>
  <c r="B100" i="31" s="1"/>
  <c r="A101" i="31"/>
  <c r="B101" i="31" s="1"/>
  <c r="A102" i="31"/>
  <c r="B102" i="31" s="1"/>
  <c r="A103" i="31"/>
  <c r="B103" i="31" s="1"/>
  <c r="A104" i="31"/>
  <c r="B104" i="31" s="1"/>
  <c r="A105" i="31"/>
  <c r="B105" i="31" s="1"/>
  <c r="A106" i="31"/>
  <c r="B106" i="31" s="1"/>
  <c r="A107" i="31"/>
  <c r="B107" i="31" s="1"/>
  <c r="A108" i="31"/>
  <c r="B108" i="31" s="1"/>
  <c r="A109" i="31"/>
  <c r="A110" i="31"/>
  <c r="B110" i="31" s="1"/>
  <c r="A111" i="31"/>
  <c r="B111" i="31" s="1"/>
  <c r="A112" i="31"/>
  <c r="B112" i="31" s="1"/>
  <c r="A113" i="31"/>
  <c r="B113" i="31" s="1"/>
  <c r="A114" i="31"/>
  <c r="A115" i="31"/>
  <c r="B115" i="31" s="1"/>
  <c r="A116" i="31"/>
  <c r="B116" i="31" s="1"/>
  <c r="A117" i="31"/>
  <c r="B117" i="31" s="1"/>
  <c r="A118" i="31"/>
  <c r="B118" i="31" s="1"/>
  <c r="A119" i="31"/>
  <c r="B119" i="31" s="1"/>
  <c r="A120" i="31"/>
  <c r="B120" i="31" s="1"/>
  <c r="A121" i="31"/>
  <c r="B121" i="31" s="1"/>
  <c r="A122" i="31"/>
  <c r="B122" i="31" s="1"/>
  <c r="A123" i="31"/>
  <c r="B123" i="31" s="1"/>
  <c r="A124" i="31"/>
  <c r="B124" i="31" s="1"/>
  <c r="A125" i="31"/>
  <c r="B125" i="31" s="1"/>
  <c r="A126" i="31"/>
  <c r="B126" i="31" s="1"/>
  <c r="A127" i="31"/>
  <c r="B127" i="31" s="1"/>
  <c r="A128" i="31"/>
  <c r="B128" i="31" s="1"/>
  <c r="A129" i="31"/>
  <c r="A130" i="31"/>
  <c r="B130" i="31" s="1"/>
  <c r="A131" i="31"/>
  <c r="B131" i="31" s="1"/>
  <c r="A132" i="31"/>
  <c r="B132" i="31" s="1"/>
  <c r="A133" i="31"/>
  <c r="A134" i="31"/>
  <c r="B134" i="31" s="1"/>
  <c r="A135" i="31"/>
  <c r="B135" i="31" s="1"/>
  <c r="A136" i="31"/>
  <c r="B136" i="31" s="1"/>
  <c r="A137" i="31"/>
  <c r="B137" i="31" s="1"/>
  <c r="A138" i="31"/>
  <c r="B138" i="31" s="1"/>
  <c r="A139" i="31"/>
  <c r="B139" i="31" s="1"/>
  <c r="A140" i="31"/>
  <c r="B140" i="31" s="1"/>
  <c r="A141" i="31"/>
  <c r="B141" i="31" s="1"/>
  <c r="A142" i="31"/>
  <c r="B142" i="31" s="1"/>
  <c r="A143" i="31"/>
  <c r="B143" i="31" s="1"/>
  <c r="A144" i="31"/>
  <c r="B144" i="31" s="1"/>
  <c r="A145" i="31"/>
  <c r="B145" i="31" s="1"/>
  <c r="A146" i="31"/>
  <c r="B146" i="31" s="1"/>
  <c r="A147" i="31"/>
  <c r="B147" i="31" s="1"/>
  <c r="A148" i="31"/>
  <c r="B148" i="31" s="1"/>
  <c r="A149" i="31"/>
  <c r="A150" i="31"/>
  <c r="A151" i="31"/>
  <c r="B151" i="31" s="1"/>
  <c r="A152" i="31"/>
  <c r="B152" i="31" s="1"/>
  <c r="A153" i="31"/>
  <c r="B153" i="31" s="1"/>
  <c r="A154" i="31"/>
  <c r="B154" i="31" s="1"/>
  <c r="A155" i="31"/>
  <c r="B155" i="31" s="1"/>
  <c r="A156" i="31"/>
  <c r="B156" i="31" s="1"/>
  <c r="A157" i="31"/>
  <c r="B157" i="31" s="1"/>
  <c r="A158" i="31"/>
  <c r="B158" i="31" s="1"/>
  <c r="A159" i="31"/>
  <c r="B159" i="31" s="1"/>
  <c r="A160" i="31"/>
  <c r="B160" i="31" s="1"/>
  <c r="A161" i="31"/>
  <c r="B161" i="31" s="1"/>
  <c r="A162" i="31"/>
  <c r="B162" i="31" s="1"/>
  <c r="A163" i="31"/>
  <c r="B163" i="31" s="1"/>
  <c r="A164" i="31"/>
  <c r="B164" i="31" s="1"/>
  <c r="A165" i="31"/>
  <c r="B165" i="31" s="1"/>
  <c r="A166" i="31"/>
  <c r="B166" i="31" s="1"/>
  <c r="A167" i="31"/>
  <c r="B167" i="31" s="1"/>
  <c r="A168" i="31"/>
  <c r="B168" i="31" s="1"/>
  <c r="A169" i="31"/>
  <c r="B169" i="31" s="1"/>
  <c r="A170" i="31"/>
  <c r="B170" i="31" s="1"/>
  <c r="A171" i="31"/>
  <c r="B171" i="31" s="1"/>
  <c r="A172" i="31"/>
  <c r="B172" i="31" s="1"/>
  <c r="A173" i="31"/>
  <c r="B173" i="31" s="1"/>
  <c r="A174" i="31"/>
  <c r="B174" i="31" s="1"/>
  <c r="A175" i="31"/>
  <c r="B175" i="31" s="1"/>
  <c r="A176" i="31"/>
  <c r="B176" i="31" s="1"/>
  <c r="A177" i="31"/>
  <c r="B177" i="31" s="1"/>
  <c r="A178" i="31"/>
  <c r="B178" i="31" s="1"/>
  <c r="A179" i="31"/>
  <c r="B179" i="31" s="1"/>
  <c r="A180" i="31"/>
  <c r="B180" i="31" s="1"/>
  <c r="A181" i="31"/>
  <c r="B181" i="31" s="1"/>
  <c r="A182" i="31"/>
  <c r="B182" i="31" s="1"/>
  <c r="A183" i="31"/>
  <c r="B183" i="31" s="1"/>
  <c r="A184" i="31"/>
  <c r="B184" i="31" s="1"/>
  <c r="A185" i="31"/>
  <c r="B185" i="31" s="1"/>
  <c r="A186" i="31"/>
  <c r="B186" i="31" s="1"/>
  <c r="A187" i="31"/>
  <c r="B187" i="31" s="1"/>
  <c r="A188" i="31"/>
  <c r="B188" i="31" s="1"/>
  <c r="A189" i="31"/>
  <c r="B189" i="31" s="1"/>
  <c r="A190" i="31"/>
  <c r="B190" i="31" s="1"/>
  <c r="A191" i="31"/>
  <c r="B191" i="31" s="1"/>
  <c r="A192" i="31"/>
  <c r="B192" i="31" s="1"/>
  <c r="A193" i="31"/>
  <c r="B193" i="31" s="1"/>
  <c r="A194" i="31"/>
  <c r="B194" i="31" s="1"/>
  <c r="A195" i="31"/>
  <c r="B195" i="31" s="1"/>
  <c r="A196" i="31"/>
  <c r="B196" i="31" s="1"/>
  <c r="A197" i="31"/>
  <c r="B197" i="31" s="1"/>
  <c r="A198" i="31"/>
  <c r="B198" i="31" s="1"/>
  <c r="A199" i="31"/>
  <c r="B199" i="31" s="1"/>
  <c r="A200" i="31"/>
  <c r="B200" i="31" s="1"/>
  <c r="A201" i="31"/>
  <c r="B201" i="31" s="1"/>
  <c r="A202" i="31"/>
  <c r="B202" i="31" s="1"/>
  <c r="A203" i="31"/>
  <c r="B203" i="31" s="1"/>
  <c r="A204" i="31"/>
  <c r="B204" i="31" s="1"/>
  <c r="A205" i="31"/>
  <c r="B205" i="31" s="1"/>
  <c r="A206" i="31"/>
  <c r="B206" i="31" s="1"/>
  <c r="A207" i="31"/>
  <c r="B207" i="31" s="1"/>
  <c r="A208" i="31"/>
  <c r="B208" i="31" s="1"/>
  <c r="A209" i="31"/>
  <c r="B209" i="31" s="1"/>
  <c r="A210" i="31"/>
  <c r="B210" i="31" s="1"/>
  <c r="A211" i="31"/>
  <c r="B211" i="31" s="1"/>
  <c r="A212" i="31"/>
  <c r="B212" i="31" s="1"/>
  <c r="A213" i="31"/>
  <c r="B213" i="31" s="1"/>
  <c r="A214" i="31"/>
  <c r="B214" i="31" s="1"/>
  <c r="A215" i="31"/>
  <c r="B215" i="31" s="1"/>
  <c r="A216" i="31"/>
  <c r="B216" i="31" s="1"/>
  <c r="A217" i="31"/>
  <c r="B217" i="31" s="1"/>
  <c r="A218" i="31"/>
  <c r="B218" i="31" s="1"/>
  <c r="A219" i="31"/>
  <c r="B219" i="31" s="1"/>
  <c r="A220" i="31"/>
  <c r="B220" i="31" s="1"/>
  <c r="A221" i="31"/>
  <c r="B221" i="31" s="1"/>
  <c r="A222" i="31"/>
  <c r="B222" i="31" s="1"/>
  <c r="A223" i="31"/>
  <c r="B223" i="31" s="1"/>
  <c r="A224" i="31"/>
  <c r="B224" i="31" s="1"/>
  <c r="A225" i="31"/>
  <c r="B225" i="31" s="1"/>
  <c r="A226" i="31"/>
  <c r="B226" i="31" s="1"/>
  <c r="A227" i="31"/>
  <c r="B227" i="31" s="1"/>
  <c r="A228" i="31"/>
  <c r="B228" i="31" s="1"/>
  <c r="A229" i="31"/>
  <c r="B229" i="31" s="1"/>
  <c r="A230" i="31"/>
  <c r="B230" i="31" s="1"/>
  <c r="A231" i="31"/>
  <c r="B231" i="31" s="1"/>
  <c r="A232" i="31"/>
  <c r="B232" i="31" s="1"/>
  <c r="A233" i="31"/>
  <c r="B233" i="31" s="1"/>
  <c r="A234" i="31"/>
  <c r="B234" i="31" s="1"/>
  <c r="A235" i="31"/>
  <c r="B235" i="31" s="1"/>
  <c r="A236" i="31"/>
  <c r="B236" i="31" s="1"/>
  <c r="A237" i="31"/>
  <c r="B237" i="31" s="1"/>
  <c r="A238" i="31"/>
  <c r="B238" i="31" s="1"/>
  <c r="A239" i="31"/>
  <c r="B239" i="31" s="1"/>
  <c r="A240" i="31"/>
  <c r="B240" i="31" s="1"/>
  <c r="A241" i="31"/>
  <c r="B241" i="31" s="1"/>
  <c r="A242" i="31"/>
  <c r="B242" i="31" s="1"/>
  <c r="A243" i="31"/>
  <c r="B243" i="31" s="1"/>
  <c r="A244" i="31"/>
  <c r="B244" i="31" s="1"/>
  <c r="A3" i="31"/>
  <c r="B3" i="31" s="1"/>
  <c r="A4" i="31"/>
  <c r="B4" i="31" s="1"/>
  <c r="A5" i="31"/>
  <c r="B5" i="31" s="1"/>
  <c r="A6" i="31"/>
  <c r="B6" i="31" s="1"/>
  <c r="A7" i="31"/>
  <c r="A8" i="31"/>
  <c r="A9" i="31"/>
  <c r="A10" i="31"/>
  <c r="A11" i="31"/>
  <c r="A12" i="31"/>
  <c r="B12" i="31" s="1"/>
  <c r="A13" i="31"/>
  <c r="A14" i="31"/>
  <c r="A15" i="31"/>
  <c r="B15" i="31" s="1"/>
  <c r="A16" i="31"/>
  <c r="B16" i="31" s="1"/>
  <c r="A17" i="31"/>
  <c r="B17" i="31" s="1"/>
  <c r="A18" i="31"/>
  <c r="B18" i="31" s="1"/>
  <c r="A19" i="31"/>
  <c r="B19" i="31" s="1"/>
  <c r="A20" i="31"/>
  <c r="B20" i="31" s="1"/>
  <c r="A21" i="31"/>
  <c r="B21" i="31" s="1"/>
  <c r="A22" i="31"/>
  <c r="B22" i="31" s="1"/>
  <c r="A23" i="31"/>
  <c r="B23" i="31" s="1"/>
  <c r="A24" i="31"/>
  <c r="B24" i="31" s="1"/>
  <c r="A25" i="31"/>
  <c r="B25" i="31" s="1"/>
  <c r="A26" i="31"/>
  <c r="B26" i="31" s="1"/>
  <c r="A27" i="31"/>
  <c r="B27" i="31" s="1"/>
  <c r="A28" i="31"/>
  <c r="B28" i="31" s="1"/>
  <c r="A29" i="31"/>
  <c r="B29" i="31" s="1"/>
  <c r="A30" i="31"/>
  <c r="B30" i="31" s="1"/>
  <c r="A31" i="31"/>
  <c r="B31" i="31" s="1"/>
  <c r="A32" i="31"/>
  <c r="B32" i="31" s="1"/>
  <c r="A33" i="31"/>
  <c r="B33" i="31" s="1"/>
  <c r="A34" i="31"/>
  <c r="B34" i="31" s="1"/>
  <c r="A35" i="31"/>
  <c r="B35" i="31" s="1"/>
  <c r="A36" i="31"/>
  <c r="B36" i="31" s="1"/>
  <c r="A37" i="31"/>
  <c r="B37" i="31" s="1"/>
  <c r="A38" i="31"/>
  <c r="B38" i="31" s="1"/>
  <c r="A39" i="31"/>
  <c r="B39" i="31" s="1"/>
  <c r="A40" i="31"/>
  <c r="B40" i="31" s="1"/>
  <c r="A41" i="31"/>
  <c r="B41" i="31" s="1"/>
  <c r="A42" i="31"/>
  <c r="B42" i="31" s="1"/>
  <c r="A43" i="31"/>
  <c r="B43" i="31" s="1"/>
  <c r="A44" i="31"/>
  <c r="B44" i="31" s="1"/>
  <c r="A45" i="31"/>
  <c r="B45" i="31" s="1"/>
  <c r="A46" i="31"/>
  <c r="B46" i="31" s="1"/>
  <c r="A47" i="31"/>
  <c r="B47" i="31" s="1"/>
  <c r="A48" i="31"/>
  <c r="B48" i="31" s="1"/>
  <c r="A49" i="31"/>
  <c r="B49" i="31" s="1"/>
  <c r="A50" i="31"/>
  <c r="B50" i="31" s="1"/>
  <c r="A51" i="31"/>
  <c r="B51" i="31" s="1"/>
  <c r="A52" i="31"/>
  <c r="B52" i="31" s="1"/>
  <c r="A53" i="31"/>
  <c r="B53" i="31" s="1"/>
  <c r="A54" i="31"/>
  <c r="B54" i="31" s="1"/>
  <c r="A55" i="31"/>
  <c r="B55" i="31" s="1"/>
  <c r="A56" i="31"/>
  <c r="B56" i="31" s="1"/>
  <c r="A57" i="31"/>
  <c r="B57" i="31" s="1"/>
  <c r="A58" i="31"/>
  <c r="B58" i="31" s="1"/>
  <c r="A59" i="31"/>
  <c r="B59" i="31" s="1"/>
  <c r="A60" i="31"/>
  <c r="B60" i="31" s="1"/>
  <c r="A61" i="31"/>
  <c r="B61" i="31" s="1"/>
  <c r="A62" i="31"/>
  <c r="B62" i="31" s="1"/>
  <c r="A63" i="31"/>
  <c r="B63" i="31" s="1"/>
  <c r="A64" i="31"/>
  <c r="B64" i="31" s="1"/>
  <c r="A65" i="31"/>
  <c r="B65" i="31" s="1"/>
  <c r="A66" i="31"/>
  <c r="B66" i="31" s="1"/>
  <c r="B69" i="31"/>
  <c r="B70" i="31"/>
  <c r="B109" i="31"/>
  <c r="B114" i="31"/>
  <c r="B133" i="31"/>
  <c r="B129" i="31"/>
  <c r="B149" i="31"/>
  <c r="B150" i="31"/>
  <c r="B7" i="31"/>
  <c r="B8" i="31"/>
  <c r="B9" i="31"/>
  <c r="B10" i="31"/>
  <c r="B11" i="31"/>
  <c r="B13" i="31"/>
  <c r="B14" i="31"/>
  <c r="A2" i="31"/>
  <c r="B2" i="31" s="1"/>
  <c r="D248" i="32" l="1"/>
  <c r="C248" i="32"/>
  <c r="C247" i="32"/>
  <c r="C73" i="42"/>
  <c r="B73" i="32"/>
  <c r="C73" i="32" s="1"/>
  <c r="B42" i="32"/>
  <c r="D42" i="32" s="1"/>
  <c r="C42" i="42"/>
  <c r="B224" i="32"/>
  <c r="C224" i="32" s="1"/>
  <c r="C224" i="42"/>
  <c r="B124" i="32"/>
  <c r="C124" i="32" s="1"/>
  <c r="C124" i="42"/>
  <c r="B223" i="32"/>
  <c r="C223" i="32" s="1"/>
  <c r="C223" i="42"/>
  <c r="B143" i="32"/>
  <c r="D143" i="32" s="1"/>
  <c r="C143" i="42"/>
  <c r="B242" i="32"/>
  <c r="D242" i="32" s="1"/>
  <c r="C242" i="42"/>
  <c r="B142" i="32"/>
  <c r="D142" i="32" s="1"/>
  <c r="C142" i="42"/>
  <c r="B19" i="32"/>
  <c r="D19" i="32" s="1"/>
  <c r="C19" i="42"/>
  <c r="B181" i="32"/>
  <c r="C181" i="32" s="1"/>
  <c r="C181" i="42"/>
  <c r="B81" i="32"/>
  <c r="D81" i="32" s="1"/>
  <c r="C81" i="42"/>
  <c r="B38" i="32"/>
  <c r="C38" i="32" s="1"/>
  <c r="C38" i="42"/>
  <c r="B220" i="32"/>
  <c r="D220" i="32" s="1"/>
  <c r="C220" i="42"/>
  <c r="B180" i="32"/>
  <c r="C180" i="32" s="1"/>
  <c r="C180" i="42"/>
  <c r="B80" i="32"/>
  <c r="D80" i="32" s="1"/>
  <c r="C80" i="42"/>
  <c r="B239" i="32"/>
  <c r="C239" i="32" s="1"/>
  <c r="C239" i="42"/>
  <c r="B179" i="32"/>
  <c r="C179" i="32" s="1"/>
  <c r="C179" i="42"/>
  <c r="B79" i="32"/>
  <c r="D79" i="32" s="1"/>
  <c r="C79" i="42"/>
  <c r="C36" i="42"/>
  <c r="B36" i="32"/>
  <c r="D36" i="32" s="1"/>
  <c r="C178" i="42"/>
  <c r="B178" i="32"/>
  <c r="C118" i="42"/>
  <c r="B118" i="32"/>
  <c r="C4" i="42"/>
  <c r="B4" i="32"/>
  <c r="C4" i="32" s="1"/>
  <c r="C35" i="42"/>
  <c r="B35" i="32"/>
  <c r="C35" i="32" s="1"/>
  <c r="C177" i="42"/>
  <c r="B177" i="32"/>
  <c r="C177" i="32" s="1"/>
  <c r="C157" i="42"/>
  <c r="B157" i="32"/>
  <c r="D157" i="32" s="1"/>
  <c r="C77" i="42"/>
  <c r="B77" i="32"/>
  <c r="D77" i="32" s="1"/>
  <c r="C33" i="42"/>
  <c r="B33" i="32"/>
  <c r="C33" i="32" s="1"/>
  <c r="C215" i="42"/>
  <c r="B215" i="32"/>
  <c r="D215" i="32" s="1"/>
  <c r="C155" i="42"/>
  <c r="B155" i="32"/>
  <c r="C155" i="32" s="1"/>
  <c r="C52" i="42"/>
  <c r="B52" i="32"/>
  <c r="D52" i="32" s="1"/>
  <c r="B194" i="32"/>
  <c r="D194" i="32" s="1"/>
  <c r="C194" i="42"/>
  <c r="B154" i="32"/>
  <c r="C154" i="42"/>
  <c r="B134" i="32"/>
  <c r="D134" i="32" s="1"/>
  <c r="C134" i="42"/>
  <c r="B114" i="32"/>
  <c r="C114" i="32" s="1"/>
  <c r="C114" i="42"/>
  <c r="C12" i="42"/>
  <c r="B12" i="32"/>
  <c r="D12" i="32" s="1"/>
  <c r="C111" i="42"/>
  <c r="B111" i="32"/>
  <c r="D111" i="32" s="1"/>
  <c r="C51" i="42"/>
  <c r="B51" i="32"/>
  <c r="C51" i="32" s="1"/>
  <c r="C31" i="42"/>
  <c r="B31" i="32"/>
  <c r="C31" i="32" s="1"/>
  <c r="C233" i="42"/>
  <c r="B233" i="32"/>
  <c r="D233" i="32" s="1"/>
  <c r="C213" i="42"/>
  <c r="B213" i="32"/>
  <c r="D213" i="32" s="1"/>
  <c r="C193" i="42"/>
  <c r="B193" i="32"/>
  <c r="C193" i="32" s="1"/>
  <c r="C173" i="42"/>
  <c r="B173" i="32"/>
  <c r="C153" i="42"/>
  <c r="B153" i="32"/>
  <c r="C153" i="32" s="1"/>
  <c r="C133" i="42"/>
  <c r="B133" i="32"/>
  <c r="D133" i="32" s="1"/>
  <c r="C113" i="42"/>
  <c r="B113" i="32"/>
  <c r="C113" i="32" s="1"/>
  <c r="C93" i="42"/>
  <c r="B93" i="32"/>
  <c r="D93" i="32" s="1"/>
  <c r="C11" i="42"/>
  <c r="B11" i="32"/>
  <c r="C11" i="32" s="1"/>
  <c r="C72" i="42"/>
  <c r="B72" i="32"/>
  <c r="D72" i="32" s="1"/>
  <c r="B50" i="32"/>
  <c r="C50" i="32" s="1"/>
  <c r="C50" i="42"/>
  <c r="B30" i="32"/>
  <c r="D30" i="32" s="1"/>
  <c r="C30" i="42"/>
  <c r="C232" i="42"/>
  <c r="B232" i="32"/>
  <c r="D232" i="32" s="1"/>
  <c r="C212" i="42"/>
  <c r="B212" i="32"/>
  <c r="C212" i="32" s="1"/>
  <c r="C192" i="42"/>
  <c r="B192" i="32"/>
  <c r="C192" i="32" s="1"/>
  <c r="C172" i="42"/>
  <c r="B172" i="32"/>
  <c r="D172" i="32" s="1"/>
  <c r="C132" i="42"/>
  <c r="B132" i="32"/>
  <c r="C132" i="32" s="1"/>
  <c r="C112" i="42"/>
  <c r="B112" i="32"/>
  <c r="C112" i="32" s="1"/>
  <c r="C92" i="42"/>
  <c r="B92" i="32"/>
  <c r="D92" i="32" s="1"/>
  <c r="B10" i="32"/>
  <c r="D10" i="32" s="1"/>
  <c r="C10" i="42"/>
  <c r="C71" i="42"/>
  <c r="B71" i="32"/>
  <c r="D71" i="32" s="1"/>
  <c r="B49" i="32"/>
  <c r="C49" i="32" s="1"/>
  <c r="C49" i="42"/>
  <c r="B29" i="32"/>
  <c r="C29" i="32" s="1"/>
  <c r="C29" i="42"/>
  <c r="C231" i="42"/>
  <c r="B231" i="32"/>
  <c r="D231" i="32" s="1"/>
  <c r="C211" i="42"/>
  <c r="B211" i="32"/>
  <c r="C211" i="32" s="1"/>
  <c r="C191" i="42"/>
  <c r="B191" i="32"/>
  <c r="D191" i="32" s="1"/>
  <c r="C171" i="42"/>
  <c r="B171" i="32"/>
  <c r="D171" i="32" s="1"/>
  <c r="C91" i="42"/>
  <c r="B91" i="32"/>
  <c r="D91" i="32" s="1"/>
  <c r="B9" i="32"/>
  <c r="C9" i="32" s="1"/>
  <c r="C9" i="42"/>
  <c r="B68" i="32"/>
  <c r="D68" i="32" s="1"/>
  <c r="C68" i="42"/>
  <c r="B48" i="32"/>
  <c r="C48" i="32" s="1"/>
  <c r="C48" i="42"/>
  <c r="B28" i="32"/>
  <c r="D28" i="32" s="1"/>
  <c r="C28" i="42"/>
  <c r="B8" i="32"/>
  <c r="D8" i="32" s="1"/>
  <c r="C8" i="42"/>
  <c r="B230" i="32"/>
  <c r="D230" i="32" s="1"/>
  <c r="C230" i="42"/>
  <c r="B210" i="32"/>
  <c r="D210" i="32" s="1"/>
  <c r="C210" i="42"/>
  <c r="B190" i="32"/>
  <c r="C190" i="32" s="1"/>
  <c r="C190" i="42"/>
  <c r="B170" i="32"/>
  <c r="C170" i="32" s="1"/>
  <c r="C170" i="42"/>
  <c r="B150" i="32"/>
  <c r="D150" i="32" s="1"/>
  <c r="C150" i="42"/>
  <c r="B130" i="32"/>
  <c r="C130" i="32" s="1"/>
  <c r="C130" i="42"/>
  <c r="B110" i="32"/>
  <c r="D110" i="32" s="1"/>
  <c r="C110" i="42"/>
  <c r="B90" i="32"/>
  <c r="C90" i="32" s="1"/>
  <c r="C90" i="42"/>
  <c r="B70" i="32"/>
  <c r="C70" i="32" s="1"/>
  <c r="C70" i="42"/>
  <c r="B62" i="32"/>
  <c r="D62" i="32" s="1"/>
  <c r="C62" i="42"/>
  <c r="C164" i="42"/>
  <c r="B164" i="32"/>
  <c r="D164" i="32" s="1"/>
  <c r="C61" i="42"/>
  <c r="B61" i="32"/>
  <c r="C61" i="32" s="1"/>
  <c r="B163" i="32"/>
  <c r="D163" i="32" s="1"/>
  <c r="C163" i="42"/>
  <c r="B60" i="32"/>
  <c r="D60" i="32" s="1"/>
  <c r="C60" i="42"/>
  <c r="B182" i="32"/>
  <c r="D182" i="32" s="1"/>
  <c r="C182" i="42"/>
  <c r="B59" i="32"/>
  <c r="C59" i="32" s="1"/>
  <c r="C59" i="42"/>
  <c r="B141" i="32"/>
  <c r="D141" i="32" s="1"/>
  <c r="C141" i="42"/>
  <c r="B58" i="32"/>
  <c r="C58" i="32" s="1"/>
  <c r="C58" i="42"/>
  <c r="B120" i="32"/>
  <c r="C120" i="32" s="1"/>
  <c r="C120" i="42"/>
  <c r="C17" i="42"/>
  <c r="B17" i="32"/>
  <c r="C17" i="32" s="1"/>
  <c r="B139" i="32"/>
  <c r="D139" i="32" s="1"/>
  <c r="C139" i="42"/>
  <c r="C238" i="42"/>
  <c r="B238" i="32"/>
  <c r="D238" i="32" s="1"/>
  <c r="B78" i="32"/>
  <c r="C78" i="32" s="1"/>
  <c r="C78" i="42"/>
  <c r="C197" i="42"/>
  <c r="B197" i="32"/>
  <c r="C197" i="32" s="1"/>
  <c r="C97" i="42"/>
  <c r="B97" i="32"/>
  <c r="C97" i="32" s="1"/>
  <c r="B54" i="32"/>
  <c r="D54" i="32" s="1"/>
  <c r="C54" i="42"/>
  <c r="C196" i="42"/>
  <c r="B196" i="32"/>
  <c r="C196" i="32" s="1"/>
  <c r="C96" i="42"/>
  <c r="B96" i="32"/>
  <c r="D96" i="32" s="1"/>
  <c r="C15" i="42"/>
  <c r="B15" i="32"/>
  <c r="C15" i="32" s="1"/>
  <c r="C115" i="42"/>
  <c r="B115" i="32"/>
  <c r="C115" i="32" s="1"/>
  <c r="C13" i="42"/>
  <c r="B13" i="32"/>
  <c r="C13" i="32" s="1"/>
  <c r="B214" i="32"/>
  <c r="D214" i="32" s="1"/>
  <c r="C214" i="42"/>
  <c r="B74" i="32"/>
  <c r="D74" i="32" s="1"/>
  <c r="C74" i="42"/>
  <c r="B67" i="32"/>
  <c r="C67" i="32" s="1"/>
  <c r="C67" i="42"/>
  <c r="B27" i="32"/>
  <c r="C27" i="32" s="1"/>
  <c r="C27" i="42"/>
  <c r="B229" i="32"/>
  <c r="D229" i="32" s="1"/>
  <c r="C229" i="42"/>
  <c r="B189" i="32"/>
  <c r="C189" i="32" s="1"/>
  <c r="C189" i="42"/>
  <c r="B149" i="32"/>
  <c r="C149" i="32" s="1"/>
  <c r="C149" i="42"/>
  <c r="B109" i="32"/>
  <c r="D109" i="32" s="1"/>
  <c r="C109" i="42"/>
  <c r="B69" i="32"/>
  <c r="C69" i="32" s="1"/>
  <c r="C69" i="42"/>
  <c r="B26" i="32"/>
  <c r="C26" i="32" s="1"/>
  <c r="C26" i="42"/>
  <c r="B88" i="32"/>
  <c r="C88" i="32" s="1"/>
  <c r="C88" i="42"/>
  <c r="B144" i="32"/>
  <c r="C144" i="32" s="1"/>
  <c r="C144" i="42"/>
  <c r="B41" i="32"/>
  <c r="C41" i="32" s="1"/>
  <c r="C41" i="42"/>
  <c r="B123" i="32"/>
  <c r="D123" i="32" s="1"/>
  <c r="C123" i="42"/>
  <c r="B20" i="32"/>
  <c r="D20" i="32" s="1"/>
  <c r="C20" i="42"/>
  <c r="B122" i="32"/>
  <c r="C122" i="32" s="1"/>
  <c r="C122" i="42"/>
  <c r="B241" i="32"/>
  <c r="C241" i="32" s="1"/>
  <c r="C241" i="42"/>
  <c r="B121" i="32"/>
  <c r="D121" i="32" s="1"/>
  <c r="C121" i="42"/>
  <c r="B160" i="32"/>
  <c r="D160" i="32" s="1"/>
  <c r="C160" i="42"/>
  <c r="C37" i="42"/>
  <c r="B37" i="32"/>
  <c r="C37" i="32" s="1"/>
  <c r="B119" i="32"/>
  <c r="C119" i="32" s="1"/>
  <c r="C119" i="42"/>
  <c r="C218" i="42"/>
  <c r="B218" i="32"/>
  <c r="C218" i="32" s="1"/>
  <c r="C138" i="42"/>
  <c r="B138" i="32"/>
  <c r="C138" i="32" s="1"/>
  <c r="C237" i="42"/>
  <c r="B237" i="32"/>
  <c r="D237" i="32" s="1"/>
  <c r="C117" i="42"/>
  <c r="B117" i="32"/>
  <c r="C117" i="32" s="1"/>
  <c r="C16" i="42"/>
  <c r="B16" i="32"/>
  <c r="D16" i="32" s="1"/>
  <c r="C14" i="42"/>
  <c r="B14" i="32"/>
  <c r="C14" i="32" s="1"/>
  <c r="C176" i="42"/>
  <c r="B176" i="32"/>
  <c r="C176" i="32" s="1"/>
  <c r="C53" i="42"/>
  <c r="B53" i="32"/>
  <c r="C53" i="32" s="1"/>
  <c r="C195" i="42"/>
  <c r="B195" i="32"/>
  <c r="C195" i="32" s="1"/>
  <c r="C95" i="42"/>
  <c r="B95" i="32"/>
  <c r="D95" i="32" s="1"/>
  <c r="C32" i="42"/>
  <c r="B32" i="32"/>
  <c r="C32" i="32" s="1"/>
  <c r="B174" i="32"/>
  <c r="C174" i="32" s="1"/>
  <c r="C174" i="42"/>
  <c r="B94" i="32"/>
  <c r="C94" i="32" s="1"/>
  <c r="C94" i="42"/>
  <c r="B152" i="32"/>
  <c r="C152" i="32" s="1"/>
  <c r="C152" i="42"/>
  <c r="B47" i="32"/>
  <c r="D47" i="32" s="1"/>
  <c r="C47" i="42"/>
  <c r="B7" i="32"/>
  <c r="C7" i="32" s="1"/>
  <c r="C7" i="42"/>
  <c r="B209" i="32"/>
  <c r="D209" i="32" s="1"/>
  <c r="C209" i="42"/>
  <c r="B169" i="32"/>
  <c r="D169" i="32" s="1"/>
  <c r="C169" i="42"/>
  <c r="B129" i="32"/>
  <c r="D129" i="32" s="1"/>
  <c r="C129" i="42"/>
  <c r="B89" i="32"/>
  <c r="C89" i="32" s="1"/>
  <c r="C89" i="42"/>
  <c r="C151" i="42"/>
  <c r="B151" i="32"/>
  <c r="D151" i="32" s="1"/>
  <c r="B66" i="32"/>
  <c r="C66" i="32" s="1"/>
  <c r="C66" i="42"/>
  <c r="B46" i="32"/>
  <c r="C46" i="32" s="1"/>
  <c r="C46" i="42"/>
  <c r="B6" i="32"/>
  <c r="C6" i="32" s="1"/>
  <c r="C6" i="42"/>
  <c r="B228" i="32"/>
  <c r="D228" i="32" s="1"/>
  <c r="C228" i="42"/>
  <c r="B208" i="32"/>
  <c r="D208" i="32" s="1"/>
  <c r="C208" i="42"/>
  <c r="B188" i="32"/>
  <c r="C188" i="32" s="1"/>
  <c r="C188" i="42"/>
  <c r="B168" i="32"/>
  <c r="D168" i="32" s="1"/>
  <c r="C168" i="42"/>
  <c r="B148" i="32"/>
  <c r="D148" i="32" s="1"/>
  <c r="C148" i="42"/>
  <c r="B128" i="32"/>
  <c r="C128" i="32" s="1"/>
  <c r="C128" i="42"/>
  <c r="B108" i="32"/>
  <c r="C108" i="32" s="1"/>
  <c r="C108" i="42"/>
  <c r="C131" i="42"/>
  <c r="B131" i="32"/>
  <c r="D131" i="32" s="1"/>
  <c r="C65" i="42"/>
  <c r="B65" i="32"/>
  <c r="C65" i="32" s="1"/>
  <c r="B45" i="32"/>
  <c r="C45" i="32" s="1"/>
  <c r="C45" i="42"/>
  <c r="B25" i="32"/>
  <c r="C25" i="32" s="1"/>
  <c r="C25" i="42"/>
  <c r="B5" i="32"/>
  <c r="C5" i="32" s="1"/>
  <c r="C5" i="42"/>
  <c r="B227" i="32"/>
  <c r="C227" i="32" s="1"/>
  <c r="C227" i="42"/>
  <c r="B207" i="32"/>
  <c r="C207" i="32" s="1"/>
  <c r="C207" i="42"/>
  <c r="B187" i="32"/>
  <c r="C187" i="32" s="1"/>
  <c r="C187" i="42"/>
  <c r="B167" i="32"/>
  <c r="D167" i="32" s="1"/>
  <c r="C167" i="42"/>
  <c r="B147" i="32"/>
  <c r="D147" i="32" s="1"/>
  <c r="C147" i="42"/>
  <c r="B127" i="32"/>
  <c r="C127" i="32" s="1"/>
  <c r="C127" i="42"/>
  <c r="B107" i="32"/>
  <c r="D107" i="32" s="1"/>
  <c r="C107" i="42"/>
  <c r="B87" i="32"/>
  <c r="C87" i="32" s="1"/>
  <c r="C87" i="42"/>
  <c r="I8" i="42"/>
  <c r="B6" i="45" s="1"/>
  <c r="E248" i="42"/>
  <c r="D248" i="42"/>
  <c r="B22" i="32"/>
  <c r="D22" i="32" s="1"/>
  <c r="C22" i="42"/>
  <c r="B204" i="32"/>
  <c r="C204" i="32" s="1"/>
  <c r="C204" i="42"/>
  <c r="B104" i="32"/>
  <c r="D104" i="32" s="1"/>
  <c r="C104" i="42"/>
  <c r="B21" i="32"/>
  <c r="C21" i="32" s="1"/>
  <c r="C21" i="42"/>
  <c r="B203" i="32"/>
  <c r="D203" i="32" s="1"/>
  <c r="C203" i="42"/>
  <c r="B103" i="32"/>
  <c r="D103" i="32" s="1"/>
  <c r="C103" i="42"/>
  <c r="B202" i="32"/>
  <c r="D202" i="32" s="1"/>
  <c r="C202" i="42"/>
  <c r="B82" i="32"/>
  <c r="D82" i="32" s="1"/>
  <c r="C82" i="42"/>
  <c r="B201" i="32"/>
  <c r="C201" i="32" s="1"/>
  <c r="C201" i="42"/>
  <c r="B18" i="32"/>
  <c r="C18" i="32" s="1"/>
  <c r="C18" i="42"/>
  <c r="B200" i="32"/>
  <c r="C200" i="32" s="1"/>
  <c r="C200" i="42"/>
  <c r="B100" i="32"/>
  <c r="C100" i="32" s="1"/>
  <c r="C100" i="42"/>
  <c r="C57" i="42"/>
  <c r="B57" i="32"/>
  <c r="D57" i="32" s="1"/>
  <c r="B199" i="32"/>
  <c r="C199" i="32" s="1"/>
  <c r="C199" i="42"/>
  <c r="B99" i="32"/>
  <c r="D99" i="32" s="1"/>
  <c r="C99" i="42"/>
  <c r="C198" i="42"/>
  <c r="B198" i="32"/>
  <c r="C198" i="32" s="1"/>
  <c r="C55" i="42"/>
  <c r="B55" i="32"/>
  <c r="D55" i="32" s="1"/>
  <c r="C137" i="42"/>
  <c r="B137" i="32"/>
  <c r="D137" i="32" s="1"/>
  <c r="B44" i="32"/>
  <c r="D44" i="32" s="1"/>
  <c r="C44" i="42"/>
  <c r="B186" i="32"/>
  <c r="C186" i="32" s="1"/>
  <c r="C186" i="42"/>
  <c r="B166" i="32"/>
  <c r="D166" i="32" s="1"/>
  <c r="C166" i="42"/>
  <c r="B146" i="32"/>
  <c r="D146" i="32" s="1"/>
  <c r="C146" i="42"/>
  <c r="B126" i="32"/>
  <c r="C126" i="32" s="1"/>
  <c r="C126" i="42"/>
  <c r="B106" i="32"/>
  <c r="D106" i="32" s="1"/>
  <c r="C106" i="42"/>
  <c r="B86" i="32"/>
  <c r="D86" i="32" s="1"/>
  <c r="C86" i="42"/>
  <c r="D247" i="42"/>
  <c r="E247" i="42"/>
  <c r="B244" i="32"/>
  <c r="C244" i="32" s="1"/>
  <c r="C244" i="42"/>
  <c r="B184" i="32"/>
  <c r="D184" i="32" s="1"/>
  <c r="C184" i="42"/>
  <c r="B84" i="32"/>
  <c r="D84" i="32" s="1"/>
  <c r="C84" i="42"/>
  <c r="B243" i="32"/>
  <c r="D243" i="32" s="1"/>
  <c r="C243" i="42"/>
  <c r="B183" i="32"/>
  <c r="D183" i="32" s="1"/>
  <c r="C183" i="42"/>
  <c r="C83" i="42"/>
  <c r="B83" i="32"/>
  <c r="D83" i="32" s="1"/>
  <c r="B40" i="32"/>
  <c r="C40" i="32" s="1"/>
  <c r="C40" i="42"/>
  <c r="B222" i="32"/>
  <c r="C222" i="32" s="1"/>
  <c r="C222" i="42"/>
  <c r="B162" i="32"/>
  <c r="D162" i="32" s="1"/>
  <c r="C162" i="42"/>
  <c r="B102" i="32"/>
  <c r="C102" i="32" s="1"/>
  <c r="C102" i="42"/>
  <c r="B39" i="32"/>
  <c r="D39" i="32" s="1"/>
  <c r="C39" i="42"/>
  <c r="B221" i="32"/>
  <c r="D221" i="32" s="1"/>
  <c r="C221" i="42"/>
  <c r="B161" i="32"/>
  <c r="D161" i="32" s="1"/>
  <c r="C161" i="42"/>
  <c r="B101" i="32"/>
  <c r="D101" i="32" s="1"/>
  <c r="C101" i="42"/>
  <c r="B240" i="32"/>
  <c r="C240" i="32" s="1"/>
  <c r="C240" i="42"/>
  <c r="B140" i="32"/>
  <c r="D140" i="32" s="1"/>
  <c r="C140" i="42"/>
  <c r="B219" i="32"/>
  <c r="D219" i="32" s="1"/>
  <c r="C219" i="42"/>
  <c r="B159" i="32"/>
  <c r="C159" i="32" s="1"/>
  <c r="C159" i="42"/>
  <c r="C56" i="42"/>
  <c r="B56" i="32"/>
  <c r="C56" i="32" s="1"/>
  <c r="C158" i="42"/>
  <c r="B158" i="32"/>
  <c r="C158" i="32" s="1"/>
  <c r="B98" i="32"/>
  <c r="D98" i="32" s="1"/>
  <c r="C98" i="42"/>
  <c r="C217" i="42"/>
  <c r="B217" i="32"/>
  <c r="C217" i="32" s="1"/>
  <c r="B34" i="32"/>
  <c r="C34" i="32" s="1"/>
  <c r="C34" i="42"/>
  <c r="C236" i="42"/>
  <c r="B236" i="32"/>
  <c r="C236" i="32" s="1"/>
  <c r="C216" i="42"/>
  <c r="B216" i="32"/>
  <c r="C216" i="32" s="1"/>
  <c r="C156" i="42"/>
  <c r="B156" i="32"/>
  <c r="C156" i="32" s="1"/>
  <c r="C136" i="42"/>
  <c r="B136" i="32"/>
  <c r="D136" i="32" s="1"/>
  <c r="C76" i="42"/>
  <c r="B76" i="32"/>
  <c r="D76" i="32" s="1"/>
  <c r="C135" i="42"/>
  <c r="B135" i="32"/>
  <c r="C135" i="32" s="1"/>
  <c r="C235" i="42"/>
  <c r="B235" i="32"/>
  <c r="D235" i="32" s="1"/>
  <c r="C175" i="42"/>
  <c r="B175" i="32"/>
  <c r="D175" i="32" s="1"/>
  <c r="C75" i="42"/>
  <c r="B75" i="32"/>
  <c r="C75" i="32" s="1"/>
  <c r="C116" i="42"/>
  <c r="B116" i="32"/>
  <c r="D116" i="32" s="1"/>
  <c r="C234" i="42"/>
  <c r="B234" i="32"/>
  <c r="C234" i="32" s="1"/>
  <c r="B64" i="32"/>
  <c r="D64" i="32" s="1"/>
  <c r="C64" i="42"/>
  <c r="C24" i="42"/>
  <c r="B24" i="32"/>
  <c r="D24" i="32" s="1"/>
  <c r="B9" i="35"/>
  <c r="B246" i="32"/>
  <c r="D246" i="32" s="1"/>
  <c r="C246" i="42"/>
  <c r="B226" i="32"/>
  <c r="D226" i="32" s="1"/>
  <c r="C226" i="42"/>
  <c r="B206" i="32"/>
  <c r="D206" i="32" s="1"/>
  <c r="C206" i="42"/>
  <c r="B63" i="32"/>
  <c r="D63" i="32" s="1"/>
  <c r="C63" i="42"/>
  <c r="B43" i="32"/>
  <c r="C43" i="32" s="1"/>
  <c r="C43" i="42"/>
  <c r="B23" i="32"/>
  <c r="D23" i="32" s="1"/>
  <c r="C23" i="42"/>
  <c r="B245" i="32"/>
  <c r="C245" i="32" s="1"/>
  <c r="C245" i="42"/>
  <c r="B225" i="32"/>
  <c r="D225" i="32" s="1"/>
  <c r="C225" i="42"/>
  <c r="B205" i="32"/>
  <c r="C205" i="32" s="1"/>
  <c r="C205" i="42"/>
  <c r="B185" i="32"/>
  <c r="D185" i="32" s="1"/>
  <c r="C185" i="42"/>
  <c r="B165" i="32"/>
  <c r="D165" i="32" s="1"/>
  <c r="C165" i="42"/>
  <c r="B145" i="32"/>
  <c r="C145" i="32" s="1"/>
  <c r="C145" i="42"/>
  <c r="B125" i="32"/>
  <c r="C125" i="32" s="1"/>
  <c r="C125" i="42"/>
  <c r="B105" i="32"/>
  <c r="D105" i="32" s="1"/>
  <c r="C105" i="42"/>
  <c r="B85" i="32"/>
  <c r="C85" i="32" s="1"/>
  <c r="C85" i="42"/>
  <c r="C52" i="32"/>
  <c r="D113" i="32"/>
  <c r="C232" i="32"/>
  <c r="C169" i="32"/>
  <c r="C154" i="32"/>
  <c r="D154" i="32"/>
  <c r="D70" i="32"/>
  <c r="C62" i="32"/>
  <c r="C42" i="32"/>
  <c r="C133" i="32"/>
  <c r="D120" i="32"/>
  <c r="C194" i="32"/>
  <c r="C220" i="32"/>
  <c r="C139" i="32"/>
  <c r="C173" i="32"/>
  <c r="D173" i="32"/>
  <c r="D69" i="32"/>
  <c r="C30" i="32"/>
  <c r="C238" i="32"/>
  <c r="D178" i="32"/>
  <c r="C178" i="32"/>
  <c r="C118" i="32"/>
  <c r="D118" i="32"/>
  <c r="C160" i="32"/>
  <c r="B4" i="38"/>
  <c r="C9" i="38"/>
  <c r="H4" i="32" a="1"/>
  <c r="G10" i="38" a="1"/>
  <c r="H5" i="32" a="1"/>
  <c r="D227" i="32" l="1"/>
  <c r="C209" i="32"/>
  <c r="D49" i="32"/>
  <c r="C109" i="32"/>
  <c r="C213" i="32"/>
  <c r="D15" i="32"/>
  <c r="D176" i="32"/>
  <c r="C28" i="32"/>
  <c r="D218" i="32"/>
  <c r="C168" i="32"/>
  <c r="D159" i="32"/>
  <c r="D29" i="32"/>
  <c r="D100" i="32"/>
  <c r="D216" i="32"/>
  <c r="C83" i="32"/>
  <c r="C185" i="32"/>
  <c r="C121" i="32"/>
  <c r="C146" i="32"/>
  <c r="C191" i="32"/>
  <c r="C219" i="32"/>
  <c r="C81" i="32"/>
  <c r="D188" i="32"/>
  <c r="D40" i="32"/>
  <c r="C129" i="32"/>
  <c r="C8" i="32"/>
  <c r="D108" i="32"/>
  <c r="D26" i="32"/>
  <c r="C140" i="32"/>
  <c r="D53" i="32"/>
  <c r="D207" i="32"/>
  <c r="D205" i="32"/>
  <c r="D204" i="32"/>
  <c r="D38" i="32"/>
  <c r="D126" i="32"/>
  <c r="D115" i="32"/>
  <c r="C151" i="32"/>
  <c r="D73" i="32"/>
  <c r="D119" i="32"/>
  <c r="D67" i="32"/>
  <c r="D37" i="32"/>
  <c r="D190" i="32"/>
  <c r="C74" i="32"/>
  <c r="D195" i="32"/>
  <c r="C237" i="32"/>
  <c r="D180" i="32"/>
  <c r="C86" i="32"/>
  <c r="C104" i="32"/>
  <c r="D145" i="32"/>
  <c r="D193" i="32"/>
  <c r="C12" i="32"/>
  <c r="D102" i="32"/>
  <c r="D41" i="32"/>
  <c r="C143" i="32"/>
  <c r="D244" i="32"/>
  <c r="D13" i="32"/>
  <c r="C167" i="32"/>
  <c r="D153" i="32"/>
  <c r="D66" i="32"/>
  <c r="C226" i="32"/>
  <c r="D199" i="32"/>
  <c r="C225" i="32"/>
  <c r="C230" i="32"/>
  <c r="C172" i="32"/>
  <c r="C84" i="32"/>
  <c r="C77" i="32"/>
  <c r="D212" i="32"/>
  <c r="D170" i="32"/>
  <c r="C171" i="32"/>
  <c r="C57" i="32"/>
  <c r="D217" i="32"/>
  <c r="C210" i="32"/>
  <c r="C80" i="32"/>
  <c r="C103" i="32"/>
  <c r="D187" i="32"/>
  <c r="C157" i="32"/>
  <c r="D32" i="32"/>
  <c r="C231" i="32"/>
  <c r="D192" i="32"/>
  <c r="D186" i="32"/>
  <c r="D14" i="32"/>
  <c r="C183" i="32"/>
  <c r="C243" i="32"/>
  <c r="D56" i="32"/>
  <c r="D152" i="32"/>
  <c r="C166" i="32"/>
  <c r="D45" i="32"/>
  <c r="D35" i="32"/>
  <c r="D21" i="32"/>
  <c r="C110" i="32"/>
  <c r="D179" i="32"/>
  <c r="D127" i="32"/>
  <c r="C96" i="32"/>
  <c r="C208" i="32"/>
  <c r="D240" i="32"/>
  <c r="D61" i="32"/>
  <c r="C150" i="32"/>
  <c r="D245" i="32"/>
  <c r="D236" i="32"/>
  <c r="D196" i="32"/>
  <c r="C162" i="32"/>
  <c r="C54" i="32"/>
  <c r="D239" i="32"/>
  <c r="D51" i="32"/>
  <c r="D124" i="32"/>
  <c r="C111" i="32"/>
  <c r="D234" i="32"/>
  <c r="D122" i="32"/>
  <c r="D85" i="32"/>
  <c r="C161" i="32"/>
  <c r="C246" i="32"/>
  <c r="C101" i="32"/>
  <c r="C221" i="32"/>
  <c r="D87" i="32"/>
  <c r="C60" i="32"/>
  <c r="C164" i="32"/>
  <c r="D132" i="32"/>
  <c r="D114" i="32"/>
  <c r="C215" i="32"/>
  <c r="C142" i="32"/>
  <c r="D200" i="32"/>
  <c r="D31" i="32"/>
  <c r="C64" i="32"/>
  <c r="C23" i="32"/>
  <c r="D174" i="32"/>
  <c r="D78" i="32"/>
  <c r="D17" i="32"/>
  <c r="C22" i="32"/>
  <c r="D241" i="32"/>
  <c r="D144" i="32"/>
  <c r="E48" i="42"/>
  <c r="D48" i="42"/>
  <c r="E68" i="42"/>
  <c r="D68" i="42"/>
  <c r="D18" i="32"/>
  <c r="C36" i="32"/>
  <c r="D235" i="42"/>
  <c r="E235" i="42"/>
  <c r="D41" i="42"/>
  <c r="E41" i="42"/>
  <c r="E125" i="42"/>
  <c r="D125" i="42"/>
  <c r="E184" i="42"/>
  <c r="D184" i="42"/>
  <c r="D72" i="42"/>
  <c r="E72" i="42"/>
  <c r="C16" i="32"/>
  <c r="D125" i="32"/>
  <c r="E182" i="42"/>
  <c r="D182" i="42"/>
  <c r="C92" i="32"/>
  <c r="C123" i="32"/>
  <c r="E226" i="42"/>
  <c r="D226" i="42"/>
  <c r="D158" i="42"/>
  <c r="E158" i="42"/>
  <c r="E127" i="42"/>
  <c r="D127" i="42"/>
  <c r="D239" i="42"/>
  <c r="E239" i="42"/>
  <c r="C182" i="32"/>
  <c r="E185" i="42"/>
  <c r="D185" i="42"/>
  <c r="D162" i="42"/>
  <c r="E162" i="42"/>
  <c r="E86" i="42"/>
  <c r="D86" i="42"/>
  <c r="E198" i="42"/>
  <c r="D198" i="42"/>
  <c r="D131" i="42"/>
  <c r="E131" i="42"/>
  <c r="D138" i="42"/>
  <c r="E138" i="42"/>
  <c r="D197" i="42"/>
  <c r="E197" i="42"/>
  <c r="E170" i="42"/>
  <c r="D170" i="42"/>
  <c r="D93" i="42"/>
  <c r="E93" i="42"/>
  <c r="E111" i="42"/>
  <c r="D111" i="42"/>
  <c r="E77" i="42"/>
  <c r="D77" i="42"/>
  <c r="E14" i="42"/>
  <c r="D14" i="42"/>
  <c r="D213" i="42"/>
  <c r="E213" i="42"/>
  <c r="D116" i="42"/>
  <c r="E116" i="42"/>
  <c r="E25" i="42"/>
  <c r="D25" i="42"/>
  <c r="D19" i="42"/>
  <c r="E19" i="42"/>
  <c r="C44" i="32"/>
  <c r="D196" i="42"/>
  <c r="E196" i="42"/>
  <c r="D82" i="42"/>
  <c r="E82" i="42"/>
  <c r="E6" i="42"/>
  <c r="D6" i="42"/>
  <c r="E54" i="42"/>
  <c r="D54" i="42"/>
  <c r="D117" i="42"/>
  <c r="E117" i="42"/>
  <c r="E9" i="42"/>
  <c r="D9" i="42"/>
  <c r="E242" i="42"/>
  <c r="D242" i="42"/>
  <c r="D11" i="42"/>
  <c r="E11" i="42"/>
  <c r="D97" i="32"/>
  <c r="D9" i="32"/>
  <c r="E103" i="42"/>
  <c r="D103" i="42"/>
  <c r="E66" i="42"/>
  <c r="D66" i="42"/>
  <c r="E174" i="42"/>
  <c r="D174" i="42"/>
  <c r="D67" i="42"/>
  <c r="E67" i="42"/>
  <c r="E60" i="42"/>
  <c r="D60" i="42"/>
  <c r="E91" i="42"/>
  <c r="D91" i="42"/>
  <c r="D112" i="42"/>
  <c r="E112" i="42"/>
  <c r="E143" i="42"/>
  <c r="D143" i="42"/>
  <c r="C55" i="32"/>
  <c r="C98" i="32"/>
  <c r="D33" i="32"/>
  <c r="C68" i="32"/>
  <c r="D5" i="32"/>
  <c r="D50" i="32"/>
  <c r="D117" i="32"/>
  <c r="C206" i="32"/>
  <c r="C72" i="32"/>
  <c r="C63" i="32"/>
  <c r="D201" i="32"/>
  <c r="E246" i="42"/>
  <c r="D246" i="42"/>
  <c r="D135" i="42"/>
  <c r="E135" i="42"/>
  <c r="D56" i="42"/>
  <c r="E56" i="42"/>
  <c r="D99" i="42"/>
  <c r="E99" i="42"/>
  <c r="E203" i="42"/>
  <c r="D203" i="42"/>
  <c r="E147" i="42"/>
  <c r="D147" i="42"/>
  <c r="E108" i="42"/>
  <c r="D108" i="42"/>
  <c r="E144" i="42"/>
  <c r="D144" i="42"/>
  <c r="E74" i="42"/>
  <c r="D74" i="42"/>
  <c r="D78" i="42"/>
  <c r="E78" i="42"/>
  <c r="E163" i="42"/>
  <c r="D163" i="42"/>
  <c r="E171" i="42"/>
  <c r="D171" i="42"/>
  <c r="E132" i="42"/>
  <c r="D132" i="42"/>
  <c r="E80" i="42"/>
  <c r="D80" i="42"/>
  <c r="E223" i="42"/>
  <c r="D223" i="42"/>
  <c r="E34" i="42"/>
  <c r="D34" i="42"/>
  <c r="D43" i="32"/>
  <c r="D47" i="42"/>
  <c r="E47" i="42"/>
  <c r="E189" i="42"/>
  <c r="D189" i="42"/>
  <c r="E63" i="42"/>
  <c r="D63" i="42"/>
  <c r="D155" i="42"/>
  <c r="E155" i="42"/>
  <c r="E142" i="42"/>
  <c r="D142" i="42"/>
  <c r="D7" i="32"/>
  <c r="D215" i="42"/>
  <c r="E215" i="42"/>
  <c r="D175" i="42"/>
  <c r="E175" i="42"/>
  <c r="D27" i="42"/>
  <c r="E27" i="42"/>
  <c r="E165" i="42"/>
  <c r="D165" i="42"/>
  <c r="D65" i="42"/>
  <c r="E65" i="42"/>
  <c r="E33" i="42"/>
  <c r="D33" i="42"/>
  <c r="D151" i="42"/>
  <c r="E151" i="42"/>
  <c r="D157" i="42"/>
  <c r="E157" i="42"/>
  <c r="C202" i="32"/>
  <c r="D199" i="42"/>
  <c r="E199" i="42"/>
  <c r="E88" i="42"/>
  <c r="D88" i="42"/>
  <c r="E180" i="42"/>
  <c r="D180" i="42"/>
  <c r="C107" i="32"/>
  <c r="C39" i="32"/>
  <c r="D222" i="32"/>
  <c r="D6" i="32"/>
  <c r="D25" i="32"/>
  <c r="D90" i="32"/>
  <c r="E126" i="42"/>
  <c r="D126" i="42"/>
  <c r="D238" i="42"/>
  <c r="E238" i="42"/>
  <c r="D210" i="42"/>
  <c r="E210" i="42"/>
  <c r="D133" i="42"/>
  <c r="E133" i="42"/>
  <c r="E177" i="42"/>
  <c r="D177" i="42"/>
  <c r="D65" i="32"/>
  <c r="D11" i="32"/>
  <c r="D138" i="32"/>
  <c r="C95" i="32"/>
  <c r="D211" i="32"/>
  <c r="C184" i="32"/>
  <c r="C233" i="32"/>
  <c r="C76" i="32"/>
  <c r="C235" i="32"/>
  <c r="E24" i="42"/>
  <c r="D24" i="42"/>
  <c r="D136" i="42"/>
  <c r="E136" i="42"/>
  <c r="E104" i="42"/>
  <c r="D104" i="42"/>
  <c r="D187" i="42"/>
  <c r="E187" i="42"/>
  <c r="E148" i="42"/>
  <c r="D148" i="42"/>
  <c r="E129" i="42"/>
  <c r="D129" i="42"/>
  <c r="E26" i="42"/>
  <c r="D26" i="42"/>
  <c r="D139" i="42"/>
  <c r="E139" i="42"/>
  <c r="D211" i="42"/>
  <c r="E211" i="42"/>
  <c r="E192" i="42"/>
  <c r="D192" i="42"/>
  <c r="D134" i="42"/>
  <c r="E134" i="42"/>
  <c r="E220" i="42"/>
  <c r="D220" i="42"/>
  <c r="D224" i="42"/>
  <c r="E224" i="42"/>
  <c r="E44" i="42"/>
  <c r="D44" i="42"/>
  <c r="D178" i="42"/>
  <c r="E178" i="42"/>
  <c r="E228" i="42"/>
  <c r="D228" i="42"/>
  <c r="E122" i="42"/>
  <c r="D122" i="42"/>
  <c r="E50" i="42"/>
  <c r="D50" i="42"/>
  <c r="E233" i="42"/>
  <c r="D233" i="42"/>
  <c r="E75" i="42"/>
  <c r="D75" i="42"/>
  <c r="D59" i="42"/>
  <c r="E59" i="42"/>
  <c r="D137" i="42"/>
  <c r="E137" i="42"/>
  <c r="D59" i="32"/>
  <c r="D94" i="42"/>
  <c r="E94" i="42"/>
  <c r="E102" i="42"/>
  <c r="D102" i="42"/>
  <c r="E237" i="42"/>
  <c r="D237" i="42"/>
  <c r="D97" i="42"/>
  <c r="E97" i="42"/>
  <c r="E51" i="42"/>
  <c r="D51" i="42"/>
  <c r="D27" i="32"/>
  <c r="E32" i="42"/>
  <c r="D32" i="42"/>
  <c r="D190" i="42"/>
  <c r="E190" i="42"/>
  <c r="C137" i="32"/>
  <c r="C116" i="32"/>
  <c r="D181" i="32"/>
  <c r="C163" i="32"/>
  <c r="C175" i="32"/>
  <c r="E21" i="42"/>
  <c r="D21" i="42"/>
  <c r="E128" i="42"/>
  <c r="D128" i="42"/>
  <c r="D119" i="42"/>
  <c r="E119" i="42"/>
  <c r="D191" i="42"/>
  <c r="E191" i="42"/>
  <c r="E61" i="42"/>
  <c r="D61" i="42"/>
  <c r="D112" i="32"/>
  <c r="C24" i="32"/>
  <c r="D149" i="32"/>
  <c r="C242" i="32"/>
  <c r="D89" i="32"/>
  <c r="D94" i="32"/>
  <c r="D88" i="32"/>
  <c r="D135" i="32"/>
  <c r="D48" i="32"/>
  <c r="D34" i="32"/>
  <c r="D153" i="42"/>
  <c r="E153" i="42"/>
  <c r="C203" i="32"/>
  <c r="D64" i="42"/>
  <c r="E64" i="42"/>
  <c r="D156" i="42"/>
  <c r="E156" i="42"/>
  <c r="E83" i="42"/>
  <c r="D83" i="42"/>
  <c r="D100" i="42"/>
  <c r="E100" i="42"/>
  <c r="E204" i="42"/>
  <c r="D204" i="42"/>
  <c r="D207" i="42"/>
  <c r="E207" i="42"/>
  <c r="E168" i="42"/>
  <c r="D168" i="42"/>
  <c r="E169" i="42"/>
  <c r="D169" i="42"/>
  <c r="E160" i="42"/>
  <c r="D160" i="42"/>
  <c r="E69" i="42"/>
  <c r="D69" i="42"/>
  <c r="E62" i="42"/>
  <c r="D62" i="42"/>
  <c r="E231" i="42"/>
  <c r="D231" i="42"/>
  <c r="D212" i="42"/>
  <c r="E212" i="42"/>
  <c r="D154" i="42"/>
  <c r="E154" i="42"/>
  <c r="D38" i="42"/>
  <c r="E38" i="42"/>
  <c r="D42" i="42"/>
  <c r="E42" i="42"/>
  <c r="E90" i="42"/>
  <c r="D90" i="42"/>
  <c r="E221" i="42"/>
  <c r="D221" i="42"/>
  <c r="E110" i="42"/>
  <c r="D110" i="42"/>
  <c r="D206" i="42"/>
  <c r="E206" i="42"/>
  <c r="D150" i="42"/>
  <c r="E150" i="42"/>
  <c r="E113" i="42"/>
  <c r="D113" i="42"/>
  <c r="C91" i="32"/>
  <c r="E172" i="42"/>
  <c r="D172" i="42"/>
  <c r="D95" i="42"/>
  <c r="E95" i="42"/>
  <c r="E245" i="42"/>
  <c r="D245" i="42"/>
  <c r="D37" i="42"/>
  <c r="E37" i="42"/>
  <c r="D128" i="32"/>
  <c r="C228" i="32"/>
  <c r="E23" i="42"/>
  <c r="D23" i="42"/>
  <c r="E240" i="42"/>
  <c r="D240" i="42"/>
  <c r="E183" i="42"/>
  <c r="D183" i="42"/>
  <c r="E166" i="42"/>
  <c r="D166" i="42"/>
  <c r="D53" i="42"/>
  <c r="E53" i="42"/>
  <c r="D115" i="42"/>
  <c r="E115" i="42"/>
  <c r="D17" i="42"/>
  <c r="E17" i="42"/>
  <c r="E8" i="42"/>
  <c r="D8" i="42"/>
  <c r="D29" i="42"/>
  <c r="E29" i="42"/>
  <c r="E173" i="42"/>
  <c r="D173" i="42"/>
  <c r="E4" i="42"/>
  <c r="D4" i="42"/>
  <c r="E52" i="42"/>
  <c r="D52" i="42"/>
  <c r="D201" i="42"/>
  <c r="E201" i="42"/>
  <c r="D16" i="42"/>
  <c r="E16" i="42"/>
  <c r="E45" i="42"/>
  <c r="D45" i="42"/>
  <c r="E20" i="42"/>
  <c r="D20" i="42"/>
  <c r="E145" i="42"/>
  <c r="D145" i="42"/>
  <c r="D39" i="42"/>
  <c r="E39" i="42"/>
  <c r="E107" i="42"/>
  <c r="D107" i="42"/>
  <c r="E46" i="42"/>
  <c r="D46" i="42"/>
  <c r="D179" i="42"/>
  <c r="E179" i="42"/>
  <c r="D159" i="42"/>
  <c r="E159" i="42"/>
  <c r="E222" i="42"/>
  <c r="D222" i="42"/>
  <c r="E106" i="42"/>
  <c r="D106" i="42"/>
  <c r="D12" i="42"/>
  <c r="E12" i="42"/>
  <c r="E89" i="42"/>
  <c r="D89" i="42"/>
  <c r="D214" i="42"/>
  <c r="E214" i="42"/>
  <c r="E225" i="42"/>
  <c r="D225" i="42"/>
  <c r="D219" i="42"/>
  <c r="E219" i="42"/>
  <c r="D57" i="42"/>
  <c r="E57" i="42"/>
  <c r="E164" i="42"/>
  <c r="D164" i="42"/>
  <c r="D35" i="42"/>
  <c r="E35" i="42"/>
  <c r="D177" i="32"/>
  <c r="D158" i="32"/>
  <c r="C79" i="32"/>
  <c r="C134" i="32"/>
  <c r="C214" i="32"/>
  <c r="D224" i="32"/>
  <c r="D197" i="32"/>
  <c r="D46" i="32"/>
  <c r="D75" i="32"/>
  <c r="C141" i="32"/>
  <c r="C147" i="32"/>
  <c r="C10" i="32"/>
  <c r="C99" i="32"/>
  <c r="C165" i="32"/>
  <c r="C47" i="32"/>
  <c r="C136" i="32"/>
  <c r="C20" i="32"/>
  <c r="D223" i="32"/>
  <c r="C229" i="32"/>
  <c r="D156" i="32"/>
  <c r="C131" i="32"/>
  <c r="D216" i="42"/>
  <c r="E216" i="42"/>
  <c r="E200" i="42"/>
  <c r="D200" i="42"/>
  <c r="E22" i="42"/>
  <c r="D22" i="42"/>
  <c r="D227" i="42"/>
  <c r="E227" i="42"/>
  <c r="E188" i="42"/>
  <c r="D188" i="42"/>
  <c r="E209" i="42"/>
  <c r="D209" i="42"/>
  <c r="E121" i="42"/>
  <c r="D121" i="42"/>
  <c r="E109" i="42"/>
  <c r="D109" i="42"/>
  <c r="E120" i="42"/>
  <c r="D120" i="42"/>
  <c r="E232" i="42"/>
  <c r="D232" i="42"/>
  <c r="D194" i="42"/>
  <c r="E194" i="42"/>
  <c r="E81" i="42"/>
  <c r="D81" i="42"/>
  <c r="E105" i="42"/>
  <c r="D105" i="42"/>
  <c r="E84" i="42"/>
  <c r="D84" i="42"/>
  <c r="E141" i="42"/>
  <c r="D141" i="42"/>
  <c r="D10" i="42"/>
  <c r="E10" i="42"/>
  <c r="E229" i="42"/>
  <c r="D229" i="42"/>
  <c r="C19" i="32"/>
  <c r="D98" i="42"/>
  <c r="E98" i="42"/>
  <c r="D31" i="42"/>
  <c r="E31" i="42"/>
  <c r="E202" i="42"/>
  <c r="D202" i="42"/>
  <c r="D92" i="42"/>
  <c r="E92" i="42"/>
  <c r="E124" i="42"/>
  <c r="D124" i="42"/>
  <c r="C93" i="32"/>
  <c r="E13" i="42"/>
  <c r="D13" i="42"/>
  <c r="D130" i="32"/>
  <c r="C82" i="32"/>
  <c r="C105" i="32"/>
  <c r="D189" i="32"/>
  <c r="C106" i="32"/>
  <c r="C71" i="32"/>
  <c r="E85" i="42"/>
  <c r="D85" i="42"/>
  <c r="E101" i="42"/>
  <c r="D101" i="42"/>
  <c r="E243" i="42"/>
  <c r="D243" i="42"/>
  <c r="E186" i="42"/>
  <c r="D186" i="42"/>
  <c r="D176" i="42"/>
  <c r="E176" i="42"/>
  <c r="E15" i="42"/>
  <c r="D15" i="42"/>
  <c r="D70" i="42"/>
  <c r="E70" i="42"/>
  <c r="E28" i="42"/>
  <c r="D28" i="42"/>
  <c r="E49" i="42"/>
  <c r="D49" i="42"/>
  <c r="D30" i="42"/>
  <c r="E30" i="42"/>
  <c r="E193" i="42"/>
  <c r="D193" i="42"/>
  <c r="D118" i="42"/>
  <c r="E118" i="42"/>
  <c r="E161" i="42"/>
  <c r="D161" i="42"/>
  <c r="E96" i="42"/>
  <c r="D96" i="42"/>
  <c r="E71" i="42"/>
  <c r="D71" i="42"/>
  <c r="D36" i="42"/>
  <c r="E36" i="42"/>
  <c r="E217" i="42"/>
  <c r="D217" i="42"/>
  <c r="D87" i="42"/>
  <c r="E87" i="42"/>
  <c r="E152" i="42"/>
  <c r="D152" i="42"/>
  <c r="D79" i="42"/>
  <c r="E79" i="42"/>
  <c r="E244" i="42"/>
  <c r="D244" i="42"/>
  <c r="D130" i="42"/>
  <c r="E130" i="42"/>
  <c r="E123" i="42"/>
  <c r="D123" i="42"/>
  <c r="D55" i="42"/>
  <c r="E55" i="42"/>
  <c r="D205" i="42"/>
  <c r="E205" i="42"/>
  <c r="D218" i="42"/>
  <c r="E218" i="42"/>
  <c r="D76" i="42"/>
  <c r="E76" i="42"/>
  <c r="E167" i="42"/>
  <c r="D167" i="42"/>
  <c r="E114" i="42"/>
  <c r="D114" i="42"/>
  <c r="E40" i="42"/>
  <c r="D40" i="42"/>
  <c r="E140" i="42"/>
  <c r="D140" i="42"/>
  <c r="E146" i="42"/>
  <c r="D146" i="42"/>
  <c r="D195" i="42"/>
  <c r="E195" i="42"/>
  <c r="E230" i="42"/>
  <c r="D230" i="42"/>
  <c r="D58" i="32"/>
  <c r="D198" i="32"/>
  <c r="C148" i="32"/>
  <c r="D155" i="32"/>
  <c r="E43" i="42"/>
  <c r="D43" i="42"/>
  <c r="E234" i="42"/>
  <c r="D234" i="42"/>
  <c r="D236" i="42"/>
  <c r="E236" i="42"/>
  <c r="D18" i="42"/>
  <c r="E18" i="42"/>
  <c r="D5" i="42"/>
  <c r="E5" i="42"/>
  <c r="E208" i="42"/>
  <c r="D208" i="42"/>
  <c r="D7" i="42"/>
  <c r="E7" i="42"/>
  <c r="D241" i="42"/>
  <c r="E241" i="42"/>
  <c r="E149" i="42"/>
  <c r="D149" i="42"/>
  <c r="D58" i="42"/>
  <c r="E58" i="42"/>
  <c r="E181" i="42"/>
  <c r="D181" i="42"/>
  <c r="D73" i="42"/>
  <c r="E73" i="42"/>
  <c r="H5" i="32"/>
  <c r="H4" i="32"/>
  <c r="C10" i="38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E35" i="38" s="1"/>
  <c r="G10" i="38"/>
  <c r="N17" i="42" l="1" a="1"/>
  <c r="N17" i="42" s="1"/>
  <c r="N18" i="42" a="1"/>
  <c r="N18" i="42" s="1"/>
  <c r="N5" i="42" a="1"/>
  <c r="N5" i="42" s="1"/>
  <c r="N16" i="42" a="1"/>
  <c r="N16" i="42" s="1"/>
  <c r="N20" i="42" a="1"/>
  <c r="N20" i="42" s="1"/>
  <c r="N21" i="42" a="1"/>
  <c r="N21" i="42" s="1"/>
  <c r="N8" i="42" a="1"/>
  <c r="N8" i="42" s="1"/>
  <c r="N25" i="42" a="1"/>
  <c r="N25" i="42" s="1"/>
  <c r="N23" i="42" a="1"/>
  <c r="N23" i="42" s="1"/>
  <c r="N7" i="42" a="1"/>
  <c r="N7" i="42" s="1"/>
  <c r="N19" i="42" a="1"/>
  <c r="N19" i="42" s="1"/>
  <c r="N13" i="42" a="1"/>
  <c r="N13" i="42" s="1"/>
  <c r="N15" i="42" a="1"/>
  <c r="N15" i="42" s="1"/>
  <c r="N24" i="42" a="1"/>
  <c r="N24" i="42" s="1"/>
  <c r="N14" i="42" a="1"/>
  <c r="N14" i="42" s="1"/>
  <c r="N9" i="42" a="1"/>
  <c r="N9" i="42" s="1"/>
  <c r="N11" i="42" a="1"/>
  <c r="N11" i="42" s="1"/>
  <c r="G4" i="32"/>
  <c r="N6" i="42" a="1"/>
  <c r="N6" i="42" s="1"/>
  <c r="N12" i="42" a="1"/>
  <c r="N12" i="42" s="1"/>
  <c r="N10" i="42" a="1"/>
  <c r="N10" i="42" s="1"/>
  <c r="I6" i="42"/>
  <c r="I7" i="42"/>
  <c r="B5" i="45" s="1"/>
  <c r="G5" i="32"/>
  <c r="B8" i="35" s="1"/>
  <c r="N22" i="42" a="1"/>
  <c r="N22" i="42" s="1"/>
  <c r="N4" i="42" a="1"/>
  <c r="N4" i="42" s="1"/>
  <c r="F10" i="38"/>
  <c r="F22" i="38"/>
  <c r="B8" i="40" l="1"/>
  <c r="F16" i="42"/>
  <c r="F131" i="42"/>
  <c r="F192" i="42"/>
  <c r="F62" i="42"/>
  <c r="F240" i="42"/>
  <c r="F110" i="42"/>
  <c r="F39" i="42"/>
  <c r="F201" i="42"/>
  <c r="F209" i="42"/>
  <c r="F97" i="42"/>
  <c r="F89" i="42"/>
  <c r="F223" i="42"/>
  <c r="F149" i="42"/>
  <c r="F83" i="42"/>
  <c r="F208" i="42"/>
  <c r="F130" i="42"/>
  <c r="F137" i="42"/>
  <c r="F84" i="42"/>
  <c r="F107" i="42"/>
  <c r="F203" i="42"/>
  <c r="F12" i="42"/>
  <c r="F7" i="42"/>
  <c r="F80" i="42"/>
  <c r="F148" i="42"/>
  <c r="F133" i="42"/>
  <c r="F75" i="42"/>
  <c r="F5" i="42"/>
  <c r="F241" i="42"/>
  <c r="F175" i="42"/>
  <c r="F190" i="42"/>
  <c r="F207" i="42"/>
  <c r="F42" i="42"/>
  <c r="F164" i="42"/>
  <c r="F10" i="42"/>
  <c r="F92" i="42"/>
  <c r="F20" i="42"/>
  <c r="F99" i="42"/>
  <c r="F159" i="42"/>
  <c r="F179" i="42"/>
  <c r="F98" i="42"/>
  <c r="F48" i="42"/>
  <c r="F142" i="42"/>
  <c r="B7" i="35"/>
  <c r="B7" i="40"/>
  <c r="F35" i="42"/>
  <c r="F139" i="42"/>
  <c r="F49" i="42"/>
  <c r="F232" i="42"/>
  <c r="F17" i="42"/>
  <c r="F31" i="42"/>
  <c r="F73" i="42"/>
  <c r="F184" i="42"/>
  <c r="F202" i="42"/>
  <c r="F186" i="42"/>
  <c r="F217" i="42"/>
  <c r="F87" i="42"/>
  <c r="F55" i="42"/>
  <c r="F28" i="42"/>
  <c r="F147" i="42"/>
  <c r="F26" i="42"/>
  <c r="F243" i="42"/>
  <c r="F211" i="42"/>
  <c r="F8" i="42"/>
  <c r="F86" i="42"/>
  <c r="F161" i="42"/>
  <c r="F23" i="42"/>
  <c r="F234" i="42"/>
  <c r="F58" i="42"/>
  <c r="F156" i="42"/>
  <c r="F91" i="42"/>
  <c r="F68" i="42"/>
  <c r="F221" i="42"/>
  <c r="F22" i="42"/>
  <c r="F135" i="42"/>
  <c r="F57" i="42"/>
  <c r="F41" i="42"/>
  <c r="F81" i="42"/>
  <c r="F88" i="42"/>
  <c r="F56" i="42"/>
  <c r="F176" i="42"/>
  <c r="F239" i="42"/>
  <c r="F71" i="42"/>
  <c r="F181" i="42"/>
  <c r="F231" i="42"/>
  <c r="F212" i="42"/>
  <c r="F51" i="42"/>
  <c r="F206" i="42"/>
  <c r="F69" i="42"/>
  <c r="F194" i="42"/>
  <c r="F52" i="42"/>
  <c r="F123" i="42"/>
  <c r="F200" i="42"/>
  <c r="F122" i="42"/>
  <c r="F128" i="42"/>
  <c r="F153" i="42"/>
  <c r="F96" i="42"/>
  <c r="F21" i="42"/>
  <c r="F29" i="42"/>
  <c r="F183" i="42"/>
  <c r="F230" i="42"/>
  <c r="F216" i="42"/>
  <c r="F102" i="42"/>
  <c r="F94" i="42"/>
  <c r="F120" i="42"/>
  <c r="F151" i="42"/>
  <c r="F37" i="42"/>
  <c r="F118" i="42"/>
  <c r="F195" i="42"/>
  <c r="F45" i="42"/>
  <c r="F106" i="42"/>
  <c r="F187" i="42"/>
  <c r="F44" i="42"/>
  <c r="F160" i="42"/>
  <c r="F235" i="42"/>
  <c r="F90" i="42"/>
  <c r="F82" i="42"/>
  <c r="F222" i="42"/>
  <c r="F132" i="42"/>
  <c r="F166" i="42"/>
  <c r="F157" i="42"/>
  <c r="F210" i="42"/>
  <c r="F238" i="42"/>
  <c r="F127" i="42"/>
  <c r="F168" i="42"/>
  <c r="F104" i="42"/>
  <c r="F146" i="42"/>
  <c r="F117" i="42"/>
  <c r="F150" i="42"/>
  <c r="F155" i="42"/>
  <c r="F18" i="42"/>
  <c r="F143" i="42"/>
  <c r="F24" i="42"/>
  <c r="F134" i="42"/>
  <c r="F224" i="42"/>
  <c r="F14" i="42"/>
  <c r="F38" i="42"/>
  <c r="F163" i="42"/>
  <c r="F34" i="42"/>
  <c r="F79" i="42"/>
  <c r="F172" i="42"/>
  <c r="F103" i="42"/>
  <c r="F101" i="42"/>
  <c r="F43" i="42"/>
  <c r="F11" i="42"/>
  <c r="F246" i="42"/>
  <c r="F95" i="42"/>
  <c r="F112" i="42"/>
  <c r="F19" i="42"/>
  <c r="F114" i="42"/>
  <c r="F63" i="42"/>
  <c r="F218" i="42"/>
  <c r="F214" i="42"/>
  <c r="F67" i="42"/>
  <c r="F116" i="42"/>
  <c r="F85" i="42"/>
  <c r="F15" i="42"/>
  <c r="F138" i="42"/>
  <c r="F152" i="42"/>
  <c r="F174" i="42"/>
  <c r="F50" i="42"/>
  <c r="F70" i="42"/>
  <c r="F111" i="42"/>
  <c r="F115" i="42"/>
  <c r="F109" i="42"/>
  <c r="F191" i="42"/>
  <c r="F226" i="42"/>
  <c r="F236" i="42"/>
  <c r="F193" i="42"/>
  <c r="F74" i="42"/>
  <c r="F215" i="42"/>
  <c r="F140" i="42"/>
  <c r="F136" i="42"/>
  <c r="F60" i="42"/>
  <c r="F144" i="42"/>
  <c r="F162" i="42"/>
  <c r="F180" i="42"/>
  <c r="F124" i="42"/>
  <c r="F185" i="42"/>
  <c r="F121" i="42"/>
  <c r="F77" i="42"/>
  <c r="F205" i="42"/>
  <c r="F27" i="42"/>
  <c r="F227" i="42"/>
  <c r="F25" i="42"/>
  <c r="F177" i="42"/>
  <c r="F228" i="42"/>
  <c r="F141" i="42"/>
  <c r="F219" i="42"/>
  <c r="F188" i="42"/>
  <c r="F167" i="42"/>
  <c r="F198" i="42"/>
  <c r="F105" i="42"/>
  <c r="F53" i="42"/>
  <c r="F47" i="42"/>
  <c r="F165" i="42"/>
  <c r="F36" i="42"/>
  <c r="F9" i="42"/>
  <c r="F213" i="42"/>
  <c r="F61" i="42"/>
  <c r="F199" i="42"/>
  <c r="F145" i="42"/>
  <c r="F46" i="42"/>
  <c r="F13" i="42"/>
  <c r="F229" i="42"/>
  <c r="F65" i="42"/>
  <c r="F66" i="42"/>
  <c r="F154" i="42"/>
  <c r="F233" i="42"/>
  <c r="F100" i="42"/>
  <c r="F242" i="42"/>
  <c r="F171" i="42"/>
  <c r="F129" i="42"/>
  <c r="F30" i="42"/>
  <c r="F72" i="42"/>
  <c r="F126" i="42"/>
  <c r="F189" i="42"/>
  <c r="F204" i="42"/>
  <c r="F40" i="42"/>
  <c r="F108" i="42"/>
  <c r="F4" i="42"/>
  <c r="F59" i="42"/>
  <c r="F33" i="42"/>
  <c r="F158" i="42"/>
  <c r="F93" i="42"/>
  <c r="F182" i="42"/>
  <c r="F225" i="42"/>
  <c r="F178" i="42"/>
  <c r="F119" i="42"/>
  <c r="F245" i="42"/>
  <c r="F173" i="42"/>
  <c r="F220" i="42"/>
  <c r="F170" i="42"/>
  <c r="F6" i="42"/>
  <c r="F32" i="42"/>
  <c r="F125" i="42"/>
  <c r="F237" i="42"/>
  <c r="F197" i="42"/>
  <c r="B4" i="45"/>
  <c r="F247" i="42"/>
  <c r="F248" i="42"/>
  <c r="F244" i="42"/>
  <c r="F169" i="42"/>
  <c r="F196" i="42"/>
  <c r="F78" i="42"/>
  <c r="F76" i="42"/>
  <c r="F54" i="42"/>
  <c r="F64" i="42"/>
  <c r="F113" i="42"/>
  <c r="F4" i="35"/>
  <c r="S10" i="42" l="1"/>
  <c r="S16" i="42"/>
  <c r="S12" i="42"/>
  <c r="S22" i="42"/>
  <c r="S15" i="42"/>
  <c r="S25" i="42"/>
  <c r="S11" i="42"/>
  <c r="S8" i="42"/>
  <c r="S13" i="42"/>
  <c r="S23" i="42"/>
  <c r="S14" i="42"/>
  <c r="S17" i="42"/>
  <c r="S9" i="42"/>
  <c r="S24" i="42"/>
  <c r="S19" i="42"/>
  <c r="S5" i="42"/>
  <c r="S20" i="42"/>
  <c r="S18" i="42"/>
  <c r="S21" i="42"/>
  <c r="S7" i="42"/>
  <c r="S6" i="42"/>
  <c r="I12" i="42"/>
  <c r="I13" i="42"/>
  <c r="I17" i="42" l="1"/>
  <c r="T4" i="42"/>
  <c r="T5" i="42" s="1"/>
  <c r="T6" i="42" s="1"/>
  <c r="T7" i="42" s="1"/>
  <c r="T8" i="42" s="1"/>
  <c r="T9" i="42" s="1"/>
  <c r="T10" i="42" s="1"/>
  <c r="T11" i="42" s="1"/>
  <c r="T12" i="42" s="1"/>
  <c r="T13" i="42" s="1"/>
  <c r="T14" i="42" s="1"/>
  <c r="T15" i="42" s="1"/>
  <c r="T16" i="42" s="1"/>
  <c r="T17" i="42" s="1"/>
  <c r="T18" i="42" s="1"/>
  <c r="T19" i="42" s="1"/>
  <c r="T20" i="42" s="1"/>
  <c r="T21" i="42" s="1"/>
  <c r="T22" i="42" s="1"/>
  <c r="T23" i="42" s="1"/>
  <c r="T24" i="42" s="1"/>
  <c r="T25" i="42" s="1"/>
  <c r="W4" i="42" s="1"/>
  <c r="I16" i="42"/>
  <c r="G6" i="32"/>
  <c r="G7" i="32"/>
  <c r="G8" i="32"/>
  <c r="B5" i="35" l="1"/>
  <c r="B5" i="40"/>
  <c r="B6" i="40"/>
  <c r="B6" i="35"/>
  <c r="B4" i="35"/>
  <c r="B4" i="40"/>
  <c r="L21" i="32"/>
  <c r="L11" i="32"/>
  <c r="L8" i="32"/>
  <c r="L12" i="32"/>
  <c r="L24" i="32"/>
  <c r="L19" i="32"/>
  <c r="L16" i="32"/>
  <c r="L22" i="32"/>
  <c r="L7" i="32"/>
  <c r="L18" i="32"/>
  <c r="L20" i="32"/>
  <c r="L25" i="32"/>
  <c r="L23" i="32"/>
  <c r="L17" i="32"/>
  <c r="L15" i="32"/>
  <c r="L14" i="32"/>
  <c r="L5" i="32"/>
  <c r="L13" i="32"/>
  <c r="L10" i="32"/>
  <c r="L6" i="32"/>
  <c r="L9" i="32"/>
  <c r="M12" i="32"/>
  <c r="M10" i="32"/>
  <c r="M13" i="32"/>
  <c r="M17" i="32"/>
  <c r="M25" i="32"/>
  <c r="M4" i="32"/>
  <c r="M8" i="32"/>
  <c r="M14" i="32"/>
  <c r="M19" i="32"/>
  <c r="M21" i="32"/>
  <c r="M5" i="32"/>
  <c r="M7" i="32"/>
  <c r="M15" i="32"/>
  <c r="M23" i="32"/>
  <c r="M24" i="32"/>
  <c r="M11" i="32"/>
  <c r="M18" i="32"/>
  <c r="M20" i="32"/>
  <c r="M6" i="32"/>
  <c r="M9" i="32"/>
  <c r="M16" i="32"/>
  <c r="M22" i="32"/>
  <c r="E10" i="35" a="1"/>
  <c r="E8" i="35" a="1"/>
  <c r="E15" i="35" a="1"/>
  <c r="E22" i="35" a="1"/>
  <c r="E18" i="35" a="1"/>
  <c r="E19" i="35" a="1"/>
  <c r="E24" i="35" a="1"/>
  <c r="E5" i="35" a="1"/>
  <c r="E20" i="35" a="1"/>
  <c r="E23" i="35" a="1"/>
  <c r="E11" i="35" a="1"/>
  <c r="E26" i="35" a="1"/>
  <c r="E13" i="35" a="1"/>
  <c r="E6" i="35" a="1"/>
  <c r="E12" i="35" a="1"/>
  <c r="E7" i="35" a="1"/>
  <c r="E16" i="35" a="1"/>
  <c r="E9" i="35" a="1"/>
  <c r="E25" i="35" a="1"/>
  <c r="E17" i="35" a="1"/>
  <c r="E21" i="35" a="1"/>
  <c r="E14" i="35" a="1"/>
  <c r="E5" i="35" l="1"/>
  <c r="E26" i="35"/>
  <c r="E16" i="35"/>
  <c r="E6" i="35"/>
  <c r="E25" i="35"/>
  <c r="E15" i="35"/>
  <c r="E24" i="35"/>
  <c r="E14" i="35"/>
  <c r="E23" i="35"/>
  <c r="E13" i="35"/>
  <c r="E22" i="35"/>
  <c r="E12" i="35"/>
  <c r="E21" i="35"/>
  <c r="E11" i="35"/>
  <c r="E20" i="35"/>
  <c r="E10" i="35"/>
  <c r="E19" i="35"/>
  <c r="E9" i="35"/>
  <c r="E18" i="35"/>
  <c r="E8" i="35"/>
  <c r="E17" i="35"/>
  <c r="E7" i="35"/>
  <c r="N10" i="32"/>
  <c r="N11" i="32"/>
  <c r="N24" i="32"/>
  <c r="N16" i="32"/>
  <c r="N19" i="32"/>
  <c r="N25" i="32"/>
  <c r="N12" i="32"/>
  <c r="N14" i="32"/>
  <c r="N8" i="32"/>
  <c r="N21" i="32"/>
  <c r="N23" i="32"/>
  <c r="N15" i="32"/>
  <c r="N22" i="32"/>
  <c r="N6" i="32"/>
  <c r="N20" i="32"/>
  <c r="N9" i="32"/>
  <c r="N7" i="32"/>
  <c r="N17" i="32"/>
  <c r="N18" i="32"/>
  <c r="N5" i="32"/>
  <c r="N13" i="32"/>
  <c r="N4" i="32"/>
  <c r="O4" i="32" s="1"/>
  <c r="O5" i="32" l="1"/>
  <c r="O6" i="32" s="1"/>
  <c r="O7" i="32" s="1"/>
  <c r="O8" i="32" s="1"/>
  <c r="O9" i="32" s="1"/>
  <c r="O10" i="32" s="1"/>
  <c r="O11" i="32" s="1"/>
  <c r="O12" i="32" s="1"/>
  <c r="O13" i="32" s="1"/>
  <c r="O14" i="32" s="1"/>
  <c r="O15" i="32" s="1"/>
  <c r="O16" i="32" s="1"/>
  <c r="O17" i="32" s="1"/>
  <c r="O18" i="32" s="1"/>
  <c r="O19" i="32" s="1"/>
  <c r="O20" i="32" s="1"/>
  <c r="O21" i="32" s="1"/>
  <c r="O22" i="32" s="1"/>
  <c r="O23" i="32" s="1"/>
  <c r="O24" i="32" s="1"/>
  <c r="O25" i="32" s="1"/>
  <c r="T3" i="32" s="1"/>
  <c r="F5" i="35"/>
  <c r="F6" i="35" l="1"/>
  <c r="F7" i="35" s="1"/>
  <c r="F8" i="35" s="1"/>
  <c r="F9" i="35" s="1"/>
  <c r="F10" i="35" s="1"/>
  <c r="F11" i="35" s="1"/>
  <c r="F12" i="35" s="1"/>
  <c r="F13" i="35" s="1"/>
  <c r="F14" i="35" s="1"/>
  <c r="F15" i="35" s="1"/>
  <c r="F16" i="35" s="1"/>
  <c r="F17" i="35" s="1"/>
  <c r="F18" i="35" s="1"/>
  <c r="F19" i="35" s="1"/>
  <c r="F20" i="35" s="1"/>
  <c r="F21" i="35" s="1"/>
  <c r="F22" i="35" s="1"/>
  <c r="F23" i="35" s="1"/>
  <c r="F24" i="35" s="1"/>
  <c r="F25" i="35" l="1"/>
  <c r="F26" i="35" s="1"/>
  <c r="I5" i="3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<sst xmlns="http://schemas.openxmlformats.org/spreadsheetml/2006/main" count="1651" uniqueCount="271">
  <si>
    <t>Date</t>
  </si>
  <si>
    <t>Beta</t>
  </si>
  <si>
    <t>Alpha</t>
  </si>
  <si>
    <t>Beta (SE)</t>
  </si>
  <si>
    <t>Alpha (SE)</t>
  </si>
  <si>
    <t>RSQ</t>
  </si>
  <si>
    <t>STEYX</t>
  </si>
  <si>
    <t>F</t>
  </si>
  <si>
    <t>N-2</t>
  </si>
  <si>
    <t>Regression SS</t>
  </si>
  <si>
    <t>Residual SS</t>
  </si>
  <si>
    <t>Output from LinEst (Remember Ctrl+Shift+Enter)</t>
  </si>
  <si>
    <t>Café de Coral Holdings Limited (0341.HK), listed on HKSE</t>
  </si>
  <si>
    <t>Hang Seng Index (^HSI)</t>
  </si>
  <si>
    <t>Data from Yahoo!Finance</t>
  </si>
  <si>
    <t>Open</t>
  </si>
  <si>
    <t>High</t>
  </si>
  <si>
    <t>Low</t>
  </si>
  <si>
    <t>Close</t>
  </si>
  <si>
    <t>Adj Close</t>
  </si>
  <si>
    <t>Volume</t>
  </si>
  <si>
    <t>Table 7.3 :   Discount Window and Liquidity Adjustment Window rates</t>
  </si>
  <si>
    <r>
      <t xml:space="preserve">    </t>
    </r>
    <r>
      <rPr>
        <b/>
        <sz val="14"/>
        <rFont val="新細明體"/>
        <family val="1"/>
        <charset val="136"/>
      </rPr>
      <t>貼現窗及流動資金調節窗利率</t>
    </r>
  </si>
  <si>
    <t>Table 7.3.1 :   End of period figures</t>
  </si>
  <si>
    <t>(percent per annum)</t>
  </si>
  <si>
    <r>
      <t xml:space="preserve">         </t>
    </r>
    <r>
      <rPr>
        <sz val="10"/>
        <rFont val="新細明體"/>
        <family val="1"/>
        <charset val="136"/>
      </rPr>
      <t>期末數字</t>
    </r>
  </si>
  <si>
    <r>
      <t>(</t>
    </r>
    <r>
      <rPr>
        <sz val="10"/>
        <rFont val="新細明體"/>
        <family val="1"/>
        <charset val="136"/>
      </rPr>
      <t>年率</t>
    </r>
    <r>
      <rPr>
        <sz val="10"/>
        <rFont val="Times New Roman"/>
        <family val="1"/>
      </rPr>
      <t>)</t>
    </r>
  </si>
  <si>
    <t>Liquidity Adjustment</t>
  </si>
  <si>
    <t>Discount Window</t>
  </si>
  <si>
    <t>1-month</t>
  </si>
  <si>
    <t>Facility bid rate</t>
  </si>
  <si>
    <t>Base Rate</t>
  </si>
  <si>
    <t>Overnight HIBOR</t>
  </si>
  <si>
    <t>HIBOR fixing</t>
  </si>
  <si>
    <t>Window offer rate</t>
  </si>
  <si>
    <t>流動資金調節機制</t>
  </si>
  <si>
    <t>貼現窗</t>
  </si>
  <si>
    <t>隔夜香港銀行</t>
  </si>
  <si>
    <r>
      <t>1</t>
    </r>
    <r>
      <rPr>
        <sz val="10"/>
        <rFont val="新細明體"/>
        <family val="1"/>
        <charset val="136"/>
      </rPr>
      <t>個月香港銀行</t>
    </r>
  </si>
  <si>
    <t>流動資金調節窗</t>
  </si>
  <si>
    <t>借入利率</t>
  </si>
  <si>
    <t>基本利率</t>
  </si>
  <si>
    <t>同業拆出利率</t>
  </si>
  <si>
    <t>同業拆息定價</t>
  </si>
  <si>
    <t>拆出利率</t>
  </si>
  <si>
    <t>Jun</t>
  </si>
  <si>
    <r>
      <t>6</t>
    </r>
    <r>
      <rPr>
        <sz val="10"/>
        <rFont val="細明體"/>
        <family val="3"/>
        <charset val="136"/>
      </rPr>
      <t>月</t>
    </r>
    <r>
      <rPr>
        <sz val="10"/>
        <rFont val="Arial"/>
        <family val="2"/>
      </rPr>
      <t/>
    </r>
  </si>
  <si>
    <t>-</t>
  </si>
  <si>
    <t>Jul</t>
  </si>
  <si>
    <r>
      <t>7</t>
    </r>
    <r>
      <rPr>
        <sz val="10"/>
        <rFont val="細明體"/>
        <family val="3"/>
        <charset val="136"/>
      </rPr>
      <t>月</t>
    </r>
    <r>
      <rPr>
        <sz val="10"/>
        <rFont val="Arial"/>
        <family val="2"/>
      </rPr>
      <t/>
    </r>
  </si>
  <si>
    <t>Aug</t>
  </si>
  <si>
    <r>
      <t>8</t>
    </r>
    <r>
      <rPr>
        <sz val="10"/>
        <rFont val="細明體"/>
        <family val="3"/>
        <charset val="136"/>
      </rPr>
      <t>月</t>
    </r>
    <r>
      <rPr>
        <sz val="10"/>
        <rFont val="Arial"/>
        <family val="2"/>
      </rPr>
      <t/>
    </r>
  </si>
  <si>
    <t>Sep</t>
  </si>
  <si>
    <r>
      <t>9</t>
    </r>
    <r>
      <rPr>
        <sz val="10"/>
        <rFont val="細明體"/>
        <family val="3"/>
        <charset val="136"/>
      </rPr>
      <t>月</t>
    </r>
    <r>
      <rPr>
        <sz val="10"/>
        <rFont val="Arial"/>
        <family val="2"/>
      </rPr>
      <t/>
    </r>
  </si>
  <si>
    <t>Oct</t>
  </si>
  <si>
    <r>
      <t>10</t>
    </r>
    <r>
      <rPr>
        <sz val="10"/>
        <rFont val="細明體"/>
        <family val="3"/>
        <charset val="136"/>
      </rPr>
      <t>月</t>
    </r>
    <r>
      <rPr>
        <sz val="10"/>
        <rFont val="Arial"/>
        <family val="2"/>
      </rPr>
      <t/>
    </r>
  </si>
  <si>
    <t>Nov</t>
  </si>
  <si>
    <r>
      <t>11</t>
    </r>
    <r>
      <rPr>
        <sz val="10"/>
        <rFont val="細明體"/>
        <family val="3"/>
        <charset val="136"/>
      </rPr>
      <t>月</t>
    </r>
    <r>
      <rPr>
        <sz val="10"/>
        <rFont val="Arial"/>
        <family val="2"/>
      </rPr>
      <t/>
    </r>
  </si>
  <si>
    <t>Dec</t>
  </si>
  <si>
    <r>
      <t>12</t>
    </r>
    <r>
      <rPr>
        <sz val="10"/>
        <rFont val="細明體"/>
        <family val="3"/>
        <charset val="136"/>
      </rPr>
      <t>月</t>
    </r>
    <r>
      <rPr>
        <sz val="10"/>
        <rFont val="Arial"/>
        <family val="2"/>
      </rPr>
      <t/>
    </r>
  </si>
  <si>
    <t>Jan</t>
  </si>
  <si>
    <r>
      <t>1</t>
    </r>
    <r>
      <rPr>
        <sz val="10"/>
        <rFont val="新細明體"/>
        <family val="1"/>
        <charset val="136"/>
      </rPr>
      <t>月</t>
    </r>
  </si>
  <si>
    <t>Feb</t>
  </si>
  <si>
    <r>
      <t>2</t>
    </r>
    <r>
      <rPr>
        <sz val="10"/>
        <rFont val="新細明體"/>
        <family val="1"/>
        <charset val="136"/>
      </rPr>
      <t>月</t>
    </r>
  </si>
  <si>
    <t>Mar</t>
  </si>
  <si>
    <r>
      <t>3</t>
    </r>
    <r>
      <rPr>
        <sz val="10"/>
        <rFont val="細明體"/>
        <family val="3"/>
        <charset val="136"/>
      </rPr>
      <t>月</t>
    </r>
    <r>
      <rPr>
        <sz val="10"/>
        <rFont val="Arial"/>
        <family val="2"/>
      </rPr>
      <t/>
    </r>
  </si>
  <si>
    <t>Apr</t>
  </si>
  <si>
    <r>
      <t>4</t>
    </r>
    <r>
      <rPr>
        <sz val="10"/>
        <rFont val="細明體"/>
        <family val="3"/>
        <charset val="136"/>
      </rPr>
      <t>月</t>
    </r>
    <r>
      <rPr>
        <sz val="10"/>
        <rFont val="Arial"/>
        <family val="2"/>
      </rPr>
      <t/>
    </r>
  </si>
  <si>
    <t>May</t>
  </si>
  <si>
    <r>
      <t>5</t>
    </r>
    <r>
      <rPr>
        <sz val="10"/>
        <rFont val="細明體"/>
        <family val="3"/>
        <charset val="136"/>
      </rPr>
      <t>月</t>
    </r>
    <r>
      <rPr>
        <sz val="10"/>
        <rFont val="Arial"/>
        <family val="2"/>
      </rPr>
      <t/>
    </r>
  </si>
  <si>
    <t>1998</t>
  </si>
  <si>
    <t>1999</t>
  </si>
  <si>
    <t xml:space="preserve">                                                   -</t>
  </si>
  <si>
    <t>2000</t>
  </si>
  <si>
    <t>2002</t>
  </si>
  <si>
    <t>2003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</si>
  <si>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</si>
  <si>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</si>
  <si>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</si>
  <si>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</si>
  <si>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</si>
  <si>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</si>
  <si>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</si>
  <si>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</si>
  <si>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</si>
  <si>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</si>
  <si>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</si>
  <si>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2004</t>
  </si>
  <si>
    <t>2005</t>
  </si>
  <si>
    <r>
      <t>3</t>
    </r>
    <r>
      <rPr>
        <sz val="10"/>
        <rFont val="新細明體"/>
        <family val="1"/>
        <charset val="136"/>
      </rPr>
      <t>月</t>
    </r>
  </si>
  <si>
    <r>
      <t>4月</t>
    </r>
    <r>
      <rPr>
        <sz val="10"/>
        <rFont val="新細明體"/>
        <family val="1"/>
        <charset val="136"/>
      </rPr>
      <t/>
    </r>
  </si>
  <si>
    <r>
      <t>5月</t>
    </r>
    <r>
      <rPr>
        <sz val="10"/>
        <rFont val="新細明體"/>
        <family val="1"/>
        <charset val="136"/>
      </rPr>
      <t/>
    </r>
  </si>
  <si>
    <r>
      <t>2月</t>
    </r>
    <r>
      <rPr>
        <sz val="10"/>
        <rFont val="新細明體"/>
        <family val="1"/>
        <charset val="136"/>
      </rPr>
      <t/>
    </r>
  </si>
  <si>
    <r>
      <t>3月</t>
    </r>
    <r>
      <rPr>
        <sz val="10"/>
        <rFont val="新細明體"/>
        <family val="1"/>
        <charset val="136"/>
      </rPr>
      <t/>
    </r>
  </si>
  <si>
    <r>
      <t>6月</t>
    </r>
    <r>
      <rPr>
        <sz val="10"/>
        <rFont val="新細明體"/>
        <family val="1"/>
        <charset val="136"/>
      </rPr>
      <t/>
    </r>
  </si>
  <si>
    <r>
      <t>7月</t>
    </r>
    <r>
      <rPr>
        <sz val="10"/>
        <rFont val="新細明體"/>
        <family val="1"/>
        <charset val="136"/>
      </rPr>
      <t/>
    </r>
  </si>
  <si>
    <r>
      <t>8月</t>
    </r>
    <r>
      <rPr>
        <sz val="10"/>
        <rFont val="新細明體"/>
        <family val="1"/>
        <charset val="136"/>
      </rPr>
      <t/>
    </r>
  </si>
  <si>
    <r>
      <t>9月</t>
    </r>
    <r>
      <rPr>
        <sz val="10"/>
        <rFont val="新細明體"/>
        <family val="1"/>
        <charset val="136"/>
      </rPr>
      <t/>
    </r>
  </si>
  <si>
    <r>
      <t>10月</t>
    </r>
    <r>
      <rPr>
        <sz val="10"/>
        <rFont val="新細明體"/>
        <family val="1"/>
        <charset val="136"/>
      </rPr>
      <t/>
    </r>
  </si>
  <si>
    <r>
      <t>11月</t>
    </r>
    <r>
      <rPr>
        <sz val="10"/>
        <rFont val="新細明體"/>
        <family val="1"/>
        <charset val="136"/>
      </rPr>
      <t/>
    </r>
  </si>
  <si>
    <r>
      <t>12月</t>
    </r>
    <r>
      <rPr>
        <sz val="10"/>
        <rFont val="新細明體"/>
        <family val="1"/>
        <charset val="136"/>
      </rPr>
      <t/>
    </r>
  </si>
  <si>
    <t>1月</t>
  </si>
  <si>
    <t>2021</t>
  </si>
  <si>
    <t>Year</t>
  </si>
  <si>
    <t>Overnight HIBOR (Constant within month)</t>
  </si>
  <si>
    <t>Overnight HIBOR (T7.3.1)</t>
  </si>
  <si>
    <t>Risk free rate (One month lagged)</t>
  </si>
  <si>
    <t>Future</t>
  </si>
  <si>
    <t>Output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</si>
  <si>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</si>
  <si>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</si>
  <si>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</si>
  <si>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</si>
  <si>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</si>
  <si>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</si>
  <si>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</si>
  <si>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</si>
  <si>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</si>
  <si>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</si>
  <si>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</si>
  <si>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</si>
  <si>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</si>
  <si>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</si>
  <si>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</si>
  <si>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</si>
  <si>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</si>
  <si>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</si>
  <si>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</si>
  <si>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</si>
  <si>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Simulated CAF excess returns</t>
  </si>
  <si>
    <t>Simulated CAF prices</t>
  </si>
  <si>
    <t xml:space="preserve">!! Data Table won't work if we </t>
  </si>
  <si>
    <t>don't add "Application.Volatile"</t>
  </si>
  <si>
    <t>in VBA function "simfactor"</t>
  </si>
  <si>
    <t>Initial stock price</t>
  </si>
  <si>
    <t>Drift term</t>
  </si>
  <si>
    <t>Volatility</t>
  </si>
  <si>
    <t>Stock Price</t>
  </si>
  <si>
    <t>Epsilon Shock (fixed)</t>
  </si>
  <si>
    <t>Time increment (Month)</t>
  </si>
  <si>
    <t>Time (T) (Annual)</t>
  </si>
  <si>
    <t>Month number</t>
  </si>
  <si>
    <t>Simulate Stock Prices Every Month</t>
  </si>
  <si>
    <t>we can specify different values of drift term, and use Data Table function to generate new stock prices immediately.</t>
  </si>
  <si>
    <t>Drift</t>
  </si>
  <si>
    <t>Year-end stock price</t>
  </si>
  <si>
    <t>&lt;-- Baseline calibration</t>
  </si>
  <si>
    <t>One-Variable Data Table: change drift value</t>
  </si>
  <si>
    <t>Instruction:</t>
  </si>
  <si>
    <t>2. Go to next column and enter the original output of year-end stock price (=C21) in cell F10.</t>
  </si>
  <si>
    <t>1. Enter new values of drift term in range E11:E19.</t>
  </si>
  <si>
    <t>3. Select range E10:F19, then go to tab Data --&gt; What-If Analysis --&gt; Data Table</t>
  </si>
  <si>
    <t>4. In the dialog window, enter $B$5 in "Column Input Cell". $B$5 is the original value of drift term.</t>
  </si>
  <si>
    <t xml:space="preserve"> "Column Input Cell" means that you entered new values of $B$5 in a column (E11:E19).</t>
  </si>
  <si>
    <t>Excel knows that you wish to replace value in $B$5 with values in E11:E19 in formula that</t>
  </si>
  <si>
    <t>generated the output in cell C21.</t>
  </si>
  <si>
    <t xml:space="preserve">5. New outputs of C21 are reported in F11:F19. </t>
  </si>
  <si>
    <t>Note: Data Table is an array function. Although when you select the output range,</t>
  </si>
  <si>
    <t xml:space="preserve"> "=TABLE(,B5)" is the formula in the formula bar, you cannot directly type this function to get results.</t>
  </si>
  <si>
    <t xml:space="preserve">You must use Data Table function button in the ribbon. </t>
  </si>
  <si>
    <t>1. Enter new values of drift term in range G11:O21.</t>
  </si>
  <si>
    <t>2. Go to next row and enter the original output of year-end stock price (=C21) in cell F22.</t>
  </si>
  <si>
    <t>3. Select range F21:O22, then go to tab Data --&gt; What-If Analysis --&gt; Data Table</t>
  </si>
  <si>
    <t>4. In the dialog window, enter $B$5 in "Row Input Cell". $B$5 is the original value of drift term.</t>
  </si>
  <si>
    <t xml:space="preserve"> "Row Input Cell" means that you entered new values of $B$5 in a row (G21:O21).</t>
  </si>
  <si>
    <t>Excel knows that you wish to replace value in $B$5 with values in G21:O21 in formula that</t>
  </si>
  <si>
    <t xml:space="preserve">5. New outputs of C21 are reported in G22:O22. </t>
  </si>
  <si>
    <t>Two-Variable Data Table: change drift and volatility value</t>
  </si>
  <si>
    <t>&lt;-- Volatility</t>
  </si>
  <si>
    <t>Drift --&gt;</t>
  </si>
  <si>
    <t>Output cell --&gt;</t>
  </si>
  <si>
    <t>1. Enter new values of drift term in range E36:E44, new value of volatility in F35:J35.</t>
  </si>
  <si>
    <t>2. In intersection cell E35, enter the original output of year-end stock price (=C21).</t>
  </si>
  <si>
    <t>3. Select range E35:J44, then go to tab Data --&gt; What-If Analysis --&gt; Data Table</t>
  </si>
  <si>
    <t>4. In the dialog window, enter $B$6 in "Row Input Cell" and $B$5 in "Column Input Cell".</t>
  </si>
  <si>
    <t xml:space="preserve">Excel knows that you wish to replace value in $B$6 with values in F35:J35 and replace value in $B$5 </t>
  </si>
  <si>
    <t xml:space="preserve">with value in E36:E44 to recalculate output in C21. </t>
  </si>
  <si>
    <t xml:space="preserve">5. New outputs of C21 are reported in F36:J44. </t>
  </si>
  <si>
    <t>Assume that the realized ε shocks are fixed. If I want to know how the average return (drift) affects year-end stock price (in cell C21),</t>
  </si>
  <si>
    <t>2022</t>
  </si>
  <si>
    <t>2023</t>
  </si>
  <si>
    <t>YearMonth - 1</t>
  </si>
  <si>
    <t>HSI 
Log Excess Return</t>
  </si>
  <si>
    <t>Day 21</t>
  </si>
  <si>
    <t>Day 22</t>
  </si>
  <si>
    <t>CAF
Log Excess Return</t>
  </si>
  <si>
    <t>Parameter Estimation:</t>
  </si>
  <si>
    <t>Sigma_e</t>
  </si>
  <si>
    <t>Mean(Mkt)</t>
  </si>
  <si>
    <t>SD(Mkt)</t>
  </si>
  <si>
    <t>Simulated
Firm-specific shock e</t>
  </si>
  <si>
    <t>Simulated 
CAF excess returns</t>
  </si>
  <si>
    <t>Simulated
HSI excess returns</t>
  </si>
  <si>
    <t>Simulated 
CAF Prices</t>
  </si>
  <si>
    <t>Day 0</t>
  </si>
  <si>
    <t>risk-free rate</t>
  </si>
  <si>
    <t>(to calculate stock price)</t>
  </si>
  <si>
    <r>
      <t xml:space="preserve">Simulated CAF month-end (22th day's) prices. Use </t>
    </r>
    <r>
      <rPr>
        <b/>
        <sz val="11"/>
        <color rgb="FFFF0000"/>
        <rFont val="Calibri"/>
        <family val="2"/>
      </rPr>
      <t>Data Table</t>
    </r>
  </si>
  <si>
    <r>
      <t xml:space="preserve">Simulate stock price using VBA function </t>
    </r>
    <r>
      <rPr>
        <b/>
        <sz val="14"/>
        <color theme="1"/>
        <rFont val="Courier New"/>
        <family val="3"/>
      </rPr>
      <t>Simfactor</t>
    </r>
  </si>
  <si>
    <r>
      <t>Input List of S</t>
    </r>
    <r>
      <rPr>
        <b/>
        <sz val="11"/>
        <color rgb="FFFF0000"/>
        <rFont val="Courier New"/>
        <family val="3"/>
      </rPr>
      <t>imfactor</t>
    </r>
    <r>
      <rPr>
        <b/>
        <sz val="11"/>
        <color rgb="FFFF0000"/>
        <rFont val="Calibri"/>
        <family val="2"/>
      </rPr>
      <t xml:space="preserve"> function:</t>
    </r>
  </si>
  <si>
    <t>Simulation of CAF month-end (22-days-later) prices</t>
  </si>
  <si>
    <t>2024</t>
  </si>
  <si>
    <t>Initial stock price</t>
    <phoneticPr fontId="30" type="noConversion"/>
  </si>
  <si>
    <t>Simulations (Input)</t>
  </si>
  <si>
    <t>Simulations (Input)</t>
    <phoneticPr fontId="30" type="noConversion"/>
  </si>
  <si>
    <t>(on 2024-10-30)</t>
    <phoneticPr fontId="30" type="noConversion"/>
  </si>
  <si>
    <t>Simulate stock prices 22 days later for 10000 times</t>
    <phoneticPr fontId="33" type="noConversion"/>
  </si>
  <si>
    <t>Simulation #</t>
    <phoneticPr fontId="33" type="noConversion"/>
  </si>
  <si>
    <r>
      <t>Input List of</t>
    </r>
    <r>
      <rPr>
        <b/>
        <sz val="11"/>
        <color rgb="FFFF0000"/>
        <rFont val="Courier New"/>
        <family val="3"/>
      </rPr>
      <t xml:space="preserve"> Factor_mcm</t>
    </r>
    <r>
      <rPr>
        <b/>
        <sz val="11"/>
        <color rgb="FFFF0000"/>
        <rFont val="Calibri"/>
        <family val="2"/>
      </rPr>
      <t>:</t>
    </r>
    <phoneticPr fontId="33" type="noConversion"/>
  </si>
  <si>
    <r>
      <t xml:space="preserve">Simulate stock price using VBA sub procedure </t>
    </r>
    <r>
      <rPr>
        <b/>
        <sz val="14"/>
        <color theme="1"/>
        <rFont val="Courier New"/>
        <family val="3"/>
      </rPr>
      <t>Factor_mcm</t>
    </r>
    <phoneticPr fontId="33" type="noConversion"/>
  </si>
  <si>
    <t>Position</t>
  </si>
  <si>
    <t>Bootstrapped position</t>
  </si>
  <si>
    <t>Bootstrapped HSI</t>
  </si>
  <si>
    <t>standard deviation</t>
  </si>
  <si>
    <t>skewness</t>
  </si>
  <si>
    <t>Bootstrapped residuals</t>
  </si>
  <si>
    <t>CAF price</t>
  </si>
  <si>
    <t>Simulation of CAF month-end prices</t>
  </si>
  <si>
    <r>
      <t xml:space="preserve">Summary statistics of </t>
    </r>
    <r>
      <rPr>
        <b/>
        <sz val="11"/>
        <color rgb="FFFF0000"/>
        <rFont val="Calibri"/>
        <family val="2"/>
      </rPr>
      <t xml:space="preserve">bootstrapped </t>
    </r>
    <r>
      <rPr>
        <b/>
        <sz val="11"/>
        <color theme="1"/>
        <rFont val="Calibri"/>
        <family val="2"/>
      </rPr>
      <t>firm-specific shock:</t>
    </r>
  </si>
  <si>
    <r>
      <t>Simulate stock price using</t>
    </r>
    <r>
      <rPr>
        <b/>
        <sz val="14"/>
        <color rgb="FFFF0000"/>
        <rFont val="Calibri"/>
        <family val="2"/>
      </rPr>
      <t xml:space="preserve"> bootstrapping</t>
    </r>
    <r>
      <rPr>
        <b/>
        <sz val="14"/>
        <color theme="1"/>
        <rFont val="Calibri"/>
        <family val="2"/>
      </rPr>
      <t xml:space="preserve"> method</t>
    </r>
    <phoneticPr fontId="33" type="noConversion"/>
  </si>
  <si>
    <t>Use Excel functions: RANDBETWEEN, INDEX</t>
    <phoneticPr fontId="33" type="noConversion"/>
  </si>
  <si>
    <r>
      <t>Simulate stock price using</t>
    </r>
    <r>
      <rPr>
        <b/>
        <sz val="14"/>
        <color rgb="FFFF0000"/>
        <rFont val="Calibri"/>
        <family val="2"/>
      </rPr>
      <t xml:space="preserve"> Monte Carlo method</t>
    </r>
    <phoneticPr fontId="33" type="noConversion"/>
  </si>
  <si>
    <t>Formula in L25</t>
    <phoneticPr fontId="30" type="noConversion"/>
  </si>
  <si>
    <t>Formula in M25</t>
    <phoneticPr fontId="30" type="noConversion"/>
  </si>
  <si>
    <t>Formula in N25</t>
    <phoneticPr fontId="30" type="noConversion"/>
  </si>
  <si>
    <r>
      <t xml:space="preserve">Summary statistics of </t>
    </r>
    <r>
      <rPr>
        <b/>
        <sz val="11"/>
        <color rgb="FFFF0000"/>
        <rFont val="Calibri"/>
        <family val="2"/>
      </rPr>
      <t xml:space="preserve">historical </t>
    </r>
    <r>
      <rPr>
        <b/>
        <sz val="11"/>
        <color theme="1"/>
        <rFont val="Calibri"/>
        <family val="2"/>
      </rPr>
      <t>firm-specific shock:</t>
    </r>
    <phoneticPr fontId="33" type="noConversion"/>
  </si>
  <si>
    <t>Residuals
(firm-specific shock)</t>
    <phoneticPr fontId="33" type="noConversion"/>
  </si>
  <si>
    <t>Bootstrapping simulation of CAF price</t>
    <phoneticPr fontId="33" type="noConversion"/>
  </si>
  <si>
    <t>CAF 
excess return</t>
    <phoneticPr fontId="33" type="noConversion"/>
  </si>
  <si>
    <t>Formula in T4</t>
    <phoneticPr fontId="33" type="noConversion"/>
  </si>
  <si>
    <t>Formula in U4</t>
    <phoneticPr fontId="33" type="noConversion"/>
  </si>
  <si>
    <t>Formula in V4</t>
    <phoneticPr fontId="33" type="noConversion"/>
  </si>
  <si>
    <t>Formula in W4</t>
    <phoneticPr fontId="33" type="noConversion"/>
  </si>
  <si>
    <r>
      <t xml:space="preserve">Simulate stock price using VBA sub procedure </t>
    </r>
    <r>
      <rPr>
        <b/>
        <sz val="14"/>
        <color theme="1"/>
        <rFont val="Courier New"/>
        <family val="3"/>
      </rPr>
      <t>Factor_bootstrap</t>
    </r>
    <phoneticPr fontId="33" type="noConversion"/>
  </si>
  <si>
    <r>
      <t>Input List of</t>
    </r>
    <r>
      <rPr>
        <b/>
        <sz val="11"/>
        <color rgb="FFFF0000"/>
        <rFont val="Courier New"/>
        <family val="3"/>
      </rPr>
      <t xml:space="preserve"> Factor_bootstrap</t>
    </r>
    <r>
      <rPr>
        <b/>
        <sz val="11"/>
        <color rgb="FFFF0000"/>
        <rFont val="Calibri"/>
        <family val="2"/>
      </rPr>
      <t>:</t>
    </r>
    <phoneticPr fontId="33" type="noConversion"/>
  </si>
  <si>
    <t>Jun</t>
    <phoneticPr fontId="13" type="noConversion"/>
  </si>
  <si>
    <t>Jul</t>
    <phoneticPr fontId="13" type="noConversion"/>
  </si>
  <si>
    <t>2006</t>
    <phoneticPr fontId="13" type="noConversion"/>
  </si>
  <si>
    <t>2007</t>
    <phoneticPr fontId="13" type="noConversion"/>
  </si>
  <si>
    <t>Jan</t>
    <phoneticPr fontId="13" type="noConversion"/>
  </si>
  <si>
    <r>
      <t>1</t>
    </r>
    <r>
      <rPr>
        <sz val="10"/>
        <rFont val="細明體"/>
        <family val="3"/>
        <charset val="136"/>
      </rPr>
      <t>月</t>
    </r>
    <r>
      <rPr>
        <sz val="10"/>
        <rFont val="新細明體"/>
        <family val="1"/>
        <charset val="136"/>
      </rPr>
      <t/>
    </r>
  </si>
  <si>
    <t>2008</t>
    <phoneticPr fontId="13" type="noConversion"/>
  </si>
  <si>
    <t>2009</t>
    <phoneticPr fontId="13" type="noConversion"/>
  </si>
  <si>
    <t>2010</t>
    <phoneticPr fontId="13" type="noConversion"/>
  </si>
  <si>
    <t>2011</t>
    <phoneticPr fontId="13" type="noConversion"/>
  </si>
  <si>
    <t>2012</t>
    <phoneticPr fontId="13" type="noConversion"/>
  </si>
  <si>
    <t>-</t>
    <phoneticPr fontId="13" type="noConversion"/>
  </si>
  <si>
    <t>2013</t>
    <phoneticPr fontId="13" type="noConversion"/>
  </si>
  <si>
    <t>2014</t>
    <phoneticPr fontId="13" type="noConversion"/>
  </si>
  <si>
    <t>2015</t>
    <phoneticPr fontId="13" type="noConversion"/>
  </si>
  <si>
    <t>2016</t>
    <phoneticPr fontId="13" type="noConversion"/>
  </si>
  <si>
    <t>2017</t>
    <phoneticPr fontId="13" type="noConversion"/>
  </si>
  <si>
    <t>2018</t>
    <phoneticPr fontId="13" type="noConversion"/>
  </si>
  <si>
    <t>2019</t>
    <phoneticPr fontId="13" type="noConversion"/>
  </si>
  <si>
    <t>2020</t>
    <phoneticPr fontId="13" type="noConversion"/>
  </si>
  <si>
    <t>China Mobile (0941.HK) AND China Unicom (0762.HK)
Portfolio</t>
  </si>
  <si>
    <t>Monthly statistics</t>
  </si>
  <si>
    <t>Mobile</t>
  </si>
  <si>
    <t>Unicom</t>
  </si>
  <si>
    <t>Average</t>
  </si>
  <si>
    <t>Standard deviation</t>
  </si>
  <si>
    <t>Covariance</t>
  </si>
  <si>
    <t>Correlation</t>
  </si>
  <si>
    <t>Portfolio calculations</t>
  </si>
  <si>
    <t>Proportion of Mobile</t>
  </si>
  <si>
    <t>Proportion of Unicom</t>
  </si>
  <si>
    <t>Portfolio mean return</t>
  </si>
  <si>
    <t>Portfolio standard deviation</t>
  </si>
  <si>
    <t>SD</t>
  </si>
  <si>
    <t>Mean</t>
  </si>
  <si>
    <t>Varying the proportion of Mobile. Use Data Table to recalculate SD and 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</si>
</sst>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"/>
    <numFmt numFmtId="166" formatCode="0.00_)"/>
    <numFmt numFmtId="167" formatCode="0.00\)"/>
    <numFmt numFmtId="168" formatCode="###0_);\(###0\);_(&quot;&quot;_)"/>
    <numFmt numFmtId="169" formatCode="#,##0;[Red]\-#,##0;_(&quot;&quot;_)"/>
    <numFmt numFmtId="170" formatCode="0.000"/>
    <numFmt numFmtId="171" formatCode="0.000_)"/>
    <numFmt numFmtId="172" formatCode="0.0000_)"/>
    <numFmt numFmtId="173" formatCode="0.00000_)"/>
    <numFmt numFmtId="174" formatCode="0.00_ "/>
    <numFmt numFmtId="175" formatCode="0.000_ "/>
    <numFmt numFmtId="176" formatCode="0.00000%"/>
    <numFmt numFmtId="177" formatCode="0.000000"/>
    <numFmt numFmtId="178" formatCode="0.0000_ "/>
    <numFmt numFmtId="179" formatCode="0.0"/>
  </numFmts>
  <fonts count="38">
    <font>
      <sz val="10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新細明體"/>
      <family val="1"/>
      <charset val="136"/>
    </font>
    <font>
      <sz val="10"/>
      <name val="Times New Roman"/>
      <family val="1"/>
    </font>
    <font>
      <sz val="10"/>
      <name val="新細明體"/>
      <family val="1"/>
      <charset val="136"/>
    </font>
    <font>
      <u/>
      <sz val="8"/>
      <color indexed="12"/>
      <name val="Arial"/>
      <family val="2"/>
    </font>
    <font>
      <u/>
      <sz val="10"/>
      <color indexed="12"/>
      <name val="Times New Roman"/>
      <family val="1"/>
    </font>
    <font>
      <u/>
      <sz val="10"/>
      <color indexed="12"/>
      <name val="新細明體"/>
      <family val="1"/>
      <charset val="136"/>
    </font>
    <font>
      <sz val="10"/>
      <name val="細明體"/>
      <family val="3"/>
      <charset val="136"/>
    </font>
    <font>
      <vertAlign val="superscript"/>
      <sz val="8"/>
      <name val="Times New Roman"/>
      <family val="1"/>
    </font>
    <font>
      <sz val="8"/>
      <name val="Times New Roman"/>
      <family val="1"/>
    </font>
    <font>
      <sz val="12"/>
      <name val="Times New Roman"/>
      <family val="1"/>
    </font>
    <font>
      <b/>
      <sz val="11"/>
      <color theme="1"/>
      <name val="Calibri"/>
      <family val="2"/>
    </font>
    <font>
      <b/>
      <sz val="11"/>
      <color rgb="FF0070C0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4"/>
      <color theme="1"/>
      <name val="Calibri"/>
      <family val="2"/>
    </font>
    <font>
      <b/>
      <sz val="10"/>
      <color indexed="12"/>
      <name val="Calibri"/>
      <family val="2"/>
    </font>
    <font>
      <sz val="10"/>
      <color indexed="12"/>
      <name val="Calibri"/>
      <family val="2"/>
    </font>
    <font>
      <b/>
      <sz val="14"/>
      <name val="Calibri"/>
      <family val="2"/>
    </font>
    <font>
      <b/>
      <sz val="11"/>
      <color theme="8" tint="-0.249977111117893"/>
      <name val="Calibri"/>
      <family val="2"/>
    </font>
    <font>
      <sz val="8"/>
      <name val="Arial"/>
      <family val="2"/>
    </font>
    <font>
      <b/>
      <sz val="11"/>
      <color rgb="FFFF0000"/>
      <name val="Courier New"/>
      <family val="3"/>
    </font>
    <font>
      <b/>
      <sz val="14"/>
      <color theme="1"/>
      <name val="Courier New"/>
      <family val="3"/>
    </font>
    <font>
      <sz val="9"/>
      <name val="DengXian"/>
      <family val="3"/>
      <charset val="134"/>
    </font>
    <font>
      <sz val="11"/>
      <color rgb="FF000000"/>
      <name val="Calibri"/>
      <family val="2"/>
      <charset val="134"/>
    </font>
    <font>
      <sz val="14"/>
      <name val="Calibri"/>
      <family val="2"/>
    </font>
    <font>
      <b/>
      <sz val="14"/>
      <color rgb="FFFF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3" fillId="0" borderId="0"/>
    <xf numFmtId="0" fontId="14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34">
    <xf numFmtId="0" fontId="0" fillId="0" borderId="0" xfId="0"/>
    <xf numFmtId="0" fontId="6" fillId="0" borderId="0" xfId="2" applyFont="1" applyAlignment="1">
      <alignment horizontal="left"/>
    </xf>
    <xf numFmtId="0" fontId="7" fillId="0" borderId="0" xfId="2" applyFont="1"/>
    <xf numFmtId="0" fontId="8" fillId="0" borderId="0" xfId="2" applyFont="1"/>
    <xf numFmtId="0" fontId="21" fillId="0" borderId="0" xfId="2" applyFont="1" applyAlignment="1">
      <alignment horizontal="center" wrapText="1"/>
    </xf>
    <xf numFmtId="0" fontId="21" fillId="0" borderId="0" xfId="2" applyFont="1" applyAlignment="1">
      <alignment horizontal="left"/>
    </xf>
    <xf numFmtId="0" fontId="21" fillId="0" borderId="0" xfId="2" applyFont="1"/>
    <xf numFmtId="0" fontId="8" fillId="0" borderId="0" xfId="2" applyFont="1" applyAlignment="1">
      <alignment horizontal="right"/>
    </xf>
    <xf numFmtId="165" fontId="22" fillId="0" borderId="0" xfId="2" applyNumberFormat="1" applyFont="1"/>
    <xf numFmtId="0" fontId="21" fillId="0" borderId="0" xfId="2" applyFont="1" applyAlignment="1">
      <alignment horizontal="left" wrapText="1"/>
    </xf>
    <xf numFmtId="165" fontId="8" fillId="0" borderId="0" xfId="2" applyNumberFormat="1" applyFont="1"/>
    <xf numFmtId="2" fontId="8" fillId="0" borderId="0" xfId="2" applyNumberFormat="1" applyFont="1"/>
    <xf numFmtId="170" fontId="8" fillId="4" borderId="0" xfId="2" applyNumberFormat="1" applyFont="1" applyFill="1"/>
    <xf numFmtId="164" fontId="8" fillId="4" borderId="0" xfId="2" applyNumberFormat="1" applyFont="1" applyFill="1"/>
    <xf numFmtId="0" fontId="23" fillId="0" borderId="0" xfId="2" applyFont="1"/>
    <xf numFmtId="0" fontId="24" fillId="0" borderId="0" xfId="2" applyFont="1"/>
    <xf numFmtId="170" fontId="8" fillId="0" borderId="0" xfId="2" applyNumberFormat="1" applyFont="1"/>
    <xf numFmtId="164" fontId="8" fillId="0" borderId="0" xfId="2" applyNumberFormat="1" applyFont="1"/>
    <xf numFmtId="0" fontId="25" fillId="0" borderId="0" xfId="2" applyFont="1"/>
    <xf numFmtId="0" fontId="2" fillId="0" borderId="0" xfId="2" applyFont="1"/>
    <xf numFmtId="14" fontId="2" fillId="0" borderId="0" xfId="2" applyNumberFormat="1" applyFont="1"/>
    <xf numFmtId="170" fontId="2" fillId="0" borderId="0" xfId="2" applyNumberFormat="1" applyFont="1"/>
    <xf numFmtId="0" fontId="2" fillId="0" borderId="0" xfId="2" applyFont="1" applyAlignment="1">
      <alignment horizontal="right"/>
    </xf>
    <xf numFmtId="165" fontId="2" fillId="0" borderId="0" xfId="2" applyNumberFormat="1" applyFont="1" applyAlignment="1">
      <alignment horizontal="right"/>
    </xf>
    <xf numFmtId="165" fontId="2" fillId="0" borderId="0" xfId="2" applyNumberFormat="1" applyFont="1"/>
    <xf numFmtId="164" fontId="2" fillId="4" borderId="0" xfId="2" applyNumberFormat="1" applyFont="1" applyFill="1"/>
    <xf numFmtId="0" fontId="26" fillId="2" borderId="0" xfId="2" quotePrefix="1" applyFont="1" applyFill="1" applyAlignment="1">
      <alignment horizontal="left"/>
    </xf>
    <xf numFmtId="0" fontId="2" fillId="2" borderId="0" xfId="2" applyFont="1" applyFill="1"/>
    <xf numFmtId="0" fontId="27" fillId="2" borderId="0" xfId="2" applyFont="1" applyFill="1"/>
    <xf numFmtId="164" fontId="2" fillId="0" borderId="0" xfId="2" applyNumberFormat="1" applyFont="1"/>
    <xf numFmtId="1" fontId="2" fillId="0" borderId="0" xfId="2" applyNumberFormat="1" applyFont="1"/>
    <xf numFmtId="0" fontId="28" fillId="0" borderId="0" xfId="0" applyFont="1"/>
    <xf numFmtId="0" fontId="7" fillId="0" borderId="0" xfId="0" applyFont="1"/>
    <xf numFmtId="0" fontId="2" fillId="0" borderId="0" xfId="0" applyFont="1"/>
    <xf numFmtId="0" fontId="7" fillId="0" borderId="0" xfId="1" applyFont="1"/>
    <xf numFmtId="170" fontId="7" fillId="0" borderId="0" xfId="1" applyNumberFormat="1" applyFont="1"/>
    <xf numFmtId="9" fontId="7" fillId="0" borderId="0" xfId="1" applyNumberFormat="1" applyFont="1"/>
    <xf numFmtId="0" fontId="6" fillId="0" borderId="0" xfId="1" applyFont="1" applyAlignment="1">
      <alignment horizontal="right"/>
    </xf>
    <xf numFmtId="0" fontId="21" fillId="0" borderId="0" xfId="0" applyFont="1"/>
    <xf numFmtId="0" fontId="6" fillId="0" borderId="0" xfId="0" applyFont="1"/>
    <xf numFmtId="0" fontId="6" fillId="3" borderId="8" xfId="0" applyFont="1" applyFill="1" applyBorder="1"/>
    <xf numFmtId="0" fontId="7" fillId="3" borderId="7" xfId="0" applyFont="1" applyFill="1" applyBorder="1"/>
    <xf numFmtId="0" fontId="7" fillId="3" borderId="9" xfId="0" applyFont="1" applyFill="1" applyBorder="1"/>
    <xf numFmtId="0" fontId="6" fillId="3" borderId="1" xfId="0" applyFont="1" applyFill="1" applyBorder="1"/>
    <xf numFmtId="0" fontId="6" fillId="3" borderId="0" xfId="0" applyFont="1" applyFill="1"/>
    <xf numFmtId="0" fontId="6" fillId="3" borderId="2" xfId="0" applyFont="1" applyFill="1" applyBorder="1"/>
    <xf numFmtId="164" fontId="2" fillId="0" borderId="0" xfId="0" applyNumberFormat="1" applyFont="1"/>
    <xf numFmtId="170" fontId="7" fillId="0" borderId="0" xfId="0" applyNumberFormat="1" applyFont="1"/>
    <xf numFmtId="9" fontId="7" fillId="0" borderId="0" xfId="0" applyNumberFormat="1" applyFont="1"/>
    <xf numFmtId="170" fontId="24" fillId="0" borderId="0" xfId="0" applyNumberFormat="1" applyFont="1"/>
    <xf numFmtId="0" fontId="29" fillId="0" borderId="0" xfId="0" applyFont="1"/>
    <xf numFmtId="9" fontId="24" fillId="0" borderId="0" xfId="0" applyNumberFormat="1" applyFont="1"/>
    <xf numFmtId="0" fontId="6" fillId="3" borderId="3" xfId="0" applyFont="1" applyFill="1" applyBorder="1"/>
    <xf numFmtId="0" fontId="6" fillId="3" borderId="4" xfId="0" applyFont="1" applyFill="1" applyBorder="1"/>
    <xf numFmtId="0" fontId="6" fillId="3" borderId="5" xfId="0" applyFont="1" applyFill="1" applyBorder="1"/>
    <xf numFmtId="164" fontId="7" fillId="0" borderId="0" xfId="0" applyNumberFormat="1" applyFont="1"/>
    <xf numFmtId="0" fontId="6" fillId="0" borderId="0" xfId="1" applyFont="1"/>
    <xf numFmtId="0" fontId="22" fillId="0" borderId="0" xfId="0" applyFont="1"/>
    <xf numFmtId="0" fontId="22" fillId="0" borderId="0" xfId="0" applyFont="1" applyAlignment="1">
      <alignment horizontal="right"/>
    </xf>
    <xf numFmtId="0" fontId="12" fillId="0" borderId="0" xfId="0" quotePrefix="1" applyFont="1" applyAlignment="1">
      <alignment horizontal="right"/>
    </xf>
    <xf numFmtId="0" fontId="12" fillId="0" borderId="0" xfId="0" applyFont="1" applyAlignment="1">
      <alignment horizontal="right"/>
    </xf>
    <xf numFmtId="0" fontId="13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0" fontId="12" fillId="0" borderId="4" xfId="0" applyFont="1" applyBorder="1" applyAlignment="1">
      <alignment horizontal="right"/>
    </xf>
    <xf numFmtId="166" fontId="12" fillId="0" borderId="0" xfId="0" applyNumberFormat="1" applyFont="1" applyAlignment="1">
      <alignment horizontal="right"/>
    </xf>
    <xf numFmtId="2" fontId="12" fillId="0" borderId="0" xfId="0" applyNumberFormat="1" applyFont="1" applyAlignment="1">
      <alignment horizontal="right"/>
    </xf>
    <xf numFmtId="168" fontId="12" fillId="0" borderId="0" xfId="0" applyNumberFormat="1" applyFont="1" applyAlignment="1">
      <alignment horizontal="left"/>
    </xf>
    <xf numFmtId="169" fontId="12" fillId="0" borderId="0" xfId="0" applyNumberFormat="1" applyFont="1" applyAlignment="1">
      <alignment horizontal="left"/>
    </xf>
    <xf numFmtId="170" fontId="12" fillId="0" borderId="0" xfId="0" applyNumberFormat="1" applyFont="1" applyAlignment="1">
      <alignment horizontal="right"/>
    </xf>
    <xf numFmtId="171" fontId="12" fillId="0" borderId="0" xfId="0" applyNumberFormat="1" applyFont="1" applyAlignment="1">
      <alignment horizontal="right"/>
    </xf>
    <xf numFmtId="172" fontId="12" fillId="0" borderId="0" xfId="0" applyNumberFormat="1" applyFont="1" applyAlignment="1">
      <alignment horizontal="right"/>
    </xf>
    <xf numFmtId="173" fontId="12" fillId="0" borderId="0" xfId="0" applyNumberFormat="1" applyFont="1" applyAlignment="1">
      <alignment horizontal="right"/>
    </xf>
    <xf numFmtId="174" fontId="12" fillId="0" borderId="0" xfId="0" applyNumberFormat="1" applyFont="1" applyAlignment="1">
      <alignment horizontal="right"/>
    </xf>
    <xf numFmtId="175" fontId="12" fillId="0" borderId="0" xfId="0" applyNumberFormat="1" applyFont="1" applyAlignment="1">
      <alignment horizontal="right"/>
    </xf>
    <xf numFmtId="0" fontId="13" fillId="0" borderId="0" xfId="0" quotePrefix="1" applyFont="1"/>
    <xf numFmtId="0" fontId="19" fillId="0" borderId="0" xfId="0" quotePrefix="1" applyFont="1" applyAlignment="1">
      <alignment horizontal="left"/>
    </xf>
    <xf numFmtId="175" fontId="12" fillId="4" borderId="0" xfId="0" applyNumberFormat="1" applyFont="1" applyFill="1" applyAlignment="1">
      <alignment horizontal="right"/>
    </xf>
    <xf numFmtId="0" fontId="2" fillId="0" borderId="0" xfId="2" applyFont="1" applyAlignment="1">
      <alignment horizontal="center"/>
    </xf>
    <xf numFmtId="0" fontId="1" fillId="0" borderId="0" xfId="2" applyFont="1"/>
    <xf numFmtId="0" fontId="21" fillId="0" borderId="0" xfId="2" applyFont="1" applyAlignment="1">
      <alignment horizontal="center"/>
    </xf>
    <xf numFmtId="0" fontId="1" fillId="0" borderId="0" xfId="2" applyFont="1" applyAlignment="1">
      <alignment horizontal="center"/>
    </xf>
    <xf numFmtId="170" fontId="2" fillId="4" borderId="0" xfId="2" applyNumberFormat="1" applyFont="1" applyFill="1"/>
    <xf numFmtId="170" fontId="1" fillId="0" borderId="0" xfId="2" applyNumberFormat="1" applyFont="1"/>
    <xf numFmtId="170" fontId="7" fillId="4" borderId="0" xfId="2" applyNumberFormat="1" applyFont="1" applyFill="1"/>
    <xf numFmtId="14" fontId="34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65" fontId="2" fillId="4" borderId="0" xfId="2" applyNumberFormat="1" applyFont="1" applyFill="1"/>
    <xf numFmtId="165" fontId="1" fillId="0" borderId="0" xfId="2" applyNumberFormat="1" applyFont="1"/>
    <xf numFmtId="0" fontId="35" fillId="0" borderId="0" xfId="0" applyFont="1"/>
    <xf numFmtId="0" fontId="23" fillId="0" borderId="0" xfId="0" applyFont="1"/>
    <xf numFmtId="2" fontId="7" fillId="0" borderId="0" xfId="0" applyNumberFormat="1" applyFont="1"/>
    <xf numFmtId="0" fontId="1" fillId="0" borderId="0" xfId="2" applyFont="1" applyAlignment="1">
      <alignment horizontal="right"/>
    </xf>
    <xf numFmtId="0" fontId="6" fillId="0" borderId="0" xfId="2" applyFont="1"/>
    <xf numFmtId="0" fontId="7" fillId="0" borderId="0" xfId="2" applyFont="1" applyAlignment="1">
      <alignment wrapText="1"/>
    </xf>
    <xf numFmtId="0" fontId="21" fillId="0" borderId="0" xfId="2" applyFont="1" applyAlignment="1">
      <alignment wrapText="1"/>
    </xf>
    <xf numFmtId="177" fontId="1" fillId="0" borderId="0" xfId="2" applyNumberFormat="1" applyFont="1"/>
    <xf numFmtId="170" fontId="1" fillId="4" borderId="0" xfId="2" applyNumberFormat="1" applyFont="1" applyFill="1"/>
    <xf numFmtId="2" fontId="1" fillId="0" borderId="0" xfId="2" applyNumberFormat="1" applyFont="1"/>
    <xf numFmtId="1" fontId="1" fillId="0" borderId="0" xfId="2" applyNumberFormat="1" applyFont="1"/>
    <xf numFmtId="0" fontId="23" fillId="0" borderId="0" xfId="2" applyFont="1" applyAlignment="1">
      <alignment horizontal="left"/>
    </xf>
    <xf numFmtId="0" fontId="25" fillId="0" borderId="0" xfId="2" applyFont="1" applyAlignment="1">
      <alignment horizontal="left" vertical="center"/>
    </xf>
    <xf numFmtId="0" fontId="23" fillId="0" borderId="0" xfId="2" applyFont="1" applyAlignment="1">
      <alignment wrapText="1"/>
    </xf>
    <xf numFmtId="164" fontId="1" fillId="0" borderId="0" xfId="0" applyNumberFormat="1" applyFont="1"/>
    <xf numFmtId="0" fontId="12" fillId="0" borderId="0" xfId="0" applyFont="1"/>
    <xf numFmtId="0" fontId="12" fillId="0" borderId="6" xfId="0" applyFont="1" applyBorder="1"/>
    <xf numFmtId="0" fontId="12" fillId="0" borderId="0" xfId="0" quotePrefix="1" applyFont="1" applyAlignment="1">
      <alignment horizontal="left"/>
    </xf>
    <xf numFmtId="166" fontId="12" fillId="0" borderId="0" xfId="0" applyNumberFormat="1" applyFont="1"/>
    <xf numFmtId="167" fontId="12" fillId="0" borderId="0" xfId="0" applyNumberFormat="1" applyFont="1" applyAlignment="1">
      <alignment horizontal="right"/>
    </xf>
    <xf numFmtId="0" fontId="12" fillId="0" borderId="4" xfId="0" applyFont="1" applyBorder="1" applyAlignment="1">
      <alignment horizontal="left"/>
    </xf>
    <xf numFmtId="0" fontId="12" fillId="0" borderId="4" xfId="0" applyFont="1" applyBorder="1"/>
    <xf numFmtId="0" fontId="18" fillId="0" borderId="0" xfId="0" applyFont="1"/>
    <xf numFmtId="0" fontId="19" fillId="0" borderId="0" xfId="0" applyFont="1"/>
    <xf numFmtId="0" fontId="18" fillId="0" borderId="0" xfId="0" quotePrefix="1" applyFont="1"/>
    <xf numFmtId="0" fontId="19" fillId="0" borderId="0" xfId="0" quotePrefix="1" applyFont="1"/>
    <xf numFmtId="0" fontId="18" fillId="0" borderId="0" xfId="0" quotePrefix="1" applyFont="1" applyAlignment="1">
      <alignment horizontal="left"/>
    </xf>
    <xf numFmtId="0" fontId="10" fillId="0" borderId="0" xfId="0" applyFont="1"/>
    <xf numFmtId="0" fontId="12" fillId="0" borderId="0" xfId="0" applyFont="1" applyAlignment="1">
      <alignment horizontal="left"/>
    </xf>
    <xf numFmtId="0" fontId="15" fillId="0" borderId="0" xfId="3" applyFont="1" applyAlignment="1" applyProtection="1">
      <alignment horizontal="right"/>
    </xf>
    <xf numFmtId="0" fontId="16" fillId="0" borderId="0" xfId="3" quotePrefix="1" applyFont="1" applyAlignment="1" applyProtection="1">
      <alignment horizontal="right"/>
    </xf>
    <xf numFmtId="0" fontId="13" fillId="0" borderId="0" xfId="0" applyFont="1"/>
    <xf numFmtId="0" fontId="16" fillId="0" borderId="0" xfId="3" applyFont="1" applyAlignment="1" applyProtection="1">
      <alignment horizontal="right"/>
    </xf>
    <xf numFmtId="2" fontId="12" fillId="0" borderId="0" xfId="0" applyNumberFormat="1" applyFont="1"/>
    <xf numFmtId="170" fontId="12" fillId="0" borderId="0" xfId="0" applyNumberFormat="1" applyFont="1"/>
    <xf numFmtId="176" fontId="20" fillId="0" borderId="0" xfId="5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0" fontId="1" fillId="0" borderId="0" xfId="0" applyFont="1"/>
    <xf numFmtId="178" fontId="1" fillId="0" borderId="0" xfId="5" applyNumberFormat="1" applyFont="1"/>
    <xf numFmtId="164" fontId="22" fillId="0" borderId="0" xfId="0" applyNumberFormat="1" applyFont="1"/>
    <xf numFmtId="2" fontId="1" fillId="0" borderId="0" xfId="5" applyNumberFormat="1" applyFont="1"/>
    <xf numFmtId="179" fontId="1" fillId="0" borderId="0" xfId="0" applyNumberFormat="1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0" fontId="9" fillId="0" borderId="0" xfId="0" applyFont="1" applyAlignment="1">
      <alignment horizontal="center"/>
    </xf>
    <xf numFmtId="0" fontId="28" fillId="0" borderId="0" xfId="0" applyFont="1" applyAlignment="1">
      <alignment horizontal="center" vertical="center" wrapText="1"/>
    </xf>
  </cellXfs>
  <cellStyles count="6">
    <cellStyle name="Hyperlink 2" xfId="3" xr:uid="{00000000-0005-0000-0000-000000000000}"/>
    <cellStyle name="Normal" xfId="0" builtinId="0"/>
    <cellStyle name="Normal 2" xfId="1" xr:uid="{00000000-0005-0000-0000-000002000000}"/>
    <cellStyle name="Normal 3" xfId="2" xr:uid="{00000000-0005-0000-0000-000003000000}"/>
    <cellStyle name="Per cent" xfId="5" builtinId="5"/>
    <cellStyle name="Percent 2" xfId="4" xr:uid="{00000000-0005-0000-0000-000004000000}"/>
  </cellStyles>
  <dxfs count="0"/>
  <tableStyles count="0" defaultTableStyle="TableStyleMedium2" defaultPivotStyle="PivotStyleLight16"/>
  <colors>
    <mruColors>
      <color rgb="FF0000FF"/>
      <color rgb="FF401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1325</xdr:colOff>
      <xdr:row>17</xdr:row>
      <xdr:rowOff>128213</xdr:rowOff>
    </xdr:from>
    <xdr:ext cx="4960288" cy="44437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98065B6-4A5D-49DD-8C96-91F2468BE045}"/>
                </a:ext>
              </a:extLst>
            </xdr:cNvPr>
            <xdr:cNvSpPr txBox="1"/>
          </xdr:nvSpPr>
          <xdr:spPr>
            <a:xfrm>
              <a:off x="4573325" y="3563176"/>
              <a:ext cx="4960288" cy="4443788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>
                <a:spcAft>
                  <a:spcPts val="600"/>
                </a:spcAft>
              </a:pPr>
              <a:r>
                <a:rPr lang="en-US" sz="12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Now we conduct </a:t>
              </a:r>
              <a:r>
                <a:rPr lang="en-US" sz="1200" i="0">
                  <a:solidFill>
                    <a:srgbClr val="FF0000"/>
                  </a:solidFill>
                  <a:effectLst/>
                  <a:ea typeface="+mn-ea"/>
                  <a:cs typeface="+mn-cs"/>
                </a:rPr>
                <a:t>time-series simulation </a:t>
              </a:r>
              <a:r>
                <a:rPr lang="en-US" sz="12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of HSI index excess return over the next 22 trading days. </a:t>
              </a:r>
            </a:p>
            <a:p>
              <a:pPr>
                <a:spcAft>
                  <a:spcPts val="60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2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2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  <m: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sup>
                    </m:sSubSup>
                    <m:r>
                      <a:rPr lang="en-US" sz="120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20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r>
                      <a:rPr lang="en-US" sz="120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200" b="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~</m:t>
                    </m:r>
                    <m:r>
                      <a:rPr lang="en-US" sz="1200" b="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𝑁</m:t>
                    </m:r>
                    <m:r>
                      <a:rPr lang="en-US" sz="1200" b="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US" sz="1200" b="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r>
                      <a:rPr lang="en-US" sz="1200" b="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sSubSup>
                      <m:sSubSupPr>
                        <m:ctrlP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sub>
                      <m:sup>
                        <m:r>
                          <a:rPr lang="en-US" sz="12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  <m:r>
                      <a:rPr lang="en-US" sz="1200" b="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US" sz="1200">
                <a:solidFill>
                  <a:srgbClr val="FF0000"/>
                </a:solidFill>
              </a:endParaRPr>
            </a:p>
            <a:p>
              <a:pPr>
                <a:spcAft>
                  <a:spcPts val="600"/>
                </a:spcAft>
              </a:pPr>
              <a:r>
                <a:rPr lang="en-US" sz="1200"/>
                <a:t>a is estimated as mean excess return, </a:t>
              </a:r>
              <a14:m>
                <m:oMath xmlns:m="http://schemas.openxmlformats.org/officeDocument/2006/math">
                  <m:sSubSup>
                    <m:sSubSup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𝜎</m:t>
                      </m:r>
                    </m:e>
                    <m:sub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</m:t>
                      </m:r>
                    </m:sub>
                    <m:sup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bSup>
                </m:oMath>
              </a14:m>
              <a:r>
                <a:rPr lang="en-US" sz="1200"/>
                <a:t> is standard deviation of market excess return.</a:t>
              </a:r>
            </a:p>
            <a:p>
              <a:pPr rtl="0" eaLnBrk="1" fontAlgn="auto" latinLnBrk="0" hangingPunct="1">
                <a:spcAft>
                  <a:spcPts val="600"/>
                </a:spcAft>
              </a:pP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Based on single-index</a:t>
              </a: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model </a:t>
              </a:r>
              <a:endParaRPr lang="en-US" sz="1200">
                <a:effectLst/>
              </a:endParaRPr>
            </a:p>
            <a:p>
              <a:pPr rtl="0" eaLnBrk="1" fontAlgn="auto" latinLnBrk="0" hangingPunct="1">
                <a:spcAft>
                  <a:spcPts val="60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sup>
                    </m:sSubSup>
                    <m:r>
                      <a:rPr lang="en-US" sz="110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r>
                      <a:rPr lang="en-US" sz="110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n-US" sz="110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𝛽</m:t>
                    </m:r>
                    <m:sSubSup>
                      <m:sSubSupPr>
                        <m:ctrlP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sup>
                    </m:sSubSup>
                    <m:r>
                      <a:rPr lang="en-US" sz="110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200">
                <a:effectLst/>
              </a:endParaRPr>
            </a:p>
            <a:p>
              <a:pPr rtl="0" eaLnBrk="1" fontAlgn="auto" latinLnBrk="0" hangingPunct="1">
                <a:spcAft>
                  <a:spcPts val="600"/>
                </a:spcAft>
              </a:pPr>
              <a:r>
                <a:rPr lang="en-US" sz="110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where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en-US" sz="110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~</m:t>
                  </m:r>
                  <m:r>
                    <m:rPr>
                      <m:sty m:val="p"/>
                    </m:rPr>
                    <a:rPr lang="en-US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N</m:t>
                  </m:r>
                  <m:r>
                    <a:rPr lang="en-US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(0,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𝜎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bSup>
                  <m:r>
                    <a:rPr lang="en-US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we estimate 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𝛼</m:t>
                  </m:r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and </a:t>
              </a:r>
              <a14:m>
                <m:oMath xmlns:m="http://schemas.openxmlformats.org/officeDocument/2006/math"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𝜎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bSup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from regression.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𝜎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should be estimated by the standard error of residuals, defined as</a:t>
              </a:r>
              <a:endParaRPr lang="en-US" sz="1200">
                <a:effectLst/>
              </a:endParaRPr>
            </a:p>
            <a:p>
              <a:pPr rtl="0" eaLnBrk="1" fontAlgn="auto" latinLnBrk="0" hangingPunct="1">
                <a:spcAft>
                  <a:spcPts val="60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acc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Sup>
                      <m:sSubSup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sup>
                    </m:sSub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acc>
                      <m:accPr>
                        <m:chr m:val="̂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e>
                    </m:acc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acc>
                      <m:accPr>
                        <m:chr m:val="̂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e>
                    </m:acc>
                    <m:sSubSup>
                      <m:sSubSup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sup>
                    </m:sSubSup>
                  </m:oMath>
                </m:oMathPara>
              </a14:m>
              <a:endParaRPr lang="en-US" sz="1200">
                <a:effectLst/>
              </a:endParaRPr>
            </a:p>
            <a:p>
              <a:pPr rtl="0" eaLnBrk="1" fontAlgn="auto" latinLnBrk="0" hangingPunct="1">
                <a:spcAft>
                  <a:spcPts val="600"/>
                </a:spcAft>
              </a:pPr>
              <a14:m>
                <m:oMath xmlns:m="http://schemas.openxmlformats.org/officeDocument/2006/math">
                  <m:acc>
                    <m:accPr>
                      <m:chr m:val="̂"/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acc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𝛼</m:t>
                      </m:r>
                    </m:e>
                  </m:acc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14:m>
                <m:oMath xmlns:m="http://schemas.openxmlformats.org/officeDocument/2006/math">
                  <m:acc>
                    <m:accPr>
                      <m:chr m:val="̂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acc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𝛽</m:t>
                      </m:r>
                    </m:e>
                  </m:acc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are estimated intercept</a:t>
              </a: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and slope coefficient from the OLS regression.</a:t>
              </a:r>
              <a:endParaRPr lang="en-US" sz="1200">
                <a:effectLst/>
              </a:endParaRPr>
            </a:p>
            <a:p>
              <a:pPr>
                <a:spcAft>
                  <a:spcPts val="60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sup>
                    </m:sSubSup>
                    <m:r>
                      <a:rPr lang="en-US" sz="1100" b="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ln</m:t>
                    </m:r>
                    <m:d>
                      <m:d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lang="en-US" sz="1100" b="0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</m:sSub>
                  </m:oMath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0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10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b>
                    </m:sSub>
                    <m:func>
                      <m:funcPr>
                        <m:ctrlPr>
                          <a:rPr lang="en-US" sz="1100" b="0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US" sz="1100" b="0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US" sz="110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𝑒</m:t>
                                </m:r>
                              </m:sup>
                            </m:sSubSup>
                            <m:r>
                              <a:rPr lang="en-US" sz="1100" b="0" i="1">
                                <a:solidFill>
                                  <a:srgbClr val="FF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rgbClr val="FF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sub>
                            </m:sSub>
                          </m:e>
                        </m:d>
                      </m:e>
                    </m:func>
                  </m:oMath>
                </m:oMathPara>
              </a14:m>
              <a:endParaRPr lang="en-US" sz="1200">
                <a:effectLst/>
              </a:endParaRPr>
            </a:p>
            <a:p>
              <a:pPr>
                <a:spcAft>
                  <a:spcPts val="600"/>
                </a:spcAft>
              </a:pPr>
              <a:r>
                <a:rPr lang="en-US" sz="1100" b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We</a:t>
              </a:r>
              <a:r>
                <a:rPr lang="en-US" sz="1100" b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use the last-day risk-free rate in the sample (on 30-Oct-2024) as the estimate of risk-free rate over the next 22 days.</a:t>
              </a:r>
              <a:endParaRPr lang="en-US" sz="1200">
                <a:effectLst/>
              </a:endParaRPr>
            </a:p>
            <a:p>
              <a:pPr>
                <a:spcAft>
                  <a:spcPts val="600"/>
                </a:spcAft>
              </a:pPr>
              <a:r>
                <a:rPr lang="en-US" sz="1100" b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In pricing factor theory, risk-free rate is a constant. So you should NOT use the historical average of the rate as the estimation. Instead, you should use the latest available interest rate data as the estimation.</a:t>
              </a:r>
              <a:endParaRPr lang="en-US" sz="1200">
                <a:effectLst/>
              </a:endParaRPr>
            </a:p>
            <a:p>
              <a:endParaRPr lang="en-US" sz="12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98065B6-4A5D-49DD-8C96-91F2468BE045}"/>
                </a:ext>
              </a:extLst>
            </xdr:cNvPr>
            <xdr:cNvSpPr txBox="1"/>
          </xdr:nvSpPr>
          <xdr:spPr>
            <a:xfrm>
              <a:off x="4573325" y="3563176"/>
              <a:ext cx="4960288" cy="4443788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>
                <a:spcAft>
                  <a:spcPts val="600"/>
                </a:spcAft>
              </a:pPr>
              <a:r>
                <a:rPr lang="en-US" sz="12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Now we conduct </a:t>
              </a:r>
              <a:r>
                <a:rPr lang="en-US" sz="1200" i="0">
                  <a:solidFill>
                    <a:srgbClr val="FF0000"/>
                  </a:solidFill>
                  <a:effectLst/>
                  <a:ea typeface="+mn-ea"/>
                  <a:cs typeface="+mn-cs"/>
                </a:rPr>
                <a:t>time-series simulation </a:t>
              </a:r>
              <a:r>
                <a:rPr lang="en-US" sz="12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of HSI index excess return over the next 22 trading days. </a:t>
              </a:r>
            </a:p>
            <a:p>
              <a:pPr>
                <a:spcAft>
                  <a:spcPts val="600"/>
                </a:spcAft>
              </a:pPr>
              <a:r>
                <a:rPr lang="en-US" sz="12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𝑅_(𝑀</a:t>
              </a:r>
              <a:r>
                <a:rPr lang="en-US" sz="120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,𝑡)^𝑒=𝑎+𝑒_𝑡</a:t>
              </a:r>
              <a:r>
                <a:rPr lang="en-US" sz="12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~𝑁(𝑎, </a:t>
              </a:r>
              <a:r>
                <a:rPr lang="en-US" sz="120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𝜎_𝑀^2</a:t>
              </a:r>
              <a:r>
                <a:rPr lang="en-US" sz="12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1200">
                <a:solidFill>
                  <a:srgbClr val="FF0000"/>
                </a:solidFill>
              </a:endParaRPr>
            </a:p>
            <a:p>
              <a:pPr>
                <a:spcAft>
                  <a:spcPts val="600"/>
                </a:spcAft>
              </a:pPr>
              <a:r>
                <a:rPr lang="en-US" sz="1200"/>
                <a:t>a is estimated as mean excess return, 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𝜎_𝑀^2</a:t>
              </a:r>
              <a:r>
                <a:rPr lang="en-US" sz="1200"/>
                <a:t> is standard deviation of market excess return.</a:t>
              </a:r>
            </a:p>
            <a:p>
              <a:pPr rtl="0" eaLnBrk="1" fontAlgn="auto" latinLnBrk="0" hangingPunct="1">
                <a:spcAft>
                  <a:spcPts val="600"/>
                </a:spcAft>
              </a:pP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Based on single-index</a:t>
              </a: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model </a:t>
              </a:r>
              <a:endParaRPr lang="en-US" sz="1200">
                <a:effectLst/>
              </a:endParaRPr>
            </a:p>
            <a:p>
              <a:pPr rtl="0" eaLnBrk="1" fontAlgn="auto" latinLnBrk="0" hangingPunct="1">
                <a:spcAft>
                  <a:spcPts val="600"/>
                </a:spcAft>
              </a:pPr>
              <a:r>
                <a:rPr lang="en-US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</a:t>
              </a:r>
              <a:r>
                <a:rPr lang="en-US" sz="110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𝑖,𝑡)^𝑒=𝛼+𝛽</a:t>
              </a:r>
              <a:r>
                <a:rPr lang="en-US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𝑅_(𝑀</a:t>
              </a:r>
              <a:r>
                <a:rPr lang="en-US" sz="110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,𝑡)^𝑒+</a:t>
              </a:r>
              <a:r>
                <a:rPr lang="en-US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𝑒_(𝑖,</a:t>
              </a:r>
              <a:r>
                <a:rPr lang="en-US" sz="110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𝑡)</a:t>
              </a:r>
              <a:endParaRPr lang="en-US" sz="1200">
                <a:effectLst/>
              </a:endParaRPr>
            </a:p>
            <a:p>
              <a:pPr rtl="0" eaLnBrk="1" fontAlgn="auto" latinLnBrk="0" hangingPunct="1">
                <a:spcAft>
                  <a:spcPts val="600"/>
                </a:spcAft>
              </a:pPr>
              <a:r>
                <a:rPr lang="en-US" sz="110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where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𝑒_(𝑖,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𝑡)~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N(0,𝜎_𝑒^2)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we estimate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and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𝜎_𝑒^2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from regression.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𝜎_𝑒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should be estimated by the standard error of residuals, defined as</a:t>
              </a:r>
              <a:endParaRPr lang="en-US" sz="1200">
                <a:effectLst/>
              </a:endParaRPr>
            </a:p>
            <a:p>
              <a:pPr rtl="0" eaLnBrk="1" fontAlgn="auto" latinLnBrk="0" hangingPunct="1">
                <a:spcAft>
                  <a:spcPts val="600"/>
                </a:spcAft>
              </a:pPr>
              <a:r>
                <a:rPr lang="en-US" altLang="zh-C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𝑒_(𝑖,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𝑡) ) ̂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=𝑅_(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𝑖,𝑡)^𝑒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−𝛼 ̂−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 ̂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𝑅_(𝑀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,𝑡)^𝑒</a:t>
              </a:r>
              <a:endParaRPr lang="en-US" sz="1200">
                <a:effectLst/>
              </a:endParaRPr>
            </a:p>
            <a:p>
              <a:pPr rtl="0" eaLnBrk="1" fontAlgn="auto" latinLnBrk="0" hangingPunct="1">
                <a:spcAft>
                  <a:spcPts val="600"/>
                </a:spcAft>
              </a:pP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 ̂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 ̂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are estimated intercept</a:t>
              </a: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and slope coefficient from the OLS regression.</a:t>
              </a:r>
              <a:endParaRPr lang="en-US" sz="1200">
                <a:effectLst/>
              </a:endParaRPr>
            </a:p>
            <a:p>
              <a:pPr>
                <a:spcAft>
                  <a:spcPts val="600"/>
                </a:spcAft>
              </a:pPr>
              <a:r>
                <a:rPr lang="en-US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𝑅_(𝑖</a:t>
              </a:r>
              <a:r>
                <a:rPr lang="en-US" sz="110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,𝑡)^𝑒</a:t>
              </a:r>
              <a:r>
                <a:rPr lang="en-US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=ln</a:t>
              </a:r>
              <a:r>
                <a:rPr lang="en-US" altLang="zh-CN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𝑆_𝑡/𝑆_(𝑡−1) )</a:t>
              </a:r>
              <a:r>
                <a:rPr lang="en-US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−𝑅_𝑓</a:t>
              </a:r>
              <a:br>
                <a:rPr lang="en-US" sz="1100" b="0" i="1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en-US" sz="110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𝑆_𝑡</a:t>
              </a:r>
              <a:r>
                <a:rPr lang="en-US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US" sz="110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𝑆_(𝑡−1)</a:t>
              </a:r>
              <a:r>
                <a:rPr lang="en-US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altLang="zh-CN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exp⁡(𝑅_(𝑖</a:t>
              </a:r>
              <a:r>
                <a:rPr lang="en-US" sz="110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,𝑡)^𝑒</a:t>
              </a:r>
              <a:r>
                <a:rPr lang="en-US" sz="1100" b="0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+𝑅_𝑓 )</a:t>
              </a:r>
              <a:endParaRPr lang="en-US" sz="1200">
                <a:effectLst/>
              </a:endParaRPr>
            </a:p>
            <a:p>
              <a:pPr>
                <a:spcAft>
                  <a:spcPts val="600"/>
                </a:spcAft>
              </a:pPr>
              <a:r>
                <a:rPr lang="en-US" sz="1100" b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We</a:t>
              </a:r>
              <a:r>
                <a:rPr lang="en-US" sz="1100" b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use the last-day risk-free rate in the sample (on 30-Oct-2024) as the estimate of risk-free rate over the next 22 days.</a:t>
              </a:r>
              <a:endParaRPr lang="en-US" sz="1200">
                <a:effectLst/>
              </a:endParaRPr>
            </a:p>
            <a:p>
              <a:pPr>
                <a:spcAft>
                  <a:spcPts val="600"/>
                </a:spcAft>
              </a:pPr>
              <a:r>
                <a:rPr lang="en-US" sz="1100" b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In pricing factor theory, risk-free rate is a constant. So you should NOT use the historical average of the rate as the estimation. Instead, you should use the latest available interest rate data as the estimation.</a:t>
              </a:r>
              <a:endParaRPr lang="en-US" sz="1200">
                <a:effectLst/>
              </a:endParaRPr>
            </a:p>
            <a:p>
              <a:endParaRPr lang="en-US" sz="1200"/>
            </a:p>
          </xdr:txBody>
        </xdr:sp>
      </mc:Fallback>
    </mc:AlternateContent>
    <xdr:clientData/>
  </xdr:oneCellAnchor>
  <xdr:oneCellAnchor>
    <xdr:from>
      <xdr:col>12</xdr:col>
      <xdr:colOff>166977</xdr:colOff>
      <xdr:row>7</xdr:row>
      <xdr:rowOff>186856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FA8D-E463-9719-1F90-AA942809EA26}"/>
            </a:ext>
          </a:extLst>
        </xdr:cNvPr>
        <xdr:cNvSpPr txBox="1"/>
      </xdr:nvSpPr>
      <xdr:spPr>
        <a:xfrm>
          <a:off x="7450372" y="34309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15</xdr:col>
      <xdr:colOff>39757</xdr:colOff>
      <xdr:row>4</xdr:row>
      <xdr:rowOff>15240</xdr:rowOff>
    </xdr:from>
    <xdr:to>
      <xdr:col>19</xdr:col>
      <xdr:colOff>15240</xdr:colOff>
      <xdr:row>24</xdr:row>
      <xdr:rowOff>39756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C41CF09-F207-494E-9928-76D5E3B8EE9C}"/>
            </a:ext>
          </a:extLst>
        </xdr:cNvPr>
        <xdr:cNvCxnSpPr/>
      </xdr:nvCxnSpPr>
      <xdr:spPr>
        <a:xfrm flipV="1">
          <a:off x="14121517" y="969397"/>
          <a:ext cx="3402495" cy="3841142"/>
        </a:xfrm>
        <a:prstGeom prst="straightConnector1">
          <a:avLst/>
        </a:prstGeom>
        <a:ln w="9525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13828</xdr:colOff>
      <xdr:row>2</xdr:row>
      <xdr:rowOff>124455</xdr:rowOff>
    </xdr:from>
    <xdr:ext cx="3898900" cy="24061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B792AD8-3CBE-4574-9137-5855C6AB3C46}"/>
                </a:ext>
              </a:extLst>
            </xdr:cNvPr>
            <xdr:cNvSpPr txBox="1"/>
          </xdr:nvSpPr>
          <xdr:spPr>
            <a:xfrm>
              <a:off x="18979418" y="698332"/>
              <a:ext cx="3898900" cy="24061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We conduct </a:t>
              </a:r>
              <a:r>
                <a:rPr lang="en-US" sz="1100" i="0">
                  <a:solidFill>
                    <a:srgbClr val="FF0000"/>
                  </a:solidFill>
                  <a:effectLst/>
                  <a:ea typeface="+mn-ea"/>
                  <a:cs typeface="+mn-cs"/>
                </a:rPr>
                <a:t>cross-sectional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rgbClr val="FF0000"/>
                  </a:solidFill>
                  <a:effectLst/>
                  <a:ea typeface="+mn-ea"/>
                  <a:cs typeface="+mn-cs"/>
                </a:rPr>
                <a:t>simulation</a:t>
              </a:r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of CAF prices after 22 trading days since 30/10/2024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for 20 times.</a:t>
              </a:r>
            </a:p>
            <a:p>
              <a:endParaRPr lang="en-US" sz="1100" i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We use </a:t>
              </a:r>
              <a:r>
                <a:rPr lang="en-US" sz="1100" i="0">
                  <a:solidFill>
                    <a:srgbClr val="FF0000"/>
                  </a:solidFill>
                  <a:effectLst/>
                  <a:ea typeface="+mn-ea"/>
                  <a:cs typeface="+mn-cs"/>
                </a:rPr>
                <a:t>Data Table function </a:t>
              </a:r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to generate 20 simulation result.</a:t>
              </a:r>
            </a:p>
            <a:p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Input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values</a:t>
              </a:r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(in column S) 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. The header in cell T3 is time-series simulation result in O24. Then time-series simulations are repeated for 20 times.</a:t>
              </a:r>
            </a:p>
            <a:p>
              <a:endParaRPr lang="en-US" sz="1100" i="0" baseline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r>
                <a:rPr lang="en-US" sz="1100" b="1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Note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: in this question, we want to repeatedly generate market factor </a:t>
              </a:r>
              <a14:m>
                <m:oMath xmlns:m="http://schemas.openxmlformats.org/officeDocument/2006/math">
                  <m:sSubSup>
                    <m:sSubSupPr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𝑀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  <m:sup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sup>
                  </m:sSubSup>
                </m:oMath>
              </a14:m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, and idiosyncratic shock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b>
                      <m:r>
                        <a:rPr lang="en-US" sz="1100" b="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  <m:r>
                        <a:rPr lang="en-US" sz="1100" b="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</m:oMath>
              </a14:m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but do not change any parameters in the model. So in the dialog window of Data Table, you may select any empty cell or a cell that doesn't contain data as the original input value, and new input values are in column T.</a:t>
              </a:r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B792AD8-3CBE-4574-9137-5855C6AB3C46}"/>
                </a:ext>
              </a:extLst>
            </xdr:cNvPr>
            <xdr:cNvSpPr txBox="1"/>
          </xdr:nvSpPr>
          <xdr:spPr>
            <a:xfrm>
              <a:off x="18979418" y="698332"/>
              <a:ext cx="3898900" cy="24061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We conduct </a:t>
              </a:r>
              <a:r>
                <a:rPr lang="en-US" sz="1100" i="0">
                  <a:solidFill>
                    <a:srgbClr val="FF0000"/>
                  </a:solidFill>
                  <a:effectLst/>
                  <a:ea typeface="+mn-ea"/>
                  <a:cs typeface="+mn-cs"/>
                </a:rPr>
                <a:t>cross-sectional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rgbClr val="FF0000"/>
                  </a:solidFill>
                  <a:effectLst/>
                  <a:ea typeface="+mn-ea"/>
                  <a:cs typeface="+mn-cs"/>
                </a:rPr>
                <a:t>simulation</a:t>
              </a:r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of CAF prices after 22 trading days since 30/10/2024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for 20 times.</a:t>
              </a:r>
            </a:p>
            <a:p>
              <a:endParaRPr lang="en-US" sz="1100" i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We use </a:t>
              </a:r>
              <a:r>
                <a:rPr lang="en-US" sz="1100" i="0">
                  <a:solidFill>
                    <a:srgbClr val="FF0000"/>
                  </a:solidFill>
                  <a:effectLst/>
                  <a:ea typeface="+mn-ea"/>
                  <a:cs typeface="+mn-cs"/>
                </a:rPr>
                <a:t>Data Table function </a:t>
              </a:r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to generate 20 simulation result.</a:t>
              </a:r>
            </a:p>
            <a:p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Input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values</a:t>
              </a:r>
              <a:r>
                <a:rPr lang="en-US" sz="1100" i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(in column S) 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. The header in cell T3 is time-series simulation result in O24. Then time-series simulations are repeated for 20 times.</a:t>
              </a:r>
            </a:p>
            <a:p>
              <a:endParaRPr lang="en-US" sz="1100" i="0" baseline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r>
                <a:rPr lang="en-US" sz="1100" b="1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Note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: in this question, we want to repeatedly generate market factor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𝑅_(𝑀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,𝑡)^𝑒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, and idiosyncratic shock 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𝑒_(𝑖,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𝑡)</a:t>
              </a:r>
              <a:r>
                <a:rPr lang="en-US" sz="1100" i="0" baseline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but do not change any parameters in the model. So in the dialog window of Data Table, you may select any empty cell or a cell that doesn't contain data as the original input value, and new input values are in column T.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21</xdr:col>
      <xdr:colOff>1</xdr:colOff>
      <xdr:row>17</xdr:row>
      <xdr:rowOff>0</xdr:rowOff>
    </xdr:from>
    <xdr:to>
      <xdr:col>23</xdr:col>
      <xdr:colOff>449422</xdr:colOff>
      <xdr:row>24</xdr:row>
      <xdr:rowOff>126513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F04B9C6-D036-308A-623F-2A08A3F4C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5591" y="3477831"/>
          <a:ext cx="2744928" cy="14816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289560</xdr:colOff>
      <xdr:row>10</xdr:row>
      <xdr:rowOff>160020</xdr:rowOff>
    </xdr:from>
    <xdr:to>
      <xdr:col>9</xdr:col>
      <xdr:colOff>626435</xdr:colOff>
      <xdr:row>17</xdr:row>
      <xdr:rowOff>173186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0B716B-3788-40FD-BCDC-FCC7E0B1B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2200" y="2034540"/>
          <a:ext cx="2485715" cy="1354286"/>
        </a:xfrm>
        <a:prstGeom prst="rect">
          <a:avLst/>
        </a:prstGeom>
      </xdr:spPr>
    </xdr:pic>
    <xdr:clientData/>
  </xdr:twoCellAnchor>
  <xdr:twoCellAnchor editAs="oneCell">
    <xdr:from>
      <xdr:col>6</xdr:col>
      <xdr:colOff>304800</xdr:colOff>
      <xdr:row>23</xdr:row>
      <xdr:rowOff>15240</xdr:rowOff>
    </xdr:from>
    <xdr:to>
      <xdr:col>9</xdr:col>
      <xdr:colOff>641675</xdr:colOff>
      <xdr:row>30</xdr:row>
      <xdr:rowOff>36026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08D9C58-6C63-43F6-A6B5-31292A9FD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1780" y="4267200"/>
          <a:ext cx="2485715" cy="1354286"/>
        </a:xfrm>
        <a:prstGeom prst="rect">
          <a:avLst/>
        </a:prstGeom>
      </xdr:spPr>
    </xdr:pic>
    <xdr:clientData/>
  </xdr:twoCellAnchor>
  <xdr:twoCellAnchor editAs="oneCell">
    <xdr:from>
      <xdr:col>6</xdr:col>
      <xdr:colOff>236220</xdr:colOff>
      <xdr:row>44</xdr:row>
      <xdr:rowOff>53340</xdr:rowOff>
    </xdr:from>
    <xdr:to>
      <xdr:col>9</xdr:col>
      <xdr:colOff>573095</xdr:colOff>
      <xdr:row>51</xdr:row>
      <xdr:rowOff>74126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A2580F7-6D71-412D-A01B-EC34276C3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3200" y="8145780"/>
          <a:ext cx="2485715" cy="135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117541</xdr:colOff>
      <xdr:row>5</xdr:row>
      <xdr:rowOff>24765</xdr:rowOff>
    </xdr:from>
    <xdr:to>
      <xdr:col>8</xdr:col>
      <xdr:colOff>0</xdr:colOff>
      <xdr:row>25</xdr:row>
      <xdr:rowOff>62228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38DCD10-BB3C-46B0-AE67-ABC3FE1CF4E0}"/>
            </a:ext>
          </a:extLst>
        </xdr:cNvPr>
        <xdr:cNvCxnSpPr/>
      </xdr:nvCxnSpPr>
      <xdr:spPr>
        <a:xfrm flipV="1">
          <a:off x="5579741" y="1421428"/>
          <a:ext cx="2213477" cy="3909403"/>
        </a:xfrm>
        <a:prstGeom prst="straightConnector1">
          <a:avLst/>
        </a:prstGeom>
        <a:ln w="9525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9</xdr:row>
      <xdr:rowOff>0</xdr:rowOff>
    </xdr:from>
    <xdr:to>
      <xdr:col>13</xdr:col>
      <xdr:colOff>306297</xdr:colOff>
      <xdr:row>16</xdr:row>
      <xdr:rowOff>126513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251FD8D-A1B8-4FB6-B165-843FA866C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75805" y="1956021"/>
          <a:ext cx="2747348" cy="14623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10</xdr:row>
          <xdr:rowOff>177800</xdr:rowOff>
        </xdr:from>
        <xdr:to>
          <xdr:col>5</xdr:col>
          <xdr:colOff>266700</xdr:colOff>
          <xdr:row>12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3</xdr:row>
      <xdr:rowOff>47625</xdr:rowOff>
    </xdr:from>
    <xdr:to>
      <xdr:col>22</xdr:col>
      <xdr:colOff>0</xdr:colOff>
      <xdr:row>24</xdr:row>
      <xdr:rowOff>127000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97FCCACB-EE25-4004-9ED0-070C03BD7836}"/>
            </a:ext>
          </a:extLst>
        </xdr:cNvPr>
        <xdr:cNvCxnSpPr/>
      </xdr:nvCxnSpPr>
      <xdr:spPr>
        <a:xfrm flipV="1">
          <a:off x="15081968" y="810950"/>
          <a:ext cx="1814554" cy="4086833"/>
        </a:xfrm>
        <a:prstGeom prst="straightConnector1">
          <a:avLst/>
        </a:prstGeom>
        <a:ln w="9525"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87464</xdr:colOff>
      <xdr:row>3</xdr:row>
      <xdr:rowOff>15902</xdr:rowOff>
    </xdr:from>
    <xdr:to>
      <xdr:col>26</xdr:col>
      <xdr:colOff>505080</xdr:colOff>
      <xdr:row>10</xdr:row>
      <xdr:rowOff>142415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70386B-6F8A-4CB6-82BA-8B79CF848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5534" y="1152939"/>
          <a:ext cx="2747348" cy="146233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7</xdr:row>
          <xdr:rowOff>177800</xdr:rowOff>
        </xdr:from>
        <xdr:to>
          <xdr:col>5</xdr:col>
          <xdr:colOff>266700</xdr:colOff>
          <xdr:row>9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info.gov.hk/hkma/gdbook/eng/l/liquidity_adjust_window_index.htm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://www.info.gov.hk/hkma/gdbook/eng/d/discount_rate_index.htm" TargetMode="External"/><Relationship Id="rId7" Type="http://schemas.openxmlformats.org/officeDocument/2006/relationships/hyperlink" Target="http://www.info.gov.hk/hkma/gdbook/eng/l/liquidity_adjust_window_index.htm" TargetMode="External"/><Relationship Id="rId12" Type="http://schemas.openxmlformats.org/officeDocument/2006/relationships/hyperlink" Target="http://www.info.gov.hk/hkma/gdbook/chi/stroke10/liquidity_adjust_facility_index.htm" TargetMode="External"/><Relationship Id="rId2" Type="http://schemas.openxmlformats.org/officeDocument/2006/relationships/hyperlink" Target="http://www.info.gov.hk/hkma/gdbook/eng/l/liquidity_adjust_facility_index.htm" TargetMode="External"/><Relationship Id="rId1" Type="http://schemas.openxmlformats.org/officeDocument/2006/relationships/hyperlink" Target="http://www.info.gov.hk/hkma/gdbook/eng/l/liquidity_adjust_facility_index.htm" TargetMode="External"/><Relationship Id="rId6" Type="http://schemas.openxmlformats.org/officeDocument/2006/relationships/hyperlink" Target="http://www.info.gov.hk/hkma/gdbook/eng/d/discount_rate_index.htm" TargetMode="External"/><Relationship Id="rId11" Type="http://schemas.openxmlformats.org/officeDocument/2006/relationships/hyperlink" Target="http://www.info.gov.hk/hkma/gdbook/chi/stroke10/liquidity_adjust_facility_index.htm" TargetMode="External"/><Relationship Id="rId5" Type="http://schemas.openxmlformats.org/officeDocument/2006/relationships/hyperlink" Target="http://www.info.gov.hk/hkma/gdbook/chi/stroke12/discount_rate_index.htm" TargetMode="External"/><Relationship Id="rId10" Type="http://schemas.openxmlformats.org/officeDocument/2006/relationships/hyperlink" Target="http://www.info.gov.hk/hkma/gdbook/chi/stroke10/liquidity_adjust_window_index.htm" TargetMode="External"/><Relationship Id="rId4" Type="http://schemas.openxmlformats.org/officeDocument/2006/relationships/hyperlink" Target="http://www.info.gov.hk/hkma/gdbook/chi/stroke12/discount_rate_index.htm" TargetMode="External"/><Relationship Id="rId9" Type="http://schemas.openxmlformats.org/officeDocument/2006/relationships/hyperlink" Target="http://www.info.gov.hk/hkma/gdbook/chi/stroke10/liquidity_adjust_window_index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9"/>
  <sheetViews>
    <sheetView zoomScale="93" workbookViewId="0"/>
  </sheetViews>
  <sheetFormatPr baseColWidth="10" defaultColWidth="8.6640625" defaultRowHeight="15"/>
  <cols>
    <col min="1" max="1" width="10.6640625" style="19" customWidth="1"/>
    <col min="2" max="7" width="9.1640625" style="19" bestFit="1" customWidth="1"/>
    <col min="8" max="8" width="8.6640625" style="19"/>
    <col min="9" max="9" width="12.6640625" style="19" customWidth="1"/>
    <col min="10" max="13" width="9.5" style="19" bestFit="1" customWidth="1"/>
    <col min="14" max="14" width="9" style="19" bestFit="1" customWidth="1"/>
    <col min="15" max="15" width="12.33203125" style="19" bestFit="1" customWidth="1"/>
    <col min="16" max="16384" width="8.6640625" style="19"/>
  </cols>
  <sheetData>
    <row r="1" spans="1:15" s="2" customFormat="1">
      <c r="A1" s="1" t="s">
        <v>12</v>
      </c>
      <c r="I1" s="1" t="s">
        <v>13</v>
      </c>
    </row>
    <row r="2" spans="1:15" s="2" customFormat="1">
      <c r="A2" s="1" t="s">
        <v>14</v>
      </c>
      <c r="I2" s="1" t="s">
        <v>14</v>
      </c>
    </row>
    <row r="3" spans="1:15">
      <c r="A3" s="19" t="s">
        <v>0</v>
      </c>
      <c r="B3" s="19" t="s">
        <v>15</v>
      </c>
      <c r="C3" s="19" t="s">
        <v>16</v>
      </c>
      <c r="D3" s="19" t="s">
        <v>17</v>
      </c>
      <c r="E3" s="19" t="s">
        <v>18</v>
      </c>
      <c r="F3" s="19" t="s">
        <v>19</v>
      </c>
      <c r="G3" s="19" t="s">
        <v>20</v>
      </c>
      <c r="I3" s="19" t="s">
        <v>0</v>
      </c>
      <c r="J3" s="19" t="s">
        <v>15</v>
      </c>
      <c r="K3" s="19" t="s">
        <v>16</v>
      </c>
      <c r="L3" s="19" t="s">
        <v>17</v>
      </c>
      <c r="M3" s="19" t="s">
        <v>18</v>
      </c>
      <c r="N3" s="19" t="s">
        <v>19</v>
      </c>
      <c r="O3" s="19" t="s">
        <v>20</v>
      </c>
    </row>
    <row r="4" spans="1:15">
      <c r="A4" s="20">
        <v>45230</v>
      </c>
      <c r="B4" s="19">
        <v>9.7799997329711914</v>
      </c>
      <c r="C4" s="19">
        <v>9.8500003814697266</v>
      </c>
      <c r="D4" s="19">
        <v>9.5200004577636719</v>
      </c>
      <c r="E4" s="19">
        <v>9.8500003814697266</v>
      </c>
      <c r="F4" s="19">
        <v>9.0257711410522461</v>
      </c>
      <c r="G4" s="19">
        <v>1360000</v>
      </c>
      <c r="I4" s="84">
        <v>45230</v>
      </c>
      <c r="J4" s="85">
        <v>17337.69921875</v>
      </c>
      <c r="K4" s="85">
        <v>17337.69921875</v>
      </c>
      <c r="L4" s="85">
        <v>17042.099609375</v>
      </c>
      <c r="M4" s="85">
        <v>17112.48046875</v>
      </c>
      <c r="N4" s="85">
        <v>17112.48046875</v>
      </c>
      <c r="O4" s="85">
        <v>2112803500</v>
      </c>
    </row>
    <row r="5" spans="1:15">
      <c r="A5" s="20">
        <v>45231</v>
      </c>
      <c r="B5" s="19">
        <v>9.880000114440918</v>
      </c>
      <c r="C5" s="19">
        <v>9.8999996185302734</v>
      </c>
      <c r="D5" s="19">
        <v>9.6499996185302734</v>
      </c>
      <c r="E5" s="19">
        <v>9.7100000381469727</v>
      </c>
      <c r="F5" s="19">
        <v>8.8974857330322266</v>
      </c>
      <c r="G5" s="19">
        <v>1042000</v>
      </c>
      <c r="I5" s="84">
        <v>45231</v>
      </c>
      <c r="J5" s="85">
        <v>17139.400390625</v>
      </c>
      <c r="K5" s="85">
        <v>17188.849609375</v>
      </c>
      <c r="L5" s="85">
        <v>16979.259765625</v>
      </c>
      <c r="M5" s="85">
        <v>17101.779296875</v>
      </c>
      <c r="N5" s="85">
        <v>17101.779296875</v>
      </c>
      <c r="O5" s="85">
        <v>1529284000</v>
      </c>
    </row>
    <row r="6" spans="1:15">
      <c r="A6" s="20">
        <v>45232</v>
      </c>
      <c r="B6" s="19">
        <v>9.7100000381469727</v>
      </c>
      <c r="C6" s="19">
        <v>10.199999809265137</v>
      </c>
      <c r="D6" s="19">
        <v>9.7100000381469727</v>
      </c>
      <c r="E6" s="19">
        <v>10.199999809265137</v>
      </c>
      <c r="F6" s="19">
        <v>9.3464832305908203</v>
      </c>
      <c r="G6" s="19">
        <v>1487578</v>
      </c>
      <c r="I6" s="84">
        <v>45232</v>
      </c>
      <c r="J6" s="85">
        <v>17282.390625</v>
      </c>
      <c r="K6" s="85">
        <v>17459.4296875</v>
      </c>
      <c r="L6" s="85">
        <v>17176.009765625</v>
      </c>
      <c r="M6" s="85">
        <v>17230.58984375</v>
      </c>
      <c r="N6" s="85">
        <v>17230.58984375</v>
      </c>
      <c r="O6" s="85">
        <v>1802714600</v>
      </c>
    </row>
    <row r="7" spans="1:15">
      <c r="A7" s="20">
        <v>45233</v>
      </c>
      <c r="B7" s="19">
        <v>10.319999694824219</v>
      </c>
      <c r="C7" s="19">
        <v>10.600000381469727</v>
      </c>
      <c r="D7" s="19">
        <v>10.300000190734863</v>
      </c>
      <c r="E7" s="19">
        <v>10.439999580383301</v>
      </c>
      <c r="F7" s="19">
        <v>9.5663995742797852</v>
      </c>
      <c r="G7" s="19">
        <v>1631593</v>
      </c>
      <c r="I7" s="84">
        <v>45233</v>
      </c>
      <c r="J7" s="85">
        <v>17405.91015625</v>
      </c>
      <c r="K7" s="85">
        <v>17729.4296875</v>
      </c>
      <c r="L7" s="85">
        <v>17352.599609375</v>
      </c>
      <c r="M7" s="85">
        <v>17664.119140625</v>
      </c>
      <c r="N7" s="85">
        <v>17664.119140625</v>
      </c>
      <c r="O7" s="85">
        <v>1998722400</v>
      </c>
    </row>
    <row r="8" spans="1:15">
      <c r="A8" s="20">
        <v>45236</v>
      </c>
      <c r="B8" s="19">
        <v>10.439999580383301</v>
      </c>
      <c r="C8" s="19">
        <v>10.520000457763672</v>
      </c>
      <c r="D8" s="19">
        <v>10.060000419616699</v>
      </c>
      <c r="E8" s="19">
        <v>10.180000305175781</v>
      </c>
      <c r="F8" s="19">
        <v>9.3281574249267578</v>
      </c>
      <c r="G8" s="19">
        <v>944000</v>
      </c>
      <c r="I8" s="84">
        <v>45236</v>
      </c>
      <c r="J8" s="85">
        <v>17913.5390625</v>
      </c>
      <c r="K8" s="85">
        <v>18037.939453125</v>
      </c>
      <c r="L8" s="85">
        <v>17899.349609375</v>
      </c>
      <c r="M8" s="85">
        <v>17966.58984375</v>
      </c>
      <c r="N8" s="85">
        <v>17966.58984375</v>
      </c>
      <c r="O8" s="85">
        <v>2764092100</v>
      </c>
    </row>
    <row r="9" spans="1:15">
      <c r="A9" s="20">
        <v>45237</v>
      </c>
      <c r="B9" s="19">
        <v>10.140000343322754</v>
      </c>
      <c r="C9" s="19">
        <v>10.319999694824219</v>
      </c>
      <c r="D9" s="19">
        <v>10</v>
      </c>
      <c r="E9" s="19">
        <v>10.039999961853027</v>
      </c>
      <c r="F9" s="19">
        <v>9.1998701095581055</v>
      </c>
      <c r="G9" s="19">
        <v>1174000</v>
      </c>
      <c r="I9" s="84">
        <v>45237</v>
      </c>
      <c r="J9" s="85">
        <v>17850.58984375</v>
      </c>
      <c r="K9" s="85">
        <v>17890.630859375</v>
      </c>
      <c r="L9" s="85">
        <v>17658.91015625</v>
      </c>
      <c r="M9" s="85">
        <v>17670.16015625</v>
      </c>
      <c r="N9" s="85">
        <v>17670.16015625</v>
      </c>
      <c r="O9" s="85">
        <v>1971243300</v>
      </c>
    </row>
    <row r="10" spans="1:15">
      <c r="A10" s="20">
        <v>45238</v>
      </c>
      <c r="B10" s="19">
        <v>10.039999961853027</v>
      </c>
      <c r="C10" s="19">
        <v>10.079999923706055</v>
      </c>
      <c r="D10" s="19">
        <v>9.8199996948242188</v>
      </c>
      <c r="E10" s="19">
        <v>9.880000114440918</v>
      </c>
      <c r="F10" s="19">
        <v>9.0532598495483398</v>
      </c>
      <c r="G10" s="19">
        <v>1006219</v>
      </c>
      <c r="I10" s="84">
        <v>45238</v>
      </c>
      <c r="J10" s="85">
        <v>17650.509765625</v>
      </c>
      <c r="K10" s="85">
        <v>17753.58984375</v>
      </c>
      <c r="L10" s="85">
        <v>17537.19921875</v>
      </c>
      <c r="M10" s="85">
        <v>17568.4609375</v>
      </c>
      <c r="N10" s="85">
        <v>17568.4609375</v>
      </c>
      <c r="O10" s="85">
        <v>2140777800</v>
      </c>
    </row>
    <row r="11" spans="1:15">
      <c r="A11" s="20">
        <v>45239</v>
      </c>
      <c r="B11" s="19">
        <v>9.8299999237060547</v>
      </c>
      <c r="C11" s="19">
        <v>10.140000343322754</v>
      </c>
      <c r="D11" s="19">
        <v>9.8299999237060547</v>
      </c>
      <c r="E11" s="19">
        <v>10.100000381469727</v>
      </c>
      <c r="F11" s="19">
        <v>9.2548513412475586</v>
      </c>
      <c r="G11" s="19">
        <v>892000</v>
      </c>
      <c r="I11" s="84">
        <v>45239</v>
      </c>
      <c r="J11" s="85">
        <v>17553.259765625</v>
      </c>
      <c r="K11" s="85">
        <v>17617.26953125</v>
      </c>
      <c r="L11" s="85">
        <v>17457</v>
      </c>
      <c r="M11" s="85">
        <v>17511.2890625</v>
      </c>
      <c r="N11" s="85">
        <v>17511.2890625</v>
      </c>
      <c r="O11" s="85">
        <v>1643795500</v>
      </c>
    </row>
    <row r="12" spans="1:15">
      <c r="A12" s="20">
        <v>45240</v>
      </c>
      <c r="B12" s="19">
        <v>10.020000457763672</v>
      </c>
      <c r="C12" s="19">
        <v>10.100000381469727</v>
      </c>
      <c r="D12" s="19">
        <v>9.9300003051757812</v>
      </c>
      <c r="E12" s="19">
        <v>9.9600000381469727</v>
      </c>
      <c r="F12" s="19">
        <v>9.1265649795532227</v>
      </c>
      <c r="G12" s="19">
        <v>398000</v>
      </c>
      <c r="I12" s="84">
        <v>45240</v>
      </c>
      <c r="J12" s="85">
        <v>17350.869140625</v>
      </c>
      <c r="K12" s="85">
        <v>17350.869140625</v>
      </c>
      <c r="L12" s="85">
        <v>17177.529296875</v>
      </c>
      <c r="M12" s="85">
        <v>17203.259765625</v>
      </c>
      <c r="N12" s="85">
        <v>17203.259765625</v>
      </c>
      <c r="O12" s="85">
        <v>1674484500</v>
      </c>
    </row>
    <row r="13" spans="1:15">
      <c r="A13" s="20">
        <v>45243</v>
      </c>
      <c r="B13" s="19">
        <v>9.9600000381469727</v>
      </c>
      <c r="C13" s="19">
        <v>10.039999961853027</v>
      </c>
      <c r="D13" s="19">
        <v>9.8900003433227539</v>
      </c>
      <c r="E13" s="19">
        <v>10.039999961853027</v>
      </c>
      <c r="F13" s="19">
        <v>9.1998701095581055</v>
      </c>
      <c r="G13" s="19">
        <v>266089</v>
      </c>
      <c r="I13" s="84">
        <v>45243</v>
      </c>
      <c r="J13" s="85">
        <v>17263</v>
      </c>
      <c r="K13" s="85">
        <v>17456.080078125</v>
      </c>
      <c r="L13" s="85">
        <v>17126.609375</v>
      </c>
      <c r="M13" s="85">
        <v>17426.2109375</v>
      </c>
      <c r="N13" s="85">
        <v>17426.2109375</v>
      </c>
      <c r="O13" s="85">
        <v>1440269500</v>
      </c>
    </row>
    <row r="14" spans="1:15">
      <c r="A14" s="20">
        <v>45244</v>
      </c>
      <c r="B14" s="19">
        <v>10</v>
      </c>
      <c r="C14" s="19">
        <v>10.199999809265137</v>
      </c>
      <c r="D14" s="19">
        <v>10</v>
      </c>
      <c r="E14" s="19">
        <v>10.140000343322754</v>
      </c>
      <c r="F14" s="19">
        <v>9.2915029525756836</v>
      </c>
      <c r="G14" s="19">
        <v>481765</v>
      </c>
      <c r="I14" s="84">
        <v>45244</v>
      </c>
      <c r="J14" s="85">
        <v>17495.099609375</v>
      </c>
      <c r="K14" s="85">
        <v>17565.220703125</v>
      </c>
      <c r="L14" s="85">
        <v>17358.890625</v>
      </c>
      <c r="M14" s="85">
        <v>17396.859375</v>
      </c>
      <c r="N14" s="85">
        <v>17396.859375</v>
      </c>
      <c r="O14" s="85">
        <v>1449318000</v>
      </c>
    </row>
    <row r="15" spans="1:15">
      <c r="A15" s="20">
        <v>45245</v>
      </c>
      <c r="B15" s="19">
        <v>10.159999847412109</v>
      </c>
      <c r="C15" s="19">
        <v>10.279999732971191</v>
      </c>
      <c r="D15" s="19">
        <v>10.119999885559082</v>
      </c>
      <c r="E15" s="19">
        <v>10.239999771118164</v>
      </c>
      <c r="F15" s="19">
        <v>9.3831348419189453</v>
      </c>
      <c r="G15" s="19">
        <v>435197</v>
      </c>
      <c r="I15" s="84">
        <v>45245</v>
      </c>
      <c r="J15" s="85">
        <v>17836.650390625</v>
      </c>
      <c r="K15" s="85">
        <v>18102.279296875</v>
      </c>
      <c r="L15" s="85">
        <v>17766.220703125</v>
      </c>
      <c r="M15" s="85">
        <v>18079</v>
      </c>
      <c r="N15" s="85">
        <v>18079</v>
      </c>
      <c r="O15" s="85">
        <v>2908679700</v>
      </c>
    </row>
    <row r="16" spans="1:15">
      <c r="A16" s="20">
        <v>45246</v>
      </c>
      <c r="B16" s="19">
        <v>10.159999847412109</v>
      </c>
      <c r="C16" s="19">
        <v>10.300000190734863</v>
      </c>
      <c r="D16" s="19">
        <v>10.079999923706055</v>
      </c>
      <c r="E16" s="19">
        <v>10.239999771118164</v>
      </c>
      <c r="F16" s="19">
        <v>9.3831348419189453</v>
      </c>
      <c r="G16" s="19">
        <v>376000</v>
      </c>
      <c r="I16" s="84">
        <v>45246</v>
      </c>
      <c r="J16" s="85">
        <v>18174.689453125</v>
      </c>
      <c r="K16" s="85">
        <v>18174.689453125</v>
      </c>
      <c r="L16" s="85">
        <v>17722.859375</v>
      </c>
      <c r="M16" s="85">
        <v>17832.8203125</v>
      </c>
      <c r="N16" s="85">
        <v>17832.8203125</v>
      </c>
      <c r="O16" s="85">
        <v>1880199400</v>
      </c>
    </row>
    <row r="17" spans="1:15">
      <c r="A17" s="20">
        <v>45247</v>
      </c>
      <c r="B17" s="19">
        <v>10.100000381469727</v>
      </c>
      <c r="C17" s="19">
        <v>10.199999809265137</v>
      </c>
      <c r="D17" s="19">
        <v>10.060000419616699</v>
      </c>
      <c r="E17" s="19">
        <v>10.199999809265137</v>
      </c>
      <c r="F17" s="19">
        <v>9.3464832305908203</v>
      </c>
      <c r="G17" s="19">
        <v>185816</v>
      </c>
      <c r="I17" s="84">
        <v>45247</v>
      </c>
      <c r="J17" s="85">
        <v>17584.3203125</v>
      </c>
      <c r="K17" s="85">
        <v>17631.0390625</v>
      </c>
      <c r="L17" s="85">
        <v>17413.4609375</v>
      </c>
      <c r="M17" s="85">
        <v>17454.189453125</v>
      </c>
      <c r="N17" s="85">
        <v>17454.189453125</v>
      </c>
      <c r="O17" s="85">
        <v>1945034800</v>
      </c>
    </row>
    <row r="18" spans="1:15">
      <c r="A18" s="20">
        <v>45250</v>
      </c>
      <c r="B18" s="19">
        <v>10.199999809265137</v>
      </c>
      <c r="C18" s="19">
        <v>10.199999809265137</v>
      </c>
      <c r="D18" s="19">
        <v>10.060000419616699</v>
      </c>
      <c r="E18" s="19">
        <v>10.119999885559082</v>
      </c>
      <c r="F18" s="19">
        <v>9.2731781005859375</v>
      </c>
      <c r="G18" s="19">
        <v>420000</v>
      </c>
      <c r="I18" s="84">
        <v>45250</v>
      </c>
      <c r="J18" s="85">
        <v>17625.83984375</v>
      </c>
      <c r="K18" s="85">
        <v>17788.900390625</v>
      </c>
      <c r="L18" s="85">
        <v>17532.73046875</v>
      </c>
      <c r="M18" s="85">
        <v>17778.0703125</v>
      </c>
      <c r="N18" s="85">
        <v>17778.0703125</v>
      </c>
      <c r="O18" s="85">
        <v>1964565600</v>
      </c>
    </row>
    <row r="19" spans="1:15">
      <c r="A19" s="20">
        <v>45251</v>
      </c>
      <c r="B19" s="19">
        <v>10.119999885559082</v>
      </c>
      <c r="C19" s="19">
        <v>10.5</v>
      </c>
      <c r="D19" s="19">
        <v>10.119999885559082</v>
      </c>
      <c r="E19" s="19">
        <v>10.199999809265137</v>
      </c>
      <c r="F19" s="19">
        <v>9.3464832305908203</v>
      </c>
      <c r="G19" s="19">
        <v>666000</v>
      </c>
      <c r="I19" s="84">
        <v>45251</v>
      </c>
      <c r="J19" s="85">
        <v>17932.5390625</v>
      </c>
      <c r="K19" s="85">
        <v>18057.619140625</v>
      </c>
      <c r="L19" s="85">
        <v>17689.009765625</v>
      </c>
      <c r="M19" s="85">
        <v>17733.890625</v>
      </c>
      <c r="N19" s="85">
        <v>17733.890625</v>
      </c>
      <c r="O19" s="85">
        <v>2090432200</v>
      </c>
    </row>
    <row r="20" spans="1:15">
      <c r="A20" s="20">
        <v>45252</v>
      </c>
      <c r="B20" s="19">
        <v>10.300000190734863</v>
      </c>
      <c r="C20" s="19">
        <v>10.359999656677246</v>
      </c>
      <c r="D20" s="19">
        <v>10.039999961853027</v>
      </c>
      <c r="E20" s="19">
        <v>10.140000343322754</v>
      </c>
      <c r="F20" s="19">
        <v>9.2915029525756836</v>
      </c>
      <c r="G20" s="19">
        <v>410844</v>
      </c>
      <c r="I20" s="84">
        <v>45252</v>
      </c>
      <c r="J20" s="85">
        <v>17736.400390625</v>
      </c>
      <c r="K20" s="85">
        <v>17796.859375</v>
      </c>
      <c r="L20" s="85">
        <v>17650.490234375</v>
      </c>
      <c r="M20" s="85">
        <v>17734.599609375</v>
      </c>
      <c r="N20" s="85">
        <v>17734.599609375</v>
      </c>
      <c r="O20" s="85">
        <v>1235837700</v>
      </c>
    </row>
    <row r="21" spans="1:15">
      <c r="A21" s="20">
        <v>45253</v>
      </c>
      <c r="B21" s="19">
        <v>10.060000419616699</v>
      </c>
      <c r="C21" s="19">
        <v>10.119999885559082</v>
      </c>
      <c r="D21" s="19">
        <v>10.020000457763672</v>
      </c>
      <c r="E21" s="19">
        <v>10.079999923706055</v>
      </c>
      <c r="F21" s="19">
        <v>9.2365245819091797</v>
      </c>
      <c r="G21" s="19">
        <v>196000</v>
      </c>
      <c r="I21" s="84">
        <v>45253</v>
      </c>
      <c r="J21" s="85">
        <v>17680.05078125</v>
      </c>
      <c r="K21" s="85">
        <v>17927.359375</v>
      </c>
      <c r="L21" s="85">
        <v>17577.310546875</v>
      </c>
      <c r="M21" s="85">
        <v>17910.83984375</v>
      </c>
      <c r="N21" s="85">
        <v>17910.83984375</v>
      </c>
      <c r="O21" s="85">
        <v>1671974300</v>
      </c>
    </row>
    <row r="22" spans="1:15">
      <c r="A22" s="20">
        <v>45254</v>
      </c>
      <c r="B22" s="19">
        <v>10.060000419616699</v>
      </c>
      <c r="C22" s="19">
        <v>10.119999885559082</v>
      </c>
      <c r="D22" s="19">
        <v>9.8900003433227539</v>
      </c>
      <c r="E22" s="19">
        <v>9.9099998474121094</v>
      </c>
      <c r="F22" s="19">
        <v>9.08074951171875</v>
      </c>
      <c r="G22" s="19">
        <v>326000</v>
      </c>
      <c r="I22" s="84">
        <v>45254</v>
      </c>
      <c r="J22" s="85">
        <v>17771.75</v>
      </c>
      <c r="K22" s="85">
        <v>17771.75</v>
      </c>
      <c r="L22" s="85">
        <v>17545.609375</v>
      </c>
      <c r="M22" s="85">
        <v>17559.419921875</v>
      </c>
      <c r="N22" s="85">
        <v>17559.419921875</v>
      </c>
      <c r="O22" s="85">
        <v>1298211800</v>
      </c>
    </row>
    <row r="23" spans="1:15">
      <c r="A23" s="20">
        <v>45257</v>
      </c>
      <c r="B23" s="19">
        <v>9.8999996185302734</v>
      </c>
      <c r="C23" s="19">
        <v>10.239999771118164</v>
      </c>
      <c r="D23" s="19">
        <v>9.8999996185302734</v>
      </c>
      <c r="E23" s="19">
        <v>10.199999809265137</v>
      </c>
      <c r="F23" s="19">
        <v>9.3464832305908203</v>
      </c>
      <c r="G23" s="19">
        <v>587066</v>
      </c>
      <c r="I23" s="84">
        <v>45257</v>
      </c>
      <c r="J23" s="85">
        <v>17677.51953125</v>
      </c>
      <c r="K23" s="85">
        <v>17677.51953125</v>
      </c>
      <c r="L23" s="85">
        <v>17358.240234375</v>
      </c>
      <c r="M23" s="85">
        <v>17525.060546875</v>
      </c>
      <c r="N23" s="85">
        <v>17525.060546875</v>
      </c>
      <c r="O23" s="85">
        <v>1502728300</v>
      </c>
    </row>
    <row r="24" spans="1:15">
      <c r="A24" s="20">
        <v>45258</v>
      </c>
      <c r="B24" s="19">
        <v>10.180000305175781</v>
      </c>
      <c r="C24" s="19">
        <v>10.380000114440918</v>
      </c>
      <c r="D24" s="19">
        <v>9.9399995803833008</v>
      </c>
      <c r="E24" s="19">
        <v>10.079999923706055</v>
      </c>
      <c r="F24" s="19">
        <v>9.2365245819091797</v>
      </c>
      <c r="G24" s="19">
        <v>907464</v>
      </c>
      <c r="I24" s="84">
        <v>45258</v>
      </c>
      <c r="J24" s="85">
        <v>17541.48046875</v>
      </c>
      <c r="K24" s="85">
        <v>17541.48046875</v>
      </c>
      <c r="L24" s="85">
        <v>17303.8203125</v>
      </c>
      <c r="M24" s="85">
        <v>17354.140625</v>
      </c>
      <c r="N24" s="85">
        <v>17354.140625</v>
      </c>
      <c r="O24" s="85">
        <v>1785765500</v>
      </c>
    </row>
    <row r="25" spans="1:15">
      <c r="A25" s="20">
        <v>45259</v>
      </c>
      <c r="B25" s="19">
        <v>10.100000381469727</v>
      </c>
      <c r="C25" s="19">
        <v>10.140000343322754</v>
      </c>
      <c r="D25" s="19">
        <v>9.7700004577636719</v>
      </c>
      <c r="E25" s="19">
        <v>9.8000001907348633</v>
      </c>
      <c r="F25" s="19">
        <v>8.9799537658691406</v>
      </c>
      <c r="G25" s="19">
        <v>727104</v>
      </c>
      <c r="I25" s="84">
        <v>45259</v>
      </c>
      <c r="J25" s="85">
        <v>17359.080078125</v>
      </c>
      <c r="K25" s="85">
        <v>17359.080078125</v>
      </c>
      <c r="L25" s="85">
        <v>16881.98046875</v>
      </c>
      <c r="M25" s="85">
        <v>16993.439453125</v>
      </c>
      <c r="N25" s="85">
        <v>16993.439453125</v>
      </c>
      <c r="O25" s="85">
        <v>2810136500</v>
      </c>
    </row>
    <row r="26" spans="1:15">
      <c r="A26" s="20">
        <v>45260</v>
      </c>
      <c r="B26" s="19">
        <v>9.8599996566772461</v>
      </c>
      <c r="C26" s="19">
        <v>9.8599996566772461</v>
      </c>
      <c r="D26" s="19">
        <v>9.5200004577636719</v>
      </c>
      <c r="E26" s="19">
        <v>9.6000003814697266</v>
      </c>
      <c r="F26" s="19">
        <v>8.7966899871826172</v>
      </c>
      <c r="G26" s="19">
        <v>1216448</v>
      </c>
      <c r="I26" s="84">
        <v>45260</v>
      </c>
      <c r="J26" s="85">
        <v>16985.1796875</v>
      </c>
      <c r="K26" s="85">
        <v>17068.259765625</v>
      </c>
      <c r="L26" s="85">
        <v>16863.05078125</v>
      </c>
      <c r="M26" s="85">
        <v>17042.880859375</v>
      </c>
      <c r="N26" s="85">
        <v>17042.880859375</v>
      </c>
      <c r="O26" s="85">
        <v>3013993300</v>
      </c>
    </row>
    <row r="27" spans="1:15">
      <c r="A27" s="20">
        <v>45261</v>
      </c>
      <c r="B27" s="19">
        <v>9.6599998474121094</v>
      </c>
      <c r="C27" s="19">
        <v>9.9600000381469727</v>
      </c>
      <c r="D27" s="19">
        <v>9.5500001907348633</v>
      </c>
      <c r="E27" s="19">
        <v>9.8199996948242188</v>
      </c>
      <c r="F27" s="19">
        <v>8.9982805252075195</v>
      </c>
      <c r="G27" s="19">
        <v>1732000</v>
      </c>
      <c r="I27" s="84">
        <v>45261</v>
      </c>
      <c r="J27" s="85">
        <v>17019.169921875</v>
      </c>
      <c r="K27" s="85">
        <v>17038.98046875</v>
      </c>
      <c r="L27" s="85">
        <v>16830.30078125</v>
      </c>
      <c r="M27" s="85">
        <v>16830.30078125</v>
      </c>
      <c r="N27" s="85">
        <v>16830.30078125</v>
      </c>
      <c r="O27" s="85">
        <v>2434410800</v>
      </c>
    </row>
    <row r="28" spans="1:15">
      <c r="A28" s="20">
        <v>45264</v>
      </c>
      <c r="B28" s="19">
        <v>9.7899999618530273</v>
      </c>
      <c r="C28" s="19">
        <v>9.9600000381469727</v>
      </c>
      <c r="D28" s="19">
        <v>9.7100000381469727</v>
      </c>
      <c r="E28" s="19">
        <v>9.8500003814697266</v>
      </c>
      <c r="F28" s="19">
        <v>9.0257711410522461</v>
      </c>
      <c r="G28" s="19">
        <v>964000</v>
      </c>
      <c r="I28" s="84">
        <v>45264</v>
      </c>
      <c r="J28" s="85">
        <v>16919.080078125</v>
      </c>
      <c r="K28" s="85">
        <v>16941.91015625</v>
      </c>
      <c r="L28" s="85">
        <v>16617.029296875</v>
      </c>
      <c r="M28" s="85">
        <v>16646.05078125</v>
      </c>
      <c r="N28" s="85">
        <v>16646.05078125</v>
      </c>
      <c r="O28" s="85">
        <v>2476132300</v>
      </c>
    </row>
    <row r="29" spans="1:15">
      <c r="A29" s="20">
        <v>45265</v>
      </c>
      <c r="B29" s="19">
        <v>9.9499998092651367</v>
      </c>
      <c r="C29" s="19">
        <v>9.9499998092651367</v>
      </c>
      <c r="D29" s="19">
        <v>9.6000003814697266</v>
      </c>
      <c r="E29" s="19">
        <v>9.6599998474121094</v>
      </c>
      <c r="F29" s="19">
        <v>8.8516693115234375</v>
      </c>
      <c r="G29" s="19">
        <v>544099</v>
      </c>
      <c r="I29" s="84">
        <v>45265</v>
      </c>
      <c r="J29" s="85">
        <v>16606.5390625</v>
      </c>
      <c r="K29" s="85">
        <v>16606.5390625</v>
      </c>
      <c r="L29" s="85">
        <v>16228.51953125</v>
      </c>
      <c r="M29" s="85">
        <v>16327.8603515625</v>
      </c>
      <c r="N29" s="85">
        <v>16327.8603515625</v>
      </c>
      <c r="O29" s="85">
        <v>2682379700</v>
      </c>
    </row>
    <row r="30" spans="1:15">
      <c r="A30" s="20">
        <v>45266</v>
      </c>
      <c r="B30" s="19">
        <v>9.6599998474121094</v>
      </c>
      <c r="C30" s="19">
        <v>9.9200000762939453</v>
      </c>
      <c r="D30" s="19">
        <v>9.6599998474121094</v>
      </c>
      <c r="E30" s="19">
        <v>9.8000001907348633</v>
      </c>
      <c r="F30" s="19">
        <v>8.9799537658691406</v>
      </c>
      <c r="G30" s="19">
        <v>780000</v>
      </c>
      <c r="I30" s="84">
        <v>45266</v>
      </c>
      <c r="J30" s="85">
        <v>16311.9599609375</v>
      </c>
      <c r="K30" s="85">
        <v>16600.359375</v>
      </c>
      <c r="L30" s="85">
        <v>16234.83984375</v>
      </c>
      <c r="M30" s="85">
        <v>16463.259765625</v>
      </c>
      <c r="N30" s="85">
        <v>16463.259765625</v>
      </c>
      <c r="O30" s="85">
        <v>1986768900</v>
      </c>
    </row>
    <row r="31" spans="1:15">
      <c r="A31" s="20">
        <v>45267</v>
      </c>
      <c r="B31" s="19">
        <v>9.8000001907348633</v>
      </c>
      <c r="C31" s="19">
        <v>9.8000001907348633</v>
      </c>
      <c r="D31" s="19">
        <v>9.3400001525878906</v>
      </c>
      <c r="E31" s="19">
        <v>9.4600000381469727</v>
      </c>
      <c r="F31" s="19">
        <v>8.6684045791625977</v>
      </c>
      <c r="G31" s="19">
        <v>657275</v>
      </c>
      <c r="I31" s="84">
        <v>45267</v>
      </c>
      <c r="J31" s="85">
        <v>16376.4404296875</v>
      </c>
      <c r="K31" s="85">
        <v>16376.4404296875</v>
      </c>
      <c r="L31" s="85">
        <v>16157.98046875</v>
      </c>
      <c r="M31" s="85">
        <v>16345.8896484375</v>
      </c>
      <c r="N31" s="85">
        <v>16345.8896484375</v>
      </c>
      <c r="O31" s="85">
        <v>1947345700</v>
      </c>
    </row>
    <row r="32" spans="1:15">
      <c r="A32" s="20">
        <v>45268</v>
      </c>
      <c r="B32" s="19">
        <v>9.5500001907348633</v>
      </c>
      <c r="C32" s="19">
        <v>9.6499996185302734</v>
      </c>
      <c r="D32" s="19">
        <v>9.4700002670288086</v>
      </c>
      <c r="E32" s="19">
        <v>9.5200004577636719</v>
      </c>
      <c r="F32" s="19">
        <v>8.7233848571777344</v>
      </c>
      <c r="G32" s="19">
        <v>388000</v>
      </c>
      <c r="I32" s="84">
        <v>45268</v>
      </c>
      <c r="J32" s="85">
        <v>16373.4404296875</v>
      </c>
      <c r="K32" s="85">
        <v>16464.140625</v>
      </c>
      <c r="L32" s="85">
        <v>16249.150390625</v>
      </c>
      <c r="M32" s="85">
        <v>16334.3701171875</v>
      </c>
      <c r="N32" s="85">
        <v>16334.3701171875</v>
      </c>
      <c r="O32" s="85">
        <v>1877235700</v>
      </c>
    </row>
    <row r="33" spans="1:15">
      <c r="A33" s="20">
        <v>45271</v>
      </c>
      <c r="B33" s="19">
        <v>9.3299999237060547</v>
      </c>
      <c r="C33" s="19">
        <v>9.3299999237060547</v>
      </c>
      <c r="D33" s="19">
        <v>8.9799995422363281</v>
      </c>
      <c r="E33" s="19">
        <v>9.0299997329711914</v>
      </c>
      <c r="F33" s="19">
        <v>8.4068470001220703</v>
      </c>
      <c r="G33" s="19">
        <v>966000</v>
      </c>
      <c r="I33" s="84">
        <v>45271</v>
      </c>
      <c r="J33" s="85">
        <v>16149.0595703125</v>
      </c>
      <c r="K33" s="85">
        <v>16276.8798828125</v>
      </c>
      <c r="L33" s="85">
        <v>15972.3095703125</v>
      </c>
      <c r="M33" s="85">
        <v>16201.490234375</v>
      </c>
      <c r="N33" s="85">
        <v>16201.490234375</v>
      </c>
      <c r="O33" s="85">
        <v>2532290600</v>
      </c>
    </row>
    <row r="34" spans="1:15">
      <c r="A34" s="20">
        <v>45272</v>
      </c>
      <c r="B34" s="19">
        <v>9.0500001907348633</v>
      </c>
      <c r="C34" s="19">
        <v>9.25</v>
      </c>
      <c r="D34" s="19">
        <v>9.0200004577636719</v>
      </c>
      <c r="E34" s="19">
        <v>9.2100000381469727</v>
      </c>
      <c r="F34" s="19">
        <v>8.5744256973266602</v>
      </c>
      <c r="G34" s="19">
        <v>404000</v>
      </c>
      <c r="I34" s="84">
        <v>45272</v>
      </c>
      <c r="J34" s="85">
        <v>16236.0595703125</v>
      </c>
      <c r="K34" s="85">
        <v>16420.970703125</v>
      </c>
      <c r="L34" s="85">
        <v>16157.6796875</v>
      </c>
      <c r="M34" s="85">
        <v>16374.5</v>
      </c>
      <c r="N34" s="85">
        <v>16374.5</v>
      </c>
      <c r="O34" s="85">
        <v>1980791700</v>
      </c>
    </row>
    <row r="35" spans="1:15">
      <c r="A35" s="20">
        <v>45273</v>
      </c>
      <c r="B35" s="19">
        <v>9.1899995803833008</v>
      </c>
      <c r="C35" s="19">
        <v>9.25</v>
      </c>
      <c r="D35" s="19">
        <v>8.8999996185302734</v>
      </c>
      <c r="E35" s="19">
        <v>8.9300003051757812</v>
      </c>
      <c r="F35" s="19">
        <v>8.3137483596801758</v>
      </c>
      <c r="G35" s="19">
        <v>1792000</v>
      </c>
      <c r="I35" s="84">
        <v>45273</v>
      </c>
      <c r="J35" s="85">
        <v>16311.7099609375</v>
      </c>
      <c r="K35" s="85">
        <v>16326.9501953125</v>
      </c>
      <c r="L35" s="85">
        <v>16145.25</v>
      </c>
      <c r="M35" s="85">
        <v>16228.75</v>
      </c>
      <c r="N35" s="85">
        <v>16228.75</v>
      </c>
      <c r="O35" s="85">
        <v>1863333100</v>
      </c>
    </row>
    <row r="36" spans="1:15">
      <c r="A36" s="20">
        <v>45274</v>
      </c>
      <c r="B36" s="19">
        <v>9</v>
      </c>
      <c r="C36" s="19">
        <v>9.2799997329711914</v>
      </c>
      <c r="D36" s="19">
        <v>9</v>
      </c>
      <c r="E36" s="19">
        <v>9.130000114440918</v>
      </c>
      <c r="F36" s="19">
        <v>8.4999465942382812</v>
      </c>
      <c r="G36" s="19">
        <v>720000</v>
      </c>
      <c r="I36" s="84">
        <v>45274</v>
      </c>
      <c r="J36" s="85">
        <v>16419.740234375</v>
      </c>
      <c r="K36" s="85">
        <v>16577.75</v>
      </c>
      <c r="L36" s="85">
        <v>16319.2197265625</v>
      </c>
      <c r="M36" s="85">
        <v>16402.189453125</v>
      </c>
      <c r="N36" s="85">
        <v>16402.189453125</v>
      </c>
      <c r="O36" s="85">
        <v>2341652000</v>
      </c>
    </row>
    <row r="37" spans="1:15">
      <c r="A37" s="20">
        <v>45275</v>
      </c>
      <c r="B37" s="19">
        <v>9.1999998092651367</v>
      </c>
      <c r="C37" s="19">
        <v>9.2700004577636719</v>
      </c>
      <c r="D37" s="19">
        <v>9.0299997329711914</v>
      </c>
      <c r="E37" s="19">
        <v>9.119999885559082</v>
      </c>
      <c r="F37" s="19">
        <v>8.490635871887207</v>
      </c>
      <c r="G37" s="19">
        <v>966000</v>
      </c>
      <c r="I37" s="84">
        <v>45275</v>
      </c>
      <c r="J37" s="85">
        <v>16610.69921875</v>
      </c>
      <c r="K37" s="85">
        <v>16964.330078125</v>
      </c>
      <c r="L37" s="85">
        <v>16610.69921875</v>
      </c>
      <c r="M37" s="85">
        <v>16792.189453125</v>
      </c>
      <c r="N37" s="85">
        <v>16792.189453125</v>
      </c>
      <c r="O37" s="85">
        <v>3900268500</v>
      </c>
    </row>
    <row r="38" spans="1:15">
      <c r="A38" s="20">
        <v>45278</v>
      </c>
      <c r="B38" s="19">
        <v>9.0799999237060547</v>
      </c>
      <c r="C38" s="19">
        <v>9.2899999618530273</v>
      </c>
      <c r="D38" s="19">
        <v>9.0500001907348633</v>
      </c>
      <c r="E38" s="19">
        <v>9.2799997329711914</v>
      </c>
      <c r="F38" s="19">
        <v>8.6395950317382812</v>
      </c>
      <c r="G38" s="19">
        <v>310000</v>
      </c>
      <c r="I38" s="84">
        <v>45278</v>
      </c>
      <c r="J38" s="85">
        <v>16669.8203125</v>
      </c>
      <c r="K38" s="85">
        <v>16713.41015625</v>
      </c>
      <c r="L38" s="85">
        <v>16572.880859375</v>
      </c>
      <c r="M38" s="85">
        <v>16629.23046875</v>
      </c>
      <c r="N38" s="85">
        <v>16629.23046875</v>
      </c>
      <c r="O38" s="85">
        <v>1566620000</v>
      </c>
    </row>
    <row r="39" spans="1:15">
      <c r="A39" s="20">
        <v>45279</v>
      </c>
      <c r="B39" s="19">
        <v>9.3400001525878906</v>
      </c>
      <c r="C39" s="19">
        <v>9.3400001525878906</v>
      </c>
      <c r="D39" s="19">
        <v>9.0100002288818359</v>
      </c>
      <c r="E39" s="19">
        <v>9.0500001907348633</v>
      </c>
      <c r="F39" s="19">
        <v>8.4254674911499023</v>
      </c>
      <c r="G39" s="19">
        <v>340000</v>
      </c>
      <c r="I39" s="84">
        <v>45279</v>
      </c>
      <c r="J39" s="85">
        <v>16551.439453125</v>
      </c>
      <c r="K39" s="85">
        <v>16579.55078125</v>
      </c>
      <c r="L39" s="85">
        <v>16408.01953125</v>
      </c>
      <c r="M39" s="85">
        <v>16505</v>
      </c>
      <c r="N39" s="85">
        <v>16505</v>
      </c>
      <c r="O39" s="85">
        <v>1521452800</v>
      </c>
    </row>
    <row r="40" spans="1:15">
      <c r="A40" s="20">
        <v>45280</v>
      </c>
      <c r="B40" s="19">
        <v>9.130000114440918</v>
      </c>
      <c r="C40" s="19">
        <v>9.2100000381469727</v>
      </c>
      <c r="D40" s="19">
        <v>9</v>
      </c>
      <c r="E40" s="19">
        <v>9.0399999618530273</v>
      </c>
      <c r="F40" s="19">
        <v>8.4161567687988281</v>
      </c>
      <c r="G40" s="19">
        <v>572000</v>
      </c>
      <c r="I40" s="84">
        <v>45280</v>
      </c>
      <c r="J40" s="85">
        <v>16647.94921875</v>
      </c>
      <c r="K40" s="85">
        <v>16741.05078125</v>
      </c>
      <c r="L40" s="85">
        <v>16549.490234375</v>
      </c>
      <c r="M40" s="85">
        <v>16613.810546875</v>
      </c>
      <c r="N40" s="85">
        <v>16613.810546875</v>
      </c>
      <c r="O40" s="85">
        <v>1647320700</v>
      </c>
    </row>
    <row r="41" spans="1:15">
      <c r="A41" s="20">
        <v>45281</v>
      </c>
      <c r="B41" s="19">
        <v>9.0399999618530273</v>
      </c>
      <c r="C41" s="19">
        <v>9.0399999618530273</v>
      </c>
      <c r="D41" s="19">
        <v>8.9300003051757812</v>
      </c>
      <c r="E41" s="19">
        <v>9</v>
      </c>
      <c r="F41" s="19">
        <v>8.3789176940917969</v>
      </c>
      <c r="G41" s="19">
        <v>677499</v>
      </c>
      <c r="I41" s="84">
        <v>45281</v>
      </c>
      <c r="J41" s="85">
        <v>16455.140625</v>
      </c>
      <c r="K41" s="85">
        <v>16649.5703125</v>
      </c>
      <c r="L41" s="85">
        <v>16444.73046875</v>
      </c>
      <c r="M41" s="85">
        <v>16621.130859375</v>
      </c>
      <c r="N41" s="85">
        <v>16621.130859375</v>
      </c>
      <c r="O41" s="85">
        <v>1404417200</v>
      </c>
    </row>
    <row r="42" spans="1:15">
      <c r="A42" s="20">
        <v>45282</v>
      </c>
      <c r="B42" s="19">
        <v>9</v>
      </c>
      <c r="C42" s="19">
        <v>9.0100002288818359</v>
      </c>
      <c r="D42" s="19">
        <v>8.7399997711181641</v>
      </c>
      <c r="E42" s="19">
        <v>8.8199996948242188</v>
      </c>
      <c r="F42" s="19">
        <v>8.211338996887207</v>
      </c>
      <c r="G42" s="19">
        <v>1030000</v>
      </c>
      <c r="I42" s="84">
        <v>45282</v>
      </c>
      <c r="J42" s="85">
        <v>16743.060546875</v>
      </c>
      <c r="K42" s="85">
        <v>16857.83984375</v>
      </c>
      <c r="L42" s="85">
        <v>16271.5</v>
      </c>
      <c r="M42" s="85">
        <v>16340.41015625</v>
      </c>
      <c r="N42" s="85">
        <v>16340.41015625</v>
      </c>
      <c r="O42" s="85">
        <v>2197553900</v>
      </c>
    </row>
    <row r="43" spans="1:15">
      <c r="A43" s="20">
        <v>45287</v>
      </c>
      <c r="B43" s="19">
        <v>8.8199996948242188</v>
      </c>
      <c r="C43" s="19">
        <v>9</v>
      </c>
      <c r="D43" s="19">
        <v>8.8199996948242188</v>
      </c>
      <c r="E43" s="19">
        <v>8.9099998474121094</v>
      </c>
      <c r="F43" s="19">
        <v>8.2951278686523438</v>
      </c>
      <c r="G43" s="19">
        <v>586000</v>
      </c>
      <c r="I43" s="84">
        <v>45287</v>
      </c>
      <c r="J43" s="85">
        <v>16561.779296875</v>
      </c>
      <c r="K43" s="85">
        <v>16673.5703125</v>
      </c>
      <c r="L43" s="85">
        <v>16439.259765625</v>
      </c>
      <c r="M43" s="85">
        <v>16624.83984375</v>
      </c>
      <c r="N43" s="85">
        <v>16624.83984375</v>
      </c>
      <c r="O43" s="85">
        <v>2228051300</v>
      </c>
    </row>
    <row r="44" spans="1:15">
      <c r="A44" s="20">
        <v>45288</v>
      </c>
      <c r="B44" s="19">
        <v>9.1000003814697266</v>
      </c>
      <c r="C44" s="19">
        <v>9.1999998092651367</v>
      </c>
      <c r="D44" s="19">
        <v>8.9499998092651367</v>
      </c>
      <c r="E44" s="19">
        <v>9.1899995803833008</v>
      </c>
      <c r="F44" s="19">
        <v>8.5558052062988281</v>
      </c>
      <c r="G44" s="19">
        <v>718066</v>
      </c>
      <c r="I44" s="84">
        <v>45288</v>
      </c>
      <c r="J44" s="85">
        <v>16678.23046875</v>
      </c>
      <c r="K44" s="85">
        <v>17086.099609375</v>
      </c>
      <c r="L44" s="85">
        <v>16644.4296875</v>
      </c>
      <c r="M44" s="85">
        <v>17043.529296875</v>
      </c>
      <c r="N44" s="85">
        <v>17043.529296875</v>
      </c>
      <c r="O44" s="85">
        <v>2301329400</v>
      </c>
    </row>
    <row r="45" spans="1:15">
      <c r="A45" s="20">
        <v>45289</v>
      </c>
      <c r="B45" s="19">
        <v>9.2799997329711914</v>
      </c>
      <c r="C45" s="19">
        <v>9.2799997329711914</v>
      </c>
      <c r="D45" s="19">
        <v>9.0100002288818359</v>
      </c>
      <c r="E45" s="19">
        <v>9.0100002288818359</v>
      </c>
      <c r="F45" s="19">
        <v>8.3882274627685547</v>
      </c>
      <c r="G45" s="19">
        <v>237454</v>
      </c>
      <c r="I45" s="84">
        <v>45289</v>
      </c>
      <c r="J45" s="85">
        <v>17066.51953125</v>
      </c>
      <c r="K45" s="85">
        <v>17095.119140625</v>
      </c>
      <c r="L45" s="85">
        <v>16950.900390625</v>
      </c>
      <c r="M45" s="85">
        <v>17047.390625</v>
      </c>
      <c r="N45" s="85">
        <v>17047.390625</v>
      </c>
      <c r="O45" s="85">
        <v>1570053000</v>
      </c>
    </row>
    <row r="46" spans="1:15">
      <c r="A46" s="20">
        <v>45293</v>
      </c>
      <c r="B46" s="19">
        <v>9.1000003814697266</v>
      </c>
      <c r="C46" s="19">
        <v>9.1000003814697266</v>
      </c>
      <c r="D46" s="19">
        <v>8.9700002670288086</v>
      </c>
      <c r="E46" s="19">
        <v>9.0799999237060547</v>
      </c>
      <c r="F46" s="19">
        <v>8.4533967971801758</v>
      </c>
      <c r="G46" s="19">
        <v>278553</v>
      </c>
      <c r="I46" s="84">
        <v>45293</v>
      </c>
      <c r="J46" s="85">
        <v>17135.119140625</v>
      </c>
      <c r="K46" s="85">
        <v>17135.119140625</v>
      </c>
      <c r="L46" s="85">
        <v>16725.279296875</v>
      </c>
      <c r="M46" s="85">
        <v>16788.55078125</v>
      </c>
      <c r="N46" s="85">
        <v>16788.55078125</v>
      </c>
      <c r="O46" s="85">
        <v>1720670000</v>
      </c>
    </row>
    <row r="47" spans="1:15">
      <c r="A47" s="20">
        <v>45294</v>
      </c>
      <c r="B47" s="19">
        <v>9.1400003433227539</v>
      </c>
      <c r="C47" s="19">
        <v>9.1700000762939453</v>
      </c>
      <c r="D47" s="19">
        <v>9.0299997329711914</v>
      </c>
      <c r="E47" s="19">
        <v>9.1599998474121094</v>
      </c>
      <c r="F47" s="19">
        <v>8.5278759002685547</v>
      </c>
      <c r="G47" s="19">
        <v>235000</v>
      </c>
      <c r="I47" s="84">
        <v>45294</v>
      </c>
      <c r="J47" s="85">
        <v>16624.919921875</v>
      </c>
      <c r="K47" s="85">
        <v>16657.509765625</v>
      </c>
      <c r="L47" s="85">
        <v>16564.80078125</v>
      </c>
      <c r="M47" s="85">
        <v>16646.41015625</v>
      </c>
      <c r="N47" s="85">
        <v>16646.41015625</v>
      </c>
      <c r="O47" s="85">
        <v>1577461700</v>
      </c>
    </row>
    <row r="48" spans="1:15">
      <c r="A48" s="20">
        <v>45295</v>
      </c>
      <c r="B48" s="19">
        <v>9.1899995803833008</v>
      </c>
      <c r="C48" s="19">
        <v>9.1899995803833008</v>
      </c>
      <c r="D48" s="19">
        <v>8.8599996566772461</v>
      </c>
      <c r="E48" s="19">
        <v>8.9499998092651367</v>
      </c>
      <c r="F48" s="19">
        <v>8.3323678970336914</v>
      </c>
      <c r="G48" s="19">
        <v>875607</v>
      </c>
      <c r="I48" s="84">
        <v>45295</v>
      </c>
      <c r="J48" s="85">
        <v>16673.400390625</v>
      </c>
      <c r="K48" s="85">
        <v>16673.400390625</v>
      </c>
      <c r="L48" s="85">
        <v>16516.330078125</v>
      </c>
      <c r="M48" s="85">
        <v>16645.98046875</v>
      </c>
      <c r="N48" s="85">
        <v>16645.98046875</v>
      </c>
      <c r="O48" s="85">
        <v>1789349300</v>
      </c>
    </row>
    <row r="49" spans="1:15">
      <c r="A49" s="20">
        <v>45296</v>
      </c>
      <c r="B49" s="19">
        <v>8.880000114440918</v>
      </c>
      <c r="C49" s="19">
        <v>9.0500001907348633</v>
      </c>
      <c r="D49" s="19">
        <v>8.880000114440918</v>
      </c>
      <c r="E49" s="19">
        <v>8.9499998092651367</v>
      </c>
      <c r="F49" s="19">
        <v>8.3323678970336914</v>
      </c>
      <c r="G49" s="19">
        <v>464000</v>
      </c>
      <c r="I49" s="84">
        <v>45296</v>
      </c>
      <c r="J49" s="85">
        <v>16573.119140625</v>
      </c>
      <c r="K49" s="85">
        <v>16745.73046875</v>
      </c>
      <c r="L49" s="85">
        <v>16455.5703125</v>
      </c>
      <c r="M49" s="85">
        <v>16535.330078125</v>
      </c>
      <c r="N49" s="85">
        <v>16535.330078125</v>
      </c>
      <c r="O49" s="85">
        <v>1936599800</v>
      </c>
    </row>
    <row r="50" spans="1:15">
      <c r="A50" s="20">
        <v>45299</v>
      </c>
      <c r="B50" s="19">
        <v>8.8900003433227539</v>
      </c>
      <c r="C50" s="19">
        <v>8.9200000762939453</v>
      </c>
      <c r="D50" s="19">
        <v>8.8299999237060547</v>
      </c>
      <c r="E50" s="19">
        <v>8.9099998474121094</v>
      </c>
      <c r="F50" s="19">
        <v>8.2951278686523438</v>
      </c>
      <c r="G50" s="19">
        <v>386095</v>
      </c>
      <c r="I50" s="84">
        <v>45299</v>
      </c>
      <c r="J50" s="85">
        <v>16581.859375</v>
      </c>
      <c r="K50" s="85">
        <v>16592.060546875</v>
      </c>
      <c r="L50" s="85">
        <v>16144.5595703125</v>
      </c>
      <c r="M50" s="85">
        <v>16224.4501953125</v>
      </c>
      <c r="N50" s="85">
        <v>16224.4501953125</v>
      </c>
      <c r="O50" s="85">
        <v>2227172000</v>
      </c>
    </row>
    <row r="51" spans="1:15">
      <c r="A51" s="20">
        <v>45300</v>
      </c>
      <c r="B51" s="19">
        <v>8.869999885559082</v>
      </c>
      <c r="C51" s="19">
        <v>9.0299997329711914</v>
      </c>
      <c r="D51" s="19">
        <v>8.8299999237060547</v>
      </c>
      <c r="E51" s="19">
        <v>8.9200000762939453</v>
      </c>
      <c r="F51" s="19">
        <v>8.304438591003418</v>
      </c>
      <c r="G51" s="19">
        <v>358000</v>
      </c>
      <c r="I51" s="84">
        <v>45300</v>
      </c>
      <c r="J51" s="85">
        <v>16256.099609375</v>
      </c>
      <c r="K51" s="85">
        <v>16414.7890625</v>
      </c>
      <c r="L51" s="85">
        <v>16190.01953125</v>
      </c>
      <c r="M51" s="85">
        <v>16190.01953125</v>
      </c>
      <c r="N51" s="85">
        <v>16190.01953125</v>
      </c>
      <c r="O51" s="85">
        <v>1937380500</v>
      </c>
    </row>
    <row r="52" spans="1:15">
      <c r="A52" s="20">
        <v>45301</v>
      </c>
      <c r="B52" s="19">
        <v>8.8199996948242188</v>
      </c>
      <c r="C52" s="19">
        <v>8.8500003814697266</v>
      </c>
      <c r="D52" s="19">
        <v>8.5200004577636719</v>
      </c>
      <c r="E52" s="19">
        <v>8.5699996948242188</v>
      </c>
      <c r="F52" s="19">
        <v>7.9785914421081543</v>
      </c>
      <c r="G52" s="19">
        <v>726000</v>
      </c>
      <c r="I52" s="84">
        <v>45301</v>
      </c>
      <c r="J52" s="85">
        <v>16143.9697265625</v>
      </c>
      <c r="K52" s="85">
        <v>16247.2998046875</v>
      </c>
      <c r="L52" s="85">
        <v>16036.419921875</v>
      </c>
      <c r="M52" s="85">
        <v>16097.2802734375</v>
      </c>
      <c r="N52" s="85">
        <v>16097.2802734375</v>
      </c>
      <c r="O52" s="85">
        <v>1788113700</v>
      </c>
    </row>
    <row r="53" spans="1:15">
      <c r="A53" s="20">
        <v>45302</v>
      </c>
      <c r="B53" s="19">
        <v>8.8000001907348633</v>
      </c>
      <c r="C53" s="19">
        <v>8.8000001907348633</v>
      </c>
      <c r="D53" s="19">
        <v>8.5500001907348633</v>
      </c>
      <c r="E53" s="19">
        <v>8.6000003814697266</v>
      </c>
      <c r="F53" s="19">
        <v>8.0065212249755859</v>
      </c>
      <c r="G53" s="19">
        <v>712000</v>
      </c>
      <c r="I53" s="84">
        <v>45302</v>
      </c>
      <c r="J53" s="85">
        <v>16154.169921875</v>
      </c>
      <c r="K53" s="85">
        <v>16459.919921875</v>
      </c>
      <c r="L53" s="85">
        <v>16106.830078125</v>
      </c>
      <c r="M53" s="85">
        <v>16302.0400390625</v>
      </c>
      <c r="N53" s="85">
        <v>16302.0400390625</v>
      </c>
      <c r="O53" s="85">
        <v>1970866100</v>
      </c>
    </row>
    <row r="54" spans="1:15">
      <c r="A54" s="20">
        <v>45303</v>
      </c>
      <c r="B54" s="19">
        <v>8.6099996566772461</v>
      </c>
      <c r="C54" s="19">
        <v>8.8299999237060547</v>
      </c>
      <c r="D54" s="19">
        <v>8.5500001907348633</v>
      </c>
      <c r="E54" s="19">
        <v>8.7200002670288086</v>
      </c>
      <c r="F54" s="19">
        <v>8.1182403564453125</v>
      </c>
      <c r="G54" s="19">
        <v>444000</v>
      </c>
      <c r="I54" s="84">
        <v>45303</v>
      </c>
      <c r="J54" s="85">
        <v>16216.9697265625</v>
      </c>
      <c r="K54" s="85">
        <v>16393.740234375</v>
      </c>
      <c r="L54" s="85">
        <v>16185.91015625</v>
      </c>
      <c r="M54" s="85">
        <v>16244.580078125</v>
      </c>
      <c r="N54" s="85">
        <v>16244.580078125</v>
      </c>
      <c r="O54" s="85">
        <v>1534599800</v>
      </c>
    </row>
    <row r="55" spans="1:15">
      <c r="A55" s="20">
        <v>45306</v>
      </c>
      <c r="B55" s="19">
        <v>8.7799997329711914</v>
      </c>
      <c r="C55" s="19">
        <v>8.7899999618530273</v>
      </c>
      <c r="D55" s="19">
        <v>8.6899995803833008</v>
      </c>
      <c r="E55" s="19">
        <v>8.7799997329711914</v>
      </c>
      <c r="F55" s="19">
        <v>8.1740989685058594</v>
      </c>
      <c r="G55" s="19">
        <v>224000</v>
      </c>
      <c r="I55" s="84">
        <v>45306</v>
      </c>
      <c r="J55" s="85">
        <v>16258.2802734375</v>
      </c>
      <c r="K55" s="85">
        <v>16334.7099609375</v>
      </c>
      <c r="L55" s="85">
        <v>16104.5</v>
      </c>
      <c r="M55" s="85">
        <v>16216.330078125</v>
      </c>
      <c r="N55" s="85">
        <v>16216.330078125</v>
      </c>
      <c r="O55" s="85">
        <v>1368415400</v>
      </c>
    </row>
    <row r="56" spans="1:15">
      <c r="A56" s="20">
        <v>45307</v>
      </c>
      <c r="B56" s="19">
        <v>8.6999998092651367</v>
      </c>
      <c r="C56" s="19">
        <v>8.7299995422363281</v>
      </c>
      <c r="D56" s="19">
        <v>8.4099998474121094</v>
      </c>
      <c r="E56" s="19">
        <v>8.4799995422363281</v>
      </c>
      <c r="F56" s="19">
        <v>7.8948016166687012</v>
      </c>
      <c r="G56" s="19">
        <v>740606</v>
      </c>
      <c r="I56" s="84">
        <v>45307</v>
      </c>
      <c r="J56" s="85">
        <v>16030.25</v>
      </c>
      <c r="K56" s="85">
        <v>16197.0400390625</v>
      </c>
      <c r="L56" s="85">
        <v>15834.41015625</v>
      </c>
      <c r="M56" s="85">
        <v>15865.919921875</v>
      </c>
      <c r="N56" s="85">
        <v>15865.919921875</v>
      </c>
      <c r="O56" s="85">
        <v>2139164100</v>
      </c>
    </row>
    <row r="57" spans="1:15">
      <c r="A57" s="20">
        <v>45308</v>
      </c>
      <c r="B57" s="19">
        <v>8.5</v>
      </c>
      <c r="C57" s="19">
        <v>8.5</v>
      </c>
      <c r="D57" s="19">
        <v>8.3199996948242188</v>
      </c>
      <c r="E57" s="19">
        <v>8.4200000762939453</v>
      </c>
      <c r="F57" s="19">
        <v>7.8389430046081543</v>
      </c>
      <c r="G57" s="19">
        <v>660000</v>
      </c>
      <c r="I57" s="84">
        <v>45308</v>
      </c>
      <c r="J57" s="85">
        <v>15764.3798828125</v>
      </c>
      <c r="K57" s="85">
        <v>15764.3798828125</v>
      </c>
      <c r="L57" s="85">
        <v>15194.9404296875</v>
      </c>
      <c r="M57" s="85">
        <v>15276.900390625</v>
      </c>
      <c r="N57" s="85">
        <v>15276.900390625</v>
      </c>
      <c r="O57" s="85">
        <v>3952310100</v>
      </c>
    </row>
    <row r="58" spans="1:15">
      <c r="A58" s="20">
        <v>45309</v>
      </c>
      <c r="B58" s="19">
        <v>8.4300003051757812</v>
      </c>
      <c r="C58" s="19">
        <v>8.6800003051757812</v>
      </c>
      <c r="D58" s="19">
        <v>8.4300003051757812</v>
      </c>
      <c r="E58" s="19">
        <v>8.6499996185302734</v>
      </c>
      <c r="F58" s="19">
        <v>8.053070068359375</v>
      </c>
      <c r="G58" s="19">
        <v>749000</v>
      </c>
      <c r="I58" s="84">
        <v>45309</v>
      </c>
      <c r="J58" s="85">
        <v>15301.1904296875</v>
      </c>
      <c r="K58" s="85">
        <v>15463.6904296875</v>
      </c>
      <c r="L58" s="85">
        <v>15183.9599609375</v>
      </c>
      <c r="M58" s="85">
        <v>15391.7900390625</v>
      </c>
      <c r="N58" s="85">
        <v>15391.7900390625</v>
      </c>
      <c r="O58" s="85">
        <v>2815987000</v>
      </c>
    </row>
    <row r="59" spans="1:15">
      <c r="A59" s="20">
        <v>45310</v>
      </c>
      <c r="B59" s="19">
        <v>8.6499996185302734</v>
      </c>
      <c r="C59" s="19">
        <v>8.6499996185302734</v>
      </c>
      <c r="D59" s="19">
        <v>8.3599996566772461</v>
      </c>
      <c r="E59" s="19">
        <v>8.3599996566772461</v>
      </c>
      <c r="F59" s="19">
        <v>7.783083438873291</v>
      </c>
      <c r="G59" s="19">
        <v>282554</v>
      </c>
      <c r="I59" s="84">
        <v>45310</v>
      </c>
      <c r="J59" s="85">
        <v>15404.6904296875</v>
      </c>
      <c r="K59" s="85">
        <v>15540.75</v>
      </c>
      <c r="L59" s="85">
        <v>15207.990234375</v>
      </c>
      <c r="M59" s="85">
        <v>15308.6904296875</v>
      </c>
      <c r="N59" s="85">
        <v>15308.6904296875</v>
      </c>
      <c r="O59" s="85">
        <v>2242257300</v>
      </c>
    </row>
    <row r="60" spans="1:15">
      <c r="A60" s="20">
        <v>45313</v>
      </c>
      <c r="B60" s="19">
        <v>8.3199996948242188</v>
      </c>
      <c r="C60" s="19">
        <v>8.3599996566772461</v>
      </c>
      <c r="D60" s="19">
        <v>8.1700000762939453</v>
      </c>
      <c r="E60" s="19">
        <v>8.2399997711181641</v>
      </c>
      <c r="F60" s="19">
        <v>7.6713643074035645</v>
      </c>
      <c r="G60" s="19">
        <v>510000</v>
      </c>
      <c r="I60" s="84">
        <v>45313</v>
      </c>
      <c r="J60" s="85">
        <v>15349.0498046875</v>
      </c>
      <c r="K60" s="85">
        <v>15362.91015625</v>
      </c>
      <c r="L60" s="85">
        <v>14794.16015625</v>
      </c>
      <c r="M60" s="85">
        <v>14961.1796875</v>
      </c>
      <c r="N60" s="85">
        <v>14961.1796875</v>
      </c>
      <c r="O60" s="85">
        <v>2812384600</v>
      </c>
    </row>
    <row r="61" spans="1:15">
      <c r="A61" s="20">
        <v>45314</v>
      </c>
      <c r="B61" s="19">
        <v>8.2899999618530273</v>
      </c>
      <c r="C61" s="19">
        <v>8.3999996185302734</v>
      </c>
      <c r="D61" s="19">
        <v>8.1400003433227539</v>
      </c>
      <c r="E61" s="19">
        <v>8.25</v>
      </c>
      <c r="F61" s="19">
        <v>7.6806740760803223</v>
      </c>
      <c r="G61" s="19">
        <v>518290</v>
      </c>
      <c r="I61" s="84">
        <v>45314</v>
      </c>
      <c r="J61" s="85">
        <v>15038.330078125</v>
      </c>
      <c r="K61" s="85">
        <v>15516.7998046875</v>
      </c>
      <c r="L61" s="85">
        <v>14994.3701171875</v>
      </c>
      <c r="M61" s="85">
        <v>15353.98046875</v>
      </c>
      <c r="N61" s="85">
        <v>15353.98046875</v>
      </c>
      <c r="O61" s="85">
        <v>2804009700</v>
      </c>
    </row>
    <row r="62" spans="1:15">
      <c r="A62" s="20">
        <v>45315</v>
      </c>
      <c r="B62" s="19">
        <v>8.3999996185302734</v>
      </c>
      <c r="C62" s="19">
        <v>8.3999996185302734</v>
      </c>
      <c r="D62" s="19">
        <v>8.119999885559082</v>
      </c>
      <c r="E62" s="19">
        <v>8.2899999618530273</v>
      </c>
      <c r="F62" s="19">
        <v>7.7179141044616699</v>
      </c>
      <c r="G62" s="19">
        <v>652000</v>
      </c>
      <c r="I62" s="84">
        <v>45315</v>
      </c>
      <c r="J62" s="85">
        <v>15602.4501953125</v>
      </c>
      <c r="K62" s="85">
        <v>15975.1103515625</v>
      </c>
      <c r="L62" s="85">
        <v>15412.099609375</v>
      </c>
      <c r="M62" s="85">
        <v>15899.8701171875</v>
      </c>
      <c r="N62" s="85">
        <v>15899.8701171875</v>
      </c>
      <c r="O62" s="85">
        <v>3597683500</v>
      </c>
    </row>
    <row r="63" spans="1:15">
      <c r="A63" s="20">
        <v>45316</v>
      </c>
      <c r="B63" s="19">
        <v>8.3400001525878906</v>
      </c>
      <c r="C63" s="19">
        <v>8.4099998474121094</v>
      </c>
      <c r="D63" s="19">
        <v>8.1000003814697266</v>
      </c>
      <c r="E63" s="19">
        <v>8.3599996566772461</v>
      </c>
      <c r="F63" s="19">
        <v>7.783083438873291</v>
      </c>
      <c r="G63" s="19">
        <v>856000</v>
      </c>
      <c r="I63" s="84">
        <v>45316</v>
      </c>
      <c r="J63" s="85">
        <v>15989.9404296875</v>
      </c>
      <c r="K63" s="85">
        <v>16254.9296875</v>
      </c>
      <c r="L63" s="85">
        <v>15828.9296875</v>
      </c>
      <c r="M63" s="85">
        <v>16211.9599609375</v>
      </c>
      <c r="N63" s="85">
        <v>16211.9599609375</v>
      </c>
      <c r="O63" s="85">
        <v>4096404800</v>
      </c>
    </row>
    <row r="64" spans="1:15">
      <c r="A64" s="20">
        <v>45317</v>
      </c>
      <c r="B64" s="19">
        <v>8.4799995422363281</v>
      </c>
      <c r="C64" s="19">
        <v>8.4799995422363281</v>
      </c>
      <c r="D64" s="19">
        <v>8.2399997711181641</v>
      </c>
      <c r="E64" s="19">
        <v>8.3299999237060547</v>
      </c>
      <c r="F64" s="19">
        <v>7.7551531791687012</v>
      </c>
      <c r="G64" s="19">
        <v>1215261</v>
      </c>
      <c r="I64" s="84">
        <v>45317</v>
      </c>
      <c r="J64" s="85">
        <v>16158.7197265625</v>
      </c>
      <c r="K64" s="85">
        <v>16240.9599609375</v>
      </c>
      <c r="L64" s="85">
        <v>15888.0400390625</v>
      </c>
      <c r="M64" s="85">
        <v>15952.23046875</v>
      </c>
      <c r="N64" s="85">
        <v>15952.23046875</v>
      </c>
      <c r="O64" s="85">
        <v>3314021500</v>
      </c>
    </row>
    <row r="65" spans="1:15">
      <c r="A65" s="20">
        <v>45320</v>
      </c>
      <c r="B65" s="19">
        <v>8.369999885559082</v>
      </c>
      <c r="C65" s="19">
        <v>8.6000003814697266</v>
      </c>
      <c r="D65" s="19">
        <v>8.2399997711181641</v>
      </c>
      <c r="E65" s="19">
        <v>8.4200000762939453</v>
      </c>
      <c r="F65" s="19">
        <v>7.8389430046081543</v>
      </c>
      <c r="G65" s="19">
        <v>1258836</v>
      </c>
      <c r="I65" s="84">
        <v>45320</v>
      </c>
      <c r="J65" s="85">
        <v>16046.25</v>
      </c>
      <c r="K65" s="85">
        <v>16258.4501953125</v>
      </c>
      <c r="L65" s="85">
        <v>16012.58984375</v>
      </c>
      <c r="M65" s="85">
        <v>16077.240234375</v>
      </c>
      <c r="N65" s="85">
        <v>16077.240234375</v>
      </c>
      <c r="O65" s="85">
        <v>2923198800</v>
      </c>
    </row>
    <row r="66" spans="1:15">
      <c r="A66" s="20">
        <v>45321</v>
      </c>
      <c r="B66" s="19">
        <v>8.4300003051757812</v>
      </c>
      <c r="C66" s="19">
        <v>8.4300003051757812</v>
      </c>
      <c r="D66" s="19">
        <v>8.0399999618530273</v>
      </c>
      <c r="E66" s="19">
        <v>8.0399999618530273</v>
      </c>
      <c r="F66" s="19">
        <v>7.485166072845459</v>
      </c>
      <c r="G66" s="19">
        <v>1680000</v>
      </c>
      <c r="I66" s="84">
        <v>45321</v>
      </c>
      <c r="J66" s="85">
        <v>15896.66015625</v>
      </c>
      <c r="K66" s="85">
        <v>15896.66015625</v>
      </c>
      <c r="L66" s="85">
        <v>15654.9697265625</v>
      </c>
      <c r="M66" s="85">
        <v>15703.4501953125</v>
      </c>
      <c r="N66" s="85">
        <v>15703.4501953125</v>
      </c>
      <c r="O66" s="85">
        <v>2565524400</v>
      </c>
    </row>
    <row r="67" spans="1:15">
      <c r="A67" s="20">
        <v>45322</v>
      </c>
      <c r="B67" s="19">
        <v>8.0600004196166992</v>
      </c>
      <c r="C67" s="19">
        <v>8.0600004196166992</v>
      </c>
      <c r="D67" s="19">
        <v>7.820000171661377</v>
      </c>
      <c r="E67" s="19">
        <v>7.8499999046325684</v>
      </c>
      <c r="F67" s="19">
        <v>7.3082776069641113</v>
      </c>
      <c r="G67" s="19">
        <v>1578000</v>
      </c>
      <c r="I67" s="84">
        <v>45322</v>
      </c>
      <c r="J67" s="85">
        <v>15652.0498046875</v>
      </c>
      <c r="K67" s="85">
        <v>15744.0400390625</v>
      </c>
      <c r="L67" s="85">
        <v>15411.66015625</v>
      </c>
      <c r="M67" s="85">
        <v>15485.0703125</v>
      </c>
      <c r="N67" s="85">
        <v>15485.0703125</v>
      </c>
      <c r="O67" s="85">
        <v>2594937800</v>
      </c>
    </row>
    <row r="68" spans="1:15">
      <c r="A68" s="20">
        <v>45323</v>
      </c>
      <c r="B68" s="19">
        <v>7.9000000953674316</v>
      </c>
      <c r="C68" s="19">
        <v>8.1400003433227539</v>
      </c>
      <c r="D68" s="19">
        <v>7.8899998664855957</v>
      </c>
      <c r="E68" s="19">
        <v>8.119999885559082</v>
      </c>
      <c r="F68" s="19">
        <v>7.5596451759338379</v>
      </c>
      <c r="G68" s="19">
        <v>607816</v>
      </c>
      <c r="I68" s="84">
        <v>45323</v>
      </c>
      <c r="J68" s="85">
        <v>15522.8603515625</v>
      </c>
      <c r="K68" s="85">
        <v>15805.0595703125</v>
      </c>
      <c r="L68" s="85">
        <v>15434.8203125</v>
      </c>
      <c r="M68" s="85">
        <v>15566.2099609375</v>
      </c>
      <c r="N68" s="85">
        <v>15566.2099609375</v>
      </c>
      <c r="O68" s="85">
        <v>2454568100</v>
      </c>
    </row>
    <row r="69" spans="1:15">
      <c r="A69" s="20">
        <v>45324</v>
      </c>
      <c r="B69" s="19">
        <v>8.1800003051757812</v>
      </c>
      <c r="C69" s="19">
        <v>8.3400001525878906</v>
      </c>
      <c r="D69" s="19">
        <v>8.0600004196166992</v>
      </c>
      <c r="E69" s="19">
        <v>8.1499996185302734</v>
      </c>
      <c r="F69" s="19">
        <v>7.5875749588012695</v>
      </c>
      <c r="G69" s="19">
        <v>528000</v>
      </c>
      <c r="I69" s="84">
        <v>45324</v>
      </c>
      <c r="J69" s="85">
        <v>15756.1201171875</v>
      </c>
      <c r="K69" s="85">
        <v>15912.6103515625</v>
      </c>
      <c r="L69" s="85">
        <v>15435.849609375</v>
      </c>
      <c r="M69" s="85">
        <v>15533.5595703125</v>
      </c>
      <c r="N69" s="85">
        <v>15533.5595703125</v>
      </c>
      <c r="O69" s="85">
        <v>2475955200</v>
      </c>
    </row>
    <row r="70" spans="1:15">
      <c r="A70" s="20">
        <v>45327</v>
      </c>
      <c r="B70" s="19">
        <v>7.9499998092651367</v>
      </c>
      <c r="C70" s="19">
        <v>8.1899995803833008</v>
      </c>
      <c r="D70" s="19">
        <v>7.809999942779541</v>
      </c>
      <c r="E70" s="19">
        <v>8.0799999237060547</v>
      </c>
      <c r="F70" s="19">
        <v>7.5224056243896484</v>
      </c>
      <c r="G70" s="19">
        <v>698124</v>
      </c>
      <c r="I70" s="84">
        <v>45327</v>
      </c>
      <c r="J70" s="85">
        <v>15336.8603515625</v>
      </c>
      <c r="K70" s="85">
        <v>15669.76953125</v>
      </c>
      <c r="L70" s="85">
        <v>15336.8603515625</v>
      </c>
      <c r="M70" s="85">
        <v>15510.009765625</v>
      </c>
      <c r="N70" s="85">
        <v>15510.009765625</v>
      </c>
      <c r="O70" s="85">
        <v>2313277300</v>
      </c>
    </row>
    <row r="71" spans="1:15">
      <c r="A71" s="20">
        <v>45328</v>
      </c>
      <c r="B71" s="19">
        <v>8.119999885559082</v>
      </c>
      <c r="C71" s="19">
        <v>8.2299995422363281</v>
      </c>
      <c r="D71" s="19">
        <v>8.0699996948242188</v>
      </c>
      <c r="E71" s="19">
        <v>8.1599998474121094</v>
      </c>
      <c r="F71" s="19">
        <v>7.5968852043151855</v>
      </c>
      <c r="G71" s="19">
        <v>330508</v>
      </c>
      <c r="I71" s="84">
        <v>45328</v>
      </c>
      <c r="J71" s="85">
        <v>15541.23046875</v>
      </c>
      <c r="K71" s="85">
        <v>16154.0498046875</v>
      </c>
      <c r="L71" s="85">
        <v>15541.23046875</v>
      </c>
      <c r="M71" s="85">
        <v>16136.8701171875</v>
      </c>
      <c r="N71" s="85">
        <v>16136.8701171875</v>
      </c>
      <c r="O71" s="85">
        <v>3314171100</v>
      </c>
    </row>
    <row r="72" spans="1:15">
      <c r="A72" s="20">
        <v>45329</v>
      </c>
      <c r="B72" s="19">
        <v>8.2399997711181641</v>
      </c>
      <c r="C72" s="19">
        <v>8.380000114440918</v>
      </c>
      <c r="D72" s="19">
        <v>8.0100002288818359</v>
      </c>
      <c r="E72" s="19">
        <v>8.0299997329711914</v>
      </c>
      <c r="F72" s="19">
        <v>7.475855827331543</v>
      </c>
      <c r="G72" s="19">
        <v>757917</v>
      </c>
      <c r="I72" s="84">
        <v>45329</v>
      </c>
      <c r="J72" s="85">
        <v>16282.3896484375</v>
      </c>
      <c r="K72" s="85">
        <v>16408.150390625</v>
      </c>
      <c r="L72" s="85">
        <v>16035.4296875</v>
      </c>
      <c r="M72" s="85">
        <v>16081.8896484375</v>
      </c>
      <c r="N72" s="85">
        <v>16081.8896484375</v>
      </c>
      <c r="O72" s="85">
        <v>2809645100</v>
      </c>
    </row>
    <row r="73" spans="1:15">
      <c r="A73" s="20">
        <v>45330</v>
      </c>
      <c r="B73" s="19">
        <v>8.1000003814697266</v>
      </c>
      <c r="C73" s="19">
        <v>8.2700004577636719</v>
      </c>
      <c r="D73" s="19">
        <v>8.1000003814697266</v>
      </c>
      <c r="E73" s="19">
        <v>8.2100000381469727</v>
      </c>
      <c r="F73" s="19">
        <v>7.643435001373291</v>
      </c>
      <c r="G73" s="19">
        <v>566000</v>
      </c>
      <c r="I73" s="84">
        <v>45330</v>
      </c>
      <c r="J73" s="85">
        <v>15988.6201171875</v>
      </c>
      <c r="K73" s="85">
        <v>16093.51953125</v>
      </c>
      <c r="L73" s="85">
        <v>15821.8603515625</v>
      </c>
      <c r="M73" s="85">
        <v>15878.0703125</v>
      </c>
      <c r="N73" s="85">
        <v>15878.0703125</v>
      </c>
      <c r="O73" s="85">
        <v>1940615100</v>
      </c>
    </row>
    <row r="74" spans="1:15">
      <c r="A74" s="20">
        <v>45331</v>
      </c>
      <c r="B74" s="19">
        <v>8.25</v>
      </c>
      <c r="C74" s="19">
        <v>8.3000001907348633</v>
      </c>
      <c r="D74" s="19">
        <v>8.0500001907348633</v>
      </c>
      <c r="E74" s="19">
        <v>8.1400003433227539</v>
      </c>
      <c r="F74" s="19">
        <v>7.5782656669616699</v>
      </c>
      <c r="G74" s="19">
        <v>330000</v>
      </c>
      <c r="I74" s="84">
        <v>45331</v>
      </c>
      <c r="J74" s="85">
        <v>15709.2998046875</v>
      </c>
      <c r="K74" s="85">
        <v>15754.009765625</v>
      </c>
      <c r="L74" s="85">
        <v>15531.0302734375</v>
      </c>
      <c r="M74" s="85">
        <v>15746.580078125</v>
      </c>
      <c r="N74" s="85">
        <v>15746.580078125</v>
      </c>
      <c r="O74" s="85">
        <v>745466400</v>
      </c>
    </row>
    <row r="75" spans="1:15">
      <c r="A75" s="20">
        <v>45336</v>
      </c>
      <c r="B75" s="19">
        <v>8.1899995803833008</v>
      </c>
      <c r="C75" s="19">
        <v>8.2799997329711914</v>
      </c>
      <c r="D75" s="19">
        <v>7.9800000190734863</v>
      </c>
      <c r="E75" s="19">
        <v>8.2100000381469727</v>
      </c>
      <c r="F75" s="19">
        <v>7.643435001373291</v>
      </c>
      <c r="G75" s="19">
        <v>749000</v>
      </c>
      <c r="I75" s="84">
        <v>45336</v>
      </c>
      <c r="J75" s="85">
        <v>15579.41015625</v>
      </c>
      <c r="K75" s="85">
        <v>15911.0498046875</v>
      </c>
      <c r="L75" s="85">
        <v>15456.3203125</v>
      </c>
      <c r="M75" s="85">
        <v>15879.3798828125</v>
      </c>
      <c r="N75" s="85">
        <v>15879.3798828125</v>
      </c>
      <c r="O75" s="85">
        <v>1403032800</v>
      </c>
    </row>
    <row r="76" spans="1:15">
      <c r="A76" s="20">
        <v>45337</v>
      </c>
      <c r="B76" s="19">
        <v>8.2200002670288086</v>
      </c>
      <c r="C76" s="19">
        <v>8.2600002288818359</v>
      </c>
      <c r="D76" s="19">
        <v>8.1599998474121094</v>
      </c>
      <c r="E76" s="19">
        <v>8.2600002288818359</v>
      </c>
      <c r="F76" s="19">
        <v>7.6899847984313965</v>
      </c>
      <c r="G76" s="19">
        <v>299249</v>
      </c>
      <c r="I76" s="84">
        <v>45337</v>
      </c>
      <c r="J76" s="85">
        <v>15824.2099609375</v>
      </c>
      <c r="K76" s="85">
        <v>16029.01953125</v>
      </c>
      <c r="L76" s="85">
        <v>15751.3603515625</v>
      </c>
      <c r="M76" s="85">
        <v>15944.6298828125</v>
      </c>
      <c r="N76" s="85">
        <v>15944.6298828125</v>
      </c>
      <c r="O76" s="85">
        <v>1056900200</v>
      </c>
    </row>
    <row r="77" spans="1:15">
      <c r="A77" s="20">
        <v>45338</v>
      </c>
      <c r="B77" s="19">
        <v>8.2899999618530273</v>
      </c>
      <c r="C77" s="19">
        <v>8.4200000762939453</v>
      </c>
      <c r="D77" s="19">
        <v>8.2399997711181641</v>
      </c>
      <c r="E77" s="19">
        <v>8.3999996185302734</v>
      </c>
      <c r="F77" s="19">
        <v>7.8203225135803223</v>
      </c>
      <c r="G77" s="19">
        <v>701400</v>
      </c>
      <c r="I77" s="84">
        <v>45338</v>
      </c>
      <c r="J77" s="85">
        <v>16007.5400390625</v>
      </c>
      <c r="K77" s="85">
        <v>16394.16015625</v>
      </c>
      <c r="L77" s="85">
        <v>15937.2802734375</v>
      </c>
      <c r="M77" s="85">
        <v>16339.9599609375</v>
      </c>
      <c r="N77" s="85">
        <v>16339.9599609375</v>
      </c>
      <c r="O77" s="85">
        <v>1742961100</v>
      </c>
    </row>
    <row r="78" spans="1:15">
      <c r="A78" s="20">
        <v>45341</v>
      </c>
      <c r="B78" s="19">
        <v>8.3999996185302734</v>
      </c>
      <c r="C78" s="19">
        <v>8.3999996185302734</v>
      </c>
      <c r="D78" s="19">
        <v>8.119999885559082</v>
      </c>
      <c r="E78" s="19">
        <v>8.2399997711181641</v>
      </c>
      <c r="F78" s="19">
        <v>7.6713643074035645</v>
      </c>
      <c r="G78" s="19">
        <v>806000</v>
      </c>
      <c r="I78" s="84">
        <v>45341</v>
      </c>
      <c r="J78" s="85">
        <v>16334.4697265625</v>
      </c>
      <c r="K78" s="85">
        <v>16334.4697265625</v>
      </c>
      <c r="L78" s="85">
        <v>16137.98046875</v>
      </c>
      <c r="M78" s="85">
        <v>16155.6103515625</v>
      </c>
      <c r="N78" s="85">
        <v>16155.6103515625</v>
      </c>
      <c r="O78" s="85">
        <v>2185820800</v>
      </c>
    </row>
    <row r="79" spans="1:15">
      <c r="A79" s="20">
        <v>45342</v>
      </c>
      <c r="B79" s="19">
        <v>8.2299995422363281</v>
      </c>
      <c r="C79" s="19">
        <v>8.3000001907348633</v>
      </c>
      <c r="D79" s="19">
        <v>8.1000003814697266</v>
      </c>
      <c r="E79" s="19">
        <v>8.25</v>
      </c>
      <c r="F79" s="19">
        <v>7.6806740760803223</v>
      </c>
      <c r="G79" s="19">
        <v>698000</v>
      </c>
      <c r="I79" s="84">
        <v>45342</v>
      </c>
      <c r="J79" s="85">
        <v>16222.08984375</v>
      </c>
      <c r="K79" s="85">
        <v>16274.5595703125</v>
      </c>
      <c r="L79" s="85">
        <v>16055.080078125</v>
      </c>
      <c r="M79" s="85">
        <v>16247.509765625</v>
      </c>
      <c r="N79" s="85">
        <v>16247.509765625</v>
      </c>
      <c r="O79" s="85">
        <v>2205924400</v>
      </c>
    </row>
    <row r="80" spans="1:15">
      <c r="A80" s="20">
        <v>45343</v>
      </c>
      <c r="B80" s="19">
        <v>8.3000001907348633</v>
      </c>
      <c r="C80" s="19">
        <v>8.3900003433227539</v>
      </c>
      <c r="D80" s="19">
        <v>8.25</v>
      </c>
      <c r="E80" s="19">
        <v>8.369999885559082</v>
      </c>
      <c r="F80" s="19">
        <v>7.7923932075500488</v>
      </c>
      <c r="G80" s="19">
        <v>1368028</v>
      </c>
      <c r="I80" s="84">
        <v>45343</v>
      </c>
      <c r="J80" s="85">
        <v>16182.9296875</v>
      </c>
      <c r="K80" s="85">
        <v>16756.009765625</v>
      </c>
      <c r="L80" s="85">
        <v>16138.8095703125</v>
      </c>
      <c r="M80" s="85">
        <v>16503.099609375</v>
      </c>
      <c r="N80" s="85">
        <v>16503.099609375</v>
      </c>
      <c r="O80" s="85">
        <v>3844263000</v>
      </c>
    </row>
    <row r="81" spans="1:15">
      <c r="A81" s="20">
        <v>45344</v>
      </c>
      <c r="B81" s="19">
        <v>8.369999885559082</v>
      </c>
      <c r="C81" s="19">
        <v>8.5100002288818359</v>
      </c>
      <c r="D81" s="19">
        <v>8.3199996948242188</v>
      </c>
      <c r="E81" s="19">
        <v>8.4700002670288086</v>
      </c>
      <c r="F81" s="19">
        <v>7.8854928016662598</v>
      </c>
      <c r="G81" s="19">
        <v>1663500</v>
      </c>
      <c r="I81" s="84">
        <v>45344</v>
      </c>
      <c r="J81" s="85">
        <v>16489.83984375</v>
      </c>
      <c r="K81" s="85">
        <v>16742.94921875</v>
      </c>
      <c r="L81" s="85">
        <v>16424.7890625</v>
      </c>
      <c r="M81" s="85">
        <v>16742.94921875</v>
      </c>
      <c r="N81" s="85">
        <v>16742.94921875</v>
      </c>
      <c r="O81" s="85">
        <v>2739673200</v>
      </c>
    </row>
    <row r="82" spans="1:15">
      <c r="A82" s="20">
        <v>45345</v>
      </c>
      <c r="B82" s="19">
        <v>8.4700002670288086</v>
      </c>
      <c r="C82" s="19">
        <v>8.5299997329711914</v>
      </c>
      <c r="D82" s="19">
        <v>8.2700004577636719</v>
      </c>
      <c r="E82" s="19">
        <v>8.4899997711181641</v>
      </c>
      <c r="F82" s="19">
        <v>7.9041123390197754</v>
      </c>
      <c r="G82" s="19">
        <v>1372000</v>
      </c>
      <c r="I82" s="84">
        <v>45345</v>
      </c>
      <c r="J82" s="85">
        <v>16654.6796875</v>
      </c>
      <c r="K82" s="85">
        <v>16895.8203125</v>
      </c>
      <c r="L82" s="85">
        <v>16654.6796875</v>
      </c>
      <c r="M82" s="85">
        <v>16725.859375</v>
      </c>
      <c r="N82" s="85">
        <v>16725.859375</v>
      </c>
      <c r="O82" s="85">
        <v>2903143800</v>
      </c>
    </row>
    <row r="83" spans="1:15">
      <c r="A83" s="20">
        <v>45348</v>
      </c>
      <c r="B83" s="19">
        <v>8.4899997711181641</v>
      </c>
      <c r="C83" s="19">
        <v>8.6000003814697266</v>
      </c>
      <c r="D83" s="19">
        <v>8.3900003433227539</v>
      </c>
      <c r="E83" s="19">
        <v>8.5</v>
      </c>
      <c r="F83" s="19">
        <v>7.9134221076965332</v>
      </c>
      <c r="G83" s="19">
        <v>626000</v>
      </c>
      <c r="I83" s="84">
        <v>45348</v>
      </c>
      <c r="J83" s="85">
        <v>16684.9609375</v>
      </c>
      <c r="K83" s="85">
        <v>16777.41015625</v>
      </c>
      <c r="L83" s="85">
        <v>16590.7109375</v>
      </c>
      <c r="M83" s="85">
        <v>16634.740234375</v>
      </c>
      <c r="N83" s="85">
        <v>16634.740234375</v>
      </c>
      <c r="O83" s="85">
        <v>2253549700</v>
      </c>
    </row>
    <row r="84" spans="1:15">
      <c r="A84" s="20">
        <v>45349</v>
      </c>
      <c r="B84" s="19">
        <v>8.5399999618530273</v>
      </c>
      <c r="C84" s="19">
        <v>8.5900001525878906</v>
      </c>
      <c r="D84" s="19">
        <v>8.3999996185302734</v>
      </c>
      <c r="E84" s="19">
        <v>8.5799999237060547</v>
      </c>
      <c r="F84" s="19">
        <v>7.9879012107849121</v>
      </c>
      <c r="G84" s="19">
        <v>657145</v>
      </c>
      <c r="I84" s="84">
        <v>45349</v>
      </c>
      <c r="J84" s="85">
        <v>16645.630859375</v>
      </c>
      <c r="K84" s="85">
        <v>16828.669921875</v>
      </c>
      <c r="L84" s="85">
        <v>16453.5</v>
      </c>
      <c r="M84" s="85">
        <v>16790.80078125</v>
      </c>
      <c r="N84" s="85">
        <v>16790.80078125</v>
      </c>
      <c r="O84" s="85">
        <v>2423909600</v>
      </c>
    </row>
    <row r="85" spans="1:15">
      <c r="A85" s="20">
        <v>45350</v>
      </c>
      <c r="B85" s="19">
        <v>8.4799995422363281</v>
      </c>
      <c r="C85" s="19">
        <v>8.6800003051757812</v>
      </c>
      <c r="D85" s="19">
        <v>8.3400001525878906</v>
      </c>
      <c r="E85" s="19">
        <v>8.4399995803833008</v>
      </c>
      <c r="F85" s="19">
        <v>7.8575625419616699</v>
      </c>
      <c r="G85" s="19">
        <v>1590880</v>
      </c>
      <c r="I85" s="84">
        <v>45350</v>
      </c>
      <c r="J85" s="85">
        <v>16833.609375</v>
      </c>
      <c r="K85" s="85">
        <v>16844.330078125</v>
      </c>
      <c r="L85" s="85">
        <v>16517.83984375</v>
      </c>
      <c r="M85" s="85">
        <v>16536.849609375</v>
      </c>
      <c r="N85" s="85">
        <v>16536.849609375</v>
      </c>
      <c r="O85" s="85">
        <v>2587721800</v>
      </c>
    </row>
    <row r="86" spans="1:15">
      <c r="A86" s="20">
        <v>45351</v>
      </c>
      <c r="B86" s="19">
        <v>8.369999885559082</v>
      </c>
      <c r="C86" s="19">
        <v>8.4499998092651367</v>
      </c>
      <c r="D86" s="19">
        <v>8.3000001907348633</v>
      </c>
      <c r="E86" s="19">
        <v>8.3000001907348633</v>
      </c>
      <c r="F86" s="19">
        <v>7.7272238731384277</v>
      </c>
      <c r="G86" s="19">
        <v>1318000</v>
      </c>
      <c r="I86" s="84">
        <v>45351</v>
      </c>
      <c r="J86" s="85">
        <v>16429.5703125</v>
      </c>
      <c r="K86" s="85">
        <v>16695.359375</v>
      </c>
      <c r="L86" s="85">
        <v>16429.5703125</v>
      </c>
      <c r="M86" s="85">
        <v>16511.439453125</v>
      </c>
      <c r="N86" s="85">
        <v>16511.439453125</v>
      </c>
      <c r="O86" s="85">
        <v>3380825500</v>
      </c>
    </row>
    <row r="87" spans="1:15">
      <c r="A87" s="20">
        <v>45352</v>
      </c>
      <c r="B87" s="19">
        <v>8.3100004196166992</v>
      </c>
      <c r="C87" s="19">
        <v>8.6000003814697266</v>
      </c>
      <c r="D87" s="19">
        <v>8.3000001907348633</v>
      </c>
      <c r="E87" s="19">
        <v>8.5600004196166992</v>
      </c>
      <c r="F87" s="19">
        <v>7.9692816734313965</v>
      </c>
      <c r="G87" s="19">
        <v>622000</v>
      </c>
      <c r="I87" s="84">
        <v>45352</v>
      </c>
      <c r="J87" s="85">
        <v>16390.890625</v>
      </c>
      <c r="K87" s="85">
        <v>16651.669921875</v>
      </c>
      <c r="L87" s="85">
        <v>16321.1201171875</v>
      </c>
      <c r="M87" s="85">
        <v>16589.439453125</v>
      </c>
      <c r="N87" s="85">
        <v>16589.439453125</v>
      </c>
      <c r="O87" s="85">
        <v>2880658500</v>
      </c>
    </row>
    <row r="88" spans="1:15">
      <c r="A88" s="20">
        <v>45355</v>
      </c>
      <c r="B88" s="19">
        <v>8.3199996948242188</v>
      </c>
      <c r="C88" s="19">
        <v>8.5699996948242188</v>
      </c>
      <c r="D88" s="19">
        <v>8.3199996948242188</v>
      </c>
      <c r="E88" s="19">
        <v>8.5600004196166992</v>
      </c>
      <c r="F88" s="19">
        <v>7.9692816734313965</v>
      </c>
      <c r="G88" s="19">
        <v>389500</v>
      </c>
      <c r="I88" s="84">
        <v>45355</v>
      </c>
      <c r="J88" s="85">
        <v>16629.55078125</v>
      </c>
      <c r="K88" s="85">
        <v>16645.9609375</v>
      </c>
      <c r="L88" s="85">
        <v>16473.650390625</v>
      </c>
      <c r="M88" s="85">
        <v>16595.970703125</v>
      </c>
      <c r="N88" s="85">
        <v>16595.970703125</v>
      </c>
      <c r="O88" s="85">
        <v>2519017900</v>
      </c>
    </row>
    <row r="89" spans="1:15">
      <c r="A89" s="20">
        <v>45356</v>
      </c>
      <c r="B89" s="19">
        <v>8.5500001907348633</v>
      </c>
      <c r="C89" s="19">
        <v>8.5500001907348633</v>
      </c>
      <c r="D89" s="19">
        <v>8.4200000762939453</v>
      </c>
      <c r="E89" s="19">
        <v>8.4600000381469727</v>
      </c>
      <c r="F89" s="19">
        <v>7.876183032989502</v>
      </c>
      <c r="G89" s="19">
        <v>593434</v>
      </c>
      <c r="I89" s="84">
        <v>45356</v>
      </c>
      <c r="J89" s="85">
        <v>16343.9501953125</v>
      </c>
      <c r="K89" s="85">
        <v>16450.369140625</v>
      </c>
      <c r="L89" s="85">
        <v>16095.6796875</v>
      </c>
      <c r="M89" s="85">
        <v>16162.6396484375</v>
      </c>
      <c r="N89" s="85">
        <v>16162.6396484375</v>
      </c>
      <c r="O89" s="85">
        <v>2697889500</v>
      </c>
    </row>
    <row r="90" spans="1:15">
      <c r="A90" s="20">
        <v>45357</v>
      </c>
      <c r="B90" s="19">
        <v>8.4200000762939453</v>
      </c>
      <c r="C90" s="19">
        <v>8.5799999237060547</v>
      </c>
      <c r="D90" s="19">
        <v>8.4200000762939453</v>
      </c>
      <c r="E90" s="19">
        <v>8.5</v>
      </c>
      <c r="F90" s="19">
        <v>7.9134221076965332</v>
      </c>
      <c r="G90" s="19">
        <v>386754</v>
      </c>
      <c r="I90" s="84">
        <v>45357</v>
      </c>
      <c r="J90" s="85">
        <v>16167.4501953125</v>
      </c>
      <c r="K90" s="85">
        <v>16545.05078125</v>
      </c>
      <c r="L90" s="85">
        <v>16145.2197265625</v>
      </c>
      <c r="M90" s="85">
        <v>16438.08984375</v>
      </c>
      <c r="N90" s="85">
        <v>16438.08984375</v>
      </c>
      <c r="O90" s="85">
        <v>2488701100</v>
      </c>
    </row>
    <row r="91" spans="1:15">
      <c r="A91" s="20">
        <v>45358</v>
      </c>
      <c r="B91" s="19">
        <v>8.4799995422363281</v>
      </c>
      <c r="C91" s="19">
        <v>8.6999998092651367</v>
      </c>
      <c r="D91" s="19">
        <v>8.5</v>
      </c>
      <c r="E91" s="19">
        <v>8.6999998092651367</v>
      </c>
      <c r="F91" s="19">
        <v>8.0996198654174805</v>
      </c>
      <c r="G91" s="19">
        <v>632091</v>
      </c>
      <c r="I91" s="84">
        <v>45358</v>
      </c>
      <c r="J91" s="85">
        <v>16417.76953125</v>
      </c>
      <c r="K91" s="85">
        <v>16512.41015625</v>
      </c>
      <c r="L91" s="85">
        <v>16136.1201171875</v>
      </c>
      <c r="M91" s="85">
        <v>16229.7802734375</v>
      </c>
      <c r="N91" s="85">
        <v>16229.7802734375</v>
      </c>
      <c r="O91" s="85">
        <v>2535414300</v>
      </c>
    </row>
    <row r="92" spans="1:15">
      <c r="A92" s="20">
        <v>45359</v>
      </c>
      <c r="B92" s="19">
        <v>8.6999998092651367</v>
      </c>
      <c r="C92" s="19">
        <v>8.8500003814697266</v>
      </c>
      <c r="D92" s="19">
        <v>8.6999998092651367</v>
      </c>
      <c r="E92" s="19">
        <v>8.7600002288818359</v>
      </c>
      <c r="F92" s="19">
        <v>8.1554794311523438</v>
      </c>
      <c r="G92" s="19">
        <v>552000</v>
      </c>
      <c r="I92" s="84">
        <v>45359</v>
      </c>
      <c r="J92" s="85">
        <v>16275.3896484375</v>
      </c>
      <c r="K92" s="85">
        <v>16489.73046875</v>
      </c>
      <c r="L92" s="85">
        <v>16275.3896484375</v>
      </c>
      <c r="M92" s="85">
        <v>16353.3896484375</v>
      </c>
      <c r="N92" s="85">
        <v>16353.3896484375</v>
      </c>
      <c r="O92" s="85">
        <v>2596313300</v>
      </c>
    </row>
    <row r="93" spans="1:15">
      <c r="A93" s="20">
        <v>45362</v>
      </c>
      <c r="B93" s="19">
        <v>8.7399997711181641</v>
      </c>
      <c r="C93" s="19">
        <v>8.869999885559082</v>
      </c>
      <c r="D93" s="19">
        <v>8.6999998092651367</v>
      </c>
      <c r="E93" s="19">
        <v>8.869999885559082</v>
      </c>
      <c r="F93" s="19">
        <v>8.2578887939453125</v>
      </c>
      <c r="G93" s="19">
        <v>635116</v>
      </c>
      <c r="I93" s="84">
        <v>45362</v>
      </c>
      <c r="J93" s="85">
        <v>16416.169921875</v>
      </c>
      <c r="K93" s="85">
        <v>16625.640625</v>
      </c>
      <c r="L93" s="85">
        <v>16416.169921875</v>
      </c>
      <c r="M93" s="85">
        <v>16587.5703125</v>
      </c>
      <c r="N93" s="85">
        <v>16587.5703125</v>
      </c>
      <c r="O93" s="85">
        <v>2494031000</v>
      </c>
    </row>
    <row r="94" spans="1:15">
      <c r="A94" s="20">
        <v>45363</v>
      </c>
      <c r="B94" s="19">
        <v>8.8199996948242188</v>
      </c>
      <c r="C94" s="19">
        <v>8.9899997711181641</v>
      </c>
      <c r="D94" s="19">
        <v>8.8100004196166992</v>
      </c>
      <c r="E94" s="19">
        <v>8.9799995422363281</v>
      </c>
      <c r="F94" s="19">
        <v>8.3602972030639648</v>
      </c>
      <c r="G94" s="19">
        <v>1070000</v>
      </c>
      <c r="I94" s="84">
        <v>45363</v>
      </c>
      <c r="J94" s="85">
        <v>16701.94921875</v>
      </c>
      <c r="K94" s="85">
        <v>17154.869140625</v>
      </c>
      <c r="L94" s="85">
        <v>16613.44921875</v>
      </c>
      <c r="M94" s="85">
        <v>17093.5</v>
      </c>
      <c r="N94" s="85">
        <v>17093.5</v>
      </c>
      <c r="O94" s="85">
        <v>4001753000</v>
      </c>
    </row>
    <row r="95" spans="1:15">
      <c r="A95" s="20">
        <v>45364</v>
      </c>
      <c r="B95" s="19">
        <v>8.9200000762939453</v>
      </c>
      <c r="C95" s="19">
        <v>9.0799999237060547</v>
      </c>
      <c r="D95" s="19">
        <v>8.7700004577636719</v>
      </c>
      <c r="E95" s="19">
        <v>8.9700002670288086</v>
      </c>
      <c r="F95" s="19">
        <v>8.3509883880615234</v>
      </c>
      <c r="G95" s="19">
        <v>695302</v>
      </c>
      <c r="I95" s="84">
        <v>45364</v>
      </c>
      <c r="J95" s="85">
        <v>17059.109375</v>
      </c>
      <c r="K95" s="85">
        <v>17214.669921875</v>
      </c>
      <c r="L95" s="85">
        <v>17050.869140625</v>
      </c>
      <c r="M95" s="85">
        <v>17082.109375</v>
      </c>
      <c r="N95" s="85">
        <v>17082.109375</v>
      </c>
      <c r="O95" s="85">
        <v>2801014000</v>
      </c>
    </row>
    <row r="96" spans="1:15">
      <c r="A96" s="20">
        <v>45365</v>
      </c>
      <c r="B96" s="19">
        <v>8.869999885559082</v>
      </c>
      <c r="C96" s="19">
        <v>9</v>
      </c>
      <c r="D96" s="19">
        <v>8.8599996566772461</v>
      </c>
      <c r="E96" s="19">
        <v>8.9099998474121094</v>
      </c>
      <c r="F96" s="19">
        <v>8.2951278686523438</v>
      </c>
      <c r="G96" s="19">
        <v>831858</v>
      </c>
      <c r="I96" s="84">
        <v>45365</v>
      </c>
      <c r="J96" s="85">
        <v>17120.5390625</v>
      </c>
      <c r="K96" s="85">
        <v>17209.8203125</v>
      </c>
      <c r="L96" s="85">
        <v>16878.109375</v>
      </c>
      <c r="M96" s="85">
        <v>16961.66015625</v>
      </c>
      <c r="N96" s="85">
        <v>16961.66015625</v>
      </c>
      <c r="O96" s="85">
        <v>2699096400</v>
      </c>
    </row>
    <row r="97" spans="1:15">
      <c r="A97" s="20">
        <v>45366</v>
      </c>
      <c r="B97" s="19">
        <v>8.8000001907348633</v>
      </c>
      <c r="C97" s="19">
        <v>8.8900003433227539</v>
      </c>
      <c r="D97" s="19">
        <v>8.630000114440918</v>
      </c>
      <c r="E97" s="19">
        <v>8.7799997329711914</v>
      </c>
      <c r="F97" s="19">
        <v>8.1740989685058594</v>
      </c>
      <c r="G97" s="19">
        <v>4058341</v>
      </c>
      <c r="I97" s="84">
        <v>45366</v>
      </c>
      <c r="J97" s="85">
        <v>16758.359375</v>
      </c>
      <c r="K97" s="85">
        <v>16821.130859375</v>
      </c>
      <c r="L97" s="85">
        <v>16550.419921875</v>
      </c>
      <c r="M97" s="85">
        <v>16720.890625</v>
      </c>
      <c r="N97" s="85">
        <v>16720.890625</v>
      </c>
      <c r="O97" s="85">
        <v>3776694200</v>
      </c>
    </row>
    <row r="98" spans="1:15">
      <c r="A98" s="20">
        <v>45369</v>
      </c>
      <c r="B98" s="19">
        <v>8.8400001525878906</v>
      </c>
      <c r="C98" s="19">
        <v>8.8400001525878906</v>
      </c>
      <c r="D98" s="19">
        <v>8.619999885559082</v>
      </c>
      <c r="E98" s="19">
        <v>8.6800003051757812</v>
      </c>
      <c r="F98" s="19">
        <v>8.0810003280639648</v>
      </c>
      <c r="G98" s="19">
        <v>3669766</v>
      </c>
      <c r="I98" s="84">
        <v>45369</v>
      </c>
      <c r="J98" s="85">
        <v>16690.259765625</v>
      </c>
      <c r="K98" s="85">
        <v>16801.640625</v>
      </c>
      <c r="L98" s="85">
        <v>16641.580078125</v>
      </c>
      <c r="M98" s="85">
        <v>16737.119140625</v>
      </c>
      <c r="N98" s="85">
        <v>16737.119140625</v>
      </c>
      <c r="O98" s="85">
        <v>2241776800</v>
      </c>
    </row>
    <row r="99" spans="1:15">
      <c r="A99" s="20">
        <v>45370</v>
      </c>
      <c r="B99" s="19">
        <v>8.7299995422363281</v>
      </c>
      <c r="C99" s="19">
        <v>8.7299995422363281</v>
      </c>
      <c r="D99" s="19">
        <v>8.4300003051757812</v>
      </c>
      <c r="E99" s="19">
        <v>8.4300003051757812</v>
      </c>
      <c r="F99" s="19">
        <v>7.8482527732849121</v>
      </c>
      <c r="G99" s="19">
        <v>1244000</v>
      </c>
      <c r="I99" s="84">
        <v>45370</v>
      </c>
      <c r="J99" s="85">
        <v>16628.0703125</v>
      </c>
      <c r="K99" s="85">
        <v>16682.5390625</v>
      </c>
      <c r="L99" s="85">
        <v>16492.08984375</v>
      </c>
      <c r="M99" s="85">
        <v>16529.48046875</v>
      </c>
      <c r="N99" s="85">
        <v>16529.48046875</v>
      </c>
      <c r="O99" s="85">
        <v>2433582900</v>
      </c>
    </row>
    <row r="100" spans="1:15">
      <c r="A100" s="20">
        <v>45371</v>
      </c>
      <c r="B100" s="19">
        <v>8.4499998092651367</v>
      </c>
      <c r="C100" s="19">
        <v>8.5399999618530273</v>
      </c>
      <c r="D100" s="19">
        <v>8.369999885559082</v>
      </c>
      <c r="E100" s="19">
        <v>8.369999885559082</v>
      </c>
      <c r="F100" s="19">
        <v>7.7923932075500488</v>
      </c>
      <c r="G100" s="19">
        <v>442613</v>
      </c>
      <c r="I100" s="84">
        <v>45371</v>
      </c>
      <c r="J100" s="85">
        <v>16559.009765625</v>
      </c>
      <c r="K100" s="85">
        <v>16654.080078125</v>
      </c>
      <c r="L100" s="85">
        <v>16430.119140625</v>
      </c>
      <c r="M100" s="85">
        <v>16543.0703125</v>
      </c>
      <c r="N100" s="85">
        <v>16543.0703125</v>
      </c>
      <c r="O100" s="85">
        <v>2291672600</v>
      </c>
    </row>
    <row r="101" spans="1:15">
      <c r="A101" s="20">
        <v>45372</v>
      </c>
      <c r="B101" s="19">
        <v>8.4799995422363281</v>
      </c>
      <c r="C101" s="19">
        <v>8.5299997329711914</v>
      </c>
      <c r="D101" s="19">
        <v>8.3900003433227539</v>
      </c>
      <c r="E101" s="19">
        <v>8.4799995422363281</v>
      </c>
      <c r="F101" s="19">
        <v>7.8948016166687012</v>
      </c>
      <c r="G101" s="19">
        <v>868058</v>
      </c>
      <c r="I101" s="84">
        <v>45372</v>
      </c>
      <c r="J101" s="85">
        <v>16762.830078125</v>
      </c>
      <c r="K101" s="85">
        <v>16973.51953125</v>
      </c>
      <c r="L101" s="85">
        <v>16762.830078125</v>
      </c>
      <c r="M101" s="85">
        <v>16863.099609375</v>
      </c>
      <c r="N101" s="85">
        <v>16863.099609375</v>
      </c>
      <c r="O101" s="85">
        <v>3220967100</v>
      </c>
    </row>
    <row r="102" spans="1:15">
      <c r="A102" s="20">
        <v>45373</v>
      </c>
      <c r="B102" s="19">
        <v>8.4099998474121094</v>
      </c>
      <c r="C102" s="19">
        <v>8.4200000762939453</v>
      </c>
      <c r="D102" s="19">
        <v>8.3100004196166992</v>
      </c>
      <c r="E102" s="19">
        <v>8.3900003433227539</v>
      </c>
      <c r="F102" s="19">
        <v>7.8110136985778809</v>
      </c>
      <c r="G102" s="19">
        <v>352000</v>
      </c>
      <c r="I102" s="84">
        <v>45373</v>
      </c>
      <c r="J102" s="85">
        <v>16745.26953125</v>
      </c>
      <c r="K102" s="85">
        <v>16747.19921875</v>
      </c>
      <c r="L102" s="85">
        <v>16341.6103515625</v>
      </c>
      <c r="M102" s="85">
        <v>16499.470703125</v>
      </c>
      <c r="N102" s="85">
        <v>16499.470703125</v>
      </c>
      <c r="O102" s="85">
        <v>3110411500</v>
      </c>
    </row>
    <row r="103" spans="1:15">
      <c r="A103" s="20">
        <v>45376</v>
      </c>
      <c r="B103" s="19">
        <v>8.3599996566772461</v>
      </c>
      <c r="C103" s="19">
        <v>8.3900003433227539</v>
      </c>
      <c r="D103" s="19">
        <v>8.0900001525878906</v>
      </c>
      <c r="E103" s="19">
        <v>8.119999885559082</v>
      </c>
      <c r="F103" s="19">
        <v>7.5596451759338379</v>
      </c>
      <c r="G103" s="19">
        <v>1102000</v>
      </c>
      <c r="I103" s="84">
        <v>45376</v>
      </c>
      <c r="J103" s="85">
        <v>16531.94921875</v>
      </c>
      <c r="K103" s="85">
        <v>16612.640625</v>
      </c>
      <c r="L103" s="85">
        <v>16441.30078125</v>
      </c>
      <c r="M103" s="85">
        <v>16473.640625</v>
      </c>
      <c r="N103" s="85">
        <v>16473.640625</v>
      </c>
      <c r="O103" s="85">
        <v>2624506500</v>
      </c>
    </row>
    <row r="104" spans="1:15">
      <c r="A104" s="20">
        <v>45377</v>
      </c>
      <c r="B104" s="19">
        <v>8.119999885559082</v>
      </c>
      <c r="C104" s="19">
        <v>8.2700004577636719</v>
      </c>
      <c r="D104" s="19">
        <v>8.0699996948242188</v>
      </c>
      <c r="E104" s="19">
        <v>8.1599998474121094</v>
      </c>
      <c r="F104" s="19">
        <v>7.5968852043151855</v>
      </c>
      <c r="G104" s="19">
        <v>997000</v>
      </c>
      <c r="I104" s="84">
        <v>45377</v>
      </c>
      <c r="J104" s="85">
        <v>16548.5</v>
      </c>
      <c r="K104" s="85">
        <v>16728.900390625</v>
      </c>
      <c r="L104" s="85">
        <v>16452.55078125</v>
      </c>
      <c r="M104" s="85">
        <v>16618.3203125</v>
      </c>
      <c r="N104" s="85">
        <v>16618.3203125</v>
      </c>
      <c r="O104" s="85">
        <v>2745765700</v>
      </c>
    </row>
    <row r="105" spans="1:15">
      <c r="A105" s="20">
        <v>45378</v>
      </c>
      <c r="B105" s="19">
        <v>8.2100000381469727</v>
      </c>
      <c r="C105" s="19">
        <v>8.2600002288818359</v>
      </c>
      <c r="D105" s="19">
        <v>8.1099996566772461</v>
      </c>
      <c r="E105" s="19">
        <v>8.1899995803833008</v>
      </c>
      <c r="F105" s="19">
        <v>7.624814510345459</v>
      </c>
      <c r="G105" s="19">
        <v>1231000</v>
      </c>
      <c r="I105" s="84">
        <v>45378</v>
      </c>
      <c r="J105" s="85">
        <v>16530.439453125</v>
      </c>
      <c r="K105" s="85">
        <v>16612</v>
      </c>
      <c r="L105" s="85">
        <v>16354.8095703125</v>
      </c>
      <c r="M105" s="85">
        <v>16392.83984375</v>
      </c>
      <c r="N105" s="85">
        <v>16392.83984375</v>
      </c>
      <c r="O105" s="85">
        <v>2769889600</v>
      </c>
    </row>
    <row r="106" spans="1:15">
      <c r="A106" s="20">
        <v>45379</v>
      </c>
      <c r="B106" s="19">
        <v>8.25</v>
      </c>
      <c r="C106" s="19">
        <v>8.25</v>
      </c>
      <c r="D106" s="19">
        <v>7.9800000190734863</v>
      </c>
      <c r="E106" s="19">
        <v>8.0100002288818359</v>
      </c>
      <c r="F106" s="19">
        <v>7.4572367668151855</v>
      </c>
      <c r="G106" s="19">
        <v>1461858</v>
      </c>
      <c r="I106" s="84">
        <v>45379</v>
      </c>
      <c r="J106" s="85">
        <v>16378.400390625</v>
      </c>
      <c r="K106" s="85">
        <v>16725.609375</v>
      </c>
      <c r="L106" s="85">
        <v>16345.900390625</v>
      </c>
      <c r="M106" s="85">
        <v>16541.419921875</v>
      </c>
      <c r="N106" s="85">
        <v>16541.419921875</v>
      </c>
      <c r="O106" s="85">
        <v>3203421300</v>
      </c>
    </row>
    <row r="107" spans="1:15">
      <c r="A107" s="20">
        <v>45384</v>
      </c>
      <c r="B107" s="19">
        <v>7.9200000762939453</v>
      </c>
      <c r="C107" s="19">
        <v>8.3599996566772461</v>
      </c>
      <c r="D107" s="19">
        <v>7.9200000762939453</v>
      </c>
      <c r="E107" s="19">
        <v>8.2799997329711914</v>
      </c>
      <c r="F107" s="19">
        <v>7.7086033821105957</v>
      </c>
      <c r="G107" s="19">
        <v>918000</v>
      </c>
      <c r="I107" s="84">
        <v>45384</v>
      </c>
      <c r="J107" s="85">
        <v>16811.740234375</v>
      </c>
      <c r="K107" s="85">
        <v>17007.33984375</v>
      </c>
      <c r="L107" s="85">
        <v>16811.740234375</v>
      </c>
      <c r="M107" s="85">
        <v>16931.51953125</v>
      </c>
      <c r="N107" s="85">
        <v>16931.51953125</v>
      </c>
      <c r="O107" s="85">
        <v>3983141300</v>
      </c>
    </row>
    <row r="108" spans="1:15">
      <c r="A108" s="20">
        <v>45385</v>
      </c>
      <c r="B108" s="19">
        <v>8.3100004196166992</v>
      </c>
      <c r="C108" s="19">
        <v>8.3100004196166992</v>
      </c>
      <c r="D108" s="19">
        <v>8.119999885559082</v>
      </c>
      <c r="E108" s="19">
        <v>8.1800003051757812</v>
      </c>
      <c r="F108" s="19">
        <v>7.6155056953430176</v>
      </c>
      <c r="G108" s="19">
        <v>1155572</v>
      </c>
      <c r="I108" s="84">
        <v>45385</v>
      </c>
      <c r="J108" s="85">
        <v>16926.849609375</v>
      </c>
      <c r="K108" s="85">
        <v>16926.849609375</v>
      </c>
      <c r="L108" s="85">
        <v>16689.189453125</v>
      </c>
      <c r="M108" s="85">
        <v>16725.099609375</v>
      </c>
      <c r="N108" s="85">
        <v>16725.099609375</v>
      </c>
      <c r="O108" s="85">
        <v>2667363200</v>
      </c>
    </row>
    <row r="109" spans="1:15">
      <c r="A109" s="20">
        <v>45387</v>
      </c>
      <c r="B109" s="19">
        <v>8.1800003051757812</v>
      </c>
      <c r="C109" s="19">
        <v>8.2600002288818359</v>
      </c>
      <c r="D109" s="19">
        <v>8.0799999237060547</v>
      </c>
      <c r="E109" s="19">
        <v>8.1999998092651367</v>
      </c>
      <c r="F109" s="19">
        <v>7.6341242790222168</v>
      </c>
      <c r="G109" s="19">
        <v>1097996</v>
      </c>
      <c r="I109" s="84">
        <v>45387</v>
      </c>
      <c r="J109" s="85">
        <v>16787.9296875</v>
      </c>
      <c r="K109" s="85">
        <v>16839.55078125</v>
      </c>
      <c r="L109" s="85">
        <v>16480.359375</v>
      </c>
      <c r="M109" s="85">
        <v>16723.919921875</v>
      </c>
      <c r="N109" s="85">
        <v>16723.919921875</v>
      </c>
      <c r="O109" s="85">
        <v>1804396100</v>
      </c>
    </row>
    <row r="110" spans="1:15">
      <c r="A110" s="20">
        <v>45390</v>
      </c>
      <c r="B110" s="19">
        <v>8.3000001907348633</v>
      </c>
      <c r="C110" s="19">
        <v>8.3000001907348633</v>
      </c>
      <c r="D110" s="19">
        <v>8.0699996948242188</v>
      </c>
      <c r="E110" s="19">
        <v>8.0799999237060547</v>
      </c>
      <c r="F110" s="19">
        <v>7.5224056243896484</v>
      </c>
      <c r="G110" s="19">
        <v>510000</v>
      </c>
      <c r="I110" s="84">
        <v>45390</v>
      </c>
      <c r="J110" s="85">
        <v>16650.830078125</v>
      </c>
      <c r="K110" s="85">
        <v>16895.060546875</v>
      </c>
      <c r="L110" s="85">
        <v>16580.529296875</v>
      </c>
      <c r="M110" s="85">
        <v>16732.849609375</v>
      </c>
      <c r="N110" s="85">
        <v>16732.849609375</v>
      </c>
      <c r="O110" s="85">
        <v>2636773000</v>
      </c>
    </row>
    <row r="111" spans="1:15">
      <c r="A111" s="20">
        <v>45391</v>
      </c>
      <c r="B111" s="19">
        <v>8.0200004577636719</v>
      </c>
      <c r="C111" s="19">
        <v>8.3000001907348633</v>
      </c>
      <c r="D111" s="19">
        <v>8.0200004577636719</v>
      </c>
      <c r="E111" s="19">
        <v>8.2899999618530273</v>
      </c>
      <c r="F111" s="19">
        <v>7.7179141044616699</v>
      </c>
      <c r="G111" s="19">
        <v>636283</v>
      </c>
      <c r="I111" s="84">
        <v>45391</v>
      </c>
      <c r="J111" s="85">
        <v>16819.1796875</v>
      </c>
      <c r="K111" s="85">
        <v>17006.849609375</v>
      </c>
      <c r="L111" s="85">
        <v>16805.990234375</v>
      </c>
      <c r="M111" s="85">
        <v>16828.0703125</v>
      </c>
      <c r="N111" s="85">
        <v>16828.0703125</v>
      </c>
      <c r="O111" s="85">
        <v>2120056900</v>
      </c>
    </row>
    <row r="112" spans="1:15">
      <c r="A112" s="20">
        <v>45392</v>
      </c>
      <c r="B112" s="19">
        <v>8.1400003433227539</v>
      </c>
      <c r="C112" s="19">
        <v>8.4700002670288086</v>
      </c>
      <c r="D112" s="19">
        <v>8.1400003433227539</v>
      </c>
      <c r="E112" s="19">
        <v>8.369999885559082</v>
      </c>
      <c r="F112" s="19">
        <v>7.7923932075500488</v>
      </c>
      <c r="G112" s="19">
        <v>903642</v>
      </c>
      <c r="I112" s="84">
        <v>45392</v>
      </c>
      <c r="J112" s="85">
        <v>16926.01953125</v>
      </c>
      <c r="K112" s="85">
        <v>17190.5</v>
      </c>
      <c r="L112" s="85">
        <v>16918.359375</v>
      </c>
      <c r="M112" s="85">
        <v>17139.169921875</v>
      </c>
      <c r="N112" s="85">
        <v>17139.169921875</v>
      </c>
      <c r="O112" s="85">
        <v>2549074700</v>
      </c>
    </row>
    <row r="113" spans="1:15">
      <c r="A113" s="20">
        <v>45393</v>
      </c>
      <c r="B113" s="19">
        <v>8.25</v>
      </c>
      <c r="C113" s="19">
        <v>8.4399995803833008</v>
      </c>
      <c r="D113" s="19">
        <v>8.1999998092651367</v>
      </c>
      <c r="E113" s="19">
        <v>8.3900003433227539</v>
      </c>
      <c r="F113" s="19">
        <v>7.8110136985778809</v>
      </c>
      <c r="G113" s="19">
        <v>892000</v>
      </c>
      <c r="I113" s="84">
        <v>45393</v>
      </c>
      <c r="J113" s="85">
        <v>16856.189453125</v>
      </c>
      <c r="K113" s="85">
        <v>17141.359375</v>
      </c>
      <c r="L113" s="85">
        <v>16856.189453125</v>
      </c>
      <c r="M113" s="85">
        <v>17095.029296875</v>
      </c>
      <c r="N113" s="85">
        <v>17095.029296875</v>
      </c>
      <c r="O113" s="85">
        <v>2480545300</v>
      </c>
    </row>
    <row r="114" spans="1:15">
      <c r="A114" s="20">
        <v>45394</v>
      </c>
      <c r="B114" s="19">
        <v>8.4899997711181641</v>
      </c>
      <c r="C114" s="19">
        <v>8.5</v>
      </c>
      <c r="D114" s="19">
        <v>8.3500003814697266</v>
      </c>
      <c r="E114" s="19">
        <v>8.3500003814697266</v>
      </c>
      <c r="F114" s="19">
        <v>7.7737736701965332</v>
      </c>
      <c r="G114" s="19">
        <v>663807</v>
      </c>
      <c r="I114" s="84">
        <v>45394</v>
      </c>
      <c r="J114" s="85">
        <v>16978.69921875</v>
      </c>
      <c r="K114" s="85">
        <v>17031.310546875</v>
      </c>
      <c r="L114" s="85">
        <v>16721.689453125</v>
      </c>
      <c r="M114" s="85">
        <v>16721.689453125</v>
      </c>
      <c r="N114" s="85">
        <v>16721.689453125</v>
      </c>
      <c r="O114" s="85">
        <v>2840321200</v>
      </c>
    </row>
    <row r="115" spans="1:15">
      <c r="A115" s="20">
        <v>45397</v>
      </c>
      <c r="B115" s="19">
        <v>8.3400001525878906</v>
      </c>
      <c r="C115" s="19">
        <v>8.380000114440918</v>
      </c>
      <c r="D115" s="19">
        <v>8.2600002288818359</v>
      </c>
      <c r="E115" s="19">
        <v>8.3199996948242188</v>
      </c>
      <c r="F115" s="19">
        <v>7.7458434104919434</v>
      </c>
      <c r="G115" s="19">
        <v>792368</v>
      </c>
      <c r="I115" s="84">
        <v>45397</v>
      </c>
      <c r="J115" s="85">
        <v>16487.359375</v>
      </c>
      <c r="K115" s="85">
        <v>16647.08984375</v>
      </c>
      <c r="L115" s="85">
        <v>16465.400390625</v>
      </c>
      <c r="M115" s="85">
        <v>16600.4609375</v>
      </c>
      <c r="N115" s="85">
        <v>16600.4609375</v>
      </c>
      <c r="O115" s="85">
        <v>2561790600</v>
      </c>
    </row>
    <row r="116" spans="1:15">
      <c r="A116" s="20">
        <v>45398</v>
      </c>
      <c r="B116" s="19">
        <v>8.3199996948242188</v>
      </c>
      <c r="C116" s="19">
        <v>8.3299999237060547</v>
      </c>
      <c r="D116" s="19">
        <v>8.1499996185302734</v>
      </c>
      <c r="E116" s="19">
        <v>8.1599998474121094</v>
      </c>
      <c r="F116" s="19">
        <v>7.5968852043151855</v>
      </c>
      <c r="G116" s="19">
        <v>842204</v>
      </c>
      <c r="I116" s="84">
        <v>45398</v>
      </c>
      <c r="J116" s="85">
        <v>16367.6904296875</v>
      </c>
      <c r="K116" s="85">
        <v>16449.240234375</v>
      </c>
      <c r="L116" s="85">
        <v>16208.6396484375</v>
      </c>
      <c r="M116" s="85">
        <v>16248.9697265625</v>
      </c>
      <c r="N116" s="85">
        <v>16248.9697265625</v>
      </c>
      <c r="O116" s="85">
        <v>3092911600</v>
      </c>
    </row>
    <row r="117" spans="1:15">
      <c r="A117" s="20">
        <v>45399</v>
      </c>
      <c r="B117" s="19">
        <v>8.1499996185302734</v>
      </c>
      <c r="C117" s="19">
        <v>8.1999998092651367</v>
      </c>
      <c r="D117" s="19">
        <v>7.9800000190734863</v>
      </c>
      <c r="E117" s="19">
        <v>7.9800000190734863</v>
      </c>
      <c r="F117" s="19">
        <v>7.4293065071105957</v>
      </c>
      <c r="G117" s="19">
        <v>1318000</v>
      </c>
      <c r="I117" s="84">
        <v>45399</v>
      </c>
      <c r="J117" s="85">
        <v>16225.5400390625</v>
      </c>
      <c r="K117" s="85">
        <v>16316.6904296875</v>
      </c>
      <c r="L117" s="85">
        <v>16155.830078125</v>
      </c>
      <c r="M117" s="85">
        <v>16251.83984375</v>
      </c>
      <c r="N117" s="85">
        <v>16251.83984375</v>
      </c>
      <c r="O117" s="85">
        <v>2450526000</v>
      </c>
    </row>
    <row r="118" spans="1:15">
      <c r="A118" s="20">
        <v>45400</v>
      </c>
      <c r="B118" s="19">
        <v>8.0799999237060547</v>
      </c>
      <c r="C118" s="19">
        <v>8.1499996185302734</v>
      </c>
      <c r="D118" s="19">
        <v>8</v>
      </c>
      <c r="E118" s="19">
        <v>8.0100002288818359</v>
      </c>
      <c r="F118" s="19">
        <v>7.4572367668151855</v>
      </c>
      <c r="G118" s="19">
        <v>608000</v>
      </c>
      <c r="I118" s="84">
        <v>45400</v>
      </c>
      <c r="J118" s="85">
        <v>16253.240234375</v>
      </c>
      <c r="K118" s="85">
        <v>16507.599609375</v>
      </c>
      <c r="L118" s="85">
        <v>16206.5498046875</v>
      </c>
      <c r="M118" s="85">
        <v>16385.869140625</v>
      </c>
      <c r="N118" s="85">
        <v>16385.869140625</v>
      </c>
      <c r="O118" s="85">
        <v>3228014900</v>
      </c>
    </row>
    <row r="119" spans="1:15">
      <c r="A119" s="20">
        <v>45401</v>
      </c>
      <c r="B119" s="19">
        <v>8.0100002288818359</v>
      </c>
      <c r="C119" s="19">
        <v>8.0100002288818359</v>
      </c>
      <c r="D119" s="19">
        <v>7.7199997901916504</v>
      </c>
      <c r="E119" s="19">
        <v>7.7800002098083496</v>
      </c>
      <c r="F119" s="19">
        <v>7.2431087493896484</v>
      </c>
      <c r="G119" s="19">
        <v>1566000</v>
      </c>
      <c r="I119" s="84">
        <v>45401</v>
      </c>
      <c r="J119" s="85">
        <v>16246.33984375</v>
      </c>
      <c r="K119" s="85">
        <v>16254.900390625</v>
      </c>
      <c r="L119" s="85">
        <v>16044.4501953125</v>
      </c>
      <c r="M119" s="85">
        <v>16224.1396484375</v>
      </c>
      <c r="N119" s="85">
        <v>16224.1396484375</v>
      </c>
      <c r="O119" s="85">
        <v>3393743300</v>
      </c>
    </row>
    <row r="120" spans="1:15">
      <c r="A120" s="20">
        <v>45404</v>
      </c>
      <c r="B120" s="19">
        <v>7.8899998664855957</v>
      </c>
      <c r="C120" s="19">
        <v>7.9699997901916504</v>
      </c>
      <c r="D120" s="19">
        <v>7.8400001525878906</v>
      </c>
      <c r="E120" s="19">
        <v>7.8899998664855957</v>
      </c>
      <c r="F120" s="19">
        <v>7.3455171585083008</v>
      </c>
      <c r="G120" s="19">
        <v>450123</v>
      </c>
      <c r="I120" s="84">
        <v>45404</v>
      </c>
      <c r="J120" s="85">
        <v>16410.830078125</v>
      </c>
      <c r="K120" s="85">
        <v>16637.8203125</v>
      </c>
      <c r="L120" s="85">
        <v>16410.830078125</v>
      </c>
      <c r="M120" s="85">
        <v>16511.689453125</v>
      </c>
      <c r="N120" s="85">
        <v>16511.689453125</v>
      </c>
      <c r="O120" s="85">
        <v>2915063300</v>
      </c>
    </row>
    <row r="121" spans="1:15">
      <c r="A121" s="20">
        <v>45405</v>
      </c>
      <c r="B121" s="19">
        <v>7.8899998664855957</v>
      </c>
      <c r="C121" s="19">
        <v>7.9800000190734863</v>
      </c>
      <c r="D121" s="19">
        <v>7.880000114440918</v>
      </c>
      <c r="E121" s="19">
        <v>7.940000057220459</v>
      </c>
      <c r="F121" s="19">
        <v>7.3920669555664062</v>
      </c>
      <c r="G121" s="19">
        <v>300000</v>
      </c>
      <c r="I121" s="84">
        <v>45405</v>
      </c>
      <c r="J121" s="85">
        <v>16679.390625</v>
      </c>
      <c r="K121" s="85">
        <v>16846.130859375</v>
      </c>
      <c r="L121" s="85">
        <v>16599.2109375</v>
      </c>
      <c r="M121" s="85">
        <v>16828.9296875</v>
      </c>
      <c r="N121" s="85">
        <v>16828.9296875</v>
      </c>
      <c r="O121" s="85">
        <v>2993655900</v>
      </c>
    </row>
    <row r="122" spans="1:15">
      <c r="A122" s="20">
        <v>45406</v>
      </c>
      <c r="B122" s="19">
        <v>7.9699997901916504</v>
      </c>
      <c r="C122" s="19">
        <v>8.0299997329711914</v>
      </c>
      <c r="D122" s="19">
        <v>7.8499999046325684</v>
      </c>
      <c r="E122" s="19">
        <v>7.9499998092651367</v>
      </c>
      <c r="F122" s="19">
        <v>7.4013767242431641</v>
      </c>
      <c r="G122" s="19">
        <v>448000</v>
      </c>
      <c r="I122" s="84">
        <v>45406</v>
      </c>
      <c r="J122" s="85">
        <v>16993.169921875</v>
      </c>
      <c r="K122" s="85">
        <v>17217.859375</v>
      </c>
      <c r="L122" s="85">
        <v>16934.650390625</v>
      </c>
      <c r="M122" s="85">
        <v>17201.26953125</v>
      </c>
      <c r="N122" s="85">
        <v>17201.26953125</v>
      </c>
      <c r="O122" s="85">
        <v>3314752700</v>
      </c>
    </row>
    <row r="123" spans="1:15">
      <c r="A123" s="20">
        <v>45407</v>
      </c>
      <c r="B123" s="19">
        <v>7.9499998092651367</v>
      </c>
      <c r="C123" s="19">
        <v>8.0399999618530273</v>
      </c>
      <c r="D123" s="19">
        <v>7.8899998664855957</v>
      </c>
      <c r="E123" s="19">
        <v>7.9099998474121094</v>
      </c>
      <c r="F123" s="19">
        <v>7.3641371726989746</v>
      </c>
      <c r="G123" s="19">
        <v>559104</v>
      </c>
      <c r="I123" s="84">
        <v>45407</v>
      </c>
      <c r="J123" s="85">
        <v>17144.119140625</v>
      </c>
      <c r="K123" s="85">
        <v>17438.830078125</v>
      </c>
      <c r="L123" s="85">
        <v>17109.5703125</v>
      </c>
      <c r="M123" s="85">
        <v>17284.5390625</v>
      </c>
      <c r="N123" s="85">
        <v>17284.5390625</v>
      </c>
      <c r="O123" s="85">
        <v>3147284200</v>
      </c>
    </row>
    <row r="124" spans="1:15">
      <c r="A124" s="20">
        <v>45408</v>
      </c>
      <c r="B124" s="19">
        <v>7.9000000953674316</v>
      </c>
      <c r="C124" s="19">
        <v>8.119999885559082</v>
      </c>
      <c r="D124" s="19">
        <v>7.9000000953674316</v>
      </c>
      <c r="E124" s="19">
        <v>8.119999885559082</v>
      </c>
      <c r="F124" s="19">
        <v>7.5596451759338379</v>
      </c>
      <c r="G124" s="19">
        <v>626034</v>
      </c>
      <c r="I124" s="84">
        <v>45408</v>
      </c>
      <c r="J124" s="85">
        <v>17336.19921875</v>
      </c>
      <c r="K124" s="85">
        <v>17758.240234375</v>
      </c>
      <c r="L124" s="85">
        <v>17336.19921875</v>
      </c>
      <c r="M124" s="85">
        <v>17651.150390625</v>
      </c>
      <c r="N124" s="85">
        <v>17651.150390625</v>
      </c>
      <c r="O124" s="85">
        <v>3850968700</v>
      </c>
    </row>
    <row r="125" spans="1:15">
      <c r="A125" s="20">
        <v>45411</v>
      </c>
      <c r="B125" s="19">
        <v>8.1099996566772461</v>
      </c>
      <c r="C125" s="19">
        <v>8.4099998474121094</v>
      </c>
      <c r="D125" s="19">
        <v>8.1099996566772461</v>
      </c>
      <c r="E125" s="19">
        <v>8.2799997329711914</v>
      </c>
      <c r="F125" s="19">
        <v>7.7086033821105957</v>
      </c>
      <c r="G125" s="19">
        <v>982000</v>
      </c>
      <c r="I125" s="84">
        <v>45411</v>
      </c>
      <c r="J125" s="85">
        <v>17737.9296875</v>
      </c>
      <c r="K125" s="85">
        <v>18031.16015625</v>
      </c>
      <c r="L125" s="85">
        <v>17679.189453125</v>
      </c>
      <c r="M125" s="85">
        <v>17746.91015625</v>
      </c>
      <c r="N125" s="85">
        <v>17746.91015625</v>
      </c>
      <c r="O125" s="85">
        <v>4850882200</v>
      </c>
    </row>
    <row r="126" spans="1:15">
      <c r="A126" s="20">
        <v>45412</v>
      </c>
      <c r="B126" s="19">
        <v>8.2899999618530273</v>
      </c>
      <c r="C126" s="19">
        <v>8.2899999618530273</v>
      </c>
      <c r="D126" s="19">
        <v>8.0699996948242188</v>
      </c>
      <c r="E126" s="19">
        <v>8.130000114440918</v>
      </c>
      <c r="F126" s="19">
        <v>7.5689554214477539</v>
      </c>
      <c r="G126" s="19">
        <v>712000</v>
      </c>
      <c r="I126" s="84">
        <v>45412</v>
      </c>
      <c r="J126" s="85">
        <v>17843.439453125</v>
      </c>
      <c r="K126" s="85">
        <v>17902.01953125</v>
      </c>
      <c r="L126" s="85">
        <v>17686.939453125</v>
      </c>
      <c r="M126" s="85">
        <v>17763.029296875</v>
      </c>
      <c r="N126" s="85">
        <v>17763.029296875</v>
      </c>
      <c r="O126" s="85">
        <v>3679962400</v>
      </c>
    </row>
    <row r="127" spans="1:15">
      <c r="A127" s="20">
        <v>45414</v>
      </c>
      <c r="B127" s="19">
        <v>8.1999998092651367</v>
      </c>
      <c r="C127" s="19">
        <v>8.5500001907348633</v>
      </c>
      <c r="D127" s="19">
        <v>8.0799999237060547</v>
      </c>
      <c r="E127" s="19">
        <v>8.5200004577636719</v>
      </c>
      <c r="F127" s="19">
        <v>7.9320425987243652</v>
      </c>
      <c r="G127" s="19">
        <v>2422000</v>
      </c>
      <c r="I127" s="84">
        <v>45414</v>
      </c>
      <c r="J127" s="85">
        <v>17760.6796875</v>
      </c>
      <c r="K127" s="85">
        <v>18217.8203125</v>
      </c>
      <c r="L127" s="85">
        <v>17740.619140625</v>
      </c>
      <c r="M127" s="85">
        <v>18207.130859375</v>
      </c>
      <c r="N127" s="85">
        <v>18207.130859375</v>
      </c>
      <c r="O127" s="85">
        <v>2424963300</v>
      </c>
    </row>
    <row r="128" spans="1:15">
      <c r="A128" s="20">
        <v>45415</v>
      </c>
      <c r="B128" s="19">
        <v>8.5900001525878906</v>
      </c>
      <c r="C128" s="19">
        <v>9.2700004577636719</v>
      </c>
      <c r="D128" s="19">
        <v>8.5900001525878906</v>
      </c>
      <c r="E128" s="19">
        <v>8.9600000381469727</v>
      </c>
      <c r="F128" s="19">
        <v>8.3416776657104492</v>
      </c>
      <c r="G128" s="19">
        <v>3665987</v>
      </c>
      <c r="I128" s="84">
        <v>45415</v>
      </c>
      <c r="J128" s="85">
        <v>18543.30078125</v>
      </c>
      <c r="K128" s="85">
        <v>18604.169921875</v>
      </c>
      <c r="L128" s="85">
        <v>18362.220703125</v>
      </c>
      <c r="M128" s="85">
        <v>18475.919921875</v>
      </c>
      <c r="N128" s="85">
        <v>18475.919921875</v>
      </c>
      <c r="O128" s="85">
        <v>2476085800</v>
      </c>
    </row>
    <row r="129" spans="1:15">
      <c r="A129" s="20">
        <v>45418</v>
      </c>
      <c r="B129" s="19">
        <v>8.8900003433227539</v>
      </c>
      <c r="C129" s="19">
        <v>8.9399995803833008</v>
      </c>
      <c r="D129" s="19">
        <v>8.5200004577636719</v>
      </c>
      <c r="E129" s="19">
        <v>8.75</v>
      </c>
      <c r="F129" s="19">
        <v>8.1461696624755859</v>
      </c>
      <c r="G129" s="19">
        <v>2332114</v>
      </c>
      <c r="I129" s="84">
        <v>45418</v>
      </c>
      <c r="J129" s="85">
        <v>18488.55078125</v>
      </c>
      <c r="K129" s="85">
        <v>18590.169921875</v>
      </c>
      <c r="L129" s="85">
        <v>18389.5390625</v>
      </c>
      <c r="M129" s="85">
        <v>18578.30078125</v>
      </c>
      <c r="N129" s="85">
        <v>18578.30078125</v>
      </c>
      <c r="O129" s="85">
        <v>3438627300</v>
      </c>
    </row>
    <row r="130" spans="1:15">
      <c r="A130" s="20">
        <v>45419</v>
      </c>
      <c r="B130" s="19">
        <v>8.6999998092651367</v>
      </c>
      <c r="C130" s="19">
        <v>8.7700004577636719</v>
      </c>
      <c r="D130" s="19">
        <v>8.6000003814697266</v>
      </c>
      <c r="E130" s="19">
        <v>8.630000114440918</v>
      </c>
      <c r="F130" s="19">
        <v>8.0344505310058594</v>
      </c>
      <c r="G130" s="19">
        <v>1486000</v>
      </c>
      <c r="I130" s="84">
        <v>45419</v>
      </c>
      <c r="J130" s="85">
        <v>18577.55078125</v>
      </c>
      <c r="K130" s="85">
        <v>18638.810546875</v>
      </c>
      <c r="L130" s="85">
        <v>18411.01953125</v>
      </c>
      <c r="M130" s="85">
        <v>18479.369140625</v>
      </c>
      <c r="N130" s="85">
        <v>18479.369140625</v>
      </c>
      <c r="O130" s="85">
        <v>2494399700</v>
      </c>
    </row>
    <row r="131" spans="1:15">
      <c r="A131" s="20">
        <v>45420</v>
      </c>
      <c r="B131" s="19">
        <v>8.6800003051757812</v>
      </c>
      <c r="C131" s="19">
        <v>8.7299995422363281</v>
      </c>
      <c r="D131" s="19">
        <v>8.4799995422363281</v>
      </c>
      <c r="E131" s="19">
        <v>8.4899997711181641</v>
      </c>
      <c r="F131" s="19">
        <v>7.9041123390197754</v>
      </c>
      <c r="G131" s="19">
        <v>1362457</v>
      </c>
      <c r="I131" s="84">
        <v>45420</v>
      </c>
      <c r="J131" s="85">
        <v>18510.5390625</v>
      </c>
      <c r="K131" s="85">
        <v>18606.560546875</v>
      </c>
      <c r="L131" s="85">
        <v>18298.359375</v>
      </c>
      <c r="M131" s="85">
        <v>18313.859375</v>
      </c>
      <c r="N131" s="85">
        <v>18313.859375</v>
      </c>
      <c r="O131" s="85">
        <v>2911676300</v>
      </c>
    </row>
    <row r="132" spans="1:15">
      <c r="A132" s="20">
        <v>45421</v>
      </c>
      <c r="B132" s="19">
        <v>8.6000003814697266</v>
      </c>
      <c r="C132" s="19">
        <v>8.6700000762939453</v>
      </c>
      <c r="D132" s="19">
        <v>8.5</v>
      </c>
      <c r="E132" s="19">
        <v>8.619999885559082</v>
      </c>
      <c r="F132" s="19">
        <v>8.0251407623291016</v>
      </c>
      <c r="G132" s="19">
        <v>807000</v>
      </c>
      <c r="I132" s="84">
        <v>45421</v>
      </c>
      <c r="J132" s="85">
        <v>18306.25</v>
      </c>
      <c r="K132" s="85">
        <v>18560.759765625</v>
      </c>
      <c r="L132" s="85">
        <v>18278.109375</v>
      </c>
      <c r="M132" s="85">
        <v>18537.810546875</v>
      </c>
      <c r="N132" s="85">
        <v>18537.810546875</v>
      </c>
      <c r="O132" s="85">
        <v>2904974500</v>
      </c>
    </row>
    <row r="133" spans="1:15">
      <c r="A133" s="20">
        <v>45422</v>
      </c>
      <c r="B133" s="19">
        <v>8.7399997711181641</v>
      </c>
      <c r="C133" s="19">
        <v>8.7399997711181641</v>
      </c>
      <c r="D133" s="19">
        <v>8.5799999237060547</v>
      </c>
      <c r="E133" s="19">
        <v>8.6800003051757812</v>
      </c>
      <c r="F133" s="19">
        <v>8.0810003280639648</v>
      </c>
      <c r="G133" s="19">
        <v>798066</v>
      </c>
      <c r="I133" s="84">
        <v>45422</v>
      </c>
      <c r="J133" s="85">
        <v>18669.4296875</v>
      </c>
      <c r="K133" s="85">
        <v>18993.279296875</v>
      </c>
      <c r="L133" s="85">
        <v>18657.509765625</v>
      </c>
      <c r="M133" s="85">
        <v>18963.6796875</v>
      </c>
      <c r="N133" s="85">
        <v>18963.6796875</v>
      </c>
      <c r="O133" s="85">
        <v>6506899800</v>
      </c>
    </row>
    <row r="134" spans="1:15">
      <c r="A134" s="20">
        <v>45425</v>
      </c>
      <c r="B134" s="19">
        <v>8.6999998092651367</v>
      </c>
      <c r="C134" s="19">
        <v>8.8000001907348633</v>
      </c>
      <c r="D134" s="19">
        <v>8.6800003051757812</v>
      </c>
      <c r="E134" s="19">
        <v>8.8000001907348633</v>
      </c>
      <c r="F134" s="19">
        <v>8.1927194595336914</v>
      </c>
      <c r="G134" s="19">
        <v>812000</v>
      </c>
      <c r="I134" s="84">
        <v>45425</v>
      </c>
      <c r="J134" s="85">
        <v>18904.580078125</v>
      </c>
      <c r="K134" s="85">
        <v>19123.48046875</v>
      </c>
      <c r="L134" s="85">
        <v>18827.599609375</v>
      </c>
      <c r="M134" s="85">
        <v>19115.060546875</v>
      </c>
      <c r="N134" s="85">
        <v>19115.060546875</v>
      </c>
      <c r="O134" s="85">
        <v>3760625900</v>
      </c>
    </row>
    <row r="135" spans="1:15">
      <c r="A135" s="20">
        <v>45426</v>
      </c>
      <c r="B135" s="19">
        <v>8.8500003814697266</v>
      </c>
      <c r="C135" s="19">
        <v>8.9099998474121094</v>
      </c>
      <c r="D135" s="19">
        <v>8.6999998092651367</v>
      </c>
      <c r="E135" s="19">
        <v>8.7200002670288086</v>
      </c>
      <c r="F135" s="19">
        <v>8.1182403564453125</v>
      </c>
      <c r="G135" s="19">
        <v>612000</v>
      </c>
      <c r="I135" s="84">
        <v>45426</v>
      </c>
      <c r="J135" s="85">
        <v>19203.8203125</v>
      </c>
      <c r="K135" s="85">
        <v>19301.130859375</v>
      </c>
      <c r="L135" s="85">
        <v>19072.640625</v>
      </c>
      <c r="M135" s="85">
        <v>19073.7109375</v>
      </c>
      <c r="N135" s="85">
        <v>19073.7109375</v>
      </c>
      <c r="O135" s="85">
        <v>3455242600</v>
      </c>
    </row>
    <row r="136" spans="1:15">
      <c r="A136" s="20">
        <v>45428</v>
      </c>
      <c r="B136" s="19">
        <v>8.8000001907348633</v>
      </c>
      <c r="C136" s="19">
        <v>8.8299999237060547</v>
      </c>
      <c r="D136" s="19">
        <v>8.7899999618530273</v>
      </c>
      <c r="E136" s="19">
        <v>8.8000001907348633</v>
      </c>
      <c r="F136" s="19">
        <v>8.1927194595336914</v>
      </c>
      <c r="G136" s="19">
        <v>1025333</v>
      </c>
      <c r="I136" s="84">
        <v>45428</v>
      </c>
      <c r="J136" s="85">
        <v>19262.7890625</v>
      </c>
      <c r="K136" s="85">
        <v>19442.900390625</v>
      </c>
      <c r="L136" s="85">
        <v>19114.380859375</v>
      </c>
      <c r="M136" s="85">
        <v>19376.529296875</v>
      </c>
      <c r="N136" s="85">
        <v>19376.529296875</v>
      </c>
      <c r="O136" s="85">
        <v>5813458500</v>
      </c>
    </row>
    <row r="137" spans="1:15">
      <c r="A137" s="20">
        <v>45429</v>
      </c>
      <c r="B137" s="19">
        <v>8.8400001525878906</v>
      </c>
      <c r="C137" s="19">
        <v>8.9600000381469727</v>
      </c>
      <c r="D137" s="19">
        <v>8.8100004196166992</v>
      </c>
      <c r="E137" s="19">
        <v>8.9099998474121094</v>
      </c>
      <c r="F137" s="19">
        <v>8.2951278686523438</v>
      </c>
      <c r="G137" s="19">
        <v>689858</v>
      </c>
      <c r="I137" s="84">
        <v>45429</v>
      </c>
      <c r="J137" s="85">
        <v>19525.119140625</v>
      </c>
      <c r="K137" s="85">
        <v>19602.240234375</v>
      </c>
      <c r="L137" s="85">
        <v>19342.9609375</v>
      </c>
      <c r="M137" s="85">
        <v>19553.609375</v>
      </c>
      <c r="N137" s="85">
        <v>19553.609375</v>
      </c>
      <c r="O137" s="85">
        <v>4376057600</v>
      </c>
    </row>
    <row r="138" spans="1:15">
      <c r="A138" s="20">
        <v>45432</v>
      </c>
      <c r="B138" s="19">
        <v>8.9499998092651367</v>
      </c>
      <c r="C138" s="19">
        <v>9.1000003814697266</v>
      </c>
      <c r="D138" s="19">
        <v>8.8599996566772461</v>
      </c>
      <c r="E138" s="19">
        <v>9.0500001907348633</v>
      </c>
      <c r="F138" s="19">
        <v>8.4254674911499023</v>
      </c>
      <c r="G138" s="19">
        <v>1302225</v>
      </c>
      <c r="I138" s="84">
        <v>45432</v>
      </c>
      <c r="J138" s="85">
        <v>19621.4296875</v>
      </c>
      <c r="K138" s="85">
        <v>19706.119140625</v>
      </c>
      <c r="L138" s="85">
        <v>19574.560546875</v>
      </c>
      <c r="M138" s="85">
        <v>19636.220703125</v>
      </c>
      <c r="N138" s="85">
        <v>19636.220703125</v>
      </c>
      <c r="O138" s="85">
        <v>3501238100</v>
      </c>
    </row>
    <row r="139" spans="1:15">
      <c r="A139" s="20">
        <v>45433</v>
      </c>
      <c r="B139" s="19">
        <v>8.9899997711181641</v>
      </c>
      <c r="C139" s="19">
        <v>9.0100002288818359</v>
      </c>
      <c r="D139" s="19">
        <v>8.7200002670288086</v>
      </c>
      <c r="E139" s="19">
        <v>8.7700004577636719</v>
      </c>
      <c r="F139" s="19">
        <v>8.164790153503418</v>
      </c>
      <c r="G139" s="19">
        <v>1290000</v>
      </c>
      <c r="I139" s="84">
        <v>45433</v>
      </c>
      <c r="J139" s="85">
        <v>19473.669921875</v>
      </c>
      <c r="K139" s="85">
        <v>19487.359375</v>
      </c>
      <c r="L139" s="85">
        <v>19175.80078125</v>
      </c>
      <c r="M139" s="85">
        <v>19220.619140625</v>
      </c>
      <c r="N139" s="85">
        <v>19220.619140625</v>
      </c>
      <c r="O139" s="85">
        <v>3517186600</v>
      </c>
    </row>
    <row r="140" spans="1:15">
      <c r="A140" s="20">
        <v>45434</v>
      </c>
      <c r="B140" s="19">
        <v>8.7700004577636719</v>
      </c>
      <c r="C140" s="19">
        <v>8.7899999618530273</v>
      </c>
      <c r="D140" s="19">
        <v>8.7200002670288086</v>
      </c>
      <c r="E140" s="19">
        <v>8.7399997711181641</v>
      </c>
      <c r="F140" s="19">
        <v>8.1368598937988281</v>
      </c>
      <c r="G140" s="19">
        <v>677413</v>
      </c>
      <c r="I140" s="84">
        <v>45434</v>
      </c>
      <c r="J140" s="85">
        <v>19225.259765625</v>
      </c>
      <c r="K140" s="85">
        <v>19359.6796875</v>
      </c>
      <c r="L140" s="85">
        <v>19149.41015625</v>
      </c>
      <c r="M140" s="85">
        <v>19195.599609375</v>
      </c>
      <c r="N140" s="85">
        <v>19195.599609375</v>
      </c>
      <c r="O140" s="85">
        <v>2837605100</v>
      </c>
    </row>
    <row r="141" spans="1:15">
      <c r="A141" s="20">
        <v>45435</v>
      </c>
      <c r="B141" s="19">
        <v>8.7200002670288086</v>
      </c>
      <c r="C141" s="19">
        <v>8.7200002670288086</v>
      </c>
      <c r="D141" s="19">
        <v>8.4600000381469727</v>
      </c>
      <c r="E141" s="19">
        <v>8.5200004577636719</v>
      </c>
      <c r="F141" s="19">
        <v>7.9320425987243652</v>
      </c>
      <c r="G141" s="19">
        <v>924000</v>
      </c>
      <c r="I141" s="84">
        <v>45435</v>
      </c>
      <c r="J141" s="85">
        <v>19024.41015625</v>
      </c>
      <c r="K141" s="85">
        <v>19024.41015625</v>
      </c>
      <c r="L141" s="85">
        <v>18776.2109375</v>
      </c>
      <c r="M141" s="85">
        <v>18868.7109375</v>
      </c>
      <c r="N141" s="85">
        <v>18868.7109375</v>
      </c>
      <c r="O141" s="85">
        <v>3166005900</v>
      </c>
    </row>
    <row r="142" spans="1:15">
      <c r="A142" s="20">
        <v>45436</v>
      </c>
      <c r="B142" s="19">
        <v>8.5</v>
      </c>
      <c r="C142" s="19">
        <v>8.5200004577636719</v>
      </c>
      <c r="D142" s="19">
        <v>8.3999996185302734</v>
      </c>
      <c r="E142" s="19">
        <v>8.4300003051757812</v>
      </c>
      <c r="F142" s="19">
        <v>7.8482527732849121</v>
      </c>
      <c r="G142" s="19">
        <v>694000</v>
      </c>
      <c r="I142" s="84">
        <v>45436</v>
      </c>
      <c r="J142" s="85">
        <v>18742.279296875</v>
      </c>
      <c r="K142" s="85">
        <v>18867.91015625</v>
      </c>
      <c r="L142" s="85">
        <v>18532.41015625</v>
      </c>
      <c r="M142" s="85">
        <v>18608.939453125</v>
      </c>
      <c r="N142" s="85">
        <v>18608.939453125</v>
      </c>
      <c r="O142" s="85">
        <v>3549017600</v>
      </c>
    </row>
    <row r="143" spans="1:15">
      <c r="A143" s="20">
        <v>45439</v>
      </c>
      <c r="B143" s="19">
        <v>8.4499998092651367</v>
      </c>
      <c r="C143" s="19">
        <v>8.4799995422363281</v>
      </c>
      <c r="D143" s="19">
        <v>8.3000001907348633</v>
      </c>
      <c r="E143" s="19">
        <v>8.3999996185302734</v>
      </c>
      <c r="F143" s="19">
        <v>7.8203225135803223</v>
      </c>
      <c r="G143" s="19">
        <v>554000</v>
      </c>
      <c r="I143" s="84">
        <v>45439</v>
      </c>
      <c r="J143" s="85">
        <v>18606.01953125</v>
      </c>
      <c r="K143" s="85">
        <v>18871.130859375</v>
      </c>
      <c r="L143" s="85">
        <v>18504.529296875</v>
      </c>
      <c r="M143" s="85">
        <v>18827.349609375</v>
      </c>
      <c r="N143" s="85">
        <v>18827.349609375</v>
      </c>
      <c r="O143" s="85">
        <v>2906070700</v>
      </c>
    </row>
    <row r="144" spans="1:15">
      <c r="A144" s="20">
        <v>45440</v>
      </c>
      <c r="B144" s="19">
        <v>8.4099998474121094</v>
      </c>
      <c r="C144" s="19">
        <v>8.5299997329711914</v>
      </c>
      <c r="D144" s="19">
        <v>8.2200002670288086</v>
      </c>
      <c r="E144" s="19">
        <v>8.3500003814697266</v>
      </c>
      <c r="F144" s="19">
        <v>7.7737736701965332</v>
      </c>
      <c r="G144" s="19">
        <v>2583858</v>
      </c>
      <c r="I144" s="84">
        <v>45440</v>
      </c>
      <c r="J144" s="85">
        <v>18814.009765625</v>
      </c>
      <c r="K144" s="85">
        <v>19000.51953125</v>
      </c>
      <c r="L144" s="85">
        <v>18776.099609375</v>
      </c>
      <c r="M144" s="85">
        <v>18821.16015625</v>
      </c>
      <c r="N144" s="85">
        <v>18821.16015625</v>
      </c>
      <c r="O144" s="85">
        <v>2432705400</v>
      </c>
    </row>
    <row r="145" spans="1:15">
      <c r="A145" s="20">
        <v>45441</v>
      </c>
      <c r="B145" s="19">
        <v>8.3400001525878906</v>
      </c>
      <c r="C145" s="19">
        <v>8.4799995422363281</v>
      </c>
      <c r="D145" s="19">
        <v>8.2899999618530273</v>
      </c>
      <c r="E145" s="19">
        <v>8.4799995422363281</v>
      </c>
      <c r="F145" s="19">
        <v>7.8948016166687012</v>
      </c>
      <c r="G145" s="19">
        <v>1118000</v>
      </c>
      <c r="I145" s="84">
        <v>45441</v>
      </c>
      <c r="J145" s="85">
        <v>18659.41015625</v>
      </c>
      <c r="K145" s="85">
        <v>18694.55078125</v>
      </c>
      <c r="L145" s="85">
        <v>18425.08984375</v>
      </c>
      <c r="M145" s="85">
        <v>18477.009765625</v>
      </c>
      <c r="N145" s="85">
        <v>18477.009765625</v>
      </c>
      <c r="O145" s="85">
        <v>3215579000</v>
      </c>
    </row>
    <row r="146" spans="1:15">
      <c r="A146" s="20">
        <v>45442</v>
      </c>
      <c r="B146" s="19">
        <v>8.4899997711181641</v>
      </c>
      <c r="C146" s="19">
        <v>8.4899997711181641</v>
      </c>
      <c r="D146" s="19">
        <v>8.2600002288818359</v>
      </c>
      <c r="E146" s="19">
        <v>8.3100004196166992</v>
      </c>
      <c r="F146" s="19">
        <v>7.736534595489502</v>
      </c>
      <c r="G146" s="19">
        <v>852000</v>
      </c>
      <c r="I146" s="84">
        <v>45442</v>
      </c>
      <c r="J146" s="85">
        <v>18423.779296875</v>
      </c>
      <c r="K146" s="85">
        <v>18537.919921875</v>
      </c>
      <c r="L146" s="85">
        <v>18163.2109375</v>
      </c>
      <c r="M146" s="85">
        <v>18230.189453125</v>
      </c>
      <c r="N146" s="85">
        <v>18230.189453125</v>
      </c>
      <c r="O146" s="85">
        <v>3492796500</v>
      </c>
    </row>
    <row r="147" spans="1:15">
      <c r="A147" s="20">
        <v>45443</v>
      </c>
      <c r="B147" s="19">
        <v>8.4099998474121094</v>
      </c>
      <c r="C147" s="19">
        <v>8.5</v>
      </c>
      <c r="D147" s="19">
        <v>8.2399997711181641</v>
      </c>
      <c r="E147" s="19">
        <v>8.2399997711181641</v>
      </c>
      <c r="F147" s="19">
        <v>7.6713643074035645</v>
      </c>
      <c r="G147" s="19">
        <v>1132021</v>
      </c>
      <c r="I147" s="84">
        <v>45443</v>
      </c>
      <c r="J147" s="85">
        <v>18409.619140625</v>
      </c>
      <c r="K147" s="85">
        <v>18551.1796875</v>
      </c>
      <c r="L147" s="85">
        <v>18077.390625</v>
      </c>
      <c r="M147" s="85">
        <v>18079.609375</v>
      </c>
      <c r="N147" s="85">
        <v>18079.609375</v>
      </c>
      <c r="O147" s="85">
        <v>5337054200</v>
      </c>
    </row>
    <row r="148" spans="1:15">
      <c r="A148" s="20">
        <v>45446</v>
      </c>
      <c r="B148" s="19">
        <v>8.3000001907348633</v>
      </c>
      <c r="C148" s="19">
        <v>8.4300003051757812</v>
      </c>
      <c r="D148" s="19">
        <v>8.2799997329711914</v>
      </c>
      <c r="E148" s="19">
        <v>8.3100004196166992</v>
      </c>
      <c r="F148" s="19">
        <v>7.736534595489502</v>
      </c>
      <c r="G148" s="19">
        <v>592000</v>
      </c>
      <c r="I148" s="84">
        <v>45446</v>
      </c>
      <c r="J148" s="85">
        <v>18283.560546875</v>
      </c>
      <c r="K148" s="85">
        <v>18573.810546875</v>
      </c>
      <c r="L148" s="85">
        <v>18283.560546875</v>
      </c>
      <c r="M148" s="85">
        <v>18403.0390625</v>
      </c>
      <c r="N148" s="85">
        <v>18403.0390625</v>
      </c>
      <c r="O148" s="85">
        <v>3140936400</v>
      </c>
    </row>
    <row r="149" spans="1:15">
      <c r="A149" s="20">
        <v>45447</v>
      </c>
      <c r="B149" s="19">
        <v>8.3900003433227539</v>
      </c>
      <c r="C149" s="19">
        <v>8.4399995803833008</v>
      </c>
      <c r="D149" s="19">
        <v>8.2799997329711914</v>
      </c>
      <c r="E149" s="19">
        <v>8.3599996566772461</v>
      </c>
      <c r="F149" s="19">
        <v>7.783083438873291</v>
      </c>
      <c r="G149" s="19">
        <v>644000</v>
      </c>
      <c r="I149" s="84">
        <v>45447</v>
      </c>
      <c r="J149" s="85">
        <v>18335.44921875</v>
      </c>
      <c r="K149" s="85">
        <v>18541.029296875</v>
      </c>
      <c r="L149" s="85">
        <v>18335.44921875</v>
      </c>
      <c r="M149" s="85">
        <v>18444.109375</v>
      </c>
      <c r="N149" s="85">
        <v>18444.109375</v>
      </c>
      <c r="O149" s="85">
        <v>2971467000</v>
      </c>
    </row>
    <row r="150" spans="1:15">
      <c r="A150" s="20">
        <v>45448</v>
      </c>
      <c r="B150" s="19">
        <v>8.4099998474121094</v>
      </c>
      <c r="C150" s="19">
        <v>8.4600000381469727</v>
      </c>
      <c r="D150" s="19">
        <v>8.3400001525878906</v>
      </c>
      <c r="E150" s="19">
        <v>8.3900003433227539</v>
      </c>
      <c r="F150" s="19">
        <v>7.8110136985778809</v>
      </c>
      <c r="G150" s="19">
        <v>424116</v>
      </c>
      <c r="I150" s="84">
        <v>45448</v>
      </c>
      <c r="J150" s="85">
        <v>18489.779296875</v>
      </c>
      <c r="K150" s="85">
        <v>18724.619140625</v>
      </c>
      <c r="L150" s="85">
        <v>18375.26953125</v>
      </c>
      <c r="M150" s="85">
        <v>18424.9609375</v>
      </c>
      <c r="N150" s="85">
        <v>18424.9609375</v>
      </c>
      <c r="O150" s="85">
        <v>3250805000</v>
      </c>
    </row>
    <row r="151" spans="1:15">
      <c r="A151" s="20">
        <v>45449</v>
      </c>
      <c r="B151" s="19">
        <v>8.4499998092651367</v>
      </c>
      <c r="C151" s="19">
        <v>8.4499998092651367</v>
      </c>
      <c r="D151" s="19">
        <v>8.3199996948242188</v>
      </c>
      <c r="E151" s="19">
        <v>8.3500003814697266</v>
      </c>
      <c r="F151" s="19">
        <v>7.7737736701965332</v>
      </c>
      <c r="G151" s="19">
        <v>672000</v>
      </c>
      <c r="I151" s="84">
        <v>45449</v>
      </c>
      <c r="J151" s="85">
        <v>18577.580078125</v>
      </c>
      <c r="K151" s="85">
        <v>18700.6796875</v>
      </c>
      <c r="L151" s="85">
        <v>18383.80078125</v>
      </c>
      <c r="M151" s="85">
        <v>18476.80078125</v>
      </c>
      <c r="N151" s="85">
        <v>18476.80078125</v>
      </c>
      <c r="O151" s="85">
        <v>2797746800</v>
      </c>
    </row>
    <row r="152" spans="1:15">
      <c r="A152" s="20">
        <v>45450</v>
      </c>
      <c r="B152" s="19">
        <v>8.4200000762939453</v>
      </c>
      <c r="C152" s="19">
        <v>8.6499996185302734</v>
      </c>
      <c r="D152" s="19">
        <v>8.4200000762939453</v>
      </c>
      <c r="E152" s="19">
        <v>8.5799999237060547</v>
      </c>
      <c r="F152" s="19">
        <v>7.9879012107849121</v>
      </c>
      <c r="G152" s="19">
        <v>882058</v>
      </c>
      <c r="I152" s="84">
        <v>45450</v>
      </c>
      <c r="J152" s="85">
        <v>18562.48046875</v>
      </c>
      <c r="K152" s="85">
        <v>18575.689453125</v>
      </c>
      <c r="L152" s="85">
        <v>18302.330078125</v>
      </c>
      <c r="M152" s="85">
        <v>18366.94921875</v>
      </c>
      <c r="N152" s="85">
        <v>18366.94921875</v>
      </c>
      <c r="O152" s="85">
        <v>3310059200</v>
      </c>
    </row>
    <row r="153" spans="1:15">
      <c r="A153" s="20">
        <v>45454</v>
      </c>
      <c r="B153" s="19">
        <v>8.5799999237060547</v>
      </c>
      <c r="C153" s="19">
        <v>8.6099996566772461</v>
      </c>
      <c r="D153" s="19">
        <v>8.369999885559082</v>
      </c>
      <c r="E153" s="19">
        <v>8.4300003051757812</v>
      </c>
      <c r="F153" s="19">
        <v>7.8482527732849121</v>
      </c>
      <c r="G153" s="19">
        <v>594000</v>
      </c>
      <c r="I153" s="84">
        <v>45454</v>
      </c>
      <c r="J153" s="85">
        <v>18163.119140625</v>
      </c>
      <c r="K153" s="85">
        <v>18267.689453125</v>
      </c>
      <c r="L153" s="85">
        <v>17994.099609375</v>
      </c>
      <c r="M153" s="85">
        <v>18176.33984375</v>
      </c>
      <c r="N153" s="85">
        <v>18176.33984375</v>
      </c>
      <c r="O153" s="85">
        <v>3528461800</v>
      </c>
    </row>
    <row r="154" spans="1:15">
      <c r="A154" s="20">
        <v>45455</v>
      </c>
      <c r="B154" s="19">
        <v>8.380000114440918</v>
      </c>
      <c r="C154" s="19">
        <v>8.3900003433227539</v>
      </c>
      <c r="D154" s="19">
        <v>8.3000001907348633</v>
      </c>
      <c r="E154" s="19">
        <v>8.3100004196166992</v>
      </c>
      <c r="F154" s="19">
        <v>7.736534595489502</v>
      </c>
      <c r="G154" s="19">
        <v>502000</v>
      </c>
      <c r="I154" s="84">
        <v>45455</v>
      </c>
      <c r="J154" s="85">
        <v>18032.400390625</v>
      </c>
      <c r="K154" s="85">
        <v>18063.720703125</v>
      </c>
      <c r="L154" s="85">
        <v>17848.759765625</v>
      </c>
      <c r="M154" s="85">
        <v>17937.83984375</v>
      </c>
      <c r="N154" s="85">
        <v>17937.83984375</v>
      </c>
      <c r="O154" s="85">
        <v>3139463400</v>
      </c>
    </row>
    <row r="155" spans="1:15">
      <c r="A155" s="20">
        <v>45456</v>
      </c>
      <c r="B155" s="19">
        <v>8.380000114440918</v>
      </c>
      <c r="C155" s="19">
        <v>8.4200000762939453</v>
      </c>
      <c r="D155" s="19">
        <v>8.3199996948242188</v>
      </c>
      <c r="E155" s="19">
        <v>8.3999996185302734</v>
      </c>
      <c r="F155" s="19">
        <v>7.8203225135803223</v>
      </c>
      <c r="G155" s="19">
        <v>446000</v>
      </c>
      <c r="I155" s="84">
        <v>45456</v>
      </c>
      <c r="J155" s="85">
        <v>18104.130859375</v>
      </c>
      <c r="K155" s="85">
        <v>18173.529296875</v>
      </c>
      <c r="L155" s="85">
        <v>17971.5703125</v>
      </c>
      <c r="M155" s="85">
        <v>18112.630859375</v>
      </c>
      <c r="N155" s="85">
        <v>18112.630859375</v>
      </c>
      <c r="O155" s="85">
        <v>2331253000</v>
      </c>
    </row>
    <row r="156" spans="1:15">
      <c r="A156" s="20">
        <v>45457</v>
      </c>
      <c r="B156" s="19">
        <v>8.3900003433227539</v>
      </c>
      <c r="C156" s="19">
        <v>8.4300003051757812</v>
      </c>
      <c r="D156" s="19">
        <v>8.3599996566772461</v>
      </c>
      <c r="E156" s="19">
        <v>8.4200000762939453</v>
      </c>
      <c r="F156" s="19">
        <v>7.8389430046081543</v>
      </c>
      <c r="G156" s="19">
        <v>386061</v>
      </c>
      <c r="I156" s="84">
        <v>45457</v>
      </c>
      <c r="J156" s="85">
        <v>18028.0703125</v>
      </c>
      <c r="K156" s="85">
        <v>18109.890625</v>
      </c>
      <c r="L156" s="85">
        <v>17927.16015625</v>
      </c>
      <c r="M156" s="85">
        <v>17941.779296875</v>
      </c>
      <c r="N156" s="85">
        <v>17941.779296875</v>
      </c>
      <c r="O156" s="85">
        <v>2621288300</v>
      </c>
    </row>
    <row r="157" spans="1:15">
      <c r="A157" s="20">
        <v>45460</v>
      </c>
      <c r="B157" s="19">
        <v>8.4099998474121094</v>
      </c>
      <c r="C157" s="19">
        <v>8.75</v>
      </c>
      <c r="D157" s="19">
        <v>8.3500003814697266</v>
      </c>
      <c r="E157" s="19">
        <v>8.6800003051757812</v>
      </c>
      <c r="F157" s="19">
        <v>8.0810003280639648</v>
      </c>
      <c r="G157" s="19">
        <v>1296000</v>
      </c>
      <c r="I157" s="84">
        <v>45460</v>
      </c>
      <c r="J157" s="85">
        <v>17848.869140625</v>
      </c>
      <c r="K157" s="85">
        <v>18122.80078125</v>
      </c>
      <c r="L157" s="85">
        <v>17752.9609375</v>
      </c>
      <c r="M157" s="85">
        <v>17936.119140625</v>
      </c>
      <c r="N157" s="85">
        <v>17936.119140625</v>
      </c>
      <c r="O157" s="85">
        <v>2118421200</v>
      </c>
    </row>
    <row r="158" spans="1:15">
      <c r="A158" s="20">
        <v>45461</v>
      </c>
      <c r="B158" s="19">
        <v>8.75</v>
      </c>
      <c r="C158" s="19">
        <v>8.8000001907348633</v>
      </c>
      <c r="D158" s="19">
        <v>8.5399999618530273</v>
      </c>
      <c r="E158" s="19">
        <v>8.6599998474121094</v>
      </c>
      <c r="F158" s="19">
        <v>8.0623798370361328</v>
      </c>
      <c r="G158" s="19">
        <v>1394000</v>
      </c>
      <c r="I158" s="84">
        <v>45461</v>
      </c>
      <c r="J158" s="85">
        <v>17961.890625</v>
      </c>
      <c r="K158" s="85">
        <v>18043.48046875</v>
      </c>
      <c r="L158" s="85">
        <v>17854.7890625</v>
      </c>
      <c r="M158" s="85">
        <v>17915.55078125</v>
      </c>
      <c r="N158" s="85">
        <v>17915.55078125</v>
      </c>
      <c r="O158" s="85">
        <v>2550030800</v>
      </c>
    </row>
    <row r="159" spans="1:15">
      <c r="A159" s="20">
        <v>45462</v>
      </c>
      <c r="B159" s="19">
        <v>8.7200002670288086</v>
      </c>
      <c r="C159" s="19">
        <v>8.9099998474121094</v>
      </c>
      <c r="D159" s="19">
        <v>8.6599998474121094</v>
      </c>
      <c r="E159" s="19">
        <v>8.869999885559082</v>
      </c>
      <c r="F159" s="19">
        <v>8.2578887939453125</v>
      </c>
      <c r="G159" s="19">
        <v>2043504</v>
      </c>
      <c r="I159" s="84">
        <v>45462</v>
      </c>
      <c r="J159" s="85">
        <v>18056.220703125</v>
      </c>
      <c r="K159" s="85">
        <v>18448.66015625</v>
      </c>
      <c r="L159" s="85">
        <v>18039.009765625</v>
      </c>
      <c r="M159" s="85">
        <v>18430.390625</v>
      </c>
      <c r="N159" s="85">
        <v>18430.390625</v>
      </c>
      <c r="O159" s="85">
        <v>3513293400</v>
      </c>
    </row>
    <row r="160" spans="1:15">
      <c r="A160" s="20">
        <v>45463</v>
      </c>
      <c r="B160" s="19">
        <v>8.8000001907348633</v>
      </c>
      <c r="C160" s="19">
        <v>8.869999885559082</v>
      </c>
      <c r="D160" s="19">
        <v>8.5500001907348633</v>
      </c>
      <c r="E160" s="19">
        <v>8.5600004196166992</v>
      </c>
      <c r="F160" s="19">
        <v>7.9692816734313965</v>
      </c>
      <c r="G160" s="19">
        <v>1656000</v>
      </c>
      <c r="I160" s="84">
        <v>45463</v>
      </c>
      <c r="J160" s="85">
        <v>18453.630859375</v>
      </c>
      <c r="K160" s="85">
        <v>18520.369140625</v>
      </c>
      <c r="L160" s="85">
        <v>18274.19921875</v>
      </c>
      <c r="M160" s="85">
        <v>18335.3203125</v>
      </c>
      <c r="N160" s="85">
        <v>18335.3203125</v>
      </c>
      <c r="O160" s="85">
        <v>2682897600</v>
      </c>
    </row>
    <row r="161" spans="1:15">
      <c r="A161" s="20">
        <v>45464</v>
      </c>
      <c r="B161" s="19">
        <v>8.5600004196166992</v>
      </c>
      <c r="C161" s="19">
        <v>8.5600004196166992</v>
      </c>
      <c r="D161" s="19">
        <v>8.2600002288818359</v>
      </c>
      <c r="E161" s="19">
        <v>8.3400001525878906</v>
      </c>
      <c r="F161" s="19">
        <v>7.7644639015197754</v>
      </c>
      <c r="G161" s="19">
        <v>3240000</v>
      </c>
      <c r="I161" s="84">
        <v>45464</v>
      </c>
      <c r="J161" s="85">
        <v>18199.140625</v>
      </c>
      <c r="K161" s="85">
        <v>18240.130859375</v>
      </c>
      <c r="L161" s="85">
        <v>17968.369140625</v>
      </c>
      <c r="M161" s="85">
        <v>18028.51953125</v>
      </c>
      <c r="N161" s="85">
        <v>18028.51953125</v>
      </c>
      <c r="O161" s="85">
        <v>3426213700</v>
      </c>
    </row>
    <row r="162" spans="1:15">
      <c r="A162" s="20">
        <v>45467</v>
      </c>
      <c r="B162" s="19">
        <v>8.3400001525878906</v>
      </c>
      <c r="C162" s="19">
        <v>8.3400001525878906</v>
      </c>
      <c r="D162" s="19">
        <v>8.0900001525878906</v>
      </c>
      <c r="E162" s="19">
        <v>8.1800003051757812</v>
      </c>
      <c r="F162" s="19">
        <v>7.6155056953430176</v>
      </c>
      <c r="G162" s="19">
        <v>2453022</v>
      </c>
      <c r="I162" s="84">
        <v>45467</v>
      </c>
      <c r="J162" s="85">
        <v>17906.359375</v>
      </c>
      <c r="K162" s="85">
        <v>18032.669921875</v>
      </c>
      <c r="L162" s="85">
        <v>17789.5703125</v>
      </c>
      <c r="M162" s="85">
        <v>18027.7109375</v>
      </c>
      <c r="N162" s="85">
        <v>18027.7109375</v>
      </c>
      <c r="O162" s="85">
        <v>2716259500</v>
      </c>
    </row>
    <row r="163" spans="1:15">
      <c r="A163" s="20">
        <v>45468</v>
      </c>
      <c r="B163" s="19">
        <v>8.1999998092651367</v>
      </c>
      <c r="C163" s="19">
        <v>8.1999998092651367</v>
      </c>
      <c r="D163" s="19">
        <v>8.0500001907348633</v>
      </c>
      <c r="E163" s="19">
        <v>8.0600004196166992</v>
      </c>
      <c r="F163" s="19">
        <v>7.503786563873291</v>
      </c>
      <c r="G163" s="19">
        <v>2836049</v>
      </c>
      <c r="I163" s="84">
        <v>45468</v>
      </c>
      <c r="J163" s="85">
        <v>18088.01953125</v>
      </c>
      <c r="K163" s="85">
        <v>18231.4609375</v>
      </c>
      <c r="L163" s="85">
        <v>17959.0703125</v>
      </c>
      <c r="M163" s="85">
        <v>18072.900390625</v>
      </c>
      <c r="N163" s="85">
        <v>18072.900390625</v>
      </c>
      <c r="O163" s="85">
        <v>2333709800</v>
      </c>
    </row>
    <row r="164" spans="1:15">
      <c r="A164" s="20">
        <v>45469</v>
      </c>
      <c r="B164" s="19">
        <v>8.0699996948242188</v>
      </c>
      <c r="C164" s="19">
        <v>8.0900001525878906</v>
      </c>
      <c r="D164" s="19">
        <v>8</v>
      </c>
      <c r="E164" s="19">
        <v>8.0200004577636719</v>
      </c>
      <c r="F164" s="19">
        <v>7.4665470123291016</v>
      </c>
      <c r="G164" s="19">
        <v>1876000</v>
      </c>
      <c r="I164" s="84">
        <v>45469</v>
      </c>
      <c r="J164" s="85">
        <v>17934.630859375</v>
      </c>
      <c r="K164" s="85">
        <v>18156.349609375</v>
      </c>
      <c r="L164" s="85">
        <v>17934.630859375</v>
      </c>
      <c r="M164" s="85">
        <v>18089.9296875</v>
      </c>
      <c r="N164" s="85">
        <v>18089.9296875</v>
      </c>
      <c r="O164" s="85">
        <v>2308525600</v>
      </c>
    </row>
    <row r="165" spans="1:15">
      <c r="A165" s="20">
        <v>45470</v>
      </c>
      <c r="B165" s="19">
        <v>8.0100002288818359</v>
      </c>
      <c r="C165" s="19">
        <v>8.0600004196166992</v>
      </c>
      <c r="D165" s="19">
        <v>7.9600000381469727</v>
      </c>
      <c r="E165" s="19">
        <v>7.9600000381469727</v>
      </c>
      <c r="F165" s="19">
        <v>7.4106869697570801</v>
      </c>
      <c r="G165" s="19">
        <v>2260000</v>
      </c>
      <c r="I165" s="84">
        <v>45470</v>
      </c>
      <c r="J165" s="85">
        <v>17946</v>
      </c>
      <c r="K165" s="85">
        <v>17961.919921875</v>
      </c>
      <c r="L165" s="85">
        <v>17677.330078125</v>
      </c>
      <c r="M165" s="85">
        <v>17716.470703125</v>
      </c>
      <c r="N165" s="85">
        <v>17716.470703125</v>
      </c>
      <c r="O165" s="85">
        <v>2806087800</v>
      </c>
    </row>
    <row r="166" spans="1:15">
      <c r="A166" s="20">
        <v>45471</v>
      </c>
      <c r="B166" s="19">
        <v>7.9800000190734863</v>
      </c>
      <c r="C166" s="19">
        <v>8.0900001525878906</v>
      </c>
      <c r="D166" s="19">
        <v>7.9499998092651367</v>
      </c>
      <c r="E166" s="19">
        <v>8.0399999618530273</v>
      </c>
      <c r="F166" s="19">
        <v>7.485166072845459</v>
      </c>
      <c r="G166" s="19">
        <v>1893272</v>
      </c>
      <c r="I166" s="84">
        <v>45471</v>
      </c>
      <c r="J166" s="85">
        <v>17583.189453125</v>
      </c>
      <c r="K166" s="85">
        <v>17865.470703125</v>
      </c>
      <c r="L166" s="85">
        <v>17583.189453125</v>
      </c>
      <c r="M166" s="85">
        <v>17718.609375</v>
      </c>
      <c r="N166" s="85">
        <v>17718.609375</v>
      </c>
      <c r="O166" s="85">
        <v>2826596300</v>
      </c>
    </row>
    <row r="167" spans="1:15">
      <c r="A167" s="20">
        <v>45475</v>
      </c>
      <c r="B167" s="19">
        <v>8.0900001525878906</v>
      </c>
      <c r="C167" s="19">
        <v>8.1800003051757812</v>
      </c>
      <c r="D167" s="19">
        <v>8.0100002288818359</v>
      </c>
      <c r="E167" s="19">
        <v>8.0200004577636719</v>
      </c>
      <c r="F167" s="19">
        <v>7.4665470123291016</v>
      </c>
      <c r="G167" s="19">
        <v>1434000</v>
      </c>
      <c r="I167" s="84">
        <v>45475</v>
      </c>
      <c r="J167" s="85">
        <v>17669.419921875</v>
      </c>
      <c r="K167" s="85">
        <v>17986.140625</v>
      </c>
      <c r="L167" s="85">
        <v>17669.419921875</v>
      </c>
      <c r="M167" s="85">
        <v>17769.140625</v>
      </c>
      <c r="N167" s="85">
        <v>17769.140625</v>
      </c>
      <c r="O167" s="85">
        <v>3374290200</v>
      </c>
    </row>
    <row r="168" spans="1:15">
      <c r="A168" s="20">
        <v>45476</v>
      </c>
      <c r="B168" s="19">
        <v>8.1099996566772461</v>
      </c>
      <c r="C168" s="19">
        <v>8.1599998474121094</v>
      </c>
      <c r="D168" s="19">
        <v>8.0100002288818359</v>
      </c>
      <c r="E168" s="19">
        <v>8.0500001907348633</v>
      </c>
      <c r="F168" s="19">
        <v>7.494476318359375</v>
      </c>
      <c r="G168" s="19">
        <v>1968000</v>
      </c>
      <c r="I168" s="84">
        <v>45476</v>
      </c>
      <c r="J168" s="85">
        <v>17841.76953125</v>
      </c>
      <c r="K168" s="85">
        <v>18017.759765625</v>
      </c>
      <c r="L168" s="85">
        <v>17808.26953125</v>
      </c>
      <c r="M168" s="85">
        <v>17978.5703125</v>
      </c>
      <c r="N168" s="85">
        <v>17978.5703125</v>
      </c>
      <c r="O168" s="85">
        <v>3089691800</v>
      </c>
    </row>
    <row r="169" spans="1:15">
      <c r="A169" s="20">
        <v>45477</v>
      </c>
      <c r="B169" s="19">
        <v>8.0500001907348633</v>
      </c>
      <c r="C169" s="19">
        <v>8.1400003433227539</v>
      </c>
      <c r="D169" s="19">
        <v>8.0500001907348633</v>
      </c>
      <c r="E169" s="19">
        <v>8.0600004196166992</v>
      </c>
      <c r="F169" s="19">
        <v>7.503786563873291</v>
      </c>
      <c r="G169" s="19">
        <v>726121</v>
      </c>
      <c r="I169" s="84">
        <v>45477</v>
      </c>
      <c r="J169" s="85">
        <v>18079.720703125</v>
      </c>
      <c r="K169" s="85">
        <v>18133.30078125</v>
      </c>
      <c r="L169" s="85">
        <v>17942.080078125</v>
      </c>
      <c r="M169" s="85">
        <v>18028.279296875</v>
      </c>
      <c r="N169" s="85">
        <v>18028.279296875</v>
      </c>
      <c r="O169" s="85">
        <v>2994630800</v>
      </c>
    </row>
    <row r="170" spans="1:15">
      <c r="A170" s="20">
        <v>45478</v>
      </c>
      <c r="B170" s="19">
        <v>8.0500001907348633</v>
      </c>
      <c r="C170" s="19">
        <v>8.119999885559082</v>
      </c>
      <c r="D170" s="19">
        <v>8.0399999618530273</v>
      </c>
      <c r="E170" s="19">
        <v>8.0500001907348633</v>
      </c>
      <c r="F170" s="19">
        <v>7.494476318359375</v>
      </c>
      <c r="G170" s="19">
        <v>789464</v>
      </c>
      <c r="I170" s="84">
        <v>45478</v>
      </c>
      <c r="J170" s="85">
        <v>18035.76953125</v>
      </c>
      <c r="K170" s="85">
        <v>18105.009765625</v>
      </c>
      <c r="L170" s="85">
        <v>17799.609375</v>
      </c>
      <c r="M170" s="85">
        <v>17799.609375</v>
      </c>
      <c r="N170" s="85">
        <v>17799.609375</v>
      </c>
      <c r="O170" s="85">
        <v>2886550200</v>
      </c>
    </row>
    <row r="171" spans="1:15">
      <c r="A171" s="20">
        <v>45481</v>
      </c>
      <c r="B171" s="19">
        <v>8.0699996948242188</v>
      </c>
      <c r="C171" s="19">
        <v>8.0900001525878906</v>
      </c>
      <c r="D171" s="19">
        <v>7.9800000190734863</v>
      </c>
      <c r="E171" s="19">
        <v>7.9899997711181641</v>
      </c>
      <c r="F171" s="19">
        <v>7.4386162757873535</v>
      </c>
      <c r="G171" s="19">
        <v>1157034</v>
      </c>
      <c r="I171" s="84">
        <v>45481</v>
      </c>
      <c r="J171" s="85">
        <v>17667.970703125</v>
      </c>
      <c r="K171" s="85">
        <v>17735.580078125</v>
      </c>
      <c r="L171" s="85">
        <v>17453.560546875</v>
      </c>
      <c r="M171" s="85">
        <v>17524.060546875</v>
      </c>
      <c r="N171" s="85">
        <v>17524.060546875</v>
      </c>
      <c r="O171" s="85">
        <v>2348970100</v>
      </c>
    </row>
    <row r="172" spans="1:15">
      <c r="A172" s="20">
        <v>45482</v>
      </c>
      <c r="B172" s="19">
        <v>8.0399999618530273</v>
      </c>
      <c r="C172" s="19">
        <v>8.0500001907348633</v>
      </c>
      <c r="D172" s="19">
        <v>8</v>
      </c>
      <c r="E172" s="19">
        <v>8</v>
      </c>
      <c r="F172" s="19">
        <v>7.4479265213012695</v>
      </c>
      <c r="G172" s="19">
        <v>1122655</v>
      </c>
      <c r="I172" s="84">
        <v>45482</v>
      </c>
      <c r="J172" s="85">
        <v>17481</v>
      </c>
      <c r="K172" s="85">
        <v>17617.640625</v>
      </c>
      <c r="L172" s="85">
        <v>17376.48046875</v>
      </c>
      <c r="M172" s="85">
        <v>17523.23046875</v>
      </c>
      <c r="N172" s="85">
        <v>17523.23046875</v>
      </c>
      <c r="O172" s="85">
        <v>2618911600</v>
      </c>
    </row>
    <row r="173" spans="1:15">
      <c r="A173" s="20">
        <v>45483</v>
      </c>
      <c r="B173" s="19">
        <v>8.0500001907348633</v>
      </c>
      <c r="C173" s="19">
        <v>8.0500001907348633</v>
      </c>
      <c r="D173" s="19">
        <v>8</v>
      </c>
      <c r="E173" s="19">
        <v>8.0100002288818359</v>
      </c>
      <c r="F173" s="19">
        <v>7.4572367668151855</v>
      </c>
      <c r="G173" s="19">
        <v>795478</v>
      </c>
      <c r="I173" s="84">
        <v>45483</v>
      </c>
      <c r="J173" s="85">
        <v>17613.5</v>
      </c>
      <c r="K173" s="85">
        <v>17765.880859375</v>
      </c>
      <c r="L173" s="85">
        <v>17455.080078125</v>
      </c>
      <c r="M173" s="85">
        <v>17471.669921875</v>
      </c>
      <c r="N173" s="85">
        <v>17471.669921875</v>
      </c>
      <c r="O173" s="85">
        <v>2641974200</v>
      </c>
    </row>
    <row r="174" spans="1:15">
      <c r="A174" s="20">
        <v>45484</v>
      </c>
      <c r="B174" s="19">
        <v>8.0500001907348633</v>
      </c>
      <c r="C174" s="19">
        <v>8.0900001525878906</v>
      </c>
      <c r="D174" s="19">
        <v>8.0299997329711914</v>
      </c>
      <c r="E174" s="19">
        <v>8.0699996948242188</v>
      </c>
      <c r="F174" s="19">
        <v>7.5130953788757324</v>
      </c>
      <c r="G174" s="19">
        <v>1880000</v>
      </c>
      <c r="I174" s="84">
        <v>45484</v>
      </c>
      <c r="J174" s="85">
        <v>17629.130859375</v>
      </c>
      <c r="K174" s="85">
        <v>17864.08984375</v>
      </c>
      <c r="L174" s="85">
        <v>17621.05078125</v>
      </c>
      <c r="M174" s="85">
        <v>17832.330078125</v>
      </c>
      <c r="N174" s="85">
        <v>17832.330078125</v>
      </c>
      <c r="O174" s="85">
        <v>2231597400</v>
      </c>
    </row>
    <row r="175" spans="1:15">
      <c r="A175" s="20">
        <v>45485</v>
      </c>
      <c r="B175" s="19">
        <v>8.1099996566772461</v>
      </c>
      <c r="C175" s="19">
        <v>8.2299995422363281</v>
      </c>
      <c r="D175" s="19">
        <v>8.1099996566772461</v>
      </c>
      <c r="E175" s="19">
        <v>8.1700000762939453</v>
      </c>
      <c r="F175" s="19">
        <v>7.6061949729919434</v>
      </c>
      <c r="G175" s="19">
        <v>1832000</v>
      </c>
      <c r="I175" s="84">
        <v>45485</v>
      </c>
      <c r="J175" s="85">
        <v>18020.169921875</v>
      </c>
      <c r="K175" s="85">
        <v>18317.310546875</v>
      </c>
      <c r="L175" s="85">
        <v>18020.169921875</v>
      </c>
      <c r="M175" s="85">
        <v>18293.380859375</v>
      </c>
      <c r="N175" s="85">
        <v>18293.380859375</v>
      </c>
      <c r="O175" s="85">
        <v>3059027200</v>
      </c>
    </row>
    <row r="176" spans="1:15">
      <c r="A176" s="20">
        <v>45488</v>
      </c>
      <c r="B176" s="19">
        <v>8.119999885559082</v>
      </c>
      <c r="C176" s="19">
        <v>8.1700000762939453</v>
      </c>
      <c r="D176" s="19">
        <v>8.0100002288818359</v>
      </c>
      <c r="E176" s="19">
        <v>8.0299997329711914</v>
      </c>
      <c r="F176" s="19">
        <v>7.475855827331543</v>
      </c>
      <c r="G176" s="19">
        <v>1839098</v>
      </c>
      <c r="I176" s="84">
        <v>45488</v>
      </c>
      <c r="J176" s="85">
        <v>18201.48046875</v>
      </c>
      <c r="K176" s="85">
        <v>18243.390625</v>
      </c>
      <c r="L176" s="85">
        <v>17946.490234375</v>
      </c>
      <c r="M176" s="85">
        <v>18015.939453125</v>
      </c>
      <c r="N176" s="85">
        <v>18015.939453125</v>
      </c>
      <c r="O176" s="85">
        <v>2326339500</v>
      </c>
    </row>
    <row r="177" spans="1:15">
      <c r="A177" s="20">
        <v>45489</v>
      </c>
      <c r="B177" s="19">
        <v>8.0600004196166992</v>
      </c>
      <c r="C177" s="19">
        <v>8.0600004196166992</v>
      </c>
      <c r="D177" s="19">
        <v>7.9899997711181641</v>
      </c>
      <c r="E177" s="19">
        <v>8.0100002288818359</v>
      </c>
      <c r="F177" s="19">
        <v>7.4572367668151855</v>
      </c>
      <c r="G177" s="19">
        <v>1444000</v>
      </c>
      <c r="I177" s="84">
        <v>45489</v>
      </c>
      <c r="J177" s="85">
        <v>17845.060546875</v>
      </c>
      <c r="K177" s="85">
        <v>17899.55078125</v>
      </c>
      <c r="L177" s="85">
        <v>17727.98046875</v>
      </c>
      <c r="M177" s="85">
        <v>17727.98046875</v>
      </c>
      <c r="N177" s="85">
        <v>17727.98046875</v>
      </c>
      <c r="O177" s="85">
        <v>2334968300</v>
      </c>
    </row>
    <row r="178" spans="1:15">
      <c r="A178" s="20">
        <v>45490</v>
      </c>
      <c r="B178" s="19">
        <v>8.0399999618530273</v>
      </c>
      <c r="C178" s="19">
        <v>8.119999885559082</v>
      </c>
      <c r="D178" s="19">
        <v>8.0299997329711914</v>
      </c>
      <c r="E178" s="19">
        <v>8.1000003814697266</v>
      </c>
      <c r="F178" s="19">
        <v>7.5410261154174805</v>
      </c>
      <c r="G178" s="19">
        <v>690000</v>
      </c>
      <c r="I178" s="84">
        <v>45490</v>
      </c>
      <c r="J178" s="85">
        <v>17741.76953125</v>
      </c>
      <c r="K178" s="85">
        <v>17807.6796875</v>
      </c>
      <c r="L178" s="85">
        <v>17658.6796875</v>
      </c>
      <c r="M178" s="85">
        <v>17739.41015625</v>
      </c>
      <c r="N178" s="85">
        <v>17739.41015625</v>
      </c>
      <c r="O178" s="85">
        <v>2757015800</v>
      </c>
    </row>
    <row r="179" spans="1:15">
      <c r="A179" s="20">
        <v>45491</v>
      </c>
      <c r="B179" s="19">
        <v>8.1000003814697266</v>
      </c>
      <c r="C179" s="19">
        <v>8.119999885559082</v>
      </c>
      <c r="D179" s="19">
        <v>8.0399999618530273</v>
      </c>
      <c r="E179" s="19">
        <v>8.0399999618530273</v>
      </c>
      <c r="F179" s="19">
        <v>7.485166072845459</v>
      </c>
      <c r="G179" s="19">
        <v>864000</v>
      </c>
      <c r="I179" s="84">
        <v>45491</v>
      </c>
      <c r="J179" s="85">
        <v>17653.23046875</v>
      </c>
      <c r="K179" s="85">
        <v>17864.119140625</v>
      </c>
      <c r="L179" s="85">
        <v>17623.740234375</v>
      </c>
      <c r="M179" s="85">
        <v>17778.41015625</v>
      </c>
      <c r="N179" s="85">
        <v>17778.41015625</v>
      </c>
      <c r="O179" s="85">
        <v>2018291500</v>
      </c>
    </row>
    <row r="180" spans="1:15">
      <c r="A180" s="20">
        <v>45492</v>
      </c>
      <c r="B180" s="19">
        <v>8.0299997329711914</v>
      </c>
      <c r="C180" s="19">
        <v>8.0399999618530273</v>
      </c>
      <c r="D180" s="19">
        <v>7.9899997711181641</v>
      </c>
      <c r="E180" s="19">
        <v>8.0100002288818359</v>
      </c>
      <c r="F180" s="19">
        <v>7.4572367668151855</v>
      </c>
      <c r="G180" s="19">
        <v>1252770</v>
      </c>
      <c r="I180" s="84">
        <v>45492</v>
      </c>
      <c r="J180" s="85">
        <v>17603.80078125</v>
      </c>
      <c r="K180" s="85">
        <v>17629.970703125</v>
      </c>
      <c r="L180" s="85">
        <v>17376.23046875</v>
      </c>
      <c r="M180" s="85">
        <v>17417.6796875</v>
      </c>
      <c r="N180" s="85">
        <v>17417.6796875</v>
      </c>
      <c r="O180" s="85">
        <v>2811638800</v>
      </c>
    </row>
    <row r="181" spans="1:15">
      <c r="A181" s="20">
        <v>45495</v>
      </c>
      <c r="B181" s="19">
        <v>8.0100002288818359</v>
      </c>
      <c r="C181" s="19">
        <v>8.0600004196166992</v>
      </c>
      <c r="D181" s="19">
        <v>7.9800000190734863</v>
      </c>
      <c r="E181" s="19">
        <v>8.0600004196166992</v>
      </c>
      <c r="F181" s="19">
        <v>7.503786563873291</v>
      </c>
      <c r="G181" s="19">
        <v>706346</v>
      </c>
      <c r="I181" s="84">
        <v>45495</v>
      </c>
      <c r="J181" s="85">
        <v>17465.130859375</v>
      </c>
      <c r="K181" s="85">
        <v>17693.349609375</v>
      </c>
      <c r="L181" s="85">
        <v>17313.880859375</v>
      </c>
      <c r="M181" s="85">
        <v>17635.880859375</v>
      </c>
      <c r="N181" s="85">
        <v>17635.880859375</v>
      </c>
      <c r="O181" s="85">
        <v>2133630300</v>
      </c>
    </row>
    <row r="182" spans="1:15">
      <c r="A182" s="20">
        <v>45496</v>
      </c>
      <c r="B182" s="19">
        <v>8.0500001907348633</v>
      </c>
      <c r="C182" s="19">
        <v>8.0500001907348633</v>
      </c>
      <c r="D182" s="19">
        <v>8.0100002288818359</v>
      </c>
      <c r="E182" s="19">
        <v>8.0100002288818359</v>
      </c>
      <c r="F182" s="19">
        <v>7.4572367668151855</v>
      </c>
      <c r="G182" s="19">
        <v>554000</v>
      </c>
      <c r="I182" s="84">
        <v>45496</v>
      </c>
      <c r="J182" s="85">
        <v>17679.55078125</v>
      </c>
      <c r="K182" s="85">
        <v>17707.6796875</v>
      </c>
      <c r="L182" s="85">
        <v>17451.859375</v>
      </c>
      <c r="M182" s="85">
        <v>17469.359375</v>
      </c>
      <c r="N182" s="85">
        <v>17469.359375</v>
      </c>
      <c r="O182" s="85">
        <v>2216456000</v>
      </c>
    </row>
    <row r="183" spans="1:15">
      <c r="A183" s="20">
        <v>45497</v>
      </c>
      <c r="B183" s="19">
        <v>7.9899997711181641</v>
      </c>
      <c r="C183" s="19">
        <v>8.0299997329711914</v>
      </c>
      <c r="D183" s="19">
        <v>7.9899997711181641</v>
      </c>
      <c r="E183" s="19">
        <v>8</v>
      </c>
      <c r="F183" s="19">
        <v>7.4479265213012695</v>
      </c>
      <c r="G183" s="19">
        <v>540000</v>
      </c>
      <c r="I183" s="84">
        <v>45497</v>
      </c>
      <c r="J183" s="85">
        <v>17454.4296875</v>
      </c>
      <c r="K183" s="85">
        <v>17516.94921875</v>
      </c>
      <c r="L183" s="85">
        <v>17251.259765625</v>
      </c>
      <c r="M183" s="85">
        <v>17311.05078125</v>
      </c>
      <c r="N183" s="85">
        <v>17311.05078125</v>
      </c>
      <c r="O183" s="85">
        <v>2208182400</v>
      </c>
    </row>
    <row r="184" spans="1:15">
      <c r="A184" s="20">
        <v>45498</v>
      </c>
      <c r="B184" s="19">
        <v>7.9800000190734863</v>
      </c>
      <c r="C184" s="19">
        <v>8</v>
      </c>
      <c r="D184" s="19">
        <v>7.9000000953674316</v>
      </c>
      <c r="E184" s="19">
        <v>7.9000000953674316</v>
      </c>
      <c r="F184" s="19">
        <v>7.3548274040222168</v>
      </c>
      <c r="G184" s="19">
        <v>1302000</v>
      </c>
      <c r="I184" s="84">
        <v>45498</v>
      </c>
      <c r="J184" s="85">
        <v>17260.830078125</v>
      </c>
      <c r="K184" s="85">
        <v>17288.4609375</v>
      </c>
      <c r="L184" s="85">
        <v>16964.51953125</v>
      </c>
      <c r="M184" s="85">
        <v>17021.91015625</v>
      </c>
      <c r="N184" s="85">
        <v>17021.91015625</v>
      </c>
      <c r="O184" s="85">
        <v>2401390700</v>
      </c>
    </row>
    <row r="185" spans="1:15">
      <c r="A185" s="20">
        <v>45499</v>
      </c>
      <c r="B185" s="19">
        <v>7.9499998092651367</v>
      </c>
      <c r="C185" s="19">
        <v>8.0100002288818359</v>
      </c>
      <c r="D185" s="19">
        <v>7.9200000762939453</v>
      </c>
      <c r="E185" s="19">
        <v>8.0100002288818359</v>
      </c>
      <c r="F185" s="19">
        <v>7.4572367668151855</v>
      </c>
      <c r="G185" s="19">
        <v>864000</v>
      </c>
      <c r="I185" s="84">
        <v>45499</v>
      </c>
      <c r="J185" s="85">
        <v>17079.669921875</v>
      </c>
      <c r="K185" s="85">
        <v>17229.189453125</v>
      </c>
      <c r="L185" s="85">
        <v>16924.580078125</v>
      </c>
      <c r="M185" s="85">
        <v>17021.310546875</v>
      </c>
      <c r="N185" s="85">
        <v>17021.310546875</v>
      </c>
      <c r="O185" s="85">
        <v>2374210700</v>
      </c>
    </row>
    <row r="186" spans="1:15">
      <c r="A186" s="20">
        <v>45502</v>
      </c>
      <c r="B186" s="19">
        <v>8.0399999618530273</v>
      </c>
      <c r="C186" s="19">
        <v>8.0600004196166992</v>
      </c>
      <c r="D186" s="19">
        <v>8</v>
      </c>
      <c r="E186" s="19">
        <v>8</v>
      </c>
      <c r="F186" s="19">
        <v>7.4479265213012695</v>
      </c>
      <c r="G186" s="19">
        <v>488200</v>
      </c>
      <c r="I186" s="84">
        <v>45502</v>
      </c>
      <c r="J186" s="85">
        <v>17196.44921875</v>
      </c>
      <c r="K186" s="85">
        <v>17358.66015625</v>
      </c>
      <c r="L186" s="85">
        <v>17154.119140625</v>
      </c>
      <c r="M186" s="85">
        <v>17238.33984375</v>
      </c>
      <c r="N186" s="85">
        <v>17238.33984375</v>
      </c>
      <c r="O186" s="85">
        <v>2258413800</v>
      </c>
    </row>
    <row r="187" spans="1:15">
      <c r="A187" s="20">
        <v>45503</v>
      </c>
      <c r="B187" s="19">
        <v>8</v>
      </c>
      <c r="C187" s="19">
        <v>8</v>
      </c>
      <c r="D187" s="19">
        <v>7.929999828338623</v>
      </c>
      <c r="E187" s="19">
        <v>7.929999828338623</v>
      </c>
      <c r="F187" s="19">
        <v>7.3827571868896484</v>
      </c>
      <c r="G187" s="19">
        <v>1063164</v>
      </c>
      <c r="I187" s="84">
        <v>45503</v>
      </c>
      <c r="J187" s="85">
        <v>17194.369140625</v>
      </c>
      <c r="K187" s="85">
        <v>17194.369140625</v>
      </c>
      <c r="L187" s="85">
        <v>16971.599609375</v>
      </c>
      <c r="M187" s="85">
        <v>17002.91015625</v>
      </c>
      <c r="N187" s="85">
        <v>17002.91015625</v>
      </c>
      <c r="O187" s="85">
        <v>2552688900</v>
      </c>
    </row>
    <row r="188" spans="1:15">
      <c r="A188" s="20">
        <v>45504</v>
      </c>
      <c r="B188" s="19">
        <v>8.0299997329711914</v>
      </c>
      <c r="C188" s="19">
        <v>8.1000003814697266</v>
      </c>
      <c r="D188" s="19">
        <v>7.9600000381469727</v>
      </c>
      <c r="E188" s="19">
        <v>8.0600004196166992</v>
      </c>
      <c r="F188" s="19">
        <v>7.503786563873291</v>
      </c>
      <c r="G188" s="19">
        <v>1274800</v>
      </c>
      <c r="I188" s="84">
        <v>45504</v>
      </c>
      <c r="J188" s="85">
        <v>17070.859375</v>
      </c>
      <c r="K188" s="85">
        <v>17400.240234375</v>
      </c>
      <c r="L188" s="85">
        <v>17015.830078125</v>
      </c>
      <c r="M188" s="85">
        <v>17344.599609375</v>
      </c>
      <c r="N188" s="85">
        <v>17344.599609375</v>
      </c>
      <c r="O188" s="85">
        <v>2678950500</v>
      </c>
    </row>
    <row r="189" spans="1:15">
      <c r="A189" s="20">
        <v>45505</v>
      </c>
      <c r="B189" s="19">
        <v>8.119999885559082</v>
      </c>
      <c r="C189" s="19">
        <v>8.119999885559082</v>
      </c>
      <c r="D189" s="19">
        <v>8.0100002288818359</v>
      </c>
      <c r="E189" s="19">
        <v>8.0399999618530273</v>
      </c>
      <c r="F189" s="19">
        <v>7.485166072845459</v>
      </c>
      <c r="G189" s="19">
        <v>608000</v>
      </c>
      <c r="I189" s="84">
        <v>45505</v>
      </c>
      <c r="J189" s="85">
        <v>17327.849609375</v>
      </c>
      <c r="K189" s="85">
        <v>17408.94921875</v>
      </c>
      <c r="L189" s="85">
        <v>17248.119140625</v>
      </c>
      <c r="M189" s="85">
        <v>17304.9609375</v>
      </c>
      <c r="N189" s="85">
        <v>17304.9609375</v>
      </c>
      <c r="O189" s="85">
        <v>1933874700</v>
      </c>
    </row>
    <row r="190" spans="1:15">
      <c r="A190" s="20">
        <v>45506</v>
      </c>
      <c r="B190" s="19">
        <v>8.0100002288818359</v>
      </c>
      <c r="C190" s="19">
        <v>8.0399999618530273</v>
      </c>
      <c r="D190" s="19">
        <v>7.9800000190734863</v>
      </c>
      <c r="E190" s="19">
        <v>7.9899997711181641</v>
      </c>
      <c r="F190" s="19">
        <v>7.4386162757873535</v>
      </c>
      <c r="G190" s="19">
        <v>730847</v>
      </c>
      <c r="I190" s="84">
        <v>45506</v>
      </c>
      <c r="J190" s="85">
        <v>17025.259765625</v>
      </c>
      <c r="K190" s="85">
        <v>17075.51953125</v>
      </c>
      <c r="L190" s="85">
        <v>16865.9296875</v>
      </c>
      <c r="M190" s="85">
        <v>16945.509765625</v>
      </c>
      <c r="N190" s="85">
        <v>16945.509765625</v>
      </c>
      <c r="O190" s="85">
        <v>2433818600</v>
      </c>
    </row>
    <row r="191" spans="1:15">
      <c r="A191" s="20">
        <v>45509</v>
      </c>
      <c r="B191" s="19">
        <v>7.9800000190734863</v>
      </c>
      <c r="C191" s="19">
        <v>7.9899997711181641</v>
      </c>
      <c r="D191" s="19">
        <v>7.8600001335144043</v>
      </c>
      <c r="E191" s="19">
        <v>7.869999885559082</v>
      </c>
      <c r="F191" s="19">
        <v>7.3268976211547852</v>
      </c>
      <c r="G191" s="19">
        <v>2011223</v>
      </c>
      <c r="I191" s="84">
        <v>45509</v>
      </c>
      <c r="J191" s="85">
        <v>16676.8203125</v>
      </c>
      <c r="K191" s="85">
        <v>16944.58984375</v>
      </c>
      <c r="L191" s="85">
        <v>16441.439453125</v>
      </c>
      <c r="M191" s="85">
        <v>16698.359375</v>
      </c>
      <c r="N191" s="85">
        <v>16698.359375</v>
      </c>
      <c r="O191" s="85">
        <v>3667470600</v>
      </c>
    </row>
    <row r="192" spans="1:15">
      <c r="A192" s="20">
        <v>45510</v>
      </c>
      <c r="B192" s="19">
        <v>7.869999885559082</v>
      </c>
      <c r="C192" s="19">
        <v>8.0100002288818359</v>
      </c>
      <c r="D192" s="19">
        <v>7.869999885559082</v>
      </c>
      <c r="E192" s="19">
        <v>8.0100002288818359</v>
      </c>
      <c r="F192" s="19">
        <v>7.4572367668151855</v>
      </c>
      <c r="G192" s="19">
        <v>809338</v>
      </c>
      <c r="I192" s="84">
        <v>45510</v>
      </c>
      <c r="J192" s="85">
        <v>16861.30078125</v>
      </c>
      <c r="K192" s="85">
        <v>16908.970703125</v>
      </c>
      <c r="L192" s="85">
        <v>16611.140625</v>
      </c>
      <c r="M192" s="85">
        <v>16647.33984375</v>
      </c>
      <c r="N192" s="85">
        <v>16647.33984375</v>
      </c>
      <c r="O192" s="85">
        <v>2425958000</v>
      </c>
    </row>
    <row r="193" spans="1:15">
      <c r="A193" s="20">
        <v>45511</v>
      </c>
      <c r="B193" s="19">
        <v>8</v>
      </c>
      <c r="C193" s="19">
        <v>8</v>
      </c>
      <c r="D193" s="19">
        <v>7.9000000953674316</v>
      </c>
      <c r="E193" s="19">
        <v>7.9099998474121094</v>
      </c>
      <c r="F193" s="19">
        <v>7.3641371726989746</v>
      </c>
      <c r="G193" s="19">
        <v>1448275</v>
      </c>
      <c r="I193" s="84">
        <v>45511</v>
      </c>
      <c r="J193" s="85">
        <v>16684.779296875</v>
      </c>
      <c r="K193" s="85">
        <v>16988.259765625</v>
      </c>
      <c r="L193" s="85">
        <v>16684.779296875</v>
      </c>
      <c r="M193" s="85">
        <v>16877.859375</v>
      </c>
      <c r="N193" s="85">
        <v>16877.859375</v>
      </c>
      <c r="O193" s="85">
        <v>2267420200</v>
      </c>
    </row>
    <row r="194" spans="1:15">
      <c r="A194" s="20">
        <v>45512</v>
      </c>
      <c r="B194" s="19">
        <v>7.9699997901916504</v>
      </c>
      <c r="C194" s="19">
        <v>7.9699997901916504</v>
      </c>
      <c r="D194" s="19">
        <v>7.8400001525878906</v>
      </c>
      <c r="E194" s="19">
        <v>7.8499999046325684</v>
      </c>
      <c r="F194" s="19">
        <v>7.3082776069641113</v>
      </c>
      <c r="G194" s="19">
        <v>1387608</v>
      </c>
      <c r="I194" s="84">
        <v>45512</v>
      </c>
      <c r="J194" s="85">
        <v>16773.0390625</v>
      </c>
      <c r="K194" s="85">
        <v>17023.099609375</v>
      </c>
      <c r="L194" s="85">
        <v>16665.060546875</v>
      </c>
      <c r="M194" s="85">
        <v>16891.830078125</v>
      </c>
      <c r="N194" s="85">
        <v>16891.830078125</v>
      </c>
      <c r="O194" s="85">
        <v>2114356200</v>
      </c>
    </row>
    <row r="195" spans="1:15">
      <c r="A195" s="20">
        <v>45513</v>
      </c>
      <c r="B195" s="19">
        <v>7.9099998474121094</v>
      </c>
      <c r="C195" s="19">
        <v>7.9200000762939453</v>
      </c>
      <c r="D195" s="19">
        <v>7.8600001335144043</v>
      </c>
      <c r="E195" s="19">
        <v>7.8600001335144043</v>
      </c>
      <c r="F195" s="19">
        <v>7.3175878524780273</v>
      </c>
      <c r="G195" s="19">
        <v>808630</v>
      </c>
      <c r="I195" s="84">
        <v>45513</v>
      </c>
      <c r="J195" s="85">
        <v>17097.359375</v>
      </c>
      <c r="K195" s="85">
        <v>17252.220703125</v>
      </c>
      <c r="L195" s="85">
        <v>17079.349609375</v>
      </c>
      <c r="M195" s="85">
        <v>17090.23046875</v>
      </c>
      <c r="N195" s="85">
        <v>17090.23046875</v>
      </c>
      <c r="O195" s="85">
        <v>2145406500</v>
      </c>
    </row>
    <row r="196" spans="1:15">
      <c r="A196" s="20">
        <v>45516</v>
      </c>
      <c r="B196" s="19">
        <v>7.8600001335144043</v>
      </c>
      <c r="C196" s="19">
        <v>7.9099998474121094</v>
      </c>
      <c r="D196" s="19">
        <v>7.8299999237060547</v>
      </c>
      <c r="E196" s="19">
        <v>7.8600001335144043</v>
      </c>
      <c r="F196" s="19">
        <v>7.3175878524780273</v>
      </c>
      <c r="G196" s="19">
        <v>491225</v>
      </c>
      <c r="I196" s="84">
        <v>45516</v>
      </c>
      <c r="J196" s="85">
        <v>17102.98046875</v>
      </c>
      <c r="K196" s="85">
        <v>17162.759765625</v>
      </c>
      <c r="L196" s="85">
        <v>17002.9296875</v>
      </c>
      <c r="M196" s="85">
        <v>17111.650390625</v>
      </c>
      <c r="N196" s="85">
        <v>17111.650390625</v>
      </c>
      <c r="O196" s="85">
        <v>1793074600</v>
      </c>
    </row>
    <row r="197" spans="1:15">
      <c r="A197" s="20">
        <v>45517</v>
      </c>
      <c r="B197" s="19">
        <v>7.8600001335144043</v>
      </c>
      <c r="C197" s="19">
        <v>7.869999885559082</v>
      </c>
      <c r="D197" s="19">
        <v>7.8299999237060547</v>
      </c>
      <c r="E197" s="19">
        <v>7.8400001525878906</v>
      </c>
      <c r="F197" s="19">
        <v>7.2989678382873535</v>
      </c>
      <c r="G197" s="19">
        <v>859233</v>
      </c>
      <c r="I197" s="84">
        <v>45517</v>
      </c>
      <c r="J197" s="85">
        <v>17160.2109375</v>
      </c>
      <c r="K197" s="85">
        <v>17252.880859375</v>
      </c>
      <c r="L197" s="85">
        <v>17074.689453125</v>
      </c>
      <c r="M197" s="85">
        <v>17174.060546875</v>
      </c>
      <c r="N197" s="85">
        <v>17174.060546875</v>
      </c>
      <c r="O197" s="85">
        <v>1934995900</v>
      </c>
    </row>
    <row r="198" spans="1:15">
      <c r="A198" s="20">
        <v>45518</v>
      </c>
      <c r="B198" s="19">
        <v>7.8499999046325684</v>
      </c>
      <c r="C198" s="19">
        <v>8.0500001907348633</v>
      </c>
      <c r="D198" s="19">
        <v>7.8499999046325684</v>
      </c>
      <c r="E198" s="19">
        <v>8.0500001907348633</v>
      </c>
      <c r="F198" s="19">
        <v>7.494476318359375</v>
      </c>
      <c r="G198" s="19">
        <v>2231506</v>
      </c>
      <c r="I198" s="84">
        <v>45518</v>
      </c>
      <c r="J198" s="85">
        <v>17233.6796875</v>
      </c>
      <c r="K198" s="85">
        <v>17254.23046875</v>
      </c>
      <c r="L198" s="85">
        <v>17055.69921875</v>
      </c>
      <c r="M198" s="85">
        <v>17113.359375</v>
      </c>
      <c r="N198" s="85">
        <v>17113.359375</v>
      </c>
      <c r="O198" s="85">
        <v>1574534000</v>
      </c>
    </row>
    <row r="199" spans="1:15">
      <c r="A199" s="20">
        <v>45519</v>
      </c>
      <c r="B199" s="19">
        <v>8.0500001907348633</v>
      </c>
      <c r="C199" s="19">
        <v>8.0500001907348633</v>
      </c>
      <c r="D199" s="19">
        <v>7.9099998474121094</v>
      </c>
      <c r="E199" s="19">
        <v>7.9099998474121094</v>
      </c>
      <c r="F199" s="19">
        <v>7.3641371726989746</v>
      </c>
      <c r="G199" s="19">
        <v>702332</v>
      </c>
      <c r="I199" s="84">
        <v>45519</v>
      </c>
      <c r="J199" s="85">
        <v>17008.2109375</v>
      </c>
      <c r="K199" s="85">
        <v>17283.650390625</v>
      </c>
      <c r="L199" s="85">
        <v>16926.470703125</v>
      </c>
      <c r="M199" s="85">
        <v>17109.140625</v>
      </c>
      <c r="N199" s="85">
        <v>17109.140625</v>
      </c>
      <c r="O199" s="85">
        <v>2407027500</v>
      </c>
    </row>
    <row r="200" spans="1:15">
      <c r="A200" s="20">
        <v>45520</v>
      </c>
      <c r="B200" s="19">
        <v>7.9699997901916504</v>
      </c>
      <c r="C200" s="19">
        <v>8</v>
      </c>
      <c r="D200" s="19">
        <v>7.9200000762939453</v>
      </c>
      <c r="E200" s="19">
        <v>7.9800000190734863</v>
      </c>
      <c r="F200" s="19">
        <v>7.4293065071105957</v>
      </c>
      <c r="G200" s="19">
        <v>563225</v>
      </c>
      <c r="I200" s="84">
        <v>45520</v>
      </c>
      <c r="J200" s="85">
        <v>17286.0390625</v>
      </c>
      <c r="K200" s="85">
        <v>17473.890625</v>
      </c>
      <c r="L200" s="85">
        <v>17255.859375</v>
      </c>
      <c r="M200" s="85">
        <v>17430.16015625</v>
      </c>
      <c r="N200" s="85">
        <v>17430.16015625</v>
      </c>
      <c r="O200" s="85">
        <v>2551716800</v>
      </c>
    </row>
    <row r="201" spans="1:15">
      <c r="A201" s="20">
        <v>45523</v>
      </c>
      <c r="B201" s="19">
        <v>7.9800000190734863</v>
      </c>
      <c r="C201" s="19">
        <v>8.0299997329711914</v>
      </c>
      <c r="D201" s="19">
        <v>7.9800000190734863</v>
      </c>
      <c r="E201" s="19">
        <v>8.0100002288818359</v>
      </c>
      <c r="F201" s="19">
        <v>7.4572367668151855</v>
      </c>
      <c r="G201" s="19">
        <v>1120224</v>
      </c>
      <c r="I201" s="84">
        <v>45523</v>
      </c>
      <c r="J201" s="85">
        <v>17569.66015625</v>
      </c>
      <c r="K201" s="85">
        <v>17685.859375</v>
      </c>
      <c r="L201" s="85">
        <v>17547.650390625</v>
      </c>
      <c r="M201" s="85">
        <v>17569.5703125</v>
      </c>
      <c r="N201" s="85">
        <v>17569.5703125</v>
      </c>
      <c r="O201" s="85">
        <v>2361570600</v>
      </c>
    </row>
    <row r="202" spans="1:15">
      <c r="A202" s="20">
        <v>45524</v>
      </c>
      <c r="B202" s="19">
        <v>8</v>
      </c>
      <c r="C202" s="19">
        <v>8.0100002288818359</v>
      </c>
      <c r="D202" s="19">
        <v>7.9899997711181641</v>
      </c>
      <c r="E202" s="19">
        <v>7.9899997711181641</v>
      </c>
      <c r="F202" s="19">
        <v>7.4386162757873535</v>
      </c>
      <c r="G202" s="19">
        <v>747971</v>
      </c>
      <c r="I202" s="84">
        <v>45524</v>
      </c>
      <c r="J202" s="85">
        <v>17661.689453125</v>
      </c>
      <c r="K202" s="85">
        <v>17661.689453125</v>
      </c>
      <c r="L202" s="85">
        <v>17449.990234375</v>
      </c>
      <c r="M202" s="85">
        <v>17511.080078125</v>
      </c>
      <c r="N202" s="85">
        <v>17511.080078125</v>
      </c>
      <c r="O202" s="85">
        <v>1961800000</v>
      </c>
    </row>
    <row r="203" spans="1:15">
      <c r="A203" s="20">
        <v>45525</v>
      </c>
      <c r="B203" s="19">
        <v>7.9800000190734863</v>
      </c>
      <c r="C203" s="19">
        <v>7.9899997711181641</v>
      </c>
      <c r="D203" s="19">
        <v>7.9499998092651367</v>
      </c>
      <c r="E203" s="19">
        <v>7.9800000190734863</v>
      </c>
      <c r="F203" s="19">
        <v>7.4293065071105957</v>
      </c>
      <c r="G203" s="19">
        <v>758842</v>
      </c>
      <c r="I203" s="84">
        <v>45525</v>
      </c>
      <c r="J203" s="85">
        <v>17313.859375</v>
      </c>
      <c r="K203" s="85">
        <v>17415.48046875</v>
      </c>
      <c r="L203" s="85">
        <v>17232.130859375</v>
      </c>
      <c r="M203" s="85">
        <v>17391.009765625</v>
      </c>
      <c r="N203" s="85">
        <v>17391.009765625</v>
      </c>
      <c r="O203" s="85">
        <v>2060224300</v>
      </c>
    </row>
    <row r="204" spans="1:15">
      <c r="A204" s="20">
        <v>45526</v>
      </c>
      <c r="B204" s="19">
        <v>8</v>
      </c>
      <c r="C204" s="19">
        <v>8.1000003814697266</v>
      </c>
      <c r="D204" s="19">
        <v>8</v>
      </c>
      <c r="E204" s="19">
        <v>8.0399999618530273</v>
      </c>
      <c r="F204" s="19">
        <v>7.485166072845459</v>
      </c>
      <c r="G204" s="19">
        <v>954700</v>
      </c>
      <c r="I204" s="84">
        <v>45526</v>
      </c>
      <c r="J204" s="85">
        <v>17497.630859375</v>
      </c>
      <c r="K204" s="85">
        <v>17652.80078125</v>
      </c>
      <c r="L204" s="85">
        <v>17389.939453125</v>
      </c>
      <c r="M204" s="85">
        <v>17641</v>
      </c>
      <c r="N204" s="85">
        <v>17641</v>
      </c>
      <c r="O204" s="85">
        <v>2945729800</v>
      </c>
    </row>
    <row r="205" spans="1:15">
      <c r="A205" s="20">
        <v>45527</v>
      </c>
      <c r="B205" s="19">
        <v>8.0200004577636719</v>
      </c>
      <c r="C205" s="19">
        <v>8.0600004196166992</v>
      </c>
      <c r="D205" s="19">
        <v>8</v>
      </c>
      <c r="E205" s="19">
        <v>8.0200004577636719</v>
      </c>
      <c r="F205" s="19">
        <v>7.4665470123291016</v>
      </c>
      <c r="G205" s="19">
        <v>973145</v>
      </c>
      <c r="I205" s="84">
        <v>45527</v>
      </c>
      <c r="J205" s="85">
        <v>17521.1796875</v>
      </c>
      <c r="K205" s="85">
        <v>17635.69921875</v>
      </c>
      <c r="L205" s="85">
        <v>17493.080078125</v>
      </c>
      <c r="M205" s="85">
        <v>17612.099609375</v>
      </c>
      <c r="N205" s="85">
        <v>17612.099609375</v>
      </c>
      <c r="O205" s="85">
        <v>2054121600</v>
      </c>
    </row>
    <row r="206" spans="1:15">
      <c r="A206" s="20">
        <v>45530</v>
      </c>
      <c r="B206" s="19">
        <v>8.0500001907348633</v>
      </c>
      <c r="C206" s="19">
        <v>8.1800003051757812</v>
      </c>
      <c r="D206" s="19">
        <v>8.0200004577636719</v>
      </c>
      <c r="E206" s="19">
        <v>8.1599998474121094</v>
      </c>
      <c r="F206" s="19">
        <v>7.5968852043151855</v>
      </c>
      <c r="G206" s="19">
        <v>1831005</v>
      </c>
      <c r="I206" s="84">
        <v>45530</v>
      </c>
      <c r="J206" s="85">
        <v>17709.26953125</v>
      </c>
      <c r="K206" s="85">
        <v>17826.05078125</v>
      </c>
      <c r="L206" s="85">
        <v>17709.26953125</v>
      </c>
      <c r="M206" s="85">
        <v>17798.73046875</v>
      </c>
      <c r="N206" s="85">
        <v>17798.73046875</v>
      </c>
      <c r="O206" s="85">
        <v>1970098500</v>
      </c>
    </row>
    <row r="207" spans="1:15">
      <c r="A207" s="20">
        <v>45531</v>
      </c>
      <c r="B207" s="19">
        <v>8.1499996185302734</v>
      </c>
      <c r="C207" s="19">
        <v>8.1800003051757812</v>
      </c>
      <c r="D207" s="19">
        <v>8.119999885559082</v>
      </c>
      <c r="E207" s="19">
        <v>8.1499996185302734</v>
      </c>
      <c r="F207" s="19">
        <v>7.5875749588012695</v>
      </c>
      <c r="G207" s="19">
        <v>833437</v>
      </c>
      <c r="I207" s="84">
        <v>45531</v>
      </c>
      <c r="J207" s="85">
        <v>17663.80078125</v>
      </c>
      <c r="K207" s="85">
        <v>17879.26953125</v>
      </c>
      <c r="L207" s="85">
        <v>17624.419921875</v>
      </c>
      <c r="M207" s="85">
        <v>17874.669921875</v>
      </c>
      <c r="N207" s="85">
        <v>17874.669921875</v>
      </c>
      <c r="O207" s="85">
        <v>2702698800</v>
      </c>
    </row>
    <row r="208" spans="1:15">
      <c r="A208" s="20">
        <v>45532</v>
      </c>
      <c r="B208" s="19">
        <v>8.1499996185302734</v>
      </c>
      <c r="C208" s="19">
        <v>8.1999998092651367</v>
      </c>
      <c r="D208" s="19">
        <v>8.0900001525878906</v>
      </c>
      <c r="E208" s="19">
        <v>8.119999885559082</v>
      </c>
      <c r="F208" s="19">
        <v>7.5596451759338379</v>
      </c>
      <c r="G208" s="19">
        <v>1956800</v>
      </c>
      <c r="I208" s="84">
        <v>45532</v>
      </c>
      <c r="J208" s="85">
        <v>17847.990234375</v>
      </c>
      <c r="K208" s="85">
        <v>17879.009765625</v>
      </c>
      <c r="L208" s="85">
        <v>17659.2890625</v>
      </c>
      <c r="M208" s="85">
        <v>17692.44921875</v>
      </c>
      <c r="N208" s="85">
        <v>17692.44921875</v>
      </c>
      <c r="O208" s="85">
        <v>2184592400</v>
      </c>
    </row>
    <row r="209" spans="1:15">
      <c r="A209" s="20">
        <v>45533</v>
      </c>
      <c r="B209" s="19">
        <v>8.119999885559082</v>
      </c>
      <c r="C209" s="19">
        <v>8.1700000762939453</v>
      </c>
      <c r="D209" s="19">
        <v>8.0500001907348633</v>
      </c>
      <c r="E209" s="19">
        <v>8.1700000762939453</v>
      </c>
      <c r="F209" s="19">
        <v>7.6061949729919434</v>
      </c>
      <c r="G209" s="19">
        <v>977000</v>
      </c>
      <c r="I209" s="84">
        <v>45533</v>
      </c>
      <c r="J209" s="85">
        <v>17614.41015625</v>
      </c>
      <c r="K209" s="85">
        <v>17797.169921875</v>
      </c>
      <c r="L209" s="85">
        <v>17502.529296875</v>
      </c>
      <c r="M209" s="85">
        <v>17786.3203125</v>
      </c>
      <c r="N209" s="85">
        <v>17786.3203125</v>
      </c>
      <c r="O209" s="85">
        <v>2858172500</v>
      </c>
    </row>
    <row r="210" spans="1:15">
      <c r="A210" s="20">
        <v>45534</v>
      </c>
      <c r="B210" s="19">
        <v>8.1700000762939453</v>
      </c>
      <c r="C210" s="19">
        <v>8.1800003051757812</v>
      </c>
      <c r="D210" s="19">
        <v>8.1000003814697266</v>
      </c>
      <c r="E210" s="19">
        <v>8.1000003814697266</v>
      </c>
      <c r="F210" s="19">
        <v>7.5410261154174805</v>
      </c>
      <c r="G210" s="19">
        <v>1836285</v>
      </c>
      <c r="I210" s="84">
        <v>45534</v>
      </c>
      <c r="J210" s="85">
        <v>17794.41015625</v>
      </c>
      <c r="K210" s="85">
        <v>18202.599609375</v>
      </c>
      <c r="L210" s="85">
        <v>17778.099609375</v>
      </c>
      <c r="M210" s="85">
        <v>17989.0703125</v>
      </c>
      <c r="N210" s="85">
        <v>17989.0703125</v>
      </c>
      <c r="O210" s="85">
        <v>4753806200</v>
      </c>
    </row>
    <row r="211" spans="1:15">
      <c r="A211" s="20">
        <v>45537</v>
      </c>
      <c r="B211" s="19">
        <v>8.1000003814697266</v>
      </c>
      <c r="C211" s="19">
        <v>8.1599998474121094</v>
      </c>
      <c r="D211" s="19">
        <v>8.0799999237060547</v>
      </c>
      <c r="E211" s="19">
        <v>8.1599998474121094</v>
      </c>
      <c r="F211" s="19">
        <v>7.5968852043151855</v>
      </c>
      <c r="G211" s="19">
        <v>787568</v>
      </c>
      <c r="I211" s="84">
        <v>45537</v>
      </c>
      <c r="J211" s="85">
        <v>17862.58984375</v>
      </c>
      <c r="K211" s="85">
        <v>17862.58984375</v>
      </c>
      <c r="L211" s="85">
        <v>17645.919921875</v>
      </c>
      <c r="M211" s="85">
        <v>17691.970703125</v>
      </c>
      <c r="N211" s="85">
        <v>17691.970703125</v>
      </c>
      <c r="O211" s="85">
        <v>3077120300</v>
      </c>
    </row>
    <row r="212" spans="1:15">
      <c r="A212" s="20">
        <v>45538</v>
      </c>
      <c r="B212" s="19">
        <v>8.1599998474121094</v>
      </c>
      <c r="C212" s="19">
        <v>8.1599998474121094</v>
      </c>
      <c r="D212" s="19">
        <v>8.119999885559082</v>
      </c>
      <c r="E212" s="19">
        <v>8.1499996185302734</v>
      </c>
      <c r="F212" s="19">
        <v>7.5875749588012695</v>
      </c>
      <c r="G212" s="19">
        <v>182000</v>
      </c>
      <c r="I212" s="84">
        <v>45538</v>
      </c>
      <c r="J212" s="85">
        <v>17665.9296875</v>
      </c>
      <c r="K212" s="85">
        <v>17725.509765625</v>
      </c>
      <c r="L212" s="85">
        <v>17583.69921875</v>
      </c>
      <c r="M212" s="85">
        <v>17651.490234375</v>
      </c>
      <c r="N212" s="85">
        <v>17651.490234375</v>
      </c>
      <c r="O212" s="85">
        <v>2470760400</v>
      </c>
    </row>
    <row r="213" spans="1:15">
      <c r="A213" s="20">
        <v>45539</v>
      </c>
      <c r="B213" s="19">
        <v>8.0799999237060547</v>
      </c>
      <c r="C213" s="19">
        <v>8.1800003051757812</v>
      </c>
      <c r="D213" s="19">
        <v>8.0600004196166992</v>
      </c>
      <c r="E213" s="19">
        <v>8.1800003051757812</v>
      </c>
      <c r="F213" s="19">
        <v>7.6155056953430176</v>
      </c>
      <c r="G213" s="19">
        <v>718740</v>
      </c>
      <c r="I213" s="84">
        <v>45539</v>
      </c>
      <c r="J213" s="85">
        <v>17474.740234375</v>
      </c>
      <c r="K213" s="85">
        <v>17531.05078125</v>
      </c>
      <c r="L213" s="85">
        <v>17333.30078125</v>
      </c>
      <c r="M213" s="85">
        <v>17457.33984375</v>
      </c>
      <c r="N213" s="85">
        <v>17457.33984375</v>
      </c>
      <c r="O213" s="85">
        <v>2601237200</v>
      </c>
    </row>
    <row r="214" spans="1:15">
      <c r="A214" s="20">
        <v>45540</v>
      </c>
      <c r="B214" s="19">
        <v>8.1800003051757812</v>
      </c>
      <c r="C214" s="19">
        <v>8.2600002288818359</v>
      </c>
      <c r="D214" s="19">
        <v>8.1800003051757812</v>
      </c>
      <c r="E214" s="19">
        <v>8.25</v>
      </c>
      <c r="F214" s="19">
        <v>7.6806740760803223</v>
      </c>
      <c r="G214" s="19">
        <v>1754304</v>
      </c>
      <c r="I214" s="84">
        <v>45540</v>
      </c>
      <c r="J214" s="85">
        <v>17469.9609375</v>
      </c>
      <c r="K214" s="85">
        <v>17555.609375</v>
      </c>
      <c r="L214" s="85">
        <v>17332.490234375</v>
      </c>
      <c r="M214" s="85">
        <v>17444.30078125</v>
      </c>
      <c r="N214" s="85">
        <v>17444.30078125</v>
      </c>
      <c r="O214" s="85">
        <v>2558634900</v>
      </c>
    </row>
    <row r="215" spans="1:15">
      <c r="A215" s="20">
        <v>45544</v>
      </c>
      <c r="B215" s="19">
        <v>8.25</v>
      </c>
      <c r="C215" s="19">
        <v>8.25</v>
      </c>
      <c r="D215" s="19">
        <v>8.0900001525878906</v>
      </c>
      <c r="E215" s="19">
        <v>8.1999998092651367</v>
      </c>
      <c r="F215" s="19">
        <v>7.6341242790222168</v>
      </c>
      <c r="G215" s="19">
        <v>1512000</v>
      </c>
      <c r="I215" s="84">
        <v>45544</v>
      </c>
      <c r="J215" s="85">
        <v>17261.890625</v>
      </c>
      <c r="K215" s="85">
        <v>17305.91015625</v>
      </c>
      <c r="L215" s="85">
        <v>17067.44921875</v>
      </c>
      <c r="M215" s="85">
        <v>17196.9609375</v>
      </c>
      <c r="N215" s="85">
        <v>17196.9609375</v>
      </c>
      <c r="O215" s="85">
        <v>3841864100</v>
      </c>
    </row>
    <row r="216" spans="1:15">
      <c r="A216" s="20">
        <v>45545</v>
      </c>
      <c r="B216" s="19">
        <v>7.880000114440918</v>
      </c>
      <c r="C216" s="19">
        <v>7.880000114440918</v>
      </c>
      <c r="D216" s="19">
        <v>7.5300002098083496</v>
      </c>
      <c r="E216" s="19">
        <v>7.5999999046325684</v>
      </c>
      <c r="F216" s="19">
        <v>7.4574999809265137</v>
      </c>
      <c r="G216" s="19">
        <v>1656000</v>
      </c>
      <c r="I216" s="84">
        <v>45545</v>
      </c>
      <c r="J216" s="85">
        <v>17205.419921875</v>
      </c>
      <c r="K216" s="85">
        <v>17297.94921875</v>
      </c>
      <c r="L216" s="85">
        <v>17133.5</v>
      </c>
      <c r="M216" s="85">
        <v>17234.08984375</v>
      </c>
      <c r="N216" s="85">
        <v>17234.08984375</v>
      </c>
      <c r="O216" s="85">
        <v>2786726500</v>
      </c>
    </row>
    <row r="217" spans="1:15">
      <c r="A217" s="20">
        <v>45546</v>
      </c>
      <c r="B217" s="19">
        <v>7.619999885559082</v>
      </c>
      <c r="C217" s="19">
        <v>7.619999885559082</v>
      </c>
      <c r="D217" s="19">
        <v>7.4200000762939453</v>
      </c>
      <c r="E217" s="19">
        <v>7.5100002288818359</v>
      </c>
      <c r="F217" s="19">
        <v>7.3691878318786621</v>
      </c>
      <c r="G217" s="19">
        <v>795240</v>
      </c>
      <c r="I217" s="84">
        <v>45546</v>
      </c>
      <c r="J217" s="85">
        <v>17051.83984375</v>
      </c>
      <c r="K217" s="85">
        <v>17124.9609375</v>
      </c>
      <c r="L217" s="85">
        <v>16964.279296875</v>
      </c>
      <c r="M217" s="85">
        <v>17108.7109375</v>
      </c>
      <c r="N217" s="85">
        <v>17108.7109375</v>
      </c>
      <c r="O217" s="85">
        <v>3071142700</v>
      </c>
    </row>
    <row r="218" spans="1:15">
      <c r="A218" s="20">
        <v>45547</v>
      </c>
      <c r="B218" s="19">
        <v>7.5100002288818359</v>
      </c>
      <c r="C218" s="19">
        <v>7.5999999046325684</v>
      </c>
      <c r="D218" s="19">
        <v>7.5</v>
      </c>
      <c r="E218" s="19">
        <v>7.5500001907348633</v>
      </c>
      <c r="F218" s="19">
        <v>7.4084377288818359</v>
      </c>
      <c r="G218" s="19">
        <v>802000</v>
      </c>
      <c r="I218" s="84">
        <v>45547</v>
      </c>
      <c r="J218" s="85">
        <v>17177.30078125</v>
      </c>
      <c r="K218" s="85">
        <v>17334.189453125</v>
      </c>
      <c r="L218" s="85">
        <v>17127.25</v>
      </c>
      <c r="M218" s="85">
        <v>17240.390625</v>
      </c>
      <c r="N218" s="85">
        <v>17240.390625</v>
      </c>
      <c r="O218" s="85">
        <v>2374153300</v>
      </c>
    </row>
    <row r="219" spans="1:15">
      <c r="A219" s="20">
        <v>45548</v>
      </c>
      <c r="B219" s="19">
        <v>7.5500001907348633</v>
      </c>
      <c r="C219" s="19">
        <v>7.5799999237060547</v>
      </c>
      <c r="D219" s="19">
        <v>7.4499998092651367</v>
      </c>
      <c r="E219" s="19">
        <v>7.5799999237060547</v>
      </c>
      <c r="F219" s="19">
        <v>7.4378747940063477</v>
      </c>
      <c r="G219" s="19">
        <v>763004</v>
      </c>
      <c r="I219" s="84">
        <v>45548</v>
      </c>
      <c r="J219" s="85">
        <v>17298.349609375</v>
      </c>
      <c r="K219" s="85">
        <v>17540.810546875</v>
      </c>
      <c r="L219" s="85">
        <v>17298.349609375</v>
      </c>
      <c r="M219" s="85">
        <v>17369.08984375</v>
      </c>
      <c r="N219" s="85">
        <v>17369.08984375</v>
      </c>
      <c r="O219" s="85">
        <v>2139977900</v>
      </c>
    </row>
    <row r="220" spans="1:15">
      <c r="A220" s="20">
        <v>45551</v>
      </c>
      <c r="B220" s="19">
        <v>7.5799999237060547</v>
      </c>
      <c r="C220" s="19">
        <v>7.6399998664855957</v>
      </c>
      <c r="D220" s="19">
        <v>7.559999942779541</v>
      </c>
      <c r="E220" s="19">
        <v>7.630000114440918</v>
      </c>
      <c r="F220" s="19">
        <v>7.4869375228881836</v>
      </c>
      <c r="G220" s="19">
        <v>670000</v>
      </c>
      <c r="I220" s="84">
        <v>45551</v>
      </c>
      <c r="J220" s="85">
        <v>17252.76953125</v>
      </c>
      <c r="K220" s="85">
        <v>17422.119140625</v>
      </c>
      <c r="L220" s="85">
        <v>17177.080078125</v>
      </c>
      <c r="M220" s="85">
        <v>17422.119140625</v>
      </c>
      <c r="N220" s="85">
        <v>17422.119140625</v>
      </c>
      <c r="O220" s="85">
        <v>1127924500</v>
      </c>
    </row>
    <row r="221" spans="1:15">
      <c r="A221" s="20">
        <v>45552</v>
      </c>
      <c r="B221" s="19">
        <v>7.6500000953674316</v>
      </c>
      <c r="C221" s="19">
        <v>7.7899999618530273</v>
      </c>
      <c r="D221" s="19">
        <v>7.5999999046325684</v>
      </c>
      <c r="E221" s="19">
        <v>7.7600002288818359</v>
      </c>
      <c r="F221" s="19">
        <v>7.6145000457763672</v>
      </c>
      <c r="G221" s="19">
        <v>806156</v>
      </c>
      <c r="I221" s="84">
        <v>45552</v>
      </c>
      <c r="J221" s="85">
        <v>17386.75</v>
      </c>
      <c r="K221" s="85">
        <v>17715.76953125</v>
      </c>
      <c r="L221" s="85">
        <v>17368.140625</v>
      </c>
      <c r="M221" s="85">
        <v>17660.01953125</v>
      </c>
      <c r="N221" s="85">
        <v>17660.01953125</v>
      </c>
      <c r="O221" s="85">
        <v>1665721500</v>
      </c>
    </row>
    <row r="222" spans="1:15">
      <c r="A222" s="20">
        <v>45554</v>
      </c>
      <c r="B222" s="19">
        <v>7.75</v>
      </c>
      <c r="C222" s="19">
        <v>7.8000001907348633</v>
      </c>
      <c r="D222" s="19">
        <v>7.7300000190734863</v>
      </c>
      <c r="E222" s="19">
        <v>7.75</v>
      </c>
      <c r="F222" s="19">
        <v>7.6046872138977051</v>
      </c>
      <c r="G222" s="19">
        <v>1011225</v>
      </c>
      <c r="I222" s="84">
        <v>45554</v>
      </c>
      <c r="J222" s="85">
        <v>17633.9296875</v>
      </c>
      <c r="K222" s="85">
        <v>18071.099609375</v>
      </c>
      <c r="L222" s="85">
        <v>17602.44921875</v>
      </c>
      <c r="M222" s="85">
        <v>18013.16015625</v>
      </c>
      <c r="N222" s="85">
        <v>18013.16015625</v>
      </c>
      <c r="O222" s="85">
        <v>3436673300</v>
      </c>
    </row>
    <row r="223" spans="1:15">
      <c r="A223" s="20">
        <v>45555</v>
      </c>
      <c r="B223" s="19">
        <v>7.7399997711181641</v>
      </c>
      <c r="C223" s="19">
        <v>7.820000171661377</v>
      </c>
      <c r="D223" s="19">
        <v>7.7199997901916504</v>
      </c>
      <c r="E223" s="19">
        <v>7.75</v>
      </c>
      <c r="F223" s="19">
        <v>7.6046872138977051</v>
      </c>
      <c r="G223" s="19">
        <v>1075001</v>
      </c>
      <c r="I223" s="84">
        <v>45555</v>
      </c>
      <c r="J223" s="85">
        <v>18069.330078125</v>
      </c>
      <c r="K223" s="85">
        <v>18355.150390625</v>
      </c>
      <c r="L223" s="85">
        <v>18047.130859375</v>
      </c>
      <c r="M223" s="85">
        <v>18258.5703125</v>
      </c>
      <c r="N223" s="85">
        <v>18258.5703125</v>
      </c>
      <c r="O223" s="85">
        <v>4005306800</v>
      </c>
    </row>
    <row r="224" spans="1:15">
      <c r="A224" s="20">
        <v>45558</v>
      </c>
      <c r="B224" s="19">
        <v>7.75</v>
      </c>
      <c r="C224" s="19">
        <v>7.7800002098083496</v>
      </c>
      <c r="D224" s="19">
        <v>7.690000057220459</v>
      </c>
      <c r="E224" s="19">
        <v>7.7300000190734863</v>
      </c>
      <c r="F224" s="19">
        <v>7.5850625038146973</v>
      </c>
      <c r="G224" s="19">
        <v>493203</v>
      </c>
      <c r="I224" s="84">
        <v>45558</v>
      </c>
      <c r="J224" s="85">
        <v>18237.41015625</v>
      </c>
      <c r="K224" s="85">
        <v>18426.919921875</v>
      </c>
      <c r="L224" s="85">
        <v>18212.580078125</v>
      </c>
      <c r="M224" s="85">
        <v>18247.109375</v>
      </c>
      <c r="N224" s="85">
        <v>18247.109375</v>
      </c>
      <c r="O224" s="85">
        <v>2724524400</v>
      </c>
    </row>
    <row r="225" spans="1:15">
      <c r="A225" s="20">
        <v>45559</v>
      </c>
      <c r="B225" s="19">
        <v>7.7800002098083496</v>
      </c>
      <c r="C225" s="19">
        <v>7.7899999618530273</v>
      </c>
      <c r="D225" s="19">
        <v>7.690000057220459</v>
      </c>
      <c r="E225" s="19">
        <v>7.7600002288818359</v>
      </c>
      <c r="F225" s="19">
        <v>7.6145000457763672</v>
      </c>
      <c r="G225" s="19">
        <v>1246000</v>
      </c>
      <c r="I225" s="84">
        <v>45559</v>
      </c>
      <c r="J225" s="85">
        <v>18573.919921875</v>
      </c>
      <c r="K225" s="85">
        <v>19002.05078125</v>
      </c>
      <c r="L225" s="85">
        <v>18532.279296875</v>
      </c>
      <c r="M225" s="85">
        <v>19000.560546875</v>
      </c>
      <c r="N225" s="85">
        <v>19000.560546875</v>
      </c>
      <c r="O225" s="85">
        <v>6008421400</v>
      </c>
    </row>
    <row r="226" spans="1:15">
      <c r="A226" s="20">
        <v>45560</v>
      </c>
      <c r="B226" s="19">
        <v>7.8000001907348633</v>
      </c>
      <c r="C226" s="19">
        <v>7.9499998092651367</v>
      </c>
      <c r="D226" s="19">
        <v>7.8000001907348633</v>
      </c>
      <c r="E226" s="19">
        <v>7.869999885559082</v>
      </c>
      <c r="F226" s="19">
        <v>7.7224373817443848</v>
      </c>
      <c r="G226" s="19">
        <v>2154001</v>
      </c>
      <c r="I226" s="84">
        <v>45560</v>
      </c>
      <c r="J226" s="85">
        <v>19592.4296875</v>
      </c>
      <c r="K226" s="85">
        <v>19592.4296875</v>
      </c>
      <c r="L226" s="85">
        <v>19072.720703125</v>
      </c>
      <c r="M226" s="85">
        <v>19129.099609375</v>
      </c>
      <c r="N226" s="85">
        <v>19129.099609375</v>
      </c>
      <c r="O226" s="85">
        <v>6507488700</v>
      </c>
    </row>
    <row r="227" spans="1:15">
      <c r="A227" s="20">
        <v>45561</v>
      </c>
      <c r="B227" s="19">
        <v>7.869999885559082</v>
      </c>
      <c r="C227" s="19">
        <v>8.0500001907348633</v>
      </c>
      <c r="D227" s="19">
        <v>7.8499999046325684</v>
      </c>
      <c r="E227" s="19">
        <v>8.0399999618530273</v>
      </c>
      <c r="F227" s="19">
        <v>7.8892498016357422</v>
      </c>
      <c r="G227" s="19">
        <v>2878077</v>
      </c>
      <c r="I227" s="84">
        <v>45561</v>
      </c>
      <c r="J227" s="85">
        <v>19302.5703125</v>
      </c>
      <c r="K227" s="85">
        <v>19954.060546875</v>
      </c>
      <c r="L227" s="85">
        <v>19176.580078125</v>
      </c>
      <c r="M227" s="85">
        <v>19924.580078125</v>
      </c>
      <c r="N227" s="85">
        <v>19924.580078125</v>
      </c>
      <c r="O227" s="85">
        <v>7428256300</v>
      </c>
    </row>
    <row r="228" spans="1:15">
      <c r="A228" s="20">
        <v>45562</v>
      </c>
      <c r="B228" s="19">
        <v>8.119999885559082</v>
      </c>
      <c r="C228" s="19">
        <v>8.3900003433227539</v>
      </c>
      <c r="D228" s="19">
        <v>8.119999885559082</v>
      </c>
      <c r="E228" s="19">
        <v>8.3599996566772461</v>
      </c>
      <c r="F228" s="19">
        <v>8.2032499313354492</v>
      </c>
      <c r="G228" s="19">
        <v>5458095</v>
      </c>
      <c r="I228" s="84">
        <v>45562</v>
      </c>
      <c r="J228" s="85">
        <v>20446.740234375</v>
      </c>
      <c r="K228" s="85">
        <v>20743.19921875</v>
      </c>
      <c r="L228" s="85">
        <v>20268.630859375</v>
      </c>
      <c r="M228" s="85">
        <v>20632.30078125</v>
      </c>
      <c r="N228" s="85">
        <v>20632.30078125</v>
      </c>
      <c r="O228" s="85">
        <v>9656093400</v>
      </c>
    </row>
    <row r="229" spans="1:15">
      <c r="A229" s="20">
        <v>45565</v>
      </c>
      <c r="B229" s="19">
        <v>8.3999996185302734</v>
      </c>
      <c r="C229" s="19">
        <v>8.7700004577636719</v>
      </c>
      <c r="D229" s="19">
        <v>8.3999996185302734</v>
      </c>
      <c r="E229" s="19">
        <v>8.6999998092651367</v>
      </c>
      <c r="F229" s="19">
        <v>8.5368747711181641</v>
      </c>
      <c r="G229" s="19">
        <v>4919096</v>
      </c>
      <c r="I229" s="84">
        <v>45565</v>
      </c>
      <c r="J229" s="85">
        <v>21175.41015625</v>
      </c>
      <c r="K229" s="85">
        <v>21488.75</v>
      </c>
      <c r="L229" s="85">
        <v>20789.9296875</v>
      </c>
      <c r="M229" s="85">
        <v>21133.6796875</v>
      </c>
      <c r="N229" s="85">
        <v>21133.6796875</v>
      </c>
      <c r="O229" s="85">
        <v>1035706200</v>
      </c>
    </row>
    <row r="230" spans="1:15">
      <c r="A230" s="20">
        <v>45567</v>
      </c>
      <c r="B230" s="19">
        <v>8.6899995803833008</v>
      </c>
      <c r="C230" s="19">
        <v>8.8400001525878906</v>
      </c>
      <c r="D230" s="19">
        <v>8.619999885559082</v>
      </c>
      <c r="E230" s="19">
        <v>8.7600002288818359</v>
      </c>
      <c r="F230" s="19">
        <v>8.5957498550415039</v>
      </c>
      <c r="G230" s="19">
        <v>2677140</v>
      </c>
      <c r="I230" s="84">
        <v>45567</v>
      </c>
      <c r="J230" s="85">
        <v>21289.599609375</v>
      </c>
      <c r="K230" s="85">
        <v>22667.740234375</v>
      </c>
      <c r="L230" s="85">
        <v>21289.599609375</v>
      </c>
      <c r="M230" s="85">
        <v>22443.73046875</v>
      </c>
      <c r="N230" s="85">
        <v>22443.73046875</v>
      </c>
      <c r="O230" s="85">
        <v>7696286600</v>
      </c>
    </row>
    <row r="231" spans="1:15">
      <c r="A231" s="20">
        <v>45568</v>
      </c>
      <c r="B231" s="19">
        <v>8.8000001907348633</v>
      </c>
      <c r="C231" s="19">
        <v>8.8299999237060547</v>
      </c>
      <c r="D231" s="19">
        <v>8.4799995422363281</v>
      </c>
      <c r="E231" s="19">
        <v>8.75</v>
      </c>
      <c r="F231" s="19">
        <v>8.5859375</v>
      </c>
      <c r="G231" s="19">
        <v>3326000</v>
      </c>
      <c r="I231" s="84">
        <v>45568</v>
      </c>
      <c r="J231" s="85">
        <v>22484.0390625</v>
      </c>
      <c r="K231" s="85">
        <v>22484.0390625</v>
      </c>
      <c r="L231" s="85">
        <v>21442.25</v>
      </c>
      <c r="M231" s="85">
        <v>22113.509765625</v>
      </c>
      <c r="N231" s="85">
        <v>22113.509765625</v>
      </c>
      <c r="O231" s="85">
        <v>4942180900</v>
      </c>
    </row>
    <row r="232" spans="1:15">
      <c r="A232" s="20">
        <v>45569</v>
      </c>
      <c r="B232" s="19">
        <v>8.7799997329711914</v>
      </c>
      <c r="C232" s="19">
        <v>8.8000001907348633</v>
      </c>
      <c r="D232" s="19">
        <v>8.6400003433227539</v>
      </c>
      <c r="E232" s="19">
        <v>8.7799997329711914</v>
      </c>
      <c r="F232" s="19">
        <v>8.6153745651245117</v>
      </c>
      <c r="G232" s="19">
        <v>1464370</v>
      </c>
      <c r="I232" s="84">
        <v>45569</v>
      </c>
      <c r="J232" s="85">
        <v>22015.080078125</v>
      </c>
      <c r="K232" s="85">
        <v>22742.359375</v>
      </c>
      <c r="L232" s="85">
        <v>21824.6796875</v>
      </c>
      <c r="M232" s="85">
        <v>22736.869140625</v>
      </c>
      <c r="N232" s="85">
        <v>22736.869140625</v>
      </c>
      <c r="O232" s="85">
        <v>4619951200</v>
      </c>
    </row>
    <row r="233" spans="1:15">
      <c r="A233" s="20">
        <v>45572</v>
      </c>
      <c r="B233" s="19">
        <v>8.8000001907348633</v>
      </c>
      <c r="C233" s="19">
        <v>9.2399997711181641</v>
      </c>
      <c r="D233" s="19">
        <v>8.8000001907348633</v>
      </c>
      <c r="E233" s="19">
        <v>9.2399997711181641</v>
      </c>
      <c r="F233" s="19">
        <v>9.0667495727539062</v>
      </c>
      <c r="G233" s="19">
        <v>2607844</v>
      </c>
      <c r="I233" s="84">
        <v>45572</v>
      </c>
      <c r="J233" s="85">
        <v>22948.349609375</v>
      </c>
      <c r="K233" s="85">
        <v>23241.740234375</v>
      </c>
      <c r="L233" s="85">
        <v>22719.91015625</v>
      </c>
      <c r="M233" s="85">
        <v>23099.779296875</v>
      </c>
      <c r="N233" s="85">
        <v>23099.779296875</v>
      </c>
      <c r="O233" s="85">
        <v>5098400000</v>
      </c>
    </row>
    <row r="234" spans="1:15">
      <c r="A234" s="20">
        <v>45573</v>
      </c>
      <c r="B234" s="19">
        <v>9.2399997711181641</v>
      </c>
      <c r="C234" s="19">
        <v>9.2399997711181641</v>
      </c>
      <c r="D234" s="19">
        <v>8.4799995422363281</v>
      </c>
      <c r="E234" s="19">
        <v>8.5299997329711914</v>
      </c>
      <c r="F234" s="19">
        <v>8.3700618743896484</v>
      </c>
      <c r="G234" s="19">
        <v>2952355</v>
      </c>
      <c r="I234" s="84">
        <v>45573</v>
      </c>
      <c r="J234" s="85">
        <v>22849.23046875</v>
      </c>
      <c r="K234" s="85">
        <v>22902.359375</v>
      </c>
      <c r="L234" s="85">
        <v>20762.8203125</v>
      </c>
      <c r="M234" s="85">
        <v>20926.7890625</v>
      </c>
      <c r="N234" s="85">
        <v>20926.7890625</v>
      </c>
      <c r="O234" s="85">
        <v>11257900000</v>
      </c>
    </row>
    <row r="235" spans="1:15">
      <c r="A235" s="20">
        <v>45574</v>
      </c>
      <c r="B235" s="19">
        <v>8.5100002288818359</v>
      </c>
      <c r="C235" s="19">
        <v>8.7200002670288086</v>
      </c>
      <c r="D235" s="19">
        <v>8.1800003051757812</v>
      </c>
      <c r="E235" s="19">
        <v>8.4200000762939453</v>
      </c>
      <c r="F235" s="19">
        <v>8.2621250152587891</v>
      </c>
      <c r="G235" s="19">
        <v>1974000</v>
      </c>
      <c r="I235" s="84">
        <v>45574</v>
      </c>
      <c r="J235" s="85">
        <v>21290.0390625</v>
      </c>
      <c r="K235" s="85">
        <v>21417.75</v>
      </c>
      <c r="L235" s="85">
        <v>20190.529296875</v>
      </c>
      <c r="M235" s="85">
        <v>20637.240234375</v>
      </c>
      <c r="N235" s="85">
        <v>20637.240234375</v>
      </c>
      <c r="O235" s="85">
        <v>7953600000</v>
      </c>
    </row>
    <row r="236" spans="1:15">
      <c r="A236" s="20">
        <v>45575</v>
      </c>
      <c r="B236" s="19">
        <v>8.4499998092651367</v>
      </c>
      <c r="C236" s="19">
        <v>8.7899999618530273</v>
      </c>
      <c r="D236" s="19">
        <v>8.4499998092651367</v>
      </c>
      <c r="E236" s="19">
        <v>8.7600002288818359</v>
      </c>
      <c r="F236" s="19">
        <v>8.5957498550415039</v>
      </c>
      <c r="G236" s="19">
        <v>1616675</v>
      </c>
      <c r="I236" s="84">
        <v>45575</v>
      </c>
      <c r="J236" s="85">
        <v>21046</v>
      </c>
      <c r="K236" s="85">
        <v>21622.650390625</v>
      </c>
      <c r="L236" s="85">
        <v>20983.939453125</v>
      </c>
      <c r="M236" s="85">
        <v>21251.98046875</v>
      </c>
      <c r="N236" s="85">
        <v>21251.98046875</v>
      </c>
      <c r="O236" s="85">
        <v>6039900000</v>
      </c>
    </row>
    <row r="237" spans="1:15">
      <c r="A237" s="20">
        <v>45579</v>
      </c>
      <c r="B237" s="19">
        <v>8.7600002288818359</v>
      </c>
      <c r="C237" s="19">
        <v>8.7600002288818359</v>
      </c>
      <c r="D237" s="19">
        <v>8.4099998474121094</v>
      </c>
      <c r="E237" s="19">
        <v>8.7200002670288086</v>
      </c>
      <c r="F237" s="19">
        <v>8.5565004348754883</v>
      </c>
      <c r="G237" s="19">
        <v>1109008</v>
      </c>
      <c r="I237" s="84">
        <v>45579</v>
      </c>
      <c r="J237" s="85">
        <v>21228.650390625</v>
      </c>
      <c r="K237" s="85">
        <v>21348.859375</v>
      </c>
      <c r="L237" s="85">
        <v>20693.75</v>
      </c>
      <c r="M237" s="85">
        <v>21092.869140625</v>
      </c>
      <c r="N237" s="85">
        <v>21092.869140625</v>
      </c>
      <c r="O237" s="85">
        <v>5743300000</v>
      </c>
    </row>
    <row r="238" spans="1:15">
      <c r="A238" s="20">
        <v>45580</v>
      </c>
      <c r="B238" s="19">
        <v>8.8400001525878906</v>
      </c>
      <c r="C238" s="19">
        <v>8.8400001525878906</v>
      </c>
      <c r="D238" s="19">
        <v>8.4099998474121094</v>
      </c>
      <c r="E238" s="19">
        <v>8.4099998474121094</v>
      </c>
      <c r="F238" s="19">
        <v>8.2523126602172852</v>
      </c>
      <c r="G238" s="19">
        <v>1114000</v>
      </c>
      <c r="I238" s="84">
        <v>45580</v>
      </c>
      <c r="J238" s="85">
        <v>21046.189453125</v>
      </c>
      <c r="K238" s="85">
        <v>21095.009765625</v>
      </c>
      <c r="L238" s="85">
        <v>20154.7109375</v>
      </c>
      <c r="M238" s="85">
        <v>20318.7890625</v>
      </c>
      <c r="N238" s="85">
        <v>20318.7890625</v>
      </c>
      <c r="O238" s="85">
        <v>4906400000</v>
      </c>
    </row>
    <row r="239" spans="1:15">
      <c r="A239" s="20">
        <v>45581</v>
      </c>
      <c r="B239" s="19">
        <v>8.4099998474121094</v>
      </c>
      <c r="C239" s="19">
        <v>8.5299997329711914</v>
      </c>
      <c r="D239" s="19">
        <v>8.3999996185302734</v>
      </c>
      <c r="E239" s="19">
        <v>8.5100002288818359</v>
      </c>
      <c r="F239" s="19">
        <v>8.3504371643066406</v>
      </c>
      <c r="G239" s="19">
        <v>610400</v>
      </c>
      <c r="I239" s="84">
        <v>45581</v>
      </c>
      <c r="J239" s="85">
        <v>20144.75</v>
      </c>
      <c r="K239" s="85">
        <v>20548.1796875</v>
      </c>
      <c r="L239" s="85">
        <v>20131.33984375</v>
      </c>
      <c r="M239" s="85">
        <v>20286.849609375</v>
      </c>
      <c r="N239" s="85">
        <v>20286.849609375</v>
      </c>
      <c r="O239" s="85">
        <v>4158700000</v>
      </c>
    </row>
    <row r="240" spans="1:15">
      <c r="A240" s="20">
        <v>45582</v>
      </c>
      <c r="B240" s="19">
        <v>8.630000114440918</v>
      </c>
      <c r="C240" s="19">
        <v>8.630000114440918</v>
      </c>
      <c r="D240" s="19">
        <v>8.2799997329711914</v>
      </c>
      <c r="E240" s="19">
        <v>8.369999885559082</v>
      </c>
      <c r="F240" s="19">
        <v>8.2130622863769531</v>
      </c>
      <c r="G240" s="19">
        <v>1634000</v>
      </c>
      <c r="I240" s="84">
        <v>45582</v>
      </c>
      <c r="J240" s="85">
        <v>20471.990234375</v>
      </c>
      <c r="K240" s="85">
        <v>20783.349609375</v>
      </c>
      <c r="L240" s="85">
        <v>19977.349609375</v>
      </c>
      <c r="M240" s="85">
        <v>20079.099609375</v>
      </c>
      <c r="N240" s="85">
        <v>20079.099609375</v>
      </c>
      <c r="O240" s="85">
        <v>3646900000</v>
      </c>
    </row>
    <row r="241" spans="1:15">
      <c r="A241" s="20">
        <v>45583</v>
      </c>
      <c r="B241" s="19">
        <v>8.369999885559082</v>
      </c>
      <c r="C241" s="19">
        <v>8.5</v>
      </c>
      <c r="D241" s="19">
        <v>8.3299999237060547</v>
      </c>
      <c r="E241" s="19">
        <v>8.5</v>
      </c>
      <c r="F241" s="19">
        <v>8.3406248092651367</v>
      </c>
      <c r="G241" s="19">
        <v>733457</v>
      </c>
      <c r="I241" s="84">
        <v>45583</v>
      </c>
      <c r="J241" s="85">
        <v>20106.650390625</v>
      </c>
      <c r="K241" s="85">
        <v>20952.990234375</v>
      </c>
      <c r="L241" s="85">
        <v>20058.669921875</v>
      </c>
      <c r="M241" s="85">
        <v>20804.109375</v>
      </c>
      <c r="N241" s="85">
        <v>20804.109375</v>
      </c>
      <c r="O241" s="85">
        <v>4586200000</v>
      </c>
    </row>
    <row r="242" spans="1:15">
      <c r="A242" s="20">
        <v>45586</v>
      </c>
      <c r="B242" s="19">
        <v>8.3900003433227539</v>
      </c>
      <c r="C242" s="19">
        <v>8.4799995422363281</v>
      </c>
      <c r="D242" s="19">
        <v>8.3000001907348633</v>
      </c>
      <c r="E242" s="19">
        <v>8.3000001907348633</v>
      </c>
      <c r="F242" s="19">
        <v>8.1443748474121094</v>
      </c>
      <c r="G242" s="19">
        <v>604000</v>
      </c>
      <c r="I242" s="84">
        <v>45586</v>
      </c>
      <c r="J242" s="85">
        <v>20730.94921875</v>
      </c>
      <c r="K242" s="85">
        <v>20845.5703125</v>
      </c>
      <c r="L242" s="85">
        <v>20423.08984375</v>
      </c>
      <c r="M242" s="85">
        <v>20478.4609375</v>
      </c>
      <c r="N242" s="85">
        <v>20478.4609375</v>
      </c>
      <c r="O242" s="85">
        <v>3775000000</v>
      </c>
    </row>
    <row r="243" spans="1:15">
      <c r="A243" s="20">
        <v>45587</v>
      </c>
      <c r="B243" s="19">
        <v>8.3000001907348633</v>
      </c>
      <c r="C243" s="19">
        <v>8.4099998474121094</v>
      </c>
      <c r="D243" s="19">
        <v>8.3000001907348633</v>
      </c>
      <c r="E243" s="19">
        <v>8.3000001907348633</v>
      </c>
      <c r="F243" s="19">
        <v>8.1443748474121094</v>
      </c>
      <c r="G243" s="19">
        <v>634000</v>
      </c>
      <c r="I243" s="84">
        <v>45587</v>
      </c>
      <c r="J243" s="85">
        <v>20433.490234375</v>
      </c>
      <c r="K243" s="85">
        <v>20629.48046875</v>
      </c>
      <c r="L243" s="85">
        <v>20380.0390625</v>
      </c>
      <c r="M243" s="85">
        <v>20498.94921875</v>
      </c>
      <c r="N243" s="85">
        <v>20498.94921875</v>
      </c>
      <c r="O243" s="85">
        <v>2556600000</v>
      </c>
    </row>
    <row r="244" spans="1:15">
      <c r="A244" s="20">
        <v>45588</v>
      </c>
      <c r="B244" s="19">
        <v>8.3299999237060547</v>
      </c>
      <c r="C244" s="19">
        <v>8.3900003433227539</v>
      </c>
      <c r="D244" s="19">
        <v>8.3000001907348633</v>
      </c>
      <c r="E244" s="19">
        <v>8.369999885559082</v>
      </c>
      <c r="F244" s="19">
        <v>8.2130622863769531</v>
      </c>
      <c r="G244" s="19">
        <v>300176</v>
      </c>
      <c r="I244" s="84">
        <v>45588</v>
      </c>
      <c r="J244" s="85">
        <v>20525.439453125</v>
      </c>
      <c r="K244" s="85">
        <v>20942.259765625</v>
      </c>
      <c r="L244" s="85">
        <v>20448.83984375</v>
      </c>
      <c r="M244" s="85">
        <v>20760.150390625</v>
      </c>
      <c r="N244" s="85">
        <v>20760.150390625</v>
      </c>
      <c r="O244" s="85">
        <v>3542000000</v>
      </c>
    </row>
    <row r="245" spans="1:15">
      <c r="A245" s="20">
        <v>45589</v>
      </c>
      <c r="B245" s="19">
        <v>8.3000001907348633</v>
      </c>
      <c r="C245" s="19">
        <v>8.3299999237060547</v>
      </c>
      <c r="D245" s="19">
        <v>8.2700004577636719</v>
      </c>
      <c r="E245" s="19">
        <v>8.2700004577636719</v>
      </c>
      <c r="F245" s="19">
        <v>8.1149377822875977</v>
      </c>
      <c r="G245" s="19">
        <v>594000</v>
      </c>
      <c r="I245" s="84">
        <v>45589</v>
      </c>
      <c r="J245" s="85">
        <v>20576.05078125</v>
      </c>
      <c r="K245" s="85">
        <v>20685.4609375</v>
      </c>
      <c r="L245" s="85">
        <v>20448.4609375</v>
      </c>
      <c r="M245" s="85">
        <v>20489.619140625</v>
      </c>
      <c r="N245" s="85">
        <v>20489.619140625</v>
      </c>
      <c r="O245" s="85">
        <v>2725600000</v>
      </c>
    </row>
    <row r="246" spans="1:15">
      <c r="A246" s="20">
        <v>45590</v>
      </c>
      <c r="B246" s="19">
        <v>8.2799997329711914</v>
      </c>
      <c r="C246" s="19">
        <v>8.4600000381469727</v>
      </c>
      <c r="D246" s="19">
        <v>8.2600002288818359</v>
      </c>
      <c r="E246" s="19">
        <v>8.4200000762939453</v>
      </c>
      <c r="F246" s="19">
        <v>8.2621250152587891</v>
      </c>
      <c r="G246" s="19">
        <v>707943</v>
      </c>
      <c r="I246" s="84">
        <v>45590</v>
      </c>
      <c r="J246" s="85">
        <v>20521.94921875</v>
      </c>
      <c r="K246" s="85">
        <v>20784.470703125</v>
      </c>
      <c r="L246" s="85">
        <v>20521.94921875</v>
      </c>
      <c r="M246" s="85">
        <v>20590.150390625</v>
      </c>
      <c r="N246" s="85">
        <v>20590.150390625</v>
      </c>
      <c r="O246" s="85">
        <v>2984600000</v>
      </c>
    </row>
    <row r="247" spans="1:15">
      <c r="A247" s="20">
        <v>45593</v>
      </c>
      <c r="B247" s="19">
        <v>8.3999996185302734</v>
      </c>
      <c r="C247" s="19">
        <v>8.5</v>
      </c>
      <c r="D247" s="19">
        <v>8.3999996185302734</v>
      </c>
      <c r="E247" s="19">
        <v>8.4300003051757812</v>
      </c>
      <c r="F247" s="19">
        <v>8.271937370300293</v>
      </c>
      <c r="G247" s="19">
        <v>472325</v>
      </c>
      <c r="I247" s="84">
        <v>45593</v>
      </c>
      <c r="J247" s="85">
        <v>20592.740234375</v>
      </c>
      <c r="K247" s="85">
        <v>20669.41015625</v>
      </c>
      <c r="L247" s="85">
        <v>20428.939453125</v>
      </c>
      <c r="M247" s="85">
        <v>20599.359375</v>
      </c>
      <c r="N247" s="85">
        <v>20599.359375</v>
      </c>
      <c r="O247" s="85">
        <v>2978600000</v>
      </c>
    </row>
    <row r="248" spans="1:15">
      <c r="A248" s="20">
        <v>45594</v>
      </c>
      <c r="B248" s="19">
        <v>8.4600000381469727</v>
      </c>
      <c r="C248" s="19">
        <v>8.5</v>
      </c>
      <c r="D248" s="19">
        <v>8.3000001907348633</v>
      </c>
      <c r="E248" s="19">
        <v>8.3599996566772461</v>
      </c>
      <c r="F248" s="19">
        <v>8.2032499313354492</v>
      </c>
      <c r="G248" s="19">
        <v>1020081</v>
      </c>
      <c r="I248" s="84">
        <v>45594</v>
      </c>
      <c r="J248" s="85">
        <v>20729.98046875</v>
      </c>
      <c r="K248" s="85">
        <v>20890.080078125</v>
      </c>
      <c r="L248" s="85">
        <v>20563.740234375</v>
      </c>
      <c r="M248" s="85">
        <v>20701.140625</v>
      </c>
      <c r="N248" s="85">
        <v>20701.140625</v>
      </c>
      <c r="O248" s="85">
        <v>3137700000</v>
      </c>
    </row>
    <row r="249" spans="1:15">
      <c r="A249" s="20">
        <v>45595</v>
      </c>
      <c r="B249" s="19">
        <v>8.3500003814697266</v>
      </c>
      <c r="C249" s="19">
        <v>8.3999996185302734</v>
      </c>
      <c r="D249" s="19">
        <v>8.25</v>
      </c>
      <c r="E249" s="19">
        <v>8.3199996948242188</v>
      </c>
      <c r="F249" s="86">
        <v>8.1639995574951172</v>
      </c>
      <c r="G249" s="19">
        <v>1976000</v>
      </c>
      <c r="I249" s="84">
        <v>45595</v>
      </c>
      <c r="J249" s="85">
        <v>20586.55078125</v>
      </c>
      <c r="K249" s="85">
        <v>20681.51953125</v>
      </c>
      <c r="L249" s="85">
        <v>20270.0703125</v>
      </c>
      <c r="M249" s="85">
        <v>20380.640625</v>
      </c>
      <c r="N249" s="85">
        <v>20380.640625</v>
      </c>
      <c r="O249" s="85">
        <v>3626500000</v>
      </c>
    </row>
  </sheetData>
  <phoneticPr fontId="3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59754-F96D-49E6-9177-2CBAE5BCABDA}">
  <sheetPr codeName="Sheet2"/>
  <dimension ref="A1:J445"/>
  <sheetViews>
    <sheetView showGridLines="0" zoomScale="85" zoomScaleNormal="85" workbookViewId="0">
      <pane xSplit="3" ySplit="14" topLeftCell="D407" activePane="bottomRight" state="frozen"/>
      <selection pane="topRight" activeCell="D1" sqref="D1"/>
      <selection pane="bottomLeft" activeCell="A15" sqref="A15"/>
      <selection pane="bottomRight" activeCell="G423" sqref="G423"/>
    </sheetView>
  </sheetViews>
  <sheetFormatPr baseColWidth="10" defaultColWidth="49.83203125" defaultRowHeight="13"/>
  <cols>
    <col min="1" max="1" width="6.5" style="103" customWidth="1"/>
    <col min="2" max="2" width="5.5" style="103" customWidth="1"/>
    <col min="3" max="3" width="6.6640625" style="103" customWidth="1"/>
    <col min="4" max="4" width="17" style="103" customWidth="1"/>
    <col min="5" max="5" width="15.83203125" style="103" customWidth="1"/>
    <col min="6" max="6" width="16.6640625" style="103" customWidth="1"/>
    <col min="7" max="7" width="16.83203125" style="103" customWidth="1"/>
    <col min="8" max="8" width="20.5" style="103" customWidth="1"/>
    <col min="9" max="9" width="7.5" style="103" customWidth="1"/>
    <col min="10" max="256" width="49.83203125" style="103"/>
    <col min="257" max="257" width="6.5" style="103" customWidth="1"/>
    <col min="258" max="258" width="5.5" style="103" customWidth="1"/>
    <col min="259" max="259" width="6.6640625" style="103" customWidth="1"/>
    <col min="260" max="260" width="17" style="103" customWidth="1"/>
    <col min="261" max="261" width="15.83203125" style="103" customWidth="1"/>
    <col min="262" max="262" width="16.6640625" style="103" customWidth="1"/>
    <col min="263" max="263" width="16.83203125" style="103" customWidth="1"/>
    <col min="264" max="264" width="20.5" style="103" customWidth="1"/>
    <col min="265" max="265" width="7.5" style="103" customWidth="1"/>
    <col min="266" max="512" width="49.83203125" style="103"/>
    <col min="513" max="513" width="6.5" style="103" customWidth="1"/>
    <col min="514" max="514" width="5.5" style="103" customWidth="1"/>
    <col min="515" max="515" width="6.6640625" style="103" customWidth="1"/>
    <col min="516" max="516" width="17" style="103" customWidth="1"/>
    <col min="517" max="517" width="15.83203125" style="103" customWidth="1"/>
    <col min="518" max="518" width="16.6640625" style="103" customWidth="1"/>
    <col min="519" max="519" width="16.83203125" style="103" customWidth="1"/>
    <col min="520" max="520" width="20.5" style="103" customWidth="1"/>
    <col min="521" max="521" width="7.5" style="103" customWidth="1"/>
    <col min="522" max="768" width="49.83203125" style="103"/>
    <col min="769" max="769" width="6.5" style="103" customWidth="1"/>
    <col min="770" max="770" width="5.5" style="103" customWidth="1"/>
    <col min="771" max="771" width="6.6640625" style="103" customWidth="1"/>
    <col min="772" max="772" width="17" style="103" customWidth="1"/>
    <col min="773" max="773" width="15.83203125" style="103" customWidth="1"/>
    <col min="774" max="774" width="16.6640625" style="103" customWidth="1"/>
    <col min="775" max="775" width="16.83203125" style="103" customWidth="1"/>
    <col min="776" max="776" width="20.5" style="103" customWidth="1"/>
    <col min="777" max="777" width="7.5" style="103" customWidth="1"/>
    <col min="778" max="1024" width="49.83203125" style="103"/>
    <col min="1025" max="1025" width="6.5" style="103" customWidth="1"/>
    <col min="1026" max="1026" width="5.5" style="103" customWidth="1"/>
    <col min="1027" max="1027" width="6.6640625" style="103" customWidth="1"/>
    <col min="1028" max="1028" width="17" style="103" customWidth="1"/>
    <col min="1029" max="1029" width="15.83203125" style="103" customWidth="1"/>
    <col min="1030" max="1030" width="16.6640625" style="103" customWidth="1"/>
    <col min="1031" max="1031" width="16.83203125" style="103" customWidth="1"/>
    <col min="1032" max="1032" width="20.5" style="103" customWidth="1"/>
    <col min="1033" max="1033" width="7.5" style="103" customWidth="1"/>
    <col min="1034" max="1280" width="49.83203125" style="103"/>
    <col min="1281" max="1281" width="6.5" style="103" customWidth="1"/>
    <col min="1282" max="1282" width="5.5" style="103" customWidth="1"/>
    <col min="1283" max="1283" width="6.6640625" style="103" customWidth="1"/>
    <col min="1284" max="1284" width="17" style="103" customWidth="1"/>
    <col min="1285" max="1285" width="15.83203125" style="103" customWidth="1"/>
    <col min="1286" max="1286" width="16.6640625" style="103" customWidth="1"/>
    <col min="1287" max="1287" width="16.83203125" style="103" customWidth="1"/>
    <col min="1288" max="1288" width="20.5" style="103" customWidth="1"/>
    <col min="1289" max="1289" width="7.5" style="103" customWidth="1"/>
    <col min="1290" max="1536" width="49.83203125" style="103"/>
    <col min="1537" max="1537" width="6.5" style="103" customWidth="1"/>
    <col min="1538" max="1538" width="5.5" style="103" customWidth="1"/>
    <col min="1539" max="1539" width="6.6640625" style="103" customWidth="1"/>
    <col min="1540" max="1540" width="17" style="103" customWidth="1"/>
    <col min="1541" max="1541" width="15.83203125" style="103" customWidth="1"/>
    <col min="1542" max="1542" width="16.6640625" style="103" customWidth="1"/>
    <col min="1543" max="1543" width="16.83203125" style="103" customWidth="1"/>
    <col min="1544" max="1544" width="20.5" style="103" customWidth="1"/>
    <col min="1545" max="1545" width="7.5" style="103" customWidth="1"/>
    <col min="1546" max="1792" width="49.83203125" style="103"/>
    <col min="1793" max="1793" width="6.5" style="103" customWidth="1"/>
    <col min="1794" max="1794" width="5.5" style="103" customWidth="1"/>
    <col min="1795" max="1795" width="6.6640625" style="103" customWidth="1"/>
    <col min="1796" max="1796" width="17" style="103" customWidth="1"/>
    <col min="1797" max="1797" width="15.83203125" style="103" customWidth="1"/>
    <col min="1798" max="1798" width="16.6640625" style="103" customWidth="1"/>
    <col min="1799" max="1799" width="16.83203125" style="103" customWidth="1"/>
    <col min="1800" max="1800" width="20.5" style="103" customWidth="1"/>
    <col min="1801" max="1801" width="7.5" style="103" customWidth="1"/>
    <col min="1802" max="2048" width="49.83203125" style="103"/>
    <col min="2049" max="2049" width="6.5" style="103" customWidth="1"/>
    <col min="2050" max="2050" width="5.5" style="103" customWidth="1"/>
    <col min="2051" max="2051" width="6.6640625" style="103" customWidth="1"/>
    <col min="2052" max="2052" width="17" style="103" customWidth="1"/>
    <col min="2053" max="2053" width="15.83203125" style="103" customWidth="1"/>
    <col min="2054" max="2054" width="16.6640625" style="103" customWidth="1"/>
    <col min="2055" max="2055" width="16.83203125" style="103" customWidth="1"/>
    <col min="2056" max="2056" width="20.5" style="103" customWidth="1"/>
    <col min="2057" max="2057" width="7.5" style="103" customWidth="1"/>
    <col min="2058" max="2304" width="49.83203125" style="103"/>
    <col min="2305" max="2305" width="6.5" style="103" customWidth="1"/>
    <col min="2306" max="2306" width="5.5" style="103" customWidth="1"/>
    <col min="2307" max="2307" width="6.6640625" style="103" customWidth="1"/>
    <col min="2308" max="2308" width="17" style="103" customWidth="1"/>
    <col min="2309" max="2309" width="15.83203125" style="103" customWidth="1"/>
    <col min="2310" max="2310" width="16.6640625" style="103" customWidth="1"/>
    <col min="2311" max="2311" width="16.83203125" style="103" customWidth="1"/>
    <col min="2312" max="2312" width="20.5" style="103" customWidth="1"/>
    <col min="2313" max="2313" width="7.5" style="103" customWidth="1"/>
    <col min="2314" max="2560" width="49.83203125" style="103"/>
    <col min="2561" max="2561" width="6.5" style="103" customWidth="1"/>
    <col min="2562" max="2562" width="5.5" style="103" customWidth="1"/>
    <col min="2563" max="2563" width="6.6640625" style="103" customWidth="1"/>
    <col min="2564" max="2564" width="17" style="103" customWidth="1"/>
    <col min="2565" max="2565" width="15.83203125" style="103" customWidth="1"/>
    <col min="2566" max="2566" width="16.6640625" style="103" customWidth="1"/>
    <col min="2567" max="2567" width="16.83203125" style="103" customWidth="1"/>
    <col min="2568" max="2568" width="20.5" style="103" customWidth="1"/>
    <col min="2569" max="2569" width="7.5" style="103" customWidth="1"/>
    <col min="2570" max="2816" width="49.83203125" style="103"/>
    <col min="2817" max="2817" width="6.5" style="103" customWidth="1"/>
    <col min="2818" max="2818" width="5.5" style="103" customWidth="1"/>
    <col min="2819" max="2819" width="6.6640625" style="103" customWidth="1"/>
    <col min="2820" max="2820" width="17" style="103" customWidth="1"/>
    <col min="2821" max="2821" width="15.83203125" style="103" customWidth="1"/>
    <col min="2822" max="2822" width="16.6640625" style="103" customWidth="1"/>
    <col min="2823" max="2823" width="16.83203125" style="103" customWidth="1"/>
    <col min="2824" max="2824" width="20.5" style="103" customWidth="1"/>
    <col min="2825" max="2825" width="7.5" style="103" customWidth="1"/>
    <col min="2826" max="3072" width="49.83203125" style="103"/>
    <col min="3073" max="3073" width="6.5" style="103" customWidth="1"/>
    <col min="3074" max="3074" width="5.5" style="103" customWidth="1"/>
    <col min="3075" max="3075" width="6.6640625" style="103" customWidth="1"/>
    <col min="3076" max="3076" width="17" style="103" customWidth="1"/>
    <col min="3077" max="3077" width="15.83203125" style="103" customWidth="1"/>
    <col min="3078" max="3078" width="16.6640625" style="103" customWidth="1"/>
    <col min="3079" max="3079" width="16.83203125" style="103" customWidth="1"/>
    <col min="3080" max="3080" width="20.5" style="103" customWidth="1"/>
    <col min="3081" max="3081" width="7.5" style="103" customWidth="1"/>
    <col min="3082" max="3328" width="49.83203125" style="103"/>
    <col min="3329" max="3329" width="6.5" style="103" customWidth="1"/>
    <col min="3330" max="3330" width="5.5" style="103" customWidth="1"/>
    <col min="3331" max="3331" width="6.6640625" style="103" customWidth="1"/>
    <col min="3332" max="3332" width="17" style="103" customWidth="1"/>
    <col min="3333" max="3333" width="15.83203125" style="103" customWidth="1"/>
    <col min="3334" max="3334" width="16.6640625" style="103" customWidth="1"/>
    <col min="3335" max="3335" width="16.83203125" style="103" customWidth="1"/>
    <col min="3336" max="3336" width="20.5" style="103" customWidth="1"/>
    <col min="3337" max="3337" width="7.5" style="103" customWidth="1"/>
    <col min="3338" max="3584" width="49.83203125" style="103"/>
    <col min="3585" max="3585" width="6.5" style="103" customWidth="1"/>
    <col min="3586" max="3586" width="5.5" style="103" customWidth="1"/>
    <col min="3587" max="3587" width="6.6640625" style="103" customWidth="1"/>
    <col min="3588" max="3588" width="17" style="103" customWidth="1"/>
    <col min="3589" max="3589" width="15.83203125" style="103" customWidth="1"/>
    <col min="3590" max="3590" width="16.6640625" style="103" customWidth="1"/>
    <col min="3591" max="3591" width="16.83203125" style="103" customWidth="1"/>
    <col min="3592" max="3592" width="20.5" style="103" customWidth="1"/>
    <col min="3593" max="3593" width="7.5" style="103" customWidth="1"/>
    <col min="3594" max="3840" width="49.83203125" style="103"/>
    <col min="3841" max="3841" width="6.5" style="103" customWidth="1"/>
    <col min="3842" max="3842" width="5.5" style="103" customWidth="1"/>
    <col min="3843" max="3843" width="6.6640625" style="103" customWidth="1"/>
    <col min="3844" max="3844" width="17" style="103" customWidth="1"/>
    <col min="3845" max="3845" width="15.83203125" style="103" customWidth="1"/>
    <col min="3846" max="3846" width="16.6640625" style="103" customWidth="1"/>
    <col min="3847" max="3847" width="16.83203125" style="103" customWidth="1"/>
    <col min="3848" max="3848" width="20.5" style="103" customWidth="1"/>
    <col min="3849" max="3849" width="7.5" style="103" customWidth="1"/>
    <col min="3850" max="4096" width="49.83203125" style="103"/>
    <col min="4097" max="4097" width="6.5" style="103" customWidth="1"/>
    <col min="4098" max="4098" width="5.5" style="103" customWidth="1"/>
    <col min="4099" max="4099" width="6.6640625" style="103" customWidth="1"/>
    <col min="4100" max="4100" width="17" style="103" customWidth="1"/>
    <col min="4101" max="4101" width="15.83203125" style="103" customWidth="1"/>
    <col min="4102" max="4102" width="16.6640625" style="103" customWidth="1"/>
    <col min="4103" max="4103" width="16.83203125" style="103" customWidth="1"/>
    <col min="4104" max="4104" width="20.5" style="103" customWidth="1"/>
    <col min="4105" max="4105" width="7.5" style="103" customWidth="1"/>
    <col min="4106" max="4352" width="49.83203125" style="103"/>
    <col min="4353" max="4353" width="6.5" style="103" customWidth="1"/>
    <col min="4354" max="4354" width="5.5" style="103" customWidth="1"/>
    <col min="4355" max="4355" width="6.6640625" style="103" customWidth="1"/>
    <col min="4356" max="4356" width="17" style="103" customWidth="1"/>
    <col min="4357" max="4357" width="15.83203125" style="103" customWidth="1"/>
    <col min="4358" max="4358" width="16.6640625" style="103" customWidth="1"/>
    <col min="4359" max="4359" width="16.83203125" style="103" customWidth="1"/>
    <col min="4360" max="4360" width="20.5" style="103" customWidth="1"/>
    <col min="4361" max="4361" width="7.5" style="103" customWidth="1"/>
    <col min="4362" max="4608" width="49.83203125" style="103"/>
    <col min="4609" max="4609" width="6.5" style="103" customWidth="1"/>
    <col min="4610" max="4610" width="5.5" style="103" customWidth="1"/>
    <col min="4611" max="4611" width="6.6640625" style="103" customWidth="1"/>
    <col min="4612" max="4612" width="17" style="103" customWidth="1"/>
    <col min="4613" max="4613" width="15.83203125" style="103" customWidth="1"/>
    <col min="4614" max="4614" width="16.6640625" style="103" customWidth="1"/>
    <col min="4615" max="4615" width="16.83203125" style="103" customWidth="1"/>
    <col min="4616" max="4616" width="20.5" style="103" customWidth="1"/>
    <col min="4617" max="4617" width="7.5" style="103" customWidth="1"/>
    <col min="4618" max="4864" width="49.83203125" style="103"/>
    <col min="4865" max="4865" width="6.5" style="103" customWidth="1"/>
    <col min="4866" max="4866" width="5.5" style="103" customWidth="1"/>
    <col min="4867" max="4867" width="6.6640625" style="103" customWidth="1"/>
    <col min="4868" max="4868" width="17" style="103" customWidth="1"/>
    <col min="4869" max="4869" width="15.83203125" style="103" customWidth="1"/>
    <col min="4870" max="4870" width="16.6640625" style="103" customWidth="1"/>
    <col min="4871" max="4871" width="16.83203125" style="103" customWidth="1"/>
    <col min="4872" max="4872" width="20.5" style="103" customWidth="1"/>
    <col min="4873" max="4873" width="7.5" style="103" customWidth="1"/>
    <col min="4874" max="5120" width="49.83203125" style="103"/>
    <col min="5121" max="5121" width="6.5" style="103" customWidth="1"/>
    <col min="5122" max="5122" width="5.5" style="103" customWidth="1"/>
    <col min="5123" max="5123" width="6.6640625" style="103" customWidth="1"/>
    <col min="5124" max="5124" width="17" style="103" customWidth="1"/>
    <col min="5125" max="5125" width="15.83203125" style="103" customWidth="1"/>
    <col min="5126" max="5126" width="16.6640625" style="103" customWidth="1"/>
    <col min="5127" max="5127" width="16.83203125" style="103" customWidth="1"/>
    <col min="5128" max="5128" width="20.5" style="103" customWidth="1"/>
    <col min="5129" max="5129" width="7.5" style="103" customWidth="1"/>
    <col min="5130" max="5376" width="49.83203125" style="103"/>
    <col min="5377" max="5377" width="6.5" style="103" customWidth="1"/>
    <col min="5378" max="5378" width="5.5" style="103" customWidth="1"/>
    <col min="5379" max="5379" width="6.6640625" style="103" customWidth="1"/>
    <col min="5380" max="5380" width="17" style="103" customWidth="1"/>
    <col min="5381" max="5381" width="15.83203125" style="103" customWidth="1"/>
    <col min="5382" max="5382" width="16.6640625" style="103" customWidth="1"/>
    <col min="5383" max="5383" width="16.83203125" style="103" customWidth="1"/>
    <col min="5384" max="5384" width="20.5" style="103" customWidth="1"/>
    <col min="5385" max="5385" width="7.5" style="103" customWidth="1"/>
    <col min="5386" max="5632" width="49.83203125" style="103"/>
    <col min="5633" max="5633" width="6.5" style="103" customWidth="1"/>
    <col min="5634" max="5634" width="5.5" style="103" customWidth="1"/>
    <col min="5635" max="5635" width="6.6640625" style="103" customWidth="1"/>
    <col min="5636" max="5636" width="17" style="103" customWidth="1"/>
    <col min="5637" max="5637" width="15.83203125" style="103" customWidth="1"/>
    <col min="5638" max="5638" width="16.6640625" style="103" customWidth="1"/>
    <col min="5639" max="5639" width="16.83203125" style="103" customWidth="1"/>
    <col min="5640" max="5640" width="20.5" style="103" customWidth="1"/>
    <col min="5641" max="5641" width="7.5" style="103" customWidth="1"/>
    <col min="5642" max="5888" width="49.83203125" style="103"/>
    <col min="5889" max="5889" width="6.5" style="103" customWidth="1"/>
    <col min="5890" max="5890" width="5.5" style="103" customWidth="1"/>
    <col min="5891" max="5891" width="6.6640625" style="103" customWidth="1"/>
    <col min="5892" max="5892" width="17" style="103" customWidth="1"/>
    <col min="5893" max="5893" width="15.83203125" style="103" customWidth="1"/>
    <col min="5894" max="5894" width="16.6640625" style="103" customWidth="1"/>
    <col min="5895" max="5895" width="16.83203125" style="103" customWidth="1"/>
    <col min="5896" max="5896" width="20.5" style="103" customWidth="1"/>
    <col min="5897" max="5897" width="7.5" style="103" customWidth="1"/>
    <col min="5898" max="6144" width="49.83203125" style="103"/>
    <col min="6145" max="6145" width="6.5" style="103" customWidth="1"/>
    <col min="6146" max="6146" width="5.5" style="103" customWidth="1"/>
    <col min="6147" max="6147" width="6.6640625" style="103" customWidth="1"/>
    <col min="6148" max="6148" width="17" style="103" customWidth="1"/>
    <col min="6149" max="6149" width="15.83203125" style="103" customWidth="1"/>
    <col min="6150" max="6150" width="16.6640625" style="103" customWidth="1"/>
    <col min="6151" max="6151" width="16.83203125" style="103" customWidth="1"/>
    <col min="6152" max="6152" width="20.5" style="103" customWidth="1"/>
    <col min="6153" max="6153" width="7.5" style="103" customWidth="1"/>
    <col min="6154" max="6400" width="49.83203125" style="103"/>
    <col min="6401" max="6401" width="6.5" style="103" customWidth="1"/>
    <col min="6402" max="6402" width="5.5" style="103" customWidth="1"/>
    <col min="6403" max="6403" width="6.6640625" style="103" customWidth="1"/>
    <col min="6404" max="6404" width="17" style="103" customWidth="1"/>
    <col min="6405" max="6405" width="15.83203125" style="103" customWidth="1"/>
    <col min="6406" max="6406" width="16.6640625" style="103" customWidth="1"/>
    <col min="6407" max="6407" width="16.83203125" style="103" customWidth="1"/>
    <col min="6408" max="6408" width="20.5" style="103" customWidth="1"/>
    <col min="6409" max="6409" width="7.5" style="103" customWidth="1"/>
    <col min="6410" max="6656" width="49.83203125" style="103"/>
    <col min="6657" max="6657" width="6.5" style="103" customWidth="1"/>
    <col min="6658" max="6658" width="5.5" style="103" customWidth="1"/>
    <col min="6659" max="6659" width="6.6640625" style="103" customWidth="1"/>
    <col min="6660" max="6660" width="17" style="103" customWidth="1"/>
    <col min="6661" max="6661" width="15.83203125" style="103" customWidth="1"/>
    <col min="6662" max="6662" width="16.6640625" style="103" customWidth="1"/>
    <col min="6663" max="6663" width="16.83203125" style="103" customWidth="1"/>
    <col min="6664" max="6664" width="20.5" style="103" customWidth="1"/>
    <col min="6665" max="6665" width="7.5" style="103" customWidth="1"/>
    <col min="6666" max="6912" width="49.83203125" style="103"/>
    <col min="6913" max="6913" width="6.5" style="103" customWidth="1"/>
    <col min="6914" max="6914" width="5.5" style="103" customWidth="1"/>
    <col min="6915" max="6915" width="6.6640625" style="103" customWidth="1"/>
    <col min="6916" max="6916" width="17" style="103" customWidth="1"/>
    <col min="6917" max="6917" width="15.83203125" style="103" customWidth="1"/>
    <col min="6918" max="6918" width="16.6640625" style="103" customWidth="1"/>
    <col min="6919" max="6919" width="16.83203125" style="103" customWidth="1"/>
    <col min="6920" max="6920" width="20.5" style="103" customWidth="1"/>
    <col min="6921" max="6921" width="7.5" style="103" customWidth="1"/>
    <col min="6922" max="7168" width="49.83203125" style="103"/>
    <col min="7169" max="7169" width="6.5" style="103" customWidth="1"/>
    <col min="7170" max="7170" width="5.5" style="103" customWidth="1"/>
    <col min="7171" max="7171" width="6.6640625" style="103" customWidth="1"/>
    <col min="7172" max="7172" width="17" style="103" customWidth="1"/>
    <col min="7173" max="7173" width="15.83203125" style="103" customWidth="1"/>
    <col min="7174" max="7174" width="16.6640625" style="103" customWidth="1"/>
    <col min="7175" max="7175" width="16.83203125" style="103" customWidth="1"/>
    <col min="7176" max="7176" width="20.5" style="103" customWidth="1"/>
    <col min="7177" max="7177" width="7.5" style="103" customWidth="1"/>
    <col min="7178" max="7424" width="49.83203125" style="103"/>
    <col min="7425" max="7425" width="6.5" style="103" customWidth="1"/>
    <col min="7426" max="7426" width="5.5" style="103" customWidth="1"/>
    <col min="7427" max="7427" width="6.6640625" style="103" customWidth="1"/>
    <col min="7428" max="7428" width="17" style="103" customWidth="1"/>
    <col min="7429" max="7429" width="15.83203125" style="103" customWidth="1"/>
    <col min="7430" max="7430" width="16.6640625" style="103" customWidth="1"/>
    <col min="7431" max="7431" width="16.83203125" style="103" customWidth="1"/>
    <col min="7432" max="7432" width="20.5" style="103" customWidth="1"/>
    <col min="7433" max="7433" width="7.5" style="103" customWidth="1"/>
    <col min="7434" max="7680" width="49.83203125" style="103"/>
    <col min="7681" max="7681" width="6.5" style="103" customWidth="1"/>
    <col min="7682" max="7682" width="5.5" style="103" customWidth="1"/>
    <col min="7683" max="7683" width="6.6640625" style="103" customWidth="1"/>
    <col min="7684" max="7684" width="17" style="103" customWidth="1"/>
    <col min="7685" max="7685" width="15.83203125" style="103" customWidth="1"/>
    <col min="7686" max="7686" width="16.6640625" style="103" customWidth="1"/>
    <col min="7687" max="7687" width="16.83203125" style="103" customWidth="1"/>
    <col min="7688" max="7688" width="20.5" style="103" customWidth="1"/>
    <col min="7689" max="7689" width="7.5" style="103" customWidth="1"/>
    <col min="7690" max="7936" width="49.83203125" style="103"/>
    <col min="7937" max="7937" width="6.5" style="103" customWidth="1"/>
    <col min="7938" max="7938" width="5.5" style="103" customWidth="1"/>
    <col min="7939" max="7939" width="6.6640625" style="103" customWidth="1"/>
    <col min="7940" max="7940" width="17" style="103" customWidth="1"/>
    <col min="7941" max="7941" width="15.83203125" style="103" customWidth="1"/>
    <col min="7942" max="7942" width="16.6640625" style="103" customWidth="1"/>
    <col min="7943" max="7943" width="16.83203125" style="103" customWidth="1"/>
    <col min="7944" max="7944" width="20.5" style="103" customWidth="1"/>
    <col min="7945" max="7945" width="7.5" style="103" customWidth="1"/>
    <col min="7946" max="8192" width="49.83203125" style="103"/>
    <col min="8193" max="8193" width="6.5" style="103" customWidth="1"/>
    <col min="8194" max="8194" width="5.5" style="103" customWidth="1"/>
    <col min="8195" max="8195" width="6.6640625" style="103" customWidth="1"/>
    <col min="8196" max="8196" width="17" style="103" customWidth="1"/>
    <col min="8197" max="8197" width="15.83203125" style="103" customWidth="1"/>
    <col min="8198" max="8198" width="16.6640625" style="103" customWidth="1"/>
    <col min="8199" max="8199" width="16.83203125" style="103" customWidth="1"/>
    <col min="8200" max="8200" width="20.5" style="103" customWidth="1"/>
    <col min="8201" max="8201" width="7.5" style="103" customWidth="1"/>
    <col min="8202" max="8448" width="49.83203125" style="103"/>
    <col min="8449" max="8449" width="6.5" style="103" customWidth="1"/>
    <col min="8450" max="8450" width="5.5" style="103" customWidth="1"/>
    <col min="8451" max="8451" width="6.6640625" style="103" customWidth="1"/>
    <col min="8452" max="8452" width="17" style="103" customWidth="1"/>
    <col min="8453" max="8453" width="15.83203125" style="103" customWidth="1"/>
    <col min="8454" max="8454" width="16.6640625" style="103" customWidth="1"/>
    <col min="8455" max="8455" width="16.83203125" style="103" customWidth="1"/>
    <col min="8456" max="8456" width="20.5" style="103" customWidth="1"/>
    <col min="8457" max="8457" width="7.5" style="103" customWidth="1"/>
    <col min="8458" max="8704" width="49.83203125" style="103"/>
    <col min="8705" max="8705" width="6.5" style="103" customWidth="1"/>
    <col min="8706" max="8706" width="5.5" style="103" customWidth="1"/>
    <col min="8707" max="8707" width="6.6640625" style="103" customWidth="1"/>
    <col min="8708" max="8708" width="17" style="103" customWidth="1"/>
    <col min="8709" max="8709" width="15.83203125" style="103" customWidth="1"/>
    <col min="8710" max="8710" width="16.6640625" style="103" customWidth="1"/>
    <col min="8711" max="8711" width="16.83203125" style="103" customWidth="1"/>
    <col min="8712" max="8712" width="20.5" style="103" customWidth="1"/>
    <col min="8713" max="8713" width="7.5" style="103" customWidth="1"/>
    <col min="8714" max="8960" width="49.83203125" style="103"/>
    <col min="8961" max="8961" width="6.5" style="103" customWidth="1"/>
    <col min="8962" max="8962" width="5.5" style="103" customWidth="1"/>
    <col min="8963" max="8963" width="6.6640625" style="103" customWidth="1"/>
    <col min="8964" max="8964" width="17" style="103" customWidth="1"/>
    <col min="8965" max="8965" width="15.83203125" style="103" customWidth="1"/>
    <col min="8966" max="8966" width="16.6640625" style="103" customWidth="1"/>
    <col min="8967" max="8967" width="16.83203125" style="103" customWidth="1"/>
    <col min="8968" max="8968" width="20.5" style="103" customWidth="1"/>
    <col min="8969" max="8969" width="7.5" style="103" customWidth="1"/>
    <col min="8970" max="9216" width="49.83203125" style="103"/>
    <col min="9217" max="9217" width="6.5" style="103" customWidth="1"/>
    <col min="9218" max="9218" width="5.5" style="103" customWidth="1"/>
    <col min="9219" max="9219" width="6.6640625" style="103" customWidth="1"/>
    <col min="9220" max="9220" width="17" style="103" customWidth="1"/>
    <col min="9221" max="9221" width="15.83203125" style="103" customWidth="1"/>
    <col min="9222" max="9222" width="16.6640625" style="103" customWidth="1"/>
    <col min="9223" max="9223" width="16.83203125" style="103" customWidth="1"/>
    <col min="9224" max="9224" width="20.5" style="103" customWidth="1"/>
    <col min="9225" max="9225" width="7.5" style="103" customWidth="1"/>
    <col min="9226" max="9472" width="49.83203125" style="103"/>
    <col min="9473" max="9473" width="6.5" style="103" customWidth="1"/>
    <col min="9474" max="9474" width="5.5" style="103" customWidth="1"/>
    <col min="9475" max="9475" width="6.6640625" style="103" customWidth="1"/>
    <col min="9476" max="9476" width="17" style="103" customWidth="1"/>
    <col min="9477" max="9477" width="15.83203125" style="103" customWidth="1"/>
    <col min="9478" max="9478" width="16.6640625" style="103" customWidth="1"/>
    <col min="9479" max="9479" width="16.83203125" style="103" customWidth="1"/>
    <col min="9480" max="9480" width="20.5" style="103" customWidth="1"/>
    <col min="9481" max="9481" width="7.5" style="103" customWidth="1"/>
    <col min="9482" max="9728" width="49.83203125" style="103"/>
    <col min="9729" max="9729" width="6.5" style="103" customWidth="1"/>
    <col min="9730" max="9730" width="5.5" style="103" customWidth="1"/>
    <col min="9731" max="9731" width="6.6640625" style="103" customWidth="1"/>
    <col min="9732" max="9732" width="17" style="103" customWidth="1"/>
    <col min="9733" max="9733" width="15.83203125" style="103" customWidth="1"/>
    <col min="9734" max="9734" width="16.6640625" style="103" customWidth="1"/>
    <col min="9735" max="9735" width="16.83203125" style="103" customWidth="1"/>
    <col min="9736" max="9736" width="20.5" style="103" customWidth="1"/>
    <col min="9737" max="9737" width="7.5" style="103" customWidth="1"/>
    <col min="9738" max="9984" width="49.83203125" style="103"/>
    <col min="9985" max="9985" width="6.5" style="103" customWidth="1"/>
    <col min="9986" max="9986" width="5.5" style="103" customWidth="1"/>
    <col min="9987" max="9987" width="6.6640625" style="103" customWidth="1"/>
    <col min="9988" max="9988" width="17" style="103" customWidth="1"/>
    <col min="9989" max="9989" width="15.83203125" style="103" customWidth="1"/>
    <col min="9990" max="9990" width="16.6640625" style="103" customWidth="1"/>
    <col min="9991" max="9991" width="16.83203125" style="103" customWidth="1"/>
    <col min="9992" max="9992" width="20.5" style="103" customWidth="1"/>
    <col min="9993" max="9993" width="7.5" style="103" customWidth="1"/>
    <col min="9994" max="10240" width="49.83203125" style="103"/>
    <col min="10241" max="10241" width="6.5" style="103" customWidth="1"/>
    <col min="10242" max="10242" width="5.5" style="103" customWidth="1"/>
    <col min="10243" max="10243" width="6.6640625" style="103" customWidth="1"/>
    <col min="10244" max="10244" width="17" style="103" customWidth="1"/>
    <col min="10245" max="10245" width="15.83203125" style="103" customWidth="1"/>
    <col min="10246" max="10246" width="16.6640625" style="103" customWidth="1"/>
    <col min="10247" max="10247" width="16.83203125" style="103" customWidth="1"/>
    <col min="10248" max="10248" width="20.5" style="103" customWidth="1"/>
    <col min="10249" max="10249" width="7.5" style="103" customWidth="1"/>
    <col min="10250" max="10496" width="49.83203125" style="103"/>
    <col min="10497" max="10497" width="6.5" style="103" customWidth="1"/>
    <col min="10498" max="10498" width="5.5" style="103" customWidth="1"/>
    <col min="10499" max="10499" width="6.6640625" style="103" customWidth="1"/>
    <col min="10500" max="10500" width="17" style="103" customWidth="1"/>
    <col min="10501" max="10501" width="15.83203125" style="103" customWidth="1"/>
    <col min="10502" max="10502" width="16.6640625" style="103" customWidth="1"/>
    <col min="10503" max="10503" width="16.83203125" style="103" customWidth="1"/>
    <col min="10504" max="10504" width="20.5" style="103" customWidth="1"/>
    <col min="10505" max="10505" width="7.5" style="103" customWidth="1"/>
    <col min="10506" max="10752" width="49.83203125" style="103"/>
    <col min="10753" max="10753" width="6.5" style="103" customWidth="1"/>
    <col min="10754" max="10754" width="5.5" style="103" customWidth="1"/>
    <col min="10755" max="10755" width="6.6640625" style="103" customWidth="1"/>
    <col min="10756" max="10756" width="17" style="103" customWidth="1"/>
    <col min="10757" max="10757" width="15.83203125" style="103" customWidth="1"/>
    <col min="10758" max="10758" width="16.6640625" style="103" customWidth="1"/>
    <col min="10759" max="10759" width="16.83203125" style="103" customWidth="1"/>
    <col min="10760" max="10760" width="20.5" style="103" customWidth="1"/>
    <col min="10761" max="10761" width="7.5" style="103" customWidth="1"/>
    <col min="10762" max="11008" width="49.83203125" style="103"/>
    <col min="11009" max="11009" width="6.5" style="103" customWidth="1"/>
    <col min="11010" max="11010" width="5.5" style="103" customWidth="1"/>
    <col min="11011" max="11011" width="6.6640625" style="103" customWidth="1"/>
    <col min="11012" max="11012" width="17" style="103" customWidth="1"/>
    <col min="11013" max="11013" width="15.83203125" style="103" customWidth="1"/>
    <col min="11014" max="11014" width="16.6640625" style="103" customWidth="1"/>
    <col min="11015" max="11015" width="16.83203125" style="103" customWidth="1"/>
    <col min="11016" max="11016" width="20.5" style="103" customWidth="1"/>
    <col min="11017" max="11017" width="7.5" style="103" customWidth="1"/>
    <col min="11018" max="11264" width="49.83203125" style="103"/>
    <col min="11265" max="11265" width="6.5" style="103" customWidth="1"/>
    <col min="11266" max="11266" width="5.5" style="103" customWidth="1"/>
    <col min="11267" max="11267" width="6.6640625" style="103" customWidth="1"/>
    <col min="11268" max="11268" width="17" style="103" customWidth="1"/>
    <col min="11269" max="11269" width="15.83203125" style="103" customWidth="1"/>
    <col min="11270" max="11270" width="16.6640625" style="103" customWidth="1"/>
    <col min="11271" max="11271" width="16.83203125" style="103" customWidth="1"/>
    <col min="11272" max="11272" width="20.5" style="103" customWidth="1"/>
    <col min="11273" max="11273" width="7.5" style="103" customWidth="1"/>
    <col min="11274" max="11520" width="49.83203125" style="103"/>
    <col min="11521" max="11521" width="6.5" style="103" customWidth="1"/>
    <col min="11522" max="11522" width="5.5" style="103" customWidth="1"/>
    <col min="11523" max="11523" width="6.6640625" style="103" customWidth="1"/>
    <col min="11524" max="11524" width="17" style="103" customWidth="1"/>
    <col min="11525" max="11525" width="15.83203125" style="103" customWidth="1"/>
    <col min="11526" max="11526" width="16.6640625" style="103" customWidth="1"/>
    <col min="11527" max="11527" width="16.83203125" style="103" customWidth="1"/>
    <col min="11528" max="11528" width="20.5" style="103" customWidth="1"/>
    <col min="11529" max="11529" width="7.5" style="103" customWidth="1"/>
    <col min="11530" max="11776" width="49.83203125" style="103"/>
    <col min="11777" max="11777" width="6.5" style="103" customWidth="1"/>
    <col min="11778" max="11778" width="5.5" style="103" customWidth="1"/>
    <col min="11779" max="11779" width="6.6640625" style="103" customWidth="1"/>
    <col min="11780" max="11780" width="17" style="103" customWidth="1"/>
    <col min="11781" max="11781" width="15.83203125" style="103" customWidth="1"/>
    <col min="11782" max="11782" width="16.6640625" style="103" customWidth="1"/>
    <col min="11783" max="11783" width="16.83203125" style="103" customWidth="1"/>
    <col min="11784" max="11784" width="20.5" style="103" customWidth="1"/>
    <col min="11785" max="11785" width="7.5" style="103" customWidth="1"/>
    <col min="11786" max="12032" width="49.83203125" style="103"/>
    <col min="12033" max="12033" width="6.5" style="103" customWidth="1"/>
    <col min="12034" max="12034" width="5.5" style="103" customWidth="1"/>
    <col min="12035" max="12035" width="6.6640625" style="103" customWidth="1"/>
    <col min="12036" max="12036" width="17" style="103" customWidth="1"/>
    <col min="12037" max="12037" width="15.83203125" style="103" customWidth="1"/>
    <col min="12038" max="12038" width="16.6640625" style="103" customWidth="1"/>
    <col min="12039" max="12039" width="16.83203125" style="103" customWidth="1"/>
    <col min="12040" max="12040" width="20.5" style="103" customWidth="1"/>
    <col min="12041" max="12041" width="7.5" style="103" customWidth="1"/>
    <col min="12042" max="12288" width="49.83203125" style="103"/>
    <col min="12289" max="12289" width="6.5" style="103" customWidth="1"/>
    <col min="12290" max="12290" width="5.5" style="103" customWidth="1"/>
    <col min="12291" max="12291" width="6.6640625" style="103" customWidth="1"/>
    <col min="12292" max="12292" width="17" style="103" customWidth="1"/>
    <col min="12293" max="12293" width="15.83203125" style="103" customWidth="1"/>
    <col min="12294" max="12294" width="16.6640625" style="103" customWidth="1"/>
    <col min="12295" max="12295" width="16.83203125" style="103" customWidth="1"/>
    <col min="12296" max="12296" width="20.5" style="103" customWidth="1"/>
    <col min="12297" max="12297" width="7.5" style="103" customWidth="1"/>
    <col min="12298" max="12544" width="49.83203125" style="103"/>
    <col min="12545" max="12545" width="6.5" style="103" customWidth="1"/>
    <col min="12546" max="12546" width="5.5" style="103" customWidth="1"/>
    <col min="12547" max="12547" width="6.6640625" style="103" customWidth="1"/>
    <col min="12548" max="12548" width="17" style="103" customWidth="1"/>
    <col min="12549" max="12549" width="15.83203125" style="103" customWidth="1"/>
    <col min="12550" max="12550" width="16.6640625" style="103" customWidth="1"/>
    <col min="12551" max="12551" width="16.83203125" style="103" customWidth="1"/>
    <col min="12552" max="12552" width="20.5" style="103" customWidth="1"/>
    <col min="12553" max="12553" width="7.5" style="103" customWidth="1"/>
    <col min="12554" max="12800" width="49.83203125" style="103"/>
    <col min="12801" max="12801" width="6.5" style="103" customWidth="1"/>
    <col min="12802" max="12802" width="5.5" style="103" customWidth="1"/>
    <col min="12803" max="12803" width="6.6640625" style="103" customWidth="1"/>
    <col min="12804" max="12804" width="17" style="103" customWidth="1"/>
    <col min="12805" max="12805" width="15.83203125" style="103" customWidth="1"/>
    <col min="12806" max="12806" width="16.6640625" style="103" customWidth="1"/>
    <col min="12807" max="12807" width="16.83203125" style="103" customWidth="1"/>
    <col min="12808" max="12808" width="20.5" style="103" customWidth="1"/>
    <col min="12809" max="12809" width="7.5" style="103" customWidth="1"/>
    <col min="12810" max="13056" width="49.83203125" style="103"/>
    <col min="13057" max="13057" width="6.5" style="103" customWidth="1"/>
    <col min="13058" max="13058" width="5.5" style="103" customWidth="1"/>
    <col min="13059" max="13059" width="6.6640625" style="103" customWidth="1"/>
    <col min="13060" max="13060" width="17" style="103" customWidth="1"/>
    <col min="13061" max="13061" width="15.83203125" style="103" customWidth="1"/>
    <col min="13062" max="13062" width="16.6640625" style="103" customWidth="1"/>
    <col min="13063" max="13063" width="16.83203125" style="103" customWidth="1"/>
    <col min="13064" max="13064" width="20.5" style="103" customWidth="1"/>
    <col min="13065" max="13065" width="7.5" style="103" customWidth="1"/>
    <col min="13066" max="13312" width="49.83203125" style="103"/>
    <col min="13313" max="13313" width="6.5" style="103" customWidth="1"/>
    <col min="13314" max="13314" width="5.5" style="103" customWidth="1"/>
    <col min="13315" max="13315" width="6.6640625" style="103" customWidth="1"/>
    <col min="13316" max="13316" width="17" style="103" customWidth="1"/>
    <col min="13317" max="13317" width="15.83203125" style="103" customWidth="1"/>
    <col min="13318" max="13318" width="16.6640625" style="103" customWidth="1"/>
    <col min="13319" max="13319" width="16.83203125" style="103" customWidth="1"/>
    <col min="13320" max="13320" width="20.5" style="103" customWidth="1"/>
    <col min="13321" max="13321" width="7.5" style="103" customWidth="1"/>
    <col min="13322" max="13568" width="49.83203125" style="103"/>
    <col min="13569" max="13569" width="6.5" style="103" customWidth="1"/>
    <col min="13570" max="13570" width="5.5" style="103" customWidth="1"/>
    <col min="13571" max="13571" width="6.6640625" style="103" customWidth="1"/>
    <col min="13572" max="13572" width="17" style="103" customWidth="1"/>
    <col min="13573" max="13573" width="15.83203125" style="103" customWidth="1"/>
    <col min="13574" max="13574" width="16.6640625" style="103" customWidth="1"/>
    <col min="13575" max="13575" width="16.83203125" style="103" customWidth="1"/>
    <col min="13576" max="13576" width="20.5" style="103" customWidth="1"/>
    <col min="13577" max="13577" width="7.5" style="103" customWidth="1"/>
    <col min="13578" max="13824" width="49.83203125" style="103"/>
    <col min="13825" max="13825" width="6.5" style="103" customWidth="1"/>
    <col min="13826" max="13826" width="5.5" style="103" customWidth="1"/>
    <col min="13827" max="13827" width="6.6640625" style="103" customWidth="1"/>
    <col min="13828" max="13828" width="17" style="103" customWidth="1"/>
    <col min="13829" max="13829" width="15.83203125" style="103" customWidth="1"/>
    <col min="13830" max="13830" width="16.6640625" style="103" customWidth="1"/>
    <col min="13831" max="13831" width="16.83203125" style="103" customWidth="1"/>
    <col min="13832" max="13832" width="20.5" style="103" customWidth="1"/>
    <col min="13833" max="13833" width="7.5" style="103" customWidth="1"/>
    <col min="13834" max="14080" width="49.83203125" style="103"/>
    <col min="14081" max="14081" width="6.5" style="103" customWidth="1"/>
    <col min="14082" max="14082" width="5.5" style="103" customWidth="1"/>
    <col min="14083" max="14083" width="6.6640625" style="103" customWidth="1"/>
    <col min="14084" max="14084" width="17" style="103" customWidth="1"/>
    <col min="14085" max="14085" width="15.83203125" style="103" customWidth="1"/>
    <col min="14086" max="14086" width="16.6640625" style="103" customWidth="1"/>
    <col min="14087" max="14087" width="16.83203125" style="103" customWidth="1"/>
    <col min="14088" max="14088" width="20.5" style="103" customWidth="1"/>
    <col min="14089" max="14089" width="7.5" style="103" customWidth="1"/>
    <col min="14090" max="14336" width="49.83203125" style="103"/>
    <col min="14337" max="14337" width="6.5" style="103" customWidth="1"/>
    <col min="14338" max="14338" width="5.5" style="103" customWidth="1"/>
    <col min="14339" max="14339" width="6.6640625" style="103" customWidth="1"/>
    <col min="14340" max="14340" width="17" style="103" customWidth="1"/>
    <col min="14341" max="14341" width="15.83203125" style="103" customWidth="1"/>
    <col min="14342" max="14342" width="16.6640625" style="103" customWidth="1"/>
    <col min="14343" max="14343" width="16.83203125" style="103" customWidth="1"/>
    <col min="14344" max="14344" width="20.5" style="103" customWidth="1"/>
    <col min="14345" max="14345" width="7.5" style="103" customWidth="1"/>
    <col min="14346" max="14592" width="49.83203125" style="103"/>
    <col min="14593" max="14593" width="6.5" style="103" customWidth="1"/>
    <col min="14594" max="14594" width="5.5" style="103" customWidth="1"/>
    <col min="14595" max="14595" width="6.6640625" style="103" customWidth="1"/>
    <col min="14596" max="14596" width="17" style="103" customWidth="1"/>
    <col min="14597" max="14597" width="15.83203125" style="103" customWidth="1"/>
    <col min="14598" max="14598" width="16.6640625" style="103" customWidth="1"/>
    <col min="14599" max="14599" width="16.83203125" style="103" customWidth="1"/>
    <col min="14600" max="14600" width="20.5" style="103" customWidth="1"/>
    <col min="14601" max="14601" width="7.5" style="103" customWidth="1"/>
    <col min="14602" max="14848" width="49.83203125" style="103"/>
    <col min="14849" max="14849" width="6.5" style="103" customWidth="1"/>
    <col min="14850" max="14850" width="5.5" style="103" customWidth="1"/>
    <col min="14851" max="14851" width="6.6640625" style="103" customWidth="1"/>
    <col min="14852" max="14852" width="17" style="103" customWidth="1"/>
    <col min="14853" max="14853" width="15.83203125" style="103" customWidth="1"/>
    <col min="14854" max="14854" width="16.6640625" style="103" customWidth="1"/>
    <col min="14855" max="14855" width="16.83203125" style="103" customWidth="1"/>
    <col min="14856" max="14856" width="20.5" style="103" customWidth="1"/>
    <col min="14857" max="14857" width="7.5" style="103" customWidth="1"/>
    <col min="14858" max="15104" width="49.83203125" style="103"/>
    <col min="15105" max="15105" width="6.5" style="103" customWidth="1"/>
    <col min="15106" max="15106" width="5.5" style="103" customWidth="1"/>
    <col min="15107" max="15107" width="6.6640625" style="103" customWidth="1"/>
    <col min="15108" max="15108" width="17" style="103" customWidth="1"/>
    <col min="15109" max="15109" width="15.83203125" style="103" customWidth="1"/>
    <col min="15110" max="15110" width="16.6640625" style="103" customWidth="1"/>
    <col min="15111" max="15111" width="16.83203125" style="103" customWidth="1"/>
    <col min="15112" max="15112" width="20.5" style="103" customWidth="1"/>
    <col min="15113" max="15113" width="7.5" style="103" customWidth="1"/>
    <col min="15114" max="15360" width="49.83203125" style="103"/>
    <col min="15361" max="15361" width="6.5" style="103" customWidth="1"/>
    <col min="15362" max="15362" width="5.5" style="103" customWidth="1"/>
    <col min="15363" max="15363" width="6.6640625" style="103" customWidth="1"/>
    <col min="15364" max="15364" width="17" style="103" customWidth="1"/>
    <col min="15365" max="15365" width="15.83203125" style="103" customWidth="1"/>
    <col min="15366" max="15366" width="16.6640625" style="103" customWidth="1"/>
    <col min="15367" max="15367" width="16.83203125" style="103" customWidth="1"/>
    <col min="15368" max="15368" width="20.5" style="103" customWidth="1"/>
    <col min="15369" max="15369" width="7.5" style="103" customWidth="1"/>
    <col min="15370" max="15616" width="49.83203125" style="103"/>
    <col min="15617" max="15617" width="6.5" style="103" customWidth="1"/>
    <col min="15618" max="15618" width="5.5" style="103" customWidth="1"/>
    <col min="15619" max="15619" width="6.6640625" style="103" customWidth="1"/>
    <col min="15620" max="15620" width="17" style="103" customWidth="1"/>
    <col min="15621" max="15621" width="15.83203125" style="103" customWidth="1"/>
    <col min="15622" max="15622" width="16.6640625" style="103" customWidth="1"/>
    <col min="15623" max="15623" width="16.83203125" style="103" customWidth="1"/>
    <col min="15624" max="15624" width="20.5" style="103" customWidth="1"/>
    <col min="15625" max="15625" width="7.5" style="103" customWidth="1"/>
    <col min="15626" max="15872" width="49.83203125" style="103"/>
    <col min="15873" max="15873" width="6.5" style="103" customWidth="1"/>
    <col min="15874" max="15874" width="5.5" style="103" customWidth="1"/>
    <col min="15875" max="15875" width="6.6640625" style="103" customWidth="1"/>
    <col min="15876" max="15876" width="17" style="103" customWidth="1"/>
    <col min="15877" max="15877" width="15.83203125" style="103" customWidth="1"/>
    <col min="15878" max="15878" width="16.6640625" style="103" customWidth="1"/>
    <col min="15879" max="15879" width="16.83203125" style="103" customWidth="1"/>
    <col min="15880" max="15880" width="20.5" style="103" customWidth="1"/>
    <col min="15881" max="15881" width="7.5" style="103" customWidth="1"/>
    <col min="15882" max="16128" width="49.83203125" style="103"/>
    <col min="16129" max="16129" width="6.5" style="103" customWidth="1"/>
    <col min="16130" max="16130" width="5.5" style="103" customWidth="1"/>
    <col min="16131" max="16131" width="6.6640625" style="103" customWidth="1"/>
    <col min="16132" max="16132" width="17" style="103" customWidth="1"/>
    <col min="16133" max="16133" width="15.83203125" style="103" customWidth="1"/>
    <col min="16134" max="16134" width="16.6640625" style="103" customWidth="1"/>
    <col min="16135" max="16135" width="16.83203125" style="103" customWidth="1"/>
    <col min="16136" max="16136" width="20.5" style="103" customWidth="1"/>
    <col min="16137" max="16137" width="7.5" style="103" customWidth="1"/>
    <col min="16138" max="16384" width="49.83203125" style="103"/>
  </cols>
  <sheetData>
    <row r="1" spans="1:8" s="115" customFormat="1" ht="18">
      <c r="A1" s="132" t="s">
        <v>21</v>
      </c>
      <c r="B1" s="132"/>
      <c r="C1" s="132"/>
      <c r="D1" s="132"/>
      <c r="E1" s="132"/>
      <c r="F1" s="132"/>
      <c r="G1" s="132"/>
      <c r="H1" s="132"/>
    </row>
    <row r="2" spans="1:8" s="115" customFormat="1" ht="20">
      <c r="A2" s="132" t="s">
        <v>22</v>
      </c>
      <c r="B2" s="132"/>
      <c r="C2" s="132"/>
      <c r="D2" s="132"/>
      <c r="E2" s="132"/>
      <c r="F2" s="132"/>
      <c r="G2" s="132"/>
      <c r="H2" s="132"/>
    </row>
    <row r="3" spans="1:8" ht="3.75" customHeight="1"/>
    <row r="4" spans="1:8" ht="5.25" customHeight="1"/>
    <row r="6" spans="1:8">
      <c r="A6" s="116" t="s">
        <v>23</v>
      </c>
      <c r="H6" s="59" t="s">
        <v>24</v>
      </c>
    </row>
    <row r="7" spans="1:8">
      <c r="A7" s="116"/>
      <c r="B7" s="105" t="s">
        <v>25</v>
      </c>
      <c r="C7" s="116"/>
      <c r="D7" s="116"/>
      <c r="H7" s="59" t="s">
        <v>26</v>
      </c>
    </row>
    <row r="8" spans="1:8" ht="7" customHeight="1"/>
    <row r="9" spans="1:8" ht="7" customHeight="1">
      <c r="A9" s="104"/>
      <c r="B9" s="104"/>
      <c r="C9" s="104"/>
      <c r="D9" s="104"/>
      <c r="E9" s="104"/>
      <c r="F9" s="104"/>
      <c r="G9" s="104"/>
      <c r="H9" s="104"/>
    </row>
    <row r="10" spans="1:8">
      <c r="D10" s="117" t="s">
        <v>27</v>
      </c>
      <c r="E10" s="117" t="s">
        <v>28</v>
      </c>
      <c r="F10" s="60"/>
      <c r="G10" s="60" t="s">
        <v>29</v>
      </c>
      <c r="H10" s="117" t="s">
        <v>27</v>
      </c>
    </row>
    <row r="11" spans="1:8">
      <c r="D11" s="117" t="s">
        <v>30</v>
      </c>
      <c r="E11" s="117" t="s">
        <v>31</v>
      </c>
      <c r="F11" s="60" t="s">
        <v>32</v>
      </c>
      <c r="G11" s="60" t="s">
        <v>33</v>
      </c>
      <c r="H11" s="117" t="s">
        <v>34</v>
      </c>
    </row>
    <row r="12" spans="1:8" s="119" customFormat="1">
      <c r="A12" s="61"/>
      <c r="D12" s="120" t="s">
        <v>35</v>
      </c>
      <c r="E12" s="118" t="s">
        <v>36</v>
      </c>
      <c r="F12" s="62" t="s">
        <v>37</v>
      </c>
      <c r="G12" s="59" t="s">
        <v>38</v>
      </c>
      <c r="H12" s="118" t="s">
        <v>39</v>
      </c>
    </row>
    <row r="13" spans="1:8" s="119" customFormat="1">
      <c r="A13" s="61"/>
      <c r="D13" s="118" t="s">
        <v>40</v>
      </c>
      <c r="E13" s="118" t="s">
        <v>41</v>
      </c>
      <c r="F13" s="62" t="s">
        <v>42</v>
      </c>
      <c r="G13" s="62" t="s">
        <v>43</v>
      </c>
      <c r="H13" s="118" t="s">
        <v>44</v>
      </c>
    </row>
    <row r="14" spans="1:8" ht="5.25" customHeight="1">
      <c r="A14" s="109"/>
      <c r="B14" s="109"/>
      <c r="C14" s="109"/>
      <c r="D14" s="63"/>
      <c r="E14" s="109"/>
      <c r="F14" s="109"/>
      <c r="G14" s="109"/>
      <c r="H14" s="109"/>
    </row>
    <row r="15" spans="1:8" ht="11.25" customHeight="1">
      <c r="D15" s="60"/>
    </row>
    <row r="16" spans="1:8">
      <c r="A16" s="105">
        <v>1992</v>
      </c>
      <c r="B16" s="116" t="s">
        <v>45</v>
      </c>
      <c r="C16" s="103" t="s">
        <v>46</v>
      </c>
      <c r="D16" s="106">
        <v>2.5</v>
      </c>
      <c r="E16" s="106">
        <v>4.5</v>
      </c>
      <c r="F16" s="60" t="s">
        <v>47</v>
      </c>
      <c r="G16" s="60" t="s">
        <v>47</v>
      </c>
      <c r="H16" s="64" t="s">
        <v>47</v>
      </c>
    </row>
    <row r="17" spans="1:8">
      <c r="A17" s="105"/>
      <c r="B17" s="116" t="s">
        <v>48</v>
      </c>
      <c r="C17" s="103" t="s">
        <v>49</v>
      </c>
      <c r="D17" s="106">
        <v>2</v>
      </c>
      <c r="E17" s="106">
        <v>4</v>
      </c>
      <c r="F17" s="60" t="s">
        <v>47</v>
      </c>
      <c r="G17" s="60" t="s">
        <v>47</v>
      </c>
      <c r="H17" s="64" t="s">
        <v>47</v>
      </c>
    </row>
    <row r="18" spans="1:8">
      <c r="A18" s="105"/>
      <c r="B18" s="116" t="s">
        <v>50</v>
      </c>
      <c r="C18" s="103" t="s">
        <v>51</v>
      </c>
      <c r="D18" s="106">
        <v>2</v>
      </c>
      <c r="E18" s="106">
        <v>4</v>
      </c>
      <c r="F18" s="60" t="s">
        <v>47</v>
      </c>
      <c r="G18" s="60" t="s">
        <v>47</v>
      </c>
      <c r="H18" s="64" t="s">
        <v>47</v>
      </c>
    </row>
    <row r="19" spans="1:8">
      <c r="A19" s="105"/>
      <c r="B19" s="116" t="s">
        <v>52</v>
      </c>
      <c r="C19" s="103" t="s">
        <v>53</v>
      </c>
      <c r="D19" s="106">
        <v>2</v>
      </c>
      <c r="E19" s="106">
        <v>4</v>
      </c>
      <c r="F19" s="60" t="s">
        <v>47</v>
      </c>
      <c r="G19" s="60" t="s">
        <v>47</v>
      </c>
      <c r="H19" s="64" t="s">
        <v>47</v>
      </c>
    </row>
    <row r="20" spans="1:8">
      <c r="A20" s="105"/>
      <c r="B20" s="116" t="s">
        <v>54</v>
      </c>
      <c r="C20" s="103" t="s">
        <v>55</v>
      </c>
      <c r="D20" s="106">
        <v>2</v>
      </c>
      <c r="E20" s="106">
        <v>4</v>
      </c>
      <c r="F20" s="60" t="s">
        <v>47</v>
      </c>
      <c r="G20" s="60" t="s">
        <v>47</v>
      </c>
      <c r="H20" s="64" t="s">
        <v>47</v>
      </c>
    </row>
    <row r="21" spans="1:8">
      <c r="A21" s="105"/>
      <c r="B21" s="116" t="s">
        <v>56</v>
      </c>
      <c r="C21" s="103" t="s">
        <v>57</v>
      </c>
      <c r="D21" s="106">
        <v>2</v>
      </c>
      <c r="E21" s="106">
        <v>4</v>
      </c>
      <c r="F21" s="60" t="s">
        <v>47</v>
      </c>
      <c r="G21" s="60" t="s">
        <v>47</v>
      </c>
      <c r="H21" s="64" t="s">
        <v>47</v>
      </c>
    </row>
    <row r="22" spans="1:8">
      <c r="A22" s="105"/>
      <c r="B22" s="116" t="s">
        <v>58</v>
      </c>
      <c r="C22" s="103" t="s">
        <v>59</v>
      </c>
      <c r="D22" s="106">
        <v>2</v>
      </c>
      <c r="E22" s="106">
        <v>4</v>
      </c>
      <c r="F22" s="60" t="s">
        <v>47</v>
      </c>
      <c r="G22" s="60" t="s">
        <v>47</v>
      </c>
      <c r="H22" s="64" t="s">
        <v>47</v>
      </c>
    </row>
    <row r="23" spans="1:8">
      <c r="A23" s="105"/>
      <c r="B23" s="116"/>
      <c r="C23" s="116"/>
      <c r="D23" s="106"/>
      <c r="E23" s="106"/>
      <c r="F23" s="60"/>
      <c r="G23" s="60"/>
      <c r="H23" s="64"/>
    </row>
    <row r="24" spans="1:8">
      <c r="A24" s="105">
        <v>1993</v>
      </c>
      <c r="B24" s="116" t="s">
        <v>60</v>
      </c>
      <c r="C24" s="103" t="s">
        <v>61</v>
      </c>
      <c r="D24" s="106">
        <v>2</v>
      </c>
      <c r="E24" s="106">
        <v>4</v>
      </c>
      <c r="F24" s="60" t="s">
        <v>47</v>
      </c>
      <c r="G24" s="60" t="s">
        <v>47</v>
      </c>
      <c r="H24" s="64" t="s">
        <v>47</v>
      </c>
    </row>
    <row r="25" spans="1:8">
      <c r="A25" s="105"/>
      <c r="B25" s="116" t="s">
        <v>62</v>
      </c>
      <c r="C25" s="103" t="s">
        <v>63</v>
      </c>
      <c r="D25" s="106">
        <v>2</v>
      </c>
      <c r="E25" s="106">
        <v>4</v>
      </c>
      <c r="F25" s="60" t="s">
        <v>47</v>
      </c>
      <c r="G25" s="60" t="s">
        <v>47</v>
      </c>
      <c r="H25" s="64" t="s">
        <v>47</v>
      </c>
    </row>
    <row r="26" spans="1:8">
      <c r="A26" s="105"/>
      <c r="B26" s="116" t="s">
        <v>64</v>
      </c>
      <c r="C26" s="103" t="s">
        <v>65</v>
      </c>
      <c r="D26" s="106">
        <v>2</v>
      </c>
      <c r="E26" s="106">
        <v>4</v>
      </c>
      <c r="F26" s="60" t="s">
        <v>47</v>
      </c>
      <c r="G26" s="60" t="s">
        <v>47</v>
      </c>
      <c r="H26" s="64" t="s">
        <v>47</v>
      </c>
    </row>
    <row r="27" spans="1:8">
      <c r="A27" s="105"/>
      <c r="B27" s="116" t="s">
        <v>66</v>
      </c>
      <c r="C27" s="103" t="s">
        <v>67</v>
      </c>
      <c r="D27" s="106">
        <v>2</v>
      </c>
      <c r="E27" s="106">
        <v>4</v>
      </c>
      <c r="F27" s="60" t="s">
        <v>47</v>
      </c>
      <c r="G27" s="60" t="s">
        <v>47</v>
      </c>
      <c r="H27" s="64" t="s">
        <v>47</v>
      </c>
    </row>
    <row r="28" spans="1:8">
      <c r="A28" s="105"/>
      <c r="B28" s="116" t="s">
        <v>68</v>
      </c>
      <c r="C28" s="103" t="s">
        <v>69</v>
      </c>
      <c r="D28" s="106">
        <v>2</v>
      </c>
      <c r="E28" s="106">
        <v>4</v>
      </c>
      <c r="F28" s="60" t="s">
        <v>47</v>
      </c>
      <c r="G28" s="60" t="s">
        <v>47</v>
      </c>
      <c r="H28" s="64" t="s">
        <v>47</v>
      </c>
    </row>
    <row r="29" spans="1:8">
      <c r="A29" s="105"/>
      <c r="B29" s="116" t="s">
        <v>45</v>
      </c>
      <c r="C29" s="103" t="s">
        <v>46</v>
      </c>
      <c r="D29" s="106">
        <v>2</v>
      </c>
      <c r="E29" s="106">
        <v>4</v>
      </c>
      <c r="F29" s="60" t="s">
        <v>47</v>
      </c>
      <c r="G29" s="60" t="s">
        <v>47</v>
      </c>
      <c r="H29" s="64" t="s">
        <v>47</v>
      </c>
    </row>
    <row r="30" spans="1:8">
      <c r="A30" s="105"/>
      <c r="B30" s="116" t="s">
        <v>48</v>
      </c>
      <c r="C30" s="103" t="s">
        <v>49</v>
      </c>
      <c r="D30" s="106">
        <v>2</v>
      </c>
      <c r="E30" s="106">
        <v>4</v>
      </c>
      <c r="F30" s="60" t="s">
        <v>47</v>
      </c>
      <c r="G30" s="60" t="s">
        <v>47</v>
      </c>
      <c r="H30" s="64" t="s">
        <v>47</v>
      </c>
    </row>
    <row r="31" spans="1:8">
      <c r="A31" s="105"/>
      <c r="B31" s="116" t="s">
        <v>50</v>
      </c>
      <c r="C31" s="103" t="s">
        <v>51</v>
      </c>
      <c r="D31" s="106">
        <v>2</v>
      </c>
      <c r="E31" s="106">
        <v>4</v>
      </c>
      <c r="F31" s="60" t="s">
        <v>47</v>
      </c>
      <c r="G31" s="60" t="s">
        <v>47</v>
      </c>
      <c r="H31" s="64" t="s">
        <v>47</v>
      </c>
    </row>
    <row r="32" spans="1:8">
      <c r="A32" s="105"/>
      <c r="B32" s="116" t="s">
        <v>52</v>
      </c>
      <c r="C32" s="103" t="s">
        <v>53</v>
      </c>
      <c r="D32" s="106">
        <v>2</v>
      </c>
      <c r="E32" s="106">
        <v>4</v>
      </c>
      <c r="F32" s="60" t="s">
        <v>47</v>
      </c>
      <c r="G32" s="60" t="s">
        <v>47</v>
      </c>
      <c r="H32" s="64" t="s">
        <v>47</v>
      </c>
    </row>
    <row r="33" spans="1:8">
      <c r="A33" s="105"/>
      <c r="B33" s="116" t="s">
        <v>54</v>
      </c>
      <c r="C33" s="103" t="s">
        <v>55</v>
      </c>
      <c r="D33" s="106">
        <v>2</v>
      </c>
      <c r="E33" s="106">
        <v>4</v>
      </c>
      <c r="F33" s="60" t="s">
        <v>47</v>
      </c>
      <c r="G33" s="60" t="s">
        <v>47</v>
      </c>
      <c r="H33" s="64" t="s">
        <v>47</v>
      </c>
    </row>
    <row r="34" spans="1:8">
      <c r="A34" s="105"/>
      <c r="B34" s="116" t="s">
        <v>56</v>
      </c>
      <c r="C34" s="103" t="s">
        <v>57</v>
      </c>
      <c r="D34" s="106">
        <v>2</v>
      </c>
      <c r="E34" s="106">
        <v>4</v>
      </c>
      <c r="F34" s="60" t="s">
        <v>47</v>
      </c>
      <c r="G34" s="60" t="s">
        <v>47</v>
      </c>
      <c r="H34" s="64" t="s">
        <v>47</v>
      </c>
    </row>
    <row r="35" spans="1:8">
      <c r="A35" s="105"/>
      <c r="B35" s="116" t="s">
        <v>58</v>
      </c>
      <c r="C35" s="103" t="s">
        <v>59</v>
      </c>
      <c r="D35" s="106">
        <v>2</v>
      </c>
      <c r="E35" s="106">
        <v>4</v>
      </c>
      <c r="F35" s="60" t="s">
        <v>47</v>
      </c>
      <c r="G35" s="60" t="s">
        <v>47</v>
      </c>
      <c r="H35" s="64" t="s">
        <v>47</v>
      </c>
    </row>
    <row r="36" spans="1:8">
      <c r="A36" s="105"/>
      <c r="B36" s="116"/>
      <c r="D36" s="106"/>
      <c r="E36" s="106"/>
      <c r="F36" s="60"/>
      <c r="G36" s="60"/>
      <c r="H36" s="64"/>
    </row>
    <row r="37" spans="1:8">
      <c r="A37" s="105">
        <v>1994</v>
      </c>
      <c r="B37" s="116" t="s">
        <v>60</v>
      </c>
      <c r="C37" s="103" t="s">
        <v>61</v>
      </c>
      <c r="D37" s="106">
        <v>2</v>
      </c>
      <c r="E37" s="106">
        <v>4</v>
      </c>
      <c r="F37" s="60" t="s">
        <v>47</v>
      </c>
      <c r="G37" s="60" t="s">
        <v>47</v>
      </c>
      <c r="H37" s="64" t="s">
        <v>47</v>
      </c>
    </row>
    <row r="38" spans="1:8">
      <c r="A38" s="105"/>
      <c r="B38" s="116" t="s">
        <v>62</v>
      </c>
      <c r="C38" s="103" t="s">
        <v>63</v>
      </c>
      <c r="D38" s="106">
        <v>2</v>
      </c>
      <c r="E38" s="106">
        <v>4</v>
      </c>
      <c r="F38" s="60" t="s">
        <v>47</v>
      </c>
      <c r="G38" s="60" t="s">
        <v>47</v>
      </c>
      <c r="H38" s="64" t="s">
        <v>47</v>
      </c>
    </row>
    <row r="39" spans="1:8">
      <c r="A39" s="105"/>
      <c r="B39" s="116" t="s">
        <v>64</v>
      </c>
      <c r="C39" s="103" t="s">
        <v>65</v>
      </c>
      <c r="D39" s="106">
        <v>2</v>
      </c>
      <c r="E39" s="106">
        <v>4</v>
      </c>
      <c r="F39" s="60" t="s">
        <v>47</v>
      </c>
      <c r="G39" s="60" t="s">
        <v>47</v>
      </c>
      <c r="H39" s="64" t="s">
        <v>47</v>
      </c>
    </row>
    <row r="40" spans="1:8">
      <c r="A40" s="105"/>
      <c r="B40" s="116" t="s">
        <v>66</v>
      </c>
      <c r="C40" s="103" t="s">
        <v>67</v>
      </c>
      <c r="D40" s="106">
        <v>2</v>
      </c>
      <c r="E40" s="106">
        <v>4</v>
      </c>
      <c r="F40" s="60" t="s">
        <v>47</v>
      </c>
      <c r="G40" s="60" t="s">
        <v>47</v>
      </c>
      <c r="H40" s="64" t="s">
        <v>47</v>
      </c>
    </row>
    <row r="41" spans="1:8">
      <c r="A41" s="105"/>
      <c r="B41" s="116" t="s">
        <v>68</v>
      </c>
      <c r="C41" s="103" t="s">
        <v>69</v>
      </c>
      <c r="D41" s="106">
        <v>2.5</v>
      </c>
      <c r="E41" s="106">
        <v>4.5</v>
      </c>
      <c r="F41" s="60" t="s">
        <v>47</v>
      </c>
      <c r="G41" s="60" t="s">
        <v>47</v>
      </c>
      <c r="H41" s="64" t="s">
        <v>47</v>
      </c>
    </row>
    <row r="42" spans="1:8">
      <c r="A42" s="105"/>
      <c r="B42" s="116" t="s">
        <v>45</v>
      </c>
      <c r="C42" s="103" t="s">
        <v>46</v>
      </c>
      <c r="D42" s="106">
        <v>2.5</v>
      </c>
      <c r="E42" s="106">
        <v>4.5</v>
      </c>
      <c r="F42" s="60" t="s">
        <v>47</v>
      </c>
      <c r="G42" s="60" t="s">
        <v>47</v>
      </c>
      <c r="H42" s="64" t="s">
        <v>47</v>
      </c>
    </row>
    <row r="43" spans="1:8">
      <c r="A43" s="105"/>
      <c r="B43" s="116" t="s">
        <v>48</v>
      </c>
      <c r="C43" s="103" t="s">
        <v>49</v>
      </c>
      <c r="D43" s="106">
        <v>2.5</v>
      </c>
      <c r="E43" s="106">
        <v>4.5</v>
      </c>
      <c r="F43" s="60" t="s">
        <v>47</v>
      </c>
      <c r="G43" s="60" t="s">
        <v>47</v>
      </c>
      <c r="H43" s="64" t="s">
        <v>47</v>
      </c>
    </row>
    <row r="44" spans="1:8">
      <c r="A44" s="105"/>
      <c r="B44" s="116" t="s">
        <v>50</v>
      </c>
      <c r="C44" s="103" t="s">
        <v>51</v>
      </c>
      <c r="D44" s="106">
        <v>3</v>
      </c>
      <c r="E44" s="106">
        <v>5</v>
      </c>
      <c r="F44" s="60" t="s">
        <v>47</v>
      </c>
      <c r="G44" s="60" t="s">
        <v>47</v>
      </c>
      <c r="H44" s="64" t="s">
        <v>47</v>
      </c>
    </row>
    <row r="45" spans="1:8">
      <c r="A45" s="105"/>
      <c r="B45" s="116" t="s">
        <v>52</v>
      </c>
      <c r="C45" s="103" t="s">
        <v>53</v>
      </c>
      <c r="D45" s="106">
        <v>3</v>
      </c>
      <c r="E45" s="106">
        <v>5</v>
      </c>
      <c r="F45" s="60" t="s">
        <v>47</v>
      </c>
      <c r="G45" s="60" t="s">
        <v>47</v>
      </c>
      <c r="H45" s="64" t="s">
        <v>47</v>
      </c>
    </row>
    <row r="46" spans="1:8">
      <c r="A46" s="105"/>
      <c r="B46" s="116" t="s">
        <v>54</v>
      </c>
      <c r="C46" s="103" t="s">
        <v>55</v>
      </c>
      <c r="D46" s="106">
        <v>3</v>
      </c>
      <c r="E46" s="106">
        <v>5</v>
      </c>
      <c r="F46" s="60" t="s">
        <v>47</v>
      </c>
      <c r="G46" s="60" t="s">
        <v>47</v>
      </c>
      <c r="H46" s="64" t="s">
        <v>47</v>
      </c>
    </row>
    <row r="47" spans="1:8">
      <c r="A47" s="105"/>
      <c r="B47" s="116" t="s">
        <v>56</v>
      </c>
      <c r="C47" s="103" t="s">
        <v>57</v>
      </c>
      <c r="D47" s="106">
        <v>3.75</v>
      </c>
      <c r="E47" s="106">
        <v>5.75</v>
      </c>
      <c r="F47" s="60" t="s">
        <v>47</v>
      </c>
      <c r="G47" s="60" t="s">
        <v>47</v>
      </c>
      <c r="H47" s="64" t="s">
        <v>47</v>
      </c>
    </row>
    <row r="48" spans="1:8">
      <c r="A48" s="105"/>
      <c r="B48" s="116" t="s">
        <v>58</v>
      </c>
      <c r="C48" s="103" t="s">
        <v>59</v>
      </c>
      <c r="D48" s="106">
        <v>3.75</v>
      </c>
      <c r="E48" s="106">
        <v>5.75</v>
      </c>
      <c r="F48" s="60" t="s">
        <v>47</v>
      </c>
      <c r="G48" s="60" t="s">
        <v>47</v>
      </c>
      <c r="H48" s="64" t="s">
        <v>47</v>
      </c>
    </row>
    <row r="49" spans="1:8">
      <c r="A49" s="105"/>
      <c r="B49" s="116"/>
      <c r="C49" s="116"/>
      <c r="D49" s="106"/>
      <c r="E49" s="106"/>
      <c r="F49" s="60"/>
      <c r="G49" s="60"/>
      <c r="H49" s="64"/>
    </row>
    <row r="50" spans="1:8">
      <c r="A50" s="105">
        <v>1995</v>
      </c>
      <c r="B50" s="116" t="s">
        <v>60</v>
      </c>
      <c r="C50" s="103" t="s">
        <v>61</v>
      </c>
      <c r="D50" s="106">
        <v>3.75</v>
      </c>
      <c r="E50" s="106">
        <v>5.75</v>
      </c>
      <c r="F50" s="60" t="s">
        <v>47</v>
      </c>
      <c r="G50" s="60" t="s">
        <v>47</v>
      </c>
      <c r="H50" s="64" t="s">
        <v>47</v>
      </c>
    </row>
    <row r="51" spans="1:8">
      <c r="A51" s="105"/>
      <c r="B51" s="116" t="s">
        <v>62</v>
      </c>
      <c r="C51" s="103" t="s">
        <v>63</v>
      </c>
      <c r="D51" s="106">
        <v>4.25</v>
      </c>
      <c r="E51" s="106">
        <v>6.25</v>
      </c>
      <c r="F51" s="60" t="s">
        <v>47</v>
      </c>
      <c r="G51" s="60" t="s">
        <v>47</v>
      </c>
      <c r="H51" s="64" t="s">
        <v>47</v>
      </c>
    </row>
    <row r="52" spans="1:8">
      <c r="A52" s="105"/>
      <c r="B52" s="116" t="s">
        <v>64</v>
      </c>
      <c r="C52" s="103" t="s">
        <v>65</v>
      </c>
      <c r="D52" s="106">
        <v>4.25</v>
      </c>
      <c r="E52" s="106">
        <v>6.25</v>
      </c>
      <c r="F52" s="60" t="s">
        <v>47</v>
      </c>
      <c r="G52" s="60" t="s">
        <v>47</v>
      </c>
      <c r="H52" s="64" t="s">
        <v>47</v>
      </c>
    </row>
    <row r="53" spans="1:8">
      <c r="A53" s="105"/>
      <c r="B53" s="116" t="s">
        <v>66</v>
      </c>
      <c r="C53" s="103" t="s">
        <v>67</v>
      </c>
      <c r="D53" s="106">
        <v>4.25</v>
      </c>
      <c r="E53" s="106">
        <v>6.25</v>
      </c>
      <c r="F53" s="60" t="s">
        <v>47</v>
      </c>
      <c r="G53" s="60" t="s">
        <v>47</v>
      </c>
      <c r="H53" s="64" t="s">
        <v>47</v>
      </c>
    </row>
    <row r="54" spans="1:8">
      <c r="A54" s="105"/>
      <c r="B54" s="116" t="s">
        <v>68</v>
      </c>
      <c r="C54" s="103" t="s">
        <v>69</v>
      </c>
      <c r="D54" s="106">
        <v>4.25</v>
      </c>
      <c r="E54" s="106">
        <v>6.25</v>
      </c>
      <c r="F54" s="60" t="s">
        <v>47</v>
      </c>
      <c r="G54" s="60" t="s">
        <v>47</v>
      </c>
      <c r="H54" s="64" t="s">
        <v>47</v>
      </c>
    </row>
    <row r="55" spans="1:8">
      <c r="A55" s="105"/>
      <c r="B55" s="116" t="s">
        <v>45</v>
      </c>
      <c r="C55" s="103" t="s">
        <v>46</v>
      </c>
      <c r="D55" s="106">
        <v>4.25</v>
      </c>
      <c r="E55" s="106">
        <v>6.25</v>
      </c>
      <c r="F55" s="60" t="s">
        <v>47</v>
      </c>
      <c r="G55" s="60" t="s">
        <v>47</v>
      </c>
      <c r="H55" s="64" t="s">
        <v>47</v>
      </c>
    </row>
    <row r="56" spans="1:8">
      <c r="A56" s="105"/>
      <c r="B56" s="116" t="s">
        <v>48</v>
      </c>
      <c r="C56" s="103" t="s">
        <v>49</v>
      </c>
      <c r="D56" s="106">
        <v>4.25</v>
      </c>
      <c r="E56" s="106">
        <v>6.25</v>
      </c>
      <c r="F56" s="60" t="s">
        <v>47</v>
      </c>
      <c r="G56" s="60" t="s">
        <v>47</v>
      </c>
      <c r="H56" s="64" t="s">
        <v>47</v>
      </c>
    </row>
    <row r="57" spans="1:8">
      <c r="A57" s="105"/>
      <c r="B57" s="116" t="s">
        <v>50</v>
      </c>
      <c r="C57" s="103" t="s">
        <v>51</v>
      </c>
      <c r="D57" s="106">
        <v>4.25</v>
      </c>
      <c r="E57" s="106">
        <v>6.25</v>
      </c>
      <c r="F57" s="60" t="s">
        <v>47</v>
      </c>
      <c r="G57" s="60" t="s">
        <v>47</v>
      </c>
      <c r="H57" s="64" t="s">
        <v>47</v>
      </c>
    </row>
    <row r="58" spans="1:8">
      <c r="A58" s="105"/>
      <c r="B58" s="116" t="s">
        <v>52</v>
      </c>
      <c r="C58" s="103" t="s">
        <v>53</v>
      </c>
      <c r="D58" s="106">
        <v>4.25</v>
      </c>
      <c r="E58" s="106">
        <v>6.25</v>
      </c>
      <c r="F58" s="60" t="s">
        <v>47</v>
      </c>
      <c r="G58" s="60" t="s">
        <v>47</v>
      </c>
      <c r="H58" s="64" t="s">
        <v>47</v>
      </c>
    </row>
    <row r="59" spans="1:8">
      <c r="A59" s="105"/>
      <c r="B59" s="116" t="s">
        <v>54</v>
      </c>
      <c r="C59" s="103" t="s">
        <v>55</v>
      </c>
      <c r="D59" s="106">
        <v>4.25</v>
      </c>
      <c r="E59" s="106">
        <v>6.25</v>
      </c>
      <c r="F59" s="60" t="s">
        <v>47</v>
      </c>
      <c r="G59" s="60" t="s">
        <v>47</v>
      </c>
      <c r="H59" s="64" t="s">
        <v>47</v>
      </c>
    </row>
    <row r="60" spans="1:8">
      <c r="A60" s="105"/>
      <c r="B60" s="116" t="s">
        <v>56</v>
      </c>
      <c r="C60" s="103" t="s">
        <v>57</v>
      </c>
      <c r="D60" s="106">
        <v>4.25</v>
      </c>
      <c r="E60" s="106">
        <v>6.25</v>
      </c>
      <c r="F60" s="60" t="s">
        <v>47</v>
      </c>
      <c r="G60" s="60" t="s">
        <v>47</v>
      </c>
      <c r="H60" s="64" t="s">
        <v>47</v>
      </c>
    </row>
    <row r="61" spans="1:8">
      <c r="A61" s="105"/>
      <c r="B61" s="116" t="s">
        <v>58</v>
      </c>
      <c r="C61" s="103" t="s">
        <v>59</v>
      </c>
      <c r="D61" s="106">
        <v>4.25</v>
      </c>
      <c r="E61" s="106">
        <v>6.25</v>
      </c>
      <c r="F61" s="60" t="s">
        <v>47</v>
      </c>
      <c r="G61" s="60" t="s">
        <v>47</v>
      </c>
      <c r="H61" s="64" t="s">
        <v>47</v>
      </c>
    </row>
    <row r="62" spans="1:8">
      <c r="A62" s="105"/>
      <c r="B62" s="116"/>
      <c r="D62" s="106"/>
      <c r="E62" s="106"/>
      <c r="F62" s="60"/>
      <c r="G62" s="60"/>
      <c r="H62" s="64"/>
    </row>
    <row r="63" spans="1:8">
      <c r="A63" s="105">
        <v>1996</v>
      </c>
      <c r="B63" s="116" t="s">
        <v>60</v>
      </c>
      <c r="C63" s="103" t="s">
        <v>61</v>
      </c>
      <c r="D63" s="106">
        <v>4.25</v>
      </c>
      <c r="E63" s="106">
        <v>6.25</v>
      </c>
      <c r="F63" s="60" t="s">
        <v>47</v>
      </c>
      <c r="G63" s="60" t="s">
        <v>47</v>
      </c>
      <c r="H63" s="64" t="s">
        <v>47</v>
      </c>
    </row>
    <row r="64" spans="1:8">
      <c r="A64" s="105"/>
      <c r="B64" s="116" t="s">
        <v>62</v>
      </c>
      <c r="C64" s="103" t="s">
        <v>63</v>
      </c>
      <c r="D64" s="106">
        <v>4</v>
      </c>
      <c r="E64" s="106">
        <v>6</v>
      </c>
      <c r="F64" s="60" t="s">
        <v>47</v>
      </c>
      <c r="G64" s="60" t="s">
        <v>47</v>
      </c>
      <c r="H64" s="64" t="s">
        <v>47</v>
      </c>
    </row>
    <row r="65" spans="1:8">
      <c r="A65" s="105"/>
      <c r="B65" s="116" t="s">
        <v>64</v>
      </c>
      <c r="C65" s="103" t="s">
        <v>65</v>
      </c>
      <c r="D65" s="106">
        <v>4</v>
      </c>
      <c r="E65" s="106">
        <v>6</v>
      </c>
      <c r="F65" s="60" t="s">
        <v>47</v>
      </c>
      <c r="G65" s="60" t="s">
        <v>47</v>
      </c>
      <c r="H65" s="64" t="s">
        <v>47</v>
      </c>
    </row>
    <row r="66" spans="1:8">
      <c r="A66" s="105"/>
      <c r="B66" s="116" t="s">
        <v>66</v>
      </c>
      <c r="C66" s="103" t="s">
        <v>67</v>
      </c>
      <c r="D66" s="106">
        <v>4</v>
      </c>
      <c r="E66" s="106">
        <v>6</v>
      </c>
      <c r="F66" s="60" t="s">
        <v>47</v>
      </c>
      <c r="G66" s="60" t="s">
        <v>47</v>
      </c>
      <c r="H66" s="64" t="s">
        <v>47</v>
      </c>
    </row>
    <row r="67" spans="1:8">
      <c r="A67" s="105"/>
      <c r="B67" s="116" t="s">
        <v>68</v>
      </c>
      <c r="C67" s="103" t="s">
        <v>69</v>
      </c>
      <c r="D67" s="106">
        <v>4</v>
      </c>
      <c r="E67" s="106">
        <v>6</v>
      </c>
      <c r="F67" s="60" t="s">
        <v>47</v>
      </c>
      <c r="G67" s="60" t="s">
        <v>47</v>
      </c>
      <c r="H67" s="64" t="s">
        <v>47</v>
      </c>
    </row>
    <row r="68" spans="1:8">
      <c r="A68" s="105"/>
      <c r="B68" s="116" t="s">
        <v>45</v>
      </c>
      <c r="C68" s="103" t="s">
        <v>46</v>
      </c>
      <c r="D68" s="106">
        <v>4</v>
      </c>
      <c r="E68" s="106">
        <v>6</v>
      </c>
      <c r="F68" s="60" t="s">
        <v>47</v>
      </c>
      <c r="G68" s="60" t="s">
        <v>47</v>
      </c>
      <c r="H68" s="64" t="s">
        <v>47</v>
      </c>
    </row>
    <row r="69" spans="1:8">
      <c r="A69" s="105"/>
      <c r="B69" s="116" t="s">
        <v>48</v>
      </c>
      <c r="C69" s="103" t="s">
        <v>49</v>
      </c>
      <c r="D69" s="106">
        <v>4</v>
      </c>
      <c r="E69" s="106">
        <v>6</v>
      </c>
      <c r="F69" s="60" t="s">
        <v>47</v>
      </c>
      <c r="G69" s="60" t="s">
        <v>47</v>
      </c>
      <c r="H69" s="64" t="s">
        <v>47</v>
      </c>
    </row>
    <row r="70" spans="1:8">
      <c r="A70" s="105"/>
      <c r="B70" s="116" t="s">
        <v>50</v>
      </c>
      <c r="C70" s="103" t="s">
        <v>51</v>
      </c>
      <c r="D70" s="106">
        <v>4</v>
      </c>
      <c r="E70" s="106">
        <v>6</v>
      </c>
      <c r="F70" s="60" t="s">
        <v>47</v>
      </c>
      <c r="G70" s="60" t="s">
        <v>47</v>
      </c>
      <c r="H70" s="64" t="s">
        <v>47</v>
      </c>
    </row>
    <row r="71" spans="1:8">
      <c r="A71" s="105"/>
      <c r="B71" s="116" t="s">
        <v>52</v>
      </c>
      <c r="C71" s="103" t="s">
        <v>53</v>
      </c>
      <c r="D71" s="106">
        <v>4</v>
      </c>
      <c r="E71" s="106">
        <v>6</v>
      </c>
      <c r="F71" s="60" t="s">
        <v>47</v>
      </c>
      <c r="G71" s="60" t="s">
        <v>47</v>
      </c>
      <c r="H71" s="64" t="s">
        <v>47</v>
      </c>
    </row>
    <row r="72" spans="1:8">
      <c r="A72" s="105"/>
      <c r="B72" s="116" t="s">
        <v>54</v>
      </c>
      <c r="C72" s="103" t="s">
        <v>55</v>
      </c>
      <c r="D72" s="106">
        <v>4</v>
      </c>
      <c r="E72" s="106">
        <v>6</v>
      </c>
      <c r="F72" s="60" t="s">
        <v>47</v>
      </c>
      <c r="G72" s="60" t="s">
        <v>47</v>
      </c>
      <c r="H72" s="64" t="s">
        <v>47</v>
      </c>
    </row>
    <row r="73" spans="1:8">
      <c r="A73" s="105"/>
      <c r="B73" s="116" t="s">
        <v>56</v>
      </c>
      <c r="C73" s="103" t="s">
        <v>57</v>
      </c>
      <c r="D73" s="106">
        <v>4</v>
      </c>
      <c r="E73" s="106">
        <v>6</v>
      </c>
      <c r="F73" s="60" t="s">
        <v>47</v>
      </c>
      <c r="G73" s="60" t="s">
        <v>47</v>
      </c>
      <c r="H73" s="64" t="s">
        <v>47</v>
      </c>
    </row>
    <row r="74" spans="1:8">
      <c r="A74" s="105"/>
      <c r="B74" s="116" t="s">
        <v>58</v>
      </c>
      <c r="C74" s="103" t="s">
        <v>59</v>
      </c>
      <c r="D74" s="106">
        <v>4</v>
      </c>
      <c r="E74" s="106">
        <v>6</v>
      </c>
      <c r="F74" s="60" t="s">
        <v>47</v>
      </c>
      <c r="G74" s="60" t="s">
        <v>47</v>
      </c>
      <c r="H74" s="64">
        <v>6.25</v>
      </c>
    </row>
    <row r="75" spans="1:8">
      <c r="A75" s="105"/>
      <c r="B75" s="116"/>
      <c r="C75" s="116"/>
      <c r="D75" s="106"/>
      <c r="E75" s="106"/>
      <c r="F75" s="60"/>
      <c r="G75" s="60"/>
      <c r="H75" s="64"/>
    </row>
    <row r="76" spans="1:8">
      <c r="A76" s="105">
        <v>1997</v>
      </c>
      <c r="B76" s="116" t="s">
        <v>60</v>
      </c>
      <c r="C76" s="103" t="s">
        <v>61</v>
      </c>
      <c r="D76" s="106">
        <v>4</v>
      </c>
      <c r="E76" s="106">
        <v>6</v>
      </c>
      <c r="F76" s="60" t="s">
        <v>47</v>
      </c>
      <c r="G76" s="60" t="s">
        <v>47</v>
      </c>
      <c r="H76" s="64">
        <v>6.25</v>
      </c>
    </row>
    <row r="77" spans="1:8">
      <c r="A77" s="105"/>
      <c r="B77" s="116" t="s">
        <v>62</v>
      </c>
      <c r="C77" s="103" t="s">
        <v>63</v>
      </c>
      <c r="D77" s="106">
        <v>4</v>
      </c>
      <c r="E77" s="106">
        <v>6</v>
      </c>
      <c r="F77" s="60" t="s">
        <v>47</v>
      </c>
      <c r="G77" s="60" t="s">
        <v>47</v>
      </c>
      <c r="H77" s="64">
        <v>6.25</v>
      </c>
    </row>
    <row r="78" spans="1:8">
      <c r="A78" s="105"/>
      <c r="B78" s="116" t="s">
        <v>64</v>
      </c>
      <c r="C78" s="103" t="s">
        <v>65</v>
      </c>
      <c r="D78" s="106">
        <v>4.25</v>
      </c>
      <c r="E78" s="106">
        <v>6.25</v>
      </c>
      <c r="F78" s="60" t="s">
        <v>47</v>
      </c>
      <c r="G78" s="60" t="s">
        <v>47</v>
      </c>
      <c r="H78" s="64">
        <v>6.25</v>
      </c>
    </row>
    <row r="79" spans="1:8">
      <c r="A79" s="105"/>
      <c r="B79" s="116" t="s">
        <v>66</v>
      </c>
      <c r="C79" s="103" t="s">
        <v>67</v>
      </c>
      <c r="D79" s="106">
        <v>4.25</v>
      </c>
      <c r="E79" s="106">
        <v>6.25</v>
      </c>
      <c r="F79" s="60" t="s">
        <v>47</v>
      </c>
      <c r="G79" s="60" t="s">
        <v>47</v>
      </c>
      <c r="H79" s="64">
        <v>6.25</v>
      </c>
    </row>
    <row r="80" spans="1:8">
      <c r="A80" s="105"/>
      <c r="B80" s="116" t="s">
        <v>68</v>
      </c>
      <c r="C80" s="103" t="s">
        <v>69</v>
      </c>
      <c r="D80" s="106">
        <v>4.25</v>
      </c>
      <c r="E80" s="106">
        <v>6.25</v>
      </c>
      <c r="F80" s="60" t="s">
        <v>47</v>
      </c>
      <c r="G80" s="60" t="s">
        <v>47</v>
      </c>
      <c r="H80" s="64">
        <v>6.25</v>
      </c>
    </row>
    <row r="81" spans="1:8">
      <c r="A81" s="105"/>
      <c r="B81" s="116" t="s">
        <v>45</v>
      </c>
      <c r="C81" s="103" t="s">
        <v>46</v>
      </c>
      <c r="D81" s="106">
        <v>4.25</v>
      </c>
      <c r="E81" s="106">
        <v>6.25</v>
      </c>
      <c r="F81" s="60" t="s">
        <v>47</v>
      </c>
      <c r="G81" s="60" t="s">
        <v>47</v>
      </c>
      <c r="H81" s="64">
        <v>6.25</v>
      </c>
    </row>
    <row r="82" spans="1:8">
      <c r="A82" s="105"/>
      <c r="B82" s="116" t="s">
        <v>48</v>
      </c>
      <c r="C82" s="103" t="s">
        <v>49</v>
      </c>
      <c r="D82" s="106">
        <v>4.25</v>
      </c>
      <c r="E82" s="64">
        <v>6.25</v>
      </c>
      <c r="F82" s="60" t="s">
        <v>47</v>
      </c>
      <c r="G82" s="60" t="s">
        <v>47</v>
      </c>
      <c r="H82" s="64">
        <v>6.25</v>
      </c>
    </row>
    <row r="83" spans="1:8">
      <c r="A83" s="105"/>
      <c r="B83" s="116" t="s">
        <v>50</v>
      </c>
      <c r="C83" s="103" t="s">
        <v>51</v>
      </c>
      <c r="D83" s="106">
        <v>4.25</v>
      </c>
      <c r="E83" s="64">
        <v>6.25</v>
      </c>
      <c r="F83" s="60" t="s">
        <v>47</v>
      </c>
      <c r="G83" s="60" t="s">
        <v>47</v>
      </c>
      <c r="H83" s="64">
        <v>6.25</v>
      </c>
    </row>
    <row r="84" spans="1:8">
      <c r="A84" s="105"/>
      <c r="B84" s="116" t="s">
        <v>52</v>
      </c>
      <c r="C84" s="103" t="s">
        <v>53</v>
      </c>
      <c r="D84" s="106">
        <v>4.25</v>
      </c>
      <c r="E84" s="64">
        <v>6.25</v>
      </c>
      <c r="F84" s="60" t="s">
        <v>47</v>
      </c>
      <c r="G84" s="60" t="s">
        <v>47</v>
      </c>
      <c r="H84" s="64">
        <v>6.25</v>
      </c>
    </row>
    <row r="85" spans="1:8">
      <c r="A85" s="105"/>
      <c r="B85" s="116" t="s">
        <v>54</v>
      </c>
      <c r="C85" s="103" t="s">
        <v>55</v>
      </c>
      <c r="D85" s="106">
        <v>4</v>
      </c>
      <c r="E85" s="64">
        <v>7</v>
      </c>
      <c r="F85" s="60" t="s">
        <v>47</v>
      </c>
      <c r="G85" s="60" t="s">
        <v>47</v>
      </c>
      <c r="H85" s="64">
        <v>7</v>
      </c>
    </row>
    <row r="86" spans="1:8">
      <c r="A86" s="105"/>
      <c r="B86" s="116" t="s">
        <v>56</v>
      </c>
      <c r="C86" s="103" t="s">
        <v>57</v>
      </c>
      <c r="D86" s="106">
        <v>4</v>
      </c>
      <c r="E86" s="64">
        <v>7</v>
      </c>
      <c r="F86" s="60" t="s">
        <v>47</v>
      </c>
      <c r="G86" s="60" t="s">
        <v>47</v>
      </c>
      <c r="H86" s="64">
        <v>7</v>
      </c>
    </row>
    <row r="87" spans="1:8">
      <c r="A87" s="105"/>
      <c r="B87" s="116" t="s">
        <v>58</v>
      </c>
      <c r="C87" s="103" t="s">
        <v>59</v>
      </c>
      <c r="D87" s="106">
        <v>4</v>
      </c>
      <c r="E87" s="64">
        <v>7</v>
      </c>
      <c r="F87" s="60" t="s">
        <v>47</v>
      </c>
      <c r="G87" s="60" t="s">
        <v>47</v>
      </c>
      <c r="H87" s="64">
        <v>7</v>
      </c>
    </row>
    <row r="88" spans="1:8">
      <c r="A88" s="105"/>
      <c r="B88" s="116"/>
      <c r="D88" s="106"/>
      <c r="E88" s="64"/>
      <c r="F88" s="60"/>
      <c r="G88" s="60"/>
      <c r="H88" s="64"/>
    </row>
    <row r="89" spans="1:8">
      <c r="A89" s="105" t="s">
        <v>70</v>
      </c>
      <c r="B89" s="116" t="s">
        <v>60</v>
      </c>
      <c r="C89" s="103" t="s">
        <v>61</v>
      </c>
      <c r="D89" s="106">
        <v>4</v>
      </c>
      <c r="E89" s="64">
        <v>7</v>
      </c>
      <c r="F89" s="60" t="s">
        <v>47</v>
      </c>
      <c r="G89" s="60" t="s">
        <v>47</v>
      </c>
      <c r="H89" s="64">
        <v>7</v>
      </c>
    </row>
    <row r="90" spans="1:8">
      <c r="A90" s="105"/>
      <c r="B90" s="116" t="s">
        <v>62</v>
      </c>
      <c r="C90" s="103" t="s">
        <v>63</v>
      </c>
      <c r="D90" s="106">
        <v>4</v>
      </c>
      <c r="E90" s="64">
        <v>7</v>
      </c>
      <c r="F90" s="60" t="s">
        <v>47</v>
      </c>
      <c r="G90" s="60" t="s">
        <v>47</v>
      </c>
      <c r="H90" s="64">
        <v>7</v>
      </c>
    </row>
    <row r="91" spans="1:8">
      <c r="A91" s="105"/>
      <c r="B91" s="116" t="s">
        <v>64</v>
      </c>
      <c r="C91" s="103" t="s">
        <v>65</v>
      </c>
      <c r="D91" s="106">
        <v>4</v>
      </c>
      <c r="E91" s="64">
        <v>7</v>
      </c>
      <c r="F91" s="60" t="s">
        <v>47</v>
      </c>
      <c r="G91" s="60" t="s">
        <v>47</v>
      </c>
      <c r="H91" s="64">
        <v>7</v>
      </c>
    </row>
    <row r="92" spans="1:8">
      <c r="A92" s="105"/>
      <c r="B92" s="116" t="s">
        <v>66</v>
      </c>
      <c r="C92" s="103" t="s">
        <v>67</v>
      </c>
      <c r="D92" s="106">
        <v>4</v>
      </c>
      <c r="E92" s="64">
        <v>7</v>
      </c>
      <c r="F92" s="60" t="s">
        <v>47</v>
      </c>
      <c r="G92" s="60" t="s">
        <v>47</v>
      </c>
      <c r="H92" s="64">
        <v>7</v>
      </c>
    </row>
    <row r="93" spans="1:8">
      <c r="A93" s="105"/>
      <c r="B93" s="116" t="s">
        <v>68</v>
      </c>
      <c r="C93" s="103" t="s">
        <v>69</v>
      </c>
      <c r="D93" s="106">
        <v>4</v>
      </c>
      <c r="E93" s="64">
        <v>7</v>
      </c>
      <c r="F93" s="60" t="s">
        <v>47</v>
      </c>
      <c r="G93" s="60" t="s">
        <v>47</v>
      </c>
      <c r="H93" s="64">
        <v>7</v>
      </c>
    </row>
    <row r="94" spans="1:8">
      <c r="A94" s="105"/>
      <c r="B94" s="116" t="s">
        <v>45</v>
      </c>
      <c r="C94" s="103" t="s">
        <v>46</v>
      </c>
      <c r="D94" s="106">
        <v>4</v>
      </c>
      <c r="E94" s="64">
        <v>7</v>
      </c>
      <c r="F94" s="60" t="s">
        <v>47</v>
      </c>
      <c r="G94" s="60" t="s">
        <v>47</v>
      </c>
      <c r="H94" s="64">
        <v>7</v>
      </c>
    </row>
    <row r="95" spans="1:8">
      <c r="A95" s="105"/>
      <c r="B95" s="116" t="s">
        <v>48</v>
      </c>
      <c r="C95" s="103" t="s">
        <v>49</v>
      </c>
      <c r="D95" s="106">
        <v>4</v>
      </c>
      <c r="E95" s="64">
        <v>7</v>
      </c>
      <c r="F95" s="60" t="s">
        <v>47</v>
      </c>
      <c r="G95" s="60" t="s">
        <v>47</v>
      </c>
      <c r="H95" s="64">
        <v>7</v>
      </c>
    </row>
    <row r="96" spans="1:8">
      <c r="A96" s="105"/>
      <c r="B96" s="116" t="s">
        <v>50</v>
      </c>
      <c r="C96" s="103" t="s">
        <v>51</v>
      </c>
      <c r="D96" s="106">
        <v>4</v>
      </c>
      <c r="E96" s="64">
        <v>7</v>
      </c>
      <c r="F96" s="60" t="s">
        <v>47</v>
      </c>
      <c r="G96" s="60" t="s">
        <v>47</v>
      </c>
      <c r="H96" s="64">
        <v>7</v>
      </c>
    </row>
    <row r="97" spans="1:8">
      <c r="A97" s="105"/>
      <c r="B97" s="116" t="s">
        <v>52</v>
      </c>
      <c r="C97" s="103" t="s">
        <v>53</v>
      </c>
      <c r="D97" s="107" t="s">
        <v>47</v>
      </c>
      <c r="E97" s="64">
        <v>6.88</v>
      </c>
      <c r="F97" s="65">
        <v>6</v>
      </c>
      <c r="G97" s="65" t="s">
        <v>47</v>
      </c>
      <c r="H97" s="64">
        <v>6.88</v>
      </c>
    </row>
    <row r="98" spans="1:8">
      <c r="A98" s="105"/>
      <c r="B98" s="116" t="s">
        <v>54</v>
      </c>
      <c r="C98" s="103" t="s">
        <v>55</v>
      </c>
      <c r="D98" s="107" t="s">
        <v>47</v>
      </c>
      <c r="E98" s="64">
        <v>6.5</v>
      </c>
      <c r="F98" s="65">
        <v>6.4</v>
      </c>
      <c r="G98" s="65" t="s">
        <v>47</v>
      </c>
      <c r="H98" s="64">
        <v>6.5</v>
      </c>
    </row>
    <row r="99" spans="1:8">
      <c r="A99" s="105"/>
      <c r="B99" s="116" t="s">
        <v>56</v>
      </c>
      <c r="C99" s="103" t="s">
        <v>57</v>
      </c>
      <c r="D99" s="107" t="s">
        <v>47</v>
      </c>
      <c r="E99" s="64">
        <v>6.25</v>
      </c>
      <c r="F99" s="65">
        <v>5.95</v>
      </c>
      <c r="G99" s="65" t="s">
        <v>47</v>
      </c>
      <c r="H99" s="64">
        <v>6.25</v>
      </c>
    </row>
    <row r="100" spans="1:8">
      <c r="A100" s="105"/>
      <c r="B100" s="116" t="s">
        <v>58</v>
      </c>
      <c r="C100" s="103" t="s">
        <v>59</v>
      </c>
      <c r="D100" s="107" t="s">
        <v>47</v>
      </c>
      <c r="E100" s="64">
        <v>6.25</v>
      </c>
      <c r="F100" s="65">
        <v>5.56</v>
      </c>
      <c r="G100" s="65" t="s">
        <v>47</v>
      </c>
      <c r="H100" s="64">
        <v>6.25</v>
      </c>
    </row>
    <row r="101" spans="1:8">
      <c r="A101" s="105"/>
      <c r="B101" s="116"/>
      <c r="C101" s="66"/>
      <c r="D101" s="107"/>
      <c r="E101" s="64"/>
      <c r="F101" s="65"/>
      <c r="G101" s="65"/>
      <c r="H101" s="64"/>
    </row>
    <row r="102" spans="1:8">
      <c r="A102" s="105" t="s">
        <v>71</v>
      </c>
      <c r="B102" s="116" t="s">
        <v>60</v>
      </c>
      <c r="C102" s="103" t="s">
        <v>61</v>
      </c>
      <c r="D102" s="107" t="s">
        <v>47</v>
      </c>
      <c r="E102" s="64">
        <v>6.25</v>
      </c>
      <c r="F102" s="65">
        <v>5.56</v>
      </c>
      <c r="G102" s="65">
        <v>6.3705400000000001</v>
      </c>
      <c r="H102" s="64">
        <v>6.25</v>
      </c>
    </row>
    <row r="103" spans="1:8">
      <c r="A103" s="105"/>
      <c r="B103" s="116" t="s">
        <v>62</v>
      </c>
      <c r="C103" s="103" t="s">
        <v>63</v>
      </c>
      <c r="D103" s="107" t="s">
        <v>47</v>
      </c>
      <c r="E103" s="64">
        <v>6.25</v>
      </c>
      <c r="F103" s="65">
        <v>5.94</v>
      </c>
      <c r="G103" s="65">
        <v>6.04</v>
      </c>
      <c r="H103" s="64">
        <v>6.25</v>
      </c>
    </row>
    <row r="104" spans="1:8">
      <c r="A104" s="105"/>
      <c r="B104" s="116" t="s">
        <v>64</v>
      </c>
      <c r="C104" s="103" t="s">
        <v>65</v>
      </c>
      <c r="D104" s="107" t="s">
        <v>47</v>
      </c>
      <c r="E104" s="64">
        <v>6.25</v>
      </c>
      <c r="F104" s="65">
        <v>5.88</v>
      </c>
      <c r="G104" s="65">
        <v>5.6741099999999998</v>
      </c>
      <c r="H104" s="64">
        <v>6.25</v>
      </c>
    </row>
    <row r="105" spans="1:8">
      <c r="A105" s="105"/>
      <c r="B105" s="116" t="s">
        <v>66</v>
      </c>
      <c r="C105" s="103" t="s">
        <v>67</v>
      </c>
      <c r="D105" s="107" t="s">
        <v>47</v>
      </c>
      <c r="E105" s="64">
        <v>6.25</v>
      </c>
      <c r="F105" s="65">
        <v>4.5</v>
      </c>
      <c r="G105" s="65">
        <v>4.7924100000000003</v>
      </c>
      <c r="H105" s="64">
        <v>6.25</v>
      </c>
    </row>
    <row r="106" spans="1:8">
      <c r="A106" s="105"/>
      <c r="B106" s="116" t="s">
        <v>68</v>
      </c>
      <c r="C106" s="103" t="s">
        <v>69</v>
      </c>
      <c r="D106" s="107" t="s">
        <v>47</v>
      </c>
      <c r="E106" s="64">
        <v>6.25</v>
      </c>
      <c r="F106" s="65">
        <v>5.13</v>
      </c>
      <c r="G106" s="65">
        <v>5.1651800000000003</v>
      </c>
      <c r="H106" s="64">
        <v>6.25</v>
      </c>
    </row>
    <row r="107" spans="1:8">
      <c r="A107" s="105"/>
      <c r="B107" s="116" t="s">
        <v>45</v>
      </c>
      <c r="C107" s="103" t="s">
        <v>46</v>
      </c>
      <c r="D107" s="107" t="s">
        <v>47</v>
      </c>
      <c r="E107" s="64">
        <v>6.25</v>
      </c>
      <c r="F107" s="65">
        <v>6.06</v>
      </c>
      <c r="G107" s="65">
        <v>5.8705400000000001</v>
      </c>
      <c r="H107" s="64">
        <v>6.25</v>
      </c>
    </row>
    <row r="108" spans="1:8">
      <c r="A108" s="105"/>
      <c r="B108" s="116" t="s">
        <v>48</v>
      </c>
      <c r="C108" s="103" t="s">
        <v>49</v>
      </c>
      <c r="D108" s="107" t="s">
        <v>47</v>
      </c>
      <c r="E108" s="64">
        <v>6.5</v>
      </c>
      <c r="F108" s="65">
        <v>5.75</v>
      </c>
      <c r="G108" s="65">
        <v>6.1428599999999998</v>
      </c>
      <c r="H108" s="64">
        <v>6.5</v>
      </c>
    </row>
    <row r="109" spans="1:8">
      <c r="A109" s="105"/>
      <c r="B109" s="116" t="s">
        <v>50</v>
      </c>
      <c r="C109" s="103" t="s">
        <v>51</v>
      </c>
      <c r="D109" s="107" t="s">
        <v>47</v>
      </c>
      <c r="E109" s="64">
        <v>6.75</v>
      </c>
      <c r="F109" s="65">
        <v>5.94</v>
      </c>
      <c r="G109" s="65">
        <v>6.40625</v>
      </c>
      <c r="H109" s="64">
        <v>6.75</v>
      </c>
    </row>
    <row r="110" spans="1:8">
      <c r="A110" s="105"/>
      <c r="B110" s="116" t="s">
        <v>52</v>
      </c>
      <c r="C110" s="103" t="s">
        <v>53</v>
      </c>
      <c r="D110" s="107" t="s">
        <v>47</v>
      </c>
      <c r="E110" s="64">
        <v>6.75</v>
      </c>
      <c r="F110" s="65">
        <v>4.88</v>
      </c>
      <c r="G110" s="65">
        <v>5.5357099999999999</v>
      </c>
      <c r="H110" s="64">
        <v>6.75</v>
      </c>
    </row>
    <row r="111" spans="1:8">
      <c r="A111" s="105"/>
      <c r="B111" s="116" t="s">
        <v>54</v>
      </c>
      <c r="C111" s="103" t="s">
        <v>55</v>
      </c>
      <c r="D111" s="107" t="s">
        <v>47</v>
      </c>
      <c r="E111" s="64">
        <v>6.75</v>
      </c>
      <c r="F111" s="65">
        <v>6.25</v>
      </c>
      <c r="G111" s="65">
        <v>6.3281299999999998</v>
      </c>
      <c r="H111" s="64">
        <v>6.75</v>
      </c>
    </row>
    <row r="112" spans="1:8">
      <c r="A112" s="105"/>
      <c r="B112" s="116" t="s">
        <v>56</v>
      </c>
      <c r="C112" s="103" t="s">
        <v>57</v>
      </c>
      <c r="D112" s="107" t="s">
        <v>47</v>
      </c>
      <c r="E112" s="64">
        <v>7</v>
      </c>
      <c r="F112" s="65">
        <v>5.63</v>
      </c>
      <c r="G112" s="65">
        <v>6.0714300000000003</v>
      </c>
      <c r="H112" s="64">
        <v>7</v>
      </c>
    </row>
    <row r="113" spans="1:8">
      <c r="A113" s="105"/>
      <c r="B113" s="116" t="s">
        <v>58</v>
      </c>
      <c r="C113" s="103" t="s">
        <v>59</v>
      </c>
      <c r="D113" s="107" t="s">
        <v>72</v>
      </c>
      <c r="E113" s="64">
        <v>7</v>
      </c>
      <c r="F113" s="65">
        <v>1.69</v>
      </c>
      <c r="G113" s="65">
        <v>5.62723</v>
      </c>
      <c r="H113" s="64">
        <v>7</v>
      </c>
    </row>
    <row r="114" spans="1:8">
      <c r="A114" s="105"/>
      <c r="B114" s="116"/>
      <c r="C114" s="67"/>
      <c r="D114" s="107"/>
      <c r="E114" s="64"/>
      <c r="F114" s="65"/>
      <c r="G114" s="65"/>
      <c r="H114" s="64"/>
    </row>
    <row r="115" spans="1:8">
      <c r="A115" s="105" t="s">
        <v>73</v>
      </c>
      <c r="B115" s="116" t="s">
        <v>60</v>
      </c>
      <c r="C115" s="103" t="s">
        <v>61</v>
      </c>
      <c r="D115" s="107" t="s">
        <v>72</v>
      </c>
      <c r="E115" s="64">
        <v>7</v>
      </c>
      <c r="F115" s="65">
        <v>5.19</v>
      </c>
      <c r="G115" s="65">
        <v>5.8526800000000003</v>
      </c>
      <c r="H115" s="64">
        <v>7</v>
      </c>
    </row>
    <row r="116" spans="1:8">
      <c r="A116" s="105"/>
      <c r="B116" s="116" t="s">
        <v>62</v>
      </c>
      <c r="C116" s="103" t="s">
        <v>63</v>
      </c>
      <c r="D116" s="107" t="s">
        <v>72</v>
      </c>
      <c r="E116" s="64">
        <v>7.25</v>
      </c>
      <c r="F116" s="65">
        <v>5.44</v>
      </c>
      <c r="G116" s="65">
        <v>5.9821400000000002</v>
      </c>
      <c r="H116" s="64">
        <v>7.25</v>
      </c>
    </row>
    <row r="117" spans="1:8">
      <c r="A117" s="105"/>
      <c r="B117" s="116" t="s">
        <v>64</v>
      </c>
      <c r="C117" s="103" t="s">
        <v>65</v>
      </c>
      <c r="D117" s="107" t="s">
        <v>72</v>
      </c>
      <c r="E117" s="64">
        <v>7.5</v>
      </c>
      <c r="F117" s="65">
        <v>5.88</v>
      </c>
      <c r="G117" s="65">
        <v>5.8794599999999999</v>
      </c>
      <c r="H117" s="64">
        <v>7.5</v>
      </c>
    </row>
    <row r="118" spans="1:8">
      <c r="A118" s="105"/>
      <c r="B118" s="116" t="s">
        <v>66</v>
      </c>
      <c r="C118" s="103" t="s">
        <v>67</v>
      </c>
      <c r="D118" s="107" t="s">
        <v>72</v>
      </c>
      <c r="E118" s="64">
        <v>7.5</v>
      </c>
      <c r="F118" s="65">
        <v>6.38</v>
      </c>
      <c r="G118" s="65">
        <v>6.6004500000000004</v>
      </c>
      <c r="H118" s="64">
        <v>7.5</v>
      </c>
    </row>
    <row r="119" spans="1:8">
      <c r="A119" s="105"/>
      <c r="B119" s="116" t="s">
        <v>68</v>
      </c>
      <c r="C119" s="103" t="s">
        <v>69</v>
      </c>
      <c r="D119" s="107" t="s">
        <v>72</v>
      </c>
      <c r="E119" s="64">
        <v>8</v>
      </c>
      <c r="F119" s="65">
        <v>7</v>
      </c>
      <c r="G119" s="65">
        <v>6.7254500000000004</v>
      </c>
      <c r="H119" s="64">
        <v>8</v>
      </c>
    </row>
    <row r="120" spans="1:8">
      <c r="A120" s="105"/>
      <c r="B120" s="116" t="s">
        <v>45</v>
      </c>
      <c r="C120" s="103" t="s">
        <v>46</v>
      </c>
      <c r="D120" s="107" t="s">
        <v>72</v>
      </c>
      <c r="E120" s="64">
        <v>8</v>
      </c>
      <c r="F120" s="65">
        <v>5.88</v>
      </c>
      <c r="G120" s="65">
        <v>6.14</v>
      </c>
      <c r="H120" s="64">
        <v>8</v>
      </c>
    </row>
    <row r="121" spans="1:8">
      <c r="A121" s="105"/>
      <c r="B121" s="116" t="s">
        <v>48</v>
      </c>
      <c r="C121" s="103" t="s">
        <v>49</v>
      </c>
      <c r="D121" s="107" t="s">
        <v>72</v>
      </c>
      <c r="E121" s="64">
        <v>8</v>
      </c>
      <c r="F121" s="65">
        <v>5.88</v>
      </c>
      <c r="G121" s="65">
        <v>5.85</v>
      </c>
      <c r="H121" s="64">
        <v>8</v>
      </c>
    </row>
    <row r="122" spans="1:8">
      <c r="A122" s="105"/>
      <c r="B122" s="116" t="s">
        <v>50</v>
      </c>
      <c r="C122" s="103" t="s">
        <v>51</v>
      </c>
      <c r="D122" s="107" t="s">
        <v>72</v>
      </c>
      <c r="E122" s="64">
        <v>8</v>
      </c>
      <c r="F122" s="65">
        <v>6.25</v>
      </c>
      <c r="G122" s="65">
        <v>6.49</v>
      </c>
      <c r="H122" s="64">
        <v>8</v>
      </c>
    </row>
    <row r="123" spans="1:8">
      <c r="A123" s="105"/>
      <c r="B123" s="116" t="s">
        <v>52</v>
      </c>
      <c r="C123" s="103" t="s">
        <v>53</v>
      </c>
      <c r="D123" s="107" t="s">
        <v>72</v>
      </c>
      <c r="E123" s="64">
        <v>8</v>
      </c>
      <c r="F123" s="65">
        <v>6.31</v>
      </c>
      <c r="G123" s="65">
        <v>6.31</v>
      </c>
      <c r="H123" s="64">
        <v>8</v>
      </c>
    </row>
    <row r="124" spans="1:8">
      <c r="A124" s="105"/>
      <c r="B124" s="116" t="s">
        <v>54</v>
      </c>
      <c r="C124" s="103" t="s">
        <v>55</v>
      </c>
      <c r="D124" s="107" t="s">
        <v>72</v>
      </c>
      <c r="E124" s="64">
        <v>8</v>
      </c>
      <c r="F124" s="65">
        <v>6</v>
      </c>
      <c r="G124" s="65">
        <v>5.90402</v>
      </c>
      <c r="H124" s="64">
        <v>8</v>
      </c>
    </row>
    <row r="125" spans="1:8">
      <c r="A125" s="105"/>
      <c r="B125" s="116" t="s">
        <v>56</v>
      </c>
      <c r="C125" s="103" t="s">
        <v>57</v>
      </c>
      <c r="D125" s="107" t="s">
        <v>72</v>
      </c>
      <c r="E125" s="64">
        <v>8</v>
      </c>
      <c r="F125" s="65">
        <v>5.5</v>
      </c>
      <c r="G125" s="65">
        <v>5.7709000000000001</v>
      </c>
      <c r="H125" s="64">
        <v>8</v>
      </c>
    </row>
    <row r="126" spans="1:8">
      <c r="A126" s="105"/>
      <c r="B126" s="116" t="s">
        <v>58</v>
      </c>
      <c r="C126" s="103" t="s">
        <v>59</v>
      </c>
      <c r="D126" s="107" t="s">
        <v>72</v>
      </c>
      <c r="E126" s="64">
        <v>8</v>
      </c>
      <c r="F126" s="65">
        <v>7.06</v>
      </c>
      <c r="G126" s="65">
        <v>6.31</v>
      </c>
      <c r="H126" s="64">
        <v>8</v>
      </c>
    </row>
    <row r="127" spans="1:8">
      <c r="A127" s="105"/>
      <c r="B127" s="116"/>
      <c r="D127" s="107"/>
      <c r="E127" s="64"/>
      <c r="F127" s="65"/>
      <c r="G127" s="65"/>
      <c r="H127" s="64"/>
    </row>
    <row r="128" spans="1:8">
      <c r="A128" s="105">
        <v>2001</v>
      </c>
      <c r="B128" s="116" t="s">
        <v>60</v>
      </c>
      <c r="C128" s="103" t="s">
        <v>61</v>
      </c>
      <c r="D128" s="107" t="s">
        <v>72</v>
      </c>
      <c r="E128" s="64">
        <v>7.5</v>
      </c>
      <c r="F128" s="65">
        <v>5.81</v>
      </c>
      <c r="G128" s="65">
        <v>5.3392900000000001</v>
      </c>
      <c r="H128" s="64">
        <v>7.5</v>
      </c>
    </row>
    <row r="129" spans="1:8">
      <c r="A129" s="105"/>
      <c r="B129" s="116" t="s">
        <v>62</v>
      </c>
      <c r="C129" s="103" t="s">
        <v>63</v>
      </c>
      <c r="D129" s="107" t="s">
        <v>72</v>
      </c>
      <c r="E129" s="64">
        <v>7</v>
      </c>
      <c r="F129" s="65">
        <v>5.31</v>
      </c>
      <c r="G129" s="65">
        <v>5.0199999999999996</v>
      </c>
      <c r="H129" s="64">
        <v>7</v>
      </c>
    </row>
    <row r="130" spans="1:8">
      <c r="A130" s="105"/>
      <c r="B130" s="116" t="s">
        <v>64</v>
      </c>
      <c r="C130" s="103" t="s">
        <v>65</v>
      </c>
      <c r="D130" s="107" t="s">
        <v>72</v>
      </c>
      <c r="E130" s="64">
        <v>6.5</v>
      </c>
      <c r="F130" s="65">
        <v>5.69</v>
      </c>
      <c r="G130" s="65">
        <v>5.1406299999999998</v>
      </c>
      <c r="H130" s="64">
        <v>6.5</v>
      </c>
    </row>
    <row r="131" spans="1:8">
      <c r="A131" s="105"/>
      <c r="B131" s="116" t="s">
        <v>66</v>
      </c>
      <c r="C131" s="103" t="s">
        <v>67</v>
      </c>
      <c r="D131" s="107" t="s">
        <v>72</v>
      </c>
      <c r="E131" s="64">
        <v>6</v>
      </c>
      <c r="F131" s="65">
        <v>4.25</v>
      </c>
      <c r="G131" s="65">
        <v>4.29</v>
      </c>
      <c r="H131" s="64">
        <v>6</v>
      </c>
    </row>
    <row r="132" spans="1:8">
      <c r="A132" s="105"/>
      <c r="B132" s="116" t="s">
        <v>68</v>
      </c>
      <c r="C132" s="103" t="s">
        <v>69</v>
      </c>
      <c r="D132" s="107" t="s">
        <v>72</v>
      </c>
      <c r="E132" s="64">
        <v>5.5</v>
      </c>
      <c r="F132" s="65">
        <v>4.13</v>
      </c>
      <c r="G132" s="65">
        <v>3.91</v>
      </c>
      <c r="H132" s="64">
        <v>5.5</v>
      </c>
    </row>
    <row r="133" spans="1:8">
      <c r="A133" s="105"/>
      <c r="B133" s="116" t="s">
        <v>45</v>
      </c>
      <c r="C133" s="103" t="s">
        <v>46</v>
      </c>
      <c r="D133" s="107" t="s">
        <v>72</v>
      </c>
      <c r="E133" s="64">
        <v>5.25</v>
      </c>
      <c r="F133" s="65">
        <v>4.0599999999999996</v>
      </c>
      <c r="G133" s="65">
        <v>3.81473</v>
      </c>
      <c r="H133" s="64">
        <v>5.25</v>
      </c>
    </row>
    <row r="134" spans="1:8">
      <c r="A134" s="105"/>
      <c r="B134" s="116" t="s">
        <v>48</v>
      </c>
      <c r="C134" s="103" t="s">
        <v>49</v>
      </c>
      <c r="D134" s="107" t="s">
        <v>72</v>
      </c>
      <c r="E134" s="64">
        <v>5.25</v>
      </c>
      <c r="F134" s="65">
        <v>3.81</v>
      </c>
      <c r="G134" s="65">
        <v>3.68</v>
      </c>
      <c r="H134" s="64">
        <v>5.25</v>
      </c>
    </row>
    <row r="135" spans="1:8">
      <c r="A135" s="105"/>
      <c r="B135" s="116" t="s">
        <v>50</v>
      </c>
      <c r="C135" s="103" t="s">
        <v>51</v>
      </c>
      <c r="D135" s="107" t="s">
        <v>72</v>
      </c>
      <c r="E135" s="64">
        <v>5</v>
      </c>
      <c r="F135" s="65">
        <v>3.63</v>
      </c>
      <c r="G135" s="65">
        <v>3.39</v>
      </c>
      <c r="H135" s="64">
        <v>5</v>
      </c>
    </row>
    <row r="136" spans="1:8">
      <c r="A136" s="105"/>
      <c r="B136" s="116" t="s">
        <v>52</v>
      </c>
      <c r="C136" s="103" t="s">
        <v>53</v>
      </c>
      <c r="D136" s="107" t="s">
        <v>72</v>
      </c>
      <c r="E136" s="64">
        <v>4.5</v>
      </c>
      <c r="F136" s="65">
        <v>3.5</v>
      </c>
      <c r="G136" s="65">
        <v>2.6</v>
      </c>
      <c r="H136" s="64">
        <f>E136</f>
        <v>4.5</v>
      </c>
    </row>
    <row r="137" spans="1:8">
      <c r="A137" s="105"/>
      <c r="B137" s="116" t="s">
        <v>54</v>
      </c>
      <c r="C137" s="103" t="s">
        <v>55</v>
      </c>
      <c r="D137" s="107" t="s">
        <v>72</v>
      </c>
      <c r="E137" s="64">
        <v>4</v>
      </c>
      <c r="F137" s="65">
        <v>2.31</v>
      </c>
      <c r="G137" s="65">
        <v>2.1495500000000001</v>
      </c>
      <c r="H137" s="64">
        <f>E137</f>
        <v>4</v>
      </c>
    </row>
    <row r="138" spans="1:8">
      <c r="A138" s="105"/>
      <c r="B138" s="116" t="s">
        <v>56</v>
      </c>
      <c r="C138" s="103" t="s">
        <v>57</v>
      </c>
      <c r="D138" s="107" t="s">
        <v>72</v>
      </c>
      <c r="E138" s="64">
        <v>3.5</v>
      </c>
      <c r="F138" s="65">
        <v>3.44</v>
      </c>
      <c r="G138" s="65">
        <v>2.21652</v>
      </c>
      <c r="H138" s="64">
        <v>3.5</v>
      </c>
    </row>
    <row r="139" spans="1:8">
      <c r="A139" s="105"/>
      <c r="B139" s="116" t="s">
        <v>58</v>
      </c>
      <c r="C139" s="103" t="s">
        <v>59</v>
      </c>
      <c r="D139" s="107" t="s">
        <v>72</v>
      </c>
      <c r="E139" s="64">
        <v>3.25</v>
      </c>
      <c r="F139" s="65">
        <v>2.5</v>
      </c>
      <c r="G139" s="65">
        <v>2.1049099999999998</v>
      </c>
      <c r="H139" s="64">
        <v>3.25</v>
      </c>
    </row>
    <row r="140" spans="1:8">
      <c r="A140" s="105"/>
      <c r="B140" s="116"/>
      <c r="D140" s="107"/>
      <c r="E140" s="64"/>
      <c r="F140" s="65"/>
      <c r="G140" s="65"/>
      <c r="H140" s="64"/>
    </row>
    <row r="141" spans="1:8">
      <c r="A141" s="105" t="s">
        <v>74</v>
      </c>
      <c r="B141" s="116" t="s">
        <v>60</v>
      </c>
      <c r="C141" s="103" t="s">
        <v>61</v>
      </c>
      <c r="D141" s="107" t="s">
        <v>72</v>
      </c>
      <c r="E141" s="64">
        <v>3.25</v>
      </c>
      <c r="F141" s="65">
        <v>2.13</v>
      </c>
      <c r="G141" s="65">
        <v>1.9799100000000001</v>
      </c>
      <c r="H141" s="64">
        <f>E141</f>
        <v>3.25</v>
      </c>
    </row>
    <row r="142" spans="1:8">
      <c r="A142" s="105"/>
      <c r="B142" s="116" t="s">
        <v>62</v>
      </c>
      <c r="C142" s="103" t="s">
        <v>63</v>
      </c>
      <c r="D142" s="107" t="s">
        <v>72</v>
      </c>
      <c r="E142" s="64">
        <v>3.25</v>
      </c>
      <c r="F142" s="65">
        <v>2.31</v>
      </c>
      <c r="G142" s="65">
        <v>2.0044599999999999</v>
      </c>
      <c r="H142" s="64">
        <f>E142</f>
        <v>3.25</v>
      </c>
    </row>
    <row r="143" spans="1:8">
      <c r="A143" s="105"/>
      <c r="B143" s="116" t="s">
        <v>64</v>
      </c>
      <c r="C143" s="103" t="s">
        <v>65</v>
      </c>
      <c r="D143" s="107" t="s">
        <v>72</v>
      </c>
      <c r="E143" s="64">
        <v>3.25</v>
      </c>
      <c r="F143" s="65">
        <v>2.19</v>
      </c>
      <c r="G143" s="65">
        <v>2.125</v>
      </c>
      <c r="H143" s="64">
        <f>E143</f>
        <v>3.25</v>
      </c>
    </row>
    <row r="144" spans="1:8">
      <c r="A144" s="105"/>
      <c r="B144" s="116" t="s">
        <v>66</v>
      </c>
      <c r="C144" s="103" t="s">
        <v>67</v>
      </c>
      <c r="D144" s="107" t="s">
        <v>72</v>
      </c>
      <c r="E144" s="64">
        <v>3.25</v>
      </c>
      <c r="F144" s="65">
        <v>2.06</v>
      </c>
      <c r="G144" s="65">
        <v>1.89063</v>
      </c>
      <c r="H144" s="64">
        <f>E144</f>
        <v>3.25</v>
      </c>
    </row>
    <row r="145" spans="1:8">
      <c r="A145" s="105"/>
      <c r="B145" s="116" t="s">
        <v>68</v>
      </c>
      <c r="C145" s="103" t="s">
        <v>69</v>
      </c>
      <c r="D145" s="107" t="s">
        <v>72</v>
      </c>
      <c r="E145" s="64">
        <v>3.25</v>
      </c>
      <c r="F145" s="65">
        <v>1.63</v>
      </c>
      <c r="G145" s="65">
        <v>1.73214</v>
      </c>
      <c r="H145" s="64">
        <v>3.25</v>
      </c>
    </row>
    <row r="146" spans="1:8">
      <c r="A146" s="105"/>
      <c r="B146" s="116" t="s">
        <v>45</v>
      </c>
      <c r="C146" s="103" t="s">
        <v>46</v>
      </c>
      <c r="D146" s="107" t="s">
        <v>72</v>
      </c>
      <c r="E146" s="64">
        <v>3.25</v>
      </c>
      <c r="F146" s="65">
        <v>1.88</v>
      </c>
      <c r="G146" s="65">
        <v>1.7857099999999999</v>
      </c>
      <c r="H146" s="64">
        <f>E146</f>
        <v>3.25</v>
      </c>
    </row>
    <row r="147" spans="1:8">
      <c r="A147" s="105"/>
      <c r="B147" s="116" t="s">
        <v>48</v>
      </c>
      <c r="C147" s="103" t="s">
        <v>49</v>
      </c>
      <c r="D147" s="107" t="s">
        <v>72</v>
      </c>
      <c r="E147" s="64">
        <v>3.25</v>
      </c>
      <c r="F147" s="65">
        <v>1.69</v>
      </c>
      <c r="G147" s="65">
        <v>1.74777</v>
      </c>
      <c r="H147" s="64">
        <v>3.25</v>
      </c>
    </row>
    <row r="148" spans="1:8">
      <c r="A148" s="105"/>
      <c r="B148" s="116" t="s">
        <v>50</v>
      </c>
      <c r="C148" s="103" t="s">
        <v>51</v>
      </c>
      <c r="D148" s="107" t="s">
        <v>72</v>
      </c>
      <c r="E148" s="64">
        <v>3.25</v>
      </c>
      <c r="F148" s="65">
        <v>1.83</v>
      </c>
      <c r="G148" s="65">
        <v>1.7455400000000001</v>
      </c>
      <c r="H148" s="64">
        <v>3.25</v>
      </c>
    </row>
    <row r="149" spans="1:8">
      <c r="A149" s="105"/>
      <c r="B149" s="116" t="s">
        <v>52</v>
      </c>
      <c r="C149" s="103" t="s">
        <v>53</v>
      </c>
      <c r="D149" s="107" t="s">
        <v>72</v>
      </c>
      <c r="E149" s="64">
        <v>3.25</v>
      </c>
      <c r="F149" s="65">
        <v>2.02</v>
      </c>
      <c r="G149" s="65">
        <v>1.9129499999999999</v>
      </c>
      <c r="H149" s="64">
        <v>3.25</v>
      </c>
    </row>
    <row r="150" spans="1:8">
      <c r="A150" s="105"/>
      <c r="B150" s="116" t="s">
        <v>54</v>
      </c>
      <c r="C150" s="103" t="s">
        <v>55</v>
      </c>
      <c r="D150" s="107" t="s">
        <v>72</v>
      </c>
      <c r="E150" s="64">
        <v>3.25</v>
      </c>
      <c r="F150" s="65">
        <v>1.99</v>
      </c>
      <c r="G150" s="65">
        <v>1.90848</v>
      </c>
      <c r="H150" s="64">
        <v>3.25</v>
      </c>
    </row>
    <row r="151" spans="1:8">
      <c r="A151" s="105"/>
      <c r="B151" s="116" t="s">
        <v>56</v>
      </c>
      <c r="C151" s="103" t="s">
        <v>57</v>
      </c>
      <c r="D151" s="107" t="s">
        <v>72</v>
      </c>
      <c r="E151" s="64">
        <v>2.75</v>
      </c>
      <c r="F151" s="65">
        <v>1.44</v>
      </c>
      <c r="G151" s="65">
        <v>1.5066999999999999</v>
      </c>
      <c r="H151" s="64">
        <v>2.75</v>
      </c>
    </row>
    <row r="152" spans="1:8">
      <c r="A152" s="105"/>
      <c r="B152" s="116" t="s">
        <v>58</v>
      </c>
      <c r="C152" s="103" t="s">
        <v>59</v>
      </c>
      <c r="D152" s="107" t="s">
        <v>72</v>
      </c>
      <c r="E152" s="64">
        <v>2.75</v>
      </c>
      <c r="F152" s="65">
        <v>1.59</v>
      </c>
      <c r="G152" s="65">
        <v>1.49</v>
      </c>
      <c r="H152" s="64">
        <v>2.75</v>
      </c>
    </row>
    <row r="153" spans="1:8">
      <c r="A153" s="105"/>
      <c r="B153" s="116"/>
      <c r="D153" s="107"/>
      <c r="E153" s="64"/>
      <c r="F153" s="65"/>
      <c r="G153" s="65"/>
      <c r="H153" s="64"/>
    </row>
    <row r="154" spans="1:8">
      <c r="A154" s="105" t="s">
        <v>75</v>
      </c>
      <c r="B154" s="116" t="s">
        <v>60</v>
      </c>
      <c r="C154" s="103" t="s">
        <v>61</v>
      </c>
      <c r="D154" s="107" t="s">
        <v>72</v>
      </c>
      <c r="E154" s="64">
        <v>2.75</v>
      </c>
      <c r="F154" s="65">
        <v>1.47</v>
      </c>
      <c r="G154" s="65">
        <v>1.43973</v>
      </c>
      <c r="H154" s="64">
        <f>E154</f>
        <v>2.75</v>
      </c>
    </row>
    <row r="155" spans="1:8">
      <c r="A155" s="105"/>
      <c r="B155" s="116" t="s">
        <v>62</v>
      </c>
      <c r="C155" s="119" t="s">
        <v>76</v>
      </c>
      <c r="D155" s="107" t="s">
        <v>47</v>
      </c>
      <c r="E155" s="64">
        <v>2.75</v>
      </c>
      <c r="F155" s="65">
        <v>1.25</v>
      </c>
      <c r="G155" s="65">
        <v>1.4174100000000001</v>
      </c>
      <c r="H155" s="64">
        <v>2.75</v>
      </c>
    </row>
    <row r="156" spans="1:8">
      <c r="A156" s="105"/>
      <c r="B156" s="116" t="s">
        <v>64</v>
      </c>
      <c r="C156" s="119" t="s">
        <v>77</v>
      </c>
      <c r="D156" s="107" t="s">
        <v>47</v>
      </c>
      <c r="E156" s="64">
        <v>2.75</v>
      </c>
      <c r="F156" s="65">
        <v>1.4</v>
      </c>
      <c r="G156" s="65">
        <v>1.375</v>
      </c>
      <c r="H156" s="64">
        <v>2.75</v>
      </c>
    </row>
    <row r="157" spans="1:8">
      <c r="A157" s="105"/>
      <c r="B157" s="116" t="s">
        <v>66</v>
      </c>
      <c r="C157" s="119" t="s">
        <v>78</v>
      </c>
      <c r="D157" s="107" t="s">
        <v>47</v>
      </c>
      <c r="E157" s="64">
        <v>2.75</v>
      </c>
      <c r="F157" s="65">
        <v>1.51</v>
      </c>
      <c r="G157" s="65">
        <v>1.56027</v>
      </c>
      <c r="H157" s="64">
        <v>2.75</v>
      </c>
    </row>
    <row r="158" spans="1:8">
      <c r="A158" s="105"/>
      <c r="B158" s="116" t="s">
        <v>68</v>
      </c>
      <c r="C158" s="119" t="s">
        <v>79</v>
      </c>
      <c r="D158" s="107" t="s">
        <v>47</v>
      </c>
      <c r="E158" s="64">
        <v>2.75</v>
      </c>
      <c r="F158" s="65">
        <v>1.4</v>
      </c>
      <c r="G158" s="65">
        <v>1.32813</v>
      </c>
      <c r="H158" s="64">
        <v>2.75</v>
      </c>
    </row>
    <row r="159" spans="1:8">
      <c r="A159" s="105"/>
      <c r="B159" s="116" t="s">
        <v>45</v>
      </c>
      <c r="C159" s="119" t="s">
        <v>80</v>
      </c>
      <c r="D159" s="107" t="s">
        <v>47</v>
      </c>
      <c r="E159" s="64">
        <v>2.5</v>
      </c>
      <c r="F159" s="65">
        <v>1.1499999999999999</v>
      </c>
      <c r="G159" s="65">
        <v>1.10714</v>
      </c>
      <c r="H159" s="64">
        <v>2.5</v>
      </c>
    </row>
    <row r="160" spans="1:8">
      <c r="A160" s="105"/>
      <c r="B160" s="116" t="s">
        <v>48</v>
      </c>
      <c r="C160" s="119" t="s">
        <v>81</v>
      </c>
      <c r="D160" s="107" t="s">
        <v>47</v>
      </c>
      <c r="E160" s="64">
        <v>2.5</v>
      </c>
      <c r="F160" s="65">
        <v>0.99</v>
      </c>
      <c r="G160" s="65">
        <v>1.17188</v>
      </c>
      <c r="H160" s="64">
        <v>2.5</v>
      </c>
    </row>
    <row r="161" spans="1:8">
      <c r="A161" s="105"/>
      <c r="B161" s="116" t="s">
        <v>50</v>
      </c>
      <c r="C161" s="119" t="s">
        <v>82</v>
      </c>
      <c r="D161" s="107" t="s">
        <v>47</v>
      </c>
      <c r="E161" s="64">
        <v>2.5</v>
      </c>
      <c r="F161" s="65">
        <v>0.99</v>
      </c>
      <c r="G161" s="65">
        <v>1.125</v>
      </c>
      <c r="H161" s="64">
        <v>2.5</v>
      </c>
    </row>
    <row r="162" spans="1:8">
      <c r="A162" s="105"/>
      <c r="B162" s="116" t="s">
        <v>52</v>
      </c>
      <c r="C162" s="119" t="s">
        <v>83</v>
      </c>
      <c r="D162" s="107" t="s">
        <v>47</v>
      </c>
      <c r="E162" s="64">
        <v>2.5</v>
      </c>
      <c r="F162" s="65">
        <v>0.61</v>
      </c>
      <c r="G162" s="65">
        <v>0.66295000000000004</v>
      </c>
      <c r="H162" s="64">
        <v>2.5</v>
      </c>
    </row>
    <row r="163" spans="1:8">
      <c r="A163" s="105"/>
      <c r="B163" s="116" t="s">
        <v>54</v>
      </c>
      <c r="C163" s="119" t="s">
        <v>84</v>
      </c>
      <c r="D163" s="107" t="s">
        <v>47</v>
      </c>
      <c r="E163" s="64">
        <v>2.5</v>
      </c>
      <c r="F163" s="65">
        <v>0.03</v>
      </c>
      <c r="G163" s="65">
        <v>0.21875</v>
      </c>
      <c r="H163" s="64">
        <v>2.5</v>
      </c>
    </row>
    <row r="164" spans="1:8">
      <c r="A164" s="105"/>
      <c r="B164" s="116" t="s">
        <v>56</v>
      </c>
      <c r="C164" s="119" t="s">
        <v>85</v>
      </c>
      <c r="D164" s="107" t="s">
        <v>47</v>
      </c>
      <c r="E164" s="64">
        <v>2.5</v>
      </c>
      <c r="F164" s="65">
        <v>0.03</v>
      </c>
      <c r="G164" s="65">
        <v>0.13392999999999999</v>
      </c>
      <c r="H164" s="64">
        <v>2.5</v>
      </c>
    </row>
    <row r="165" spans="1:8">
      <c r="A165" s="105"/>
      <c r="B165" s="116" t="s">
        <v>58</v>
      </c>
      <c r="C165" s="119" t="s">
        <v>86</v>
      </c>
      <c r="D165" s="107" t="s">
        <v>47</v>
      </c>
      <c r="E165" s="64">
        <v>2.5</v>
      </c>
      <c r="F165" s="65">
        <v>8.0000000000000002E-3</v>
      </c>
      <c r="G165" s="65">
        <v>9.1520000000000004E-2</v>
      </c>
      <c r="H165" s="64">
        <v>2.5</v>
      </c>
    </row>
    <row r="166" spans="1:8">
      <c r="A166" s="105"/>
      <c r="B166" s="116"/>
      <c r="C166" s="119"/>
      <c r="D166" s="107"/>
      <c r="E166" s="64"/>
      <c r="F166" s="65"/>
      <c r="G166" s="65"/>
      <c r="H166" s="64"/>
    </row>
    <row r="167" spans="1:8">
      <c r="A167" s="105" t="s">
        <v>87</v>
      </c>
      <c r="B167" s="116" t="s">
        <v>60</v>
      </c>
      <c r="C167" s="103" t="s">
        <v>61</v>
      </c>
      <c r="D167" s="107" t="s">
        <v>47</v>
      </c>
      <c r="E167" s="64">
        <v>2.5</v>
      </c>
      <c r="F167" s="68">
        <v>2E-3</v>
      </c>
      <c r="G167" s="65">
        <v>7.5889999999999999E-2</v>
      </c>
      <c r="H167" s="64">
        <v>2.5</v>
      </c>
    </row>
    <row r="168" spans="1:8">
      <c r="A168" s="105"/>
      <c r="B168" s="116" t="s">
        <v>62</v>
      </c>
      <c r="C168" s="119" t="s">
        <v>76</v>
      </c>
      <c r="D168" s="107" t="s">
        <v>47</v>
      </c>
      <c r="E168" s="64">
        <v>2.5</v>
      </c>
      <c r="F168" s="68">
        <v>6.9999999999999999E-4</v>
      </c>
      <c r="G168" s="65">
        <v>9.7100000000000006E-2</v>
      </c>
      <c r="H168" s="64">
        <v>2.5</v>
      </c>
    </row>
    <row r="169" spans="1:8">
      <c r="A169" s="105"/>
      <c r="B169" s="116" t="s">
        <v>64</v>
      </c>
      <c r="C169" s="119" t="s">
        <v>77</v>
      </c>
      <c r="D169" s="107" t="s">
        <v>47</v>
      </c>
      <c r="E169" s="64">
        <v>2.5</v>
      </c>
      <c r="F169" s="68">
        <v>3.0000000000000001E-3</v>
      </c>
      <c r="G169" s="65">
        <v>7.9240000000000005E-2</v>
      </c>
      <c r="H169" s="64">
        <v>2.5</v>
      </c>
    </row>
    <row r="170" spans="1:8" ht="15" customHeight="1">
      <c r="A170" s="105"/>
      <c r="B170" s="116" t="s">
        <v>66</v>
      </c>
      <c r="C170" s="119" t="s">
        <v>78</v>
      </c>
      <c r="D170" s="107" t="s">
        <v>47</v>
      </c>
      <c r="E170" s="64">
        <v>2.5</v>
      </c>
      <c r="F170" s="68">
        <v>4.0000000000000001E-3</v>
      </c>
      <c r="G170" s="65">
        <v>0.16406000000000001</v>
      </c>
      <c r="H170" s="64">
        <v>2.5</v>
      </c>
    </row>
    <row r="171" spans="1:8" ht="15" customHeight="1">
      <c r="A171" s="105"/>
      <c r="B171" s="116" t="s">
        <v>68</v>
      </c>
      <c r="C171" s="119" t="s">
        <v>79</v>
      </c>
      <c r="D171" s="107" t="s">
        <v>47</v>
      </c>
      <c r="E171" s="64">
        <v>2.5</v>
      </c>
      <c r="F171" s="68">
        <v>0.02</v>
      </c>
      <c r="G171" s="65">
        <v>0.15401999999999999</v>
      </c>
      <c r="H171" s="64">
        <v>2.5</v>
      </c>
    </row>
    <row r="172" spans="1:8" ht="15" customHeight="1">
      <c r="A172" s="105"/>
      <c r="B172" s="116" t="s">
        <v>45</v>
      </c>
      <c r="C172" s="119" t="s">
        <v>80</v>
      </c>
      <c r="D172" s="107" t="s">
        <v>47</v>
      </c>
      <c r="E172" s="64">
        <v>2.5</v>
      </c>
      <c r="F172" s="68">
        <v>0.12</v>
      </c>
      <c r="G172" s="65">
        <v>0.14732000000000001</v>
      </c>
      <c r="H172" s="64">
        <v>2.5</v>
      </c>
    </row>
    <row r="173" spans="1:8" ht="15" customHeight="1">
      <c r="A173" s="105"/>
      <c r="B173" s="116" t="s">
        <v>48</v>
      </c>
      <c r="C173" s="119" t="s">
        <v>81</v>
      </c>
      <c r="D173" s="107" t="s">
        <v>47</v>
      </c>
      <c r="E173" s="64">
        <v>2.75</v>
      </c>
      <c r="F173" s="68">
        <v>0.06</v>
      </c>
      <c r="G173" s="65">
        <v>0.40959999999999996</v>
      </c>
      <c r="H173" s="64">
        <v>2.75</v>
      </c>
    </row>
    <row r="174" spans="1:8" ht="15" customHeight="1">
      <c r="A174" s="105"/>
      <c r="B174" s="116" t="s">
        <v>50</v>
      </c>
      <c r="C174" s="119" t="s">
        <v>82</v>
      </c>
      <c r="D174" s="107" t="s">
        <v>47</v>
      </c>
      <c r="E174" s="64">
        <v>3</v>
      </c>
      <c r="F174" s="68">
        <v>0.14000000000000001</v>
      </c>
      <c r="G174" s="65">
        <v>0.44307999999999997</v>
      </c>
      <c r="H174" s="64">
        <v>3</v>
      </c>
    </row>
    <row r="175" spans="1:8" ht="15" customHeight="1">
      <c r="A175" s="105"/>
      <c r="B175" s="116" t="s">
        <v>52</v>
      </c>
      <c r="C175" s="119" t="s">
        <v>83</v>
      </c>
      <c r="D175" s="107" t="s">
        <v>47</v>
      </c>
      <c r="E175" s="64">
        <v>3.25</v>
      </c>
      <c r="F175" s="68">
        <v>1.07</v>
      </c>
      <c r="G175" s="65">
        <v>1.0024999999999999</v>
      </c>
      <c r="H175" s="64">
        <v>3.25</v>
      </c>
    </row>
    <row r="176" spans="1:8" ht="15" customHeight="1">
      <c r="A176" s="105"/>
      <c r="B176" s="116" t="s">
        <v>54</v>
      </c>
      <c r="C176" s="119" t="s">
        <v>84</v>
      </c>
      <c r="D176" s="107" t="s">
        <v>47</v>
      </c>
      <c r="E176" s="64">
        <v>3.25</v>
      </c>
      <c r="F176" s="68">
        <v>0.03</v>
      </c>
      <c r="G176" s="121">
        <v>0.15562999999999999</v>
      </c>
      <c r="H176" s="64">
        <v>3.25</v>
      </c>
    </row>
    <row r="177" spans="1:10" ht="15" customHeight="1">
      <c r="A177" s="105"/>
      <c r="B177" s="116" t="s">
        <v>56</v>
      </c>
      <c r="C177" s="119" t="s">
        <v>85</v>
      </c>
      <c r="D177" s="107" t="s">
        <v>47</v>
      </c>
      <c r="E177" s="64">
        <v>3.5</v>
      </c>
      <c r="F177" s="122">
        <v>0.24</v>
      </c>
      <c r="G177" s="121">
        <v>0.755</v>
      </c>
      <c r="H177" s="64">
        <v>3.5</v>
      </c>
    </row>
    <row r="178" spans="1:10" ht="15" customHeight="1">
      <c r="A178" s="105"/>
      <c r="B178" s="116" t="s">
        <v>58</v>
      </c>
      <c r="C178" s="119" t="s">
        <v>86</v>
      </c>
      <c r="D178" s="107" t="s">
        <v>47</v>
      </c>
      <c r="E178" s="64">
        <v>3.75</v>
      </c>
      <c r="F178" s="122">
        <v>0.17</v>
      </c>
      <c r="G178" s="121">
        <v>0.27557999999999999</v>
      </c>
      <c r="H178" s="64">
        <v>3.75</v>
      </c>
    </row>
    <row r="179" spans="1:10" ht="15" customHeight="1">
      <c r="A179" s="105"/>
      <c r="B179" s="116"/>
      <c r="C179" s="119"/>
      <c r="D179" s="107"/>
      <c r="E179" s="64"/>
      <c r="F179" s="122"/>
      <c r="G179" s="121"/>
      <c r="H179" s="64"/>
    </row>
    <row r="180" spans="1:10" ht="15" customHeight="1">
      <c r="A180" s="105" t="s">
        <v>88</v>
      </c>
      <c r="B180" s="116" t="s">
        <v>60</v>
      </c>
      <c r="C180" s="103" t="s">
        <v>61</v>
      </c>
      <c r="D180" s="107" t="s">
        <v>47</v>
      </c>
      <c r="E180" s="64">
        <v>3.75</v>
      </c>
      <c r="F180" s="122">
        <v>0.13</v>
      </c>
      <c r="G180" s="121">
        <v>0.56303999999999998</v>
      </c>
      <c r="H180" s="64">
        <v>3.75</v>
      </c>
    </row>
    <row r="181" spans="1:10" ht="15" customHeight="1">
      <c r="A181" s="105"/>
      <c r="B181" s="116" t="s">
        <v>62</v>
      </c>
      <c r="C181" s="103" t="s">
        <v>63</v>
      </c>
      <c r="D181" s="107" t="s">
        <v>47</v>
      </c>
      <c r="E181" s="64">
        <v>4</v>
      </c>
      <c r="F181" s="122">
        <v>1.1200000000000001</v>
      </c>
      <c r="G181" s="121">
        <v>1.7210700000000001</v>
      </c>
      <c r="H181" s="64">
        <v>4</v>
      </c>
    </row>
    <row r="182" spans="1:10" ht="15" customHeight="1">
      <c r="A182" s="105"/>
      <c r="B182" s="116" t="s">
        <v>64</v>
      </c>
      <c r="C182" s="103" t="s">
        <v>89</v>
      </c>
      <c r="D182" s="107" t="s">
        <v>47</v>
      </c>
      <c r="E182" s="64">
        <v>4.25</v>
      </c>
      <c r="F182" s="122">
        <v>2.3199999999999998</v>
      </c>
      <c r="G182" s="121">
        <v>2.5299999999999998</v>
      </c>
      <c r="H182" s="64">
        <v>4.25</v>
      </c>
    </row>
    <row r="183" spans="1:10" ht="15" customHeight="1">
      <c r="A183" s="105"/>
      <c r="B183" s="116" t="s">
        <v>66</v>
      </c>
      <c r="C183" s="103" t="s">
        <v>90</v>
      </c>
      <c r="D183" s="107" t="s">
        <v>47</v>
      </c>
      <c r="E183" s="64">
        <v>4.25</v>
      </c>
      <c r="F183" s="122">
        <v>1.48</v>
      </c>
      <c r="G183" s="121">
        <v>1.95719</v>
      </c>
      <c r="H183" s="64">
        <v>4.25</v>
      </c>
    </row>
    <row r="184" spans="1:10" ht="15" customHeight="1">
      <c r="A184" s="105"/>
      <c r="B184" s="116" t="s">
        <v>68</v>
      </c>
      <c r="C184" s="103" t="s">
        <v>91</v>
      </c>
      <c r="D184" s="107" t="s">
        <v>47</v>
      </c>
      <c r="E184" s="64">
        <v>4.5</v>
      </c>
      <c r="F184" s="122">
        <v>2.85</v>
      </c>
      <c r="G184" s="121">
        <v>3.47</v>
      </c>
      <c r="H184" s="64">
        <v>4.5</v>
      </c>
    </row>
    <row r="185" spans="1:10" ht="15" customHeight="1">
      <c r="A185" s="105"/>
      <c r="B185" s="116" t="s">
        <v>235</v>
      </c>
      <c r="C185" s="103" t="s">
        <v>80</v>
      </c>
      <c r="D185" s="107" t="s">
        <v>47</v>
      </c>
      <c r="E185" s="64">
        <v>4.5</v>
      </c>
      <c r="F185" s="122">
        <v>3.85</v>
      </c>
      <c r="G185" s="121">
        <v>3.3991099999999999</v>
      </c>
      <c r="H185" s="64">
        <v>4.5</v>
      </c>
    </row>
    <row r="186" spans="1:10" ht="15" customHeight="1">
      <c r="A186" s="105"/>
      <c r="B186" s="116" t="s">
        <v>236</v>
      </c>
      <c r="C186" s="103" t="s">
        <v>81</v>
      </c>
      <c r="D186" s="107" t="s">
        <v>47</v>
      </c>
      <c r="E186" s="64">
        <v>4.75</v>
      </c>
      <c r="F186" s="122">
        <v>3.22</v>
      </c>
      <c r="G186" s="121">
        <f>0.0340451*100</f>
        <v>3.4045100000000001</v>
      </c>
      <c r="H186" s="64">
        <v>4.75</v>
      </c>
    </row>
    <row r="187" spans="1:10" ht="15" customHeight="1">
      <c r="A187" s="105"/>
      <c r="B187" s="116" t="s">
        <v>50</v>
      </c>
      <c r="C187" s="103" t="s">
        <v>82</v>
      </c>
      <c r="D187" s="107" t="s">
        <v>47</v>
      </c>
      <c r="E187" s="64">
        <v>5</v>
      </c>
      <c r="F187" s="122">
        <v>3.42</v>
      </c>
      <c r="G187" s="121">
        <v>3.63</v>
      </c>
      <c r="H187" s="64">
        <v>5</v>
      </c>
    </row>
    <row r="188" spans="1:10" ht="15" customHeight="1">
      <c r="A188" s="105"/>
      <c r="B188" s="116" t="s">
        <v>52</v>
      </c>
      <c r="C188" s="103" t="s">
        <v>83</v>
      </c>
      <c r="D188" s="107" t="s">
        <v>47</v>
      </c>
      <c r="E188" s="64">
        <v>5.25</v>
      </c>
      <c r="F188" s="122">
        <v>3.94</v>
      </c>
      <c r="G188" s="121">
        <v>4.1775500000000001</v>
      </c>
      <c r="H188" s="64">
        <v>5.25</v>
      </c>
    </row>
    <row r="189" spans="1:10" ht="15" customHeight="1">
      <c r="A189" s="105"/>
      <c r="B189" s="116" t="s">
        <v>54</v>
      </c>
      <c r="C189" s="103" t="s">
        <v>84</v>
      </c>
      <c r="D189" s="107" t="s">
        <v>47</v>
      </c>
      <c r="E189" s="64">
        <v>5.25</v>
      </c>
      <c r="F189" s="122">
        <v>3.78</v>
      </c>
      <c r="G189" s="121">
        <v>4.2068300000000001</v>
      </c>
      <c r="H189" s="64">
        <v>5.25</v>
      </c>
    </row>
    <row r="190" spans="1:10" ht="15" customHeight="1">
      <c r="A190" s="105"/>
      <c r="B190" s="116" t="s">
        <v>56</v>
      </c>
      <c r="C190" s="103" t="s">
        <v>85</v>
      </c>
      <c r="D190" s="107" t="s">
        <v>47</v>
      </c>
      <c r="E190" s="64">
        <v>5.5</v>
      </c>
      <c r="F190" s="122">
        <v>3.91</v>
      </c>
      <c r="G190" s="121">
        <v>4.0599999999999996</v>
      </c>
      <c r="H190" s="64">
        <v>5.5</v>
      </c>
    </row>
    <row r="191" spans="1:10" ht="15" customHeight="1">
      <c r="A191" s="105"/>
      <c r="B191" s="116" t="s">
        <v>58</v>
      </c>
      <c r="C191" s="103" t="s">
        <v>86</v>
      </c>
      <c r="D191" s="107" t="s">
        <v>47</v>
      </c>
      <c r="E191" s="64">
        <v>5.75</v>
      </c>
      <c r="F191" s="122">
        <v>4.32</v>
      </c>
      <c r="G191" s="121">
        <v>4.09598</v>
      </c>
      <c r="H191" s="64">
        <v>5.75</v>
      </c>
      <c r="J191" s="121"/>
    </row>
    <row r="192" spans="1:10" ht="15" customHeight="1">
      <c r="A192" s="105"/>
      <c r="B192" s="116"/>
      <c r="D192" s="107"/>
      <c r="E192" s="64"/>
      <c r="F192" s="122"/>
      <c r="G192" s="121"/>
      <c r="H192" s="64"/>
      <c r="J192" s="121"/>
    </row>
    <row r="193" spans="1:10" ht="15" customHeight="1">
      <c r="A193" s="105" t="s">
        <v>237</v>
      </c>
      <c r="B193" s="116" t="s">
        <v>60</v>
      </c>
      <c r="C193" s="103" t="s">
        <v>61</v>
      </c>
      <c r="D193" s="107" t="s">
        <v>47</v>
      </c>
      <c r="E193" s="64">
        <v>5.75</v>
      </c>
      <c r="F193" s="122">
        <v>3.83</v>
      </c>
      <c r="G193" s="121">
        <v>3.7261600000000001</v>
      </c>
      <c r="H193" s="64">
        <v>5.75</v>
      </c>
      <c r="J193" s="121"/>
    </row>
    <row r="194" spans="1:10" ht="15" customHeight="1">
      <c r="A194" s="105"/>
      <c r="B194" s="116" t="s">
        <v>62</v>
      </c>
      <c r="C194" s="103" t="s">
        <v>92</v>
      </c>
      <c r="D194" s="107" t="s">
        <v>47</v>
      </c>
      <c r="E194" s="64">
        <v>6</v>
      </c>
      <c r="F194" s="122">
        <v>4.63</v>
      </c>
      <c r="G194" s="121">
        <v>4.0677199999999996</v>
      </c>
      <c r="H194" s="64">
        <v>6</v>
      </c>
      <c r="J194" s="121"/>
    </row>
    <row r="195" spans="1:10" ht="15" customHeight="1">
      <c r="A195" s="105"/>
      <c r="B195" s="116" t="s">
        <v>64</v>
      </c>
      <c r="C195" s="103" t="s">
        <v>93</v>
      </c>
      <c r="D195" s="107" t="s">
        <v>47</v>
      </c>
      <c r="E195" s="64">
        <v>6.25</v>
      </c>
      <c r="F195" s="122">
        <v>3.96</v>
      </c>
      <c r="G195" s="121">
        <v>4.1450899999999997</v>
      </c>
      <c r="H195" s="64">
        <v>6.25</v>
      </c>
      <c r="J195" s="121"/>
    </row>
    <row r="196" spans="1:10" ht="15" customHeight="1">
      <c r="A196" s="105"/>
      <c r="B196" s="116" t="s">
        <v>66</v>
      </c>
      <c r="C196" s="103" t="s">
        <v>90</v>
      </c>
      <c r="D196" s="107" t="s">
        <v>47</v>
      </c>
      <c r="E196" s="64">
        <v>6.25</v>
      </c>
      <c r="F196" s="122">
        <v>4.3499999999999996</v>
      </c>
      <c r="G196" s="121">
        <v>4.6048200000000001</v>
      </c>
      <c r="H196" s="64">
        <v>6.25</v>
      </c>
      <c r="J196" s="121"/>
    </row>
    <row r="197" spans="1:10" ht="15" customHeight="1">
      <c r="A197" s="105"/>
      <c r="B197" s="116" t="s">
        <v>68</v>
      </c>
      <c r="C197" s="103" t="s">
        <v>91</v>
      </c>
      <c r="D197" s="107" t="s">
        <v>47</v>
      </c>
      <c r="E197" s="64">
        <v>6.5</v>
      </c>
      <c r="F197" s="122">
        <v>4.96</v>
      </c>
      <c r="G197" s="121">
        <v>4.5042899999999992</v>
      </c>
      <c r="H197" s="64">
        <v>6.5</v>
      </c>
      <c r="J197" s="121"/>
    </row>
    <row r="198" spans="1:10" ht="15" customHeight="1">
      <c r="A198" s="105"/>
      <c r="B198" s="116" t="s">
        <v>235</v>
      </c>
      <c r="C198" s="103" t="s">
        <v>94</v>
      </c>
      <c r="D198" s="107" t="s">
        <v>47</v>
      </c>
      <c r="E198" s="64">
        <v>6.75</v>
      </c>
      <c r="F198" s="122">
        <v>4.01</v>
      </c>
      <c r="G198" s="121">
        <v>4.1871400000000003</v>
      </c>
      <c r="H198" s="64">
        <v>6.75</v>
      </c>
      <c r="J198" s="121"/>
    </row>
    <row r="199" spans="1:10" ht="15" customHeight="1">
      <c r="A199" s="105"/>
      <c r="B199" s="116" t="s">
        <v>48</v>
      </c>
      <c r="C199" s="103" t="s">
        <v>95</v>
      </c>
      <c r="D199" s="107" t="s">
        <v>47</v>
      </c>
      <c r="E199" s="64">
        <v>6.75</v>
      </c>
      <c r="F199" s="122">
        <v>3.69</v>
      </c>
      <c r="G199" s="121">
        <v>3.8968799999999999</v>
      </c>
      <c r="H199" s="64">
        <v>6.75</v>
      </c>
      <c r="J199" s="121"/>
    </row>
    <row r="200" spans="1:10" ht="15" customHeight="1">
      <c r="A200" s="105"/>
      <c r="B200" s="116" t="s">
        <v>50</v>
      </c>
      <c r="C200" s="103" t="s">
        <v>96</v>
      </c>
      <c r="D200" s="107" t="s">
        <v>47</v>
      </c>
      <c r="E200" s="64">
        <v>6.75</v>
      </c>
      <c r="F200" s="122">
        <v>3.75</v>
      </c>
      <c r="G200" s="121">
        <v>4.1174999999999997</v>
      </c>
      <c r="H200" s="64">
        <v>6.75</v>
      </c>
      <c r="J200" s="121"/>
    </row>
    <row r="201" spans="1:10" ht="15" customHeight="1">
      <c r="A201" s="105"/>
      <c r="B201" s="116" t="s">
        <v>52</v>
      </c>
      <c r="C201" s="103" t="s">
        <v>97</v>
      </c>
      <c r="D201" s="107" t="s">
        <v>47</v>
      </c>
      <c r="E201" s="64">
        <v>6.75</v>
      </c>
      <c r="F201" s="122">
        <v>4.03</v>
      </c>
      <c r="G201" s="121">
        <v>4.2542900000000001</v>
      </c>
      <c r="H201" s="64">
        <v>6.75</v>
      </c>
      <c r="J201" s="121"/>
    </row>
    <row r="202" spans="1:10" ht="15" customHeight="1">
      <c r="A202" s="105"/>
      <c r="B202" s="116" t="s">
        <v>54</v>
      </c>
      <c r="C202" s="103" t="s">
        <v>98</v>
      </c>
      <c r="D202" s="107" t="s">
        <v>47</v>
      </c>
      <c r="E202" s="64">
        <v>6.75</v>
      </c>
      <c r="F202" s="122">
        <v>4.01</v>
      </c>
      <c r="G202" s="121">
        <v>3.9685699999999997</v>
      </c>
      <c r="H202" s="64">
        <v>6.75</v>
      </c>
      <c r="J202" s="121"/>
    </row>
    <row r="203" spans="1:10" ht="15" customHeight="1">
      <c r="A203" s="105"/>
      <c r="B203" s="116" t="s">
        <v>56</v>
      </c>
      <c r="C203" s="103" t="s">
        <v>99</v>
      </c>
      <c r="D203" s="107" t="s">
        <v>47</v>
      </c>
      <c r="E203" s="64">
        <v>6.75</v>
      </c>
      <c r="F203" s="122">
        <v>4.8099999999999996</v>
      </c>
      <c r="G203" s="121">
        <v>4.2521399999999998</v>
      </c>
      <c r="H203" s="64">
        <v>6.75</v>
      </c>
      <c r="J203" s="121"/>
    </row>
    <row r="204" spans="1:10" ht="15" customHeight="1">
      <c r="A204" s="105"/>
      <c r="B204" s="116" t="s">
        <v>58</v>
      </c>
      <c r="C204" s="103" t="s">
        <v>100</v>
      </c>
      <c r="D204" s="107" t="s">
        <v>47</v>
      </c>
      <c r="E204" s="64">
        <v>6.75</v>
      </c>
      <c r="F204" s="122">
        <v>4.09</v>
      </c>
      <c r="G204" s="121">
        <v>3.9061600000000003</v>
      </c>
      <c r="H204" s="64">
        <v>6.75</v>
      </c>
      <c r="J204" s="121"/>
    </row>
    <row r="205" spans="1:10" ht="15" customHeight="1">
      <c r="A205" s="105"/>
      <c r="B205" s="116"/>
      <c r="D205" s="107"/>
      <c r="E205" s="64"/>
      <c r="F205" s="122"/>
      <c r="G205" s="121"/>
      <c r="H205" s="64"/>
      <c r="J205" s="121"/>
    </row>
    <row r="206" spans="1:10" ht="15" customHeight="1">
      <c r="A206" s="105" t="s">
        <v>238</v>
      </c>
      <c r="B206" s="116" t="s">
        <v>239</v>
      </c>
      <c r="C206" s="103" t="s">
        <v>240</v>
      </c>
      <c r="D206" s="107" t="s">
        <v>47</v>
      </c>
      <c r="E206" s="64">
        <v>6.75</v>
      </c>
      <c r="F206" s="122">
        <v>4.0599999999999996</v>
      </c>
      <c r="G206" s="121">
        <v>3.9992899999999998</v>
      </c>
      <c r="H206" s="64">
        <v>6.75</v>
      </c>
      <c r="J206" s="121"/>
    </row>
    <row r="207" spans="1:10" ht="15" customHeight="1">
      <c r="A207" s="105"/>
      <c r="B207" s="116" t="s">
        <v>62</v>
      </c>
      <c r="C207" s="103" t="s">
        <v>92</v>
      </c>
      <c r="D207" s="107" t="s">
        <v>47</v>
      </c>
      <c r="E207" s="64">
        <v>6.75</v>
      </c>
      <c r="F207" s="122">
        <v>4.1500000000000004</v>
      </c>
      <c r="G207" s="121">
        <v>4.15259</v>
      </c>
      <c r="H207" s="64">
        <v>6.75</v>
      </c>
      <c r="J207" s="121"/>
    </row>
    <row r="208" spans="1:10" ht="15" customHeight="1">
      <c r="A208" s="105"/>
      <c r="B208" s="116" t="s">
        <v>64</v>
      </c>
      <c r="C208" s="103" t="s">
        <v>93</v>
      </c>
      <c r="D208" s="107" t="s">
        <v>47</v>
      </c>
      <c r="E208" s="64">
        <v>6.75</v>
      </c>
      <c r="F208" s="122">
        <v>4.91</v>
      </c>
      <c r="G208" s="121">
        <v>4.2249999999999996</v>
      </c>
      <c r="H208" s="64">
        <v>6.75</v>
      </c>
      <c r="J208" s="121"/>
    </row>
    <row r="209" spans="1:10" ht="15" customHeight="1">
      <c r="A209" s="105"/>
      <c r="B209" s="116" t="s">
        <v>66</v>
      </c>
      <c r="C209" s="103" t="s">
        <v>90</v>
      </c>
      <c r="D209" s="107" t="s">
        <v>47</v>
      </c>
      <c r="E209" s="64">
        <v>6.75</v>
      </c>
      <c r="F209" s="122">
        <v>4.4000000000000004</v>
      </c>
      <c r="G209" s="121">
        <v>4.2521399999999998</v>
      </c>
      <c r="H209" s="64">
        <v>6.75</v>
      </c>
      <c r="J209" s="121"/>
    </row>
    <row r="210" spans="1:10" ht="15" customHeight="1">
      <c r="A210" s="105"/>
      <c r="B210" s="116" t="s">
        <v>68</v>
      </c>
      <c r="C210" s="103" t="s">
        <v>91</v>
      </c>
      <c r="D210" s="107" t="s">
        <v>47</v>
      </c>
      <c r="E210" s="64">
        <v>6.75</v>
      </c>
      <c r="F210" s="122">
        <v>4.37</v>
      </c>
      <c r="G210" s="121">
        <v>4.6128599999999995</v>
      </c>
      <c r="H210" s="64">
        <v>6.75</v>
      </c>
      <c r="J210" s="121"/>
    </row>
    <row r="211" spans="1:10" ht="15" customHeight="1">
      <c r="A211" s="105"/>
      <c r="B211" s="116" t="s">
        <v>235</v>
      </c>
      <c r="C211" s="103" t="s">
        <v>94</v>
      </c>
      <c r="D211" s="107" t="s">
        <v>47</v>
      </c>
      <c r="E211" s="64">
        <v>6.75</v>
      </c>
      <c r="F211" s="122">
        <v>4.34</v>
      </c>
      <c r="G211" s="121">
        <v>4.4807100000000002</v>
      </c>
      <c r="H211" s="64">
        <v>6.75</v>
      </c>
      <c r="J211" s="121"/>
    </row>
    <row r="212" spans="1:10" ht="15" customHeight="1">
      <c r="A212" s="105"/>
      <c r="B212" s="116" t="s">
        <v>48</v>
      </c>
      <c r="C212" s="103" t="s">
        <v>95</v>
      </c>
      <c r="D212" s="107" t="s">
        <v>47</v>
      </c>
      <c r="E212" s="64">
        <v>6.75</v>
      </c>
      <c r="F212" s="122">
        <v>4.01</v>
      </c>
      <c r="G212" s="121">
        <v>4.24071</v>
      </c>
      <c r="H212" s="64">
        <v>6.75</v>
      </c>
      <c r="J212" s="121"/>
    </row>
    <row r="213" spans="1:10" ht="15" customHeight="1">
      <c r="A213" s="105"/>
      <c r="B213" s="116" t="s">
        <v>50</v>
      </c>
      <c r="C213" s="103" t="s">
        <v>96</v>
      </c>
      <c r="D213" s="107" t="s">
        <v>47</v>
      </c>
      <c r="E213" s="64">
        <v>6.75</v>
      </c>
      <c r="F213" s="122">
        <v>4.2300000000000004</v>
      </c>
      <c r="G213" s="121">
        <v>4.8971400000000003</v>
      </c>
      <c r="H213" s="64">
        <v>6.75</v>
      </c>
      <c r="J213" s="121"/>
    </row>
    <row r="214" spans="1:10" ht="15" customHeight="1">
      <c r="A214" s="105"/>
      <c r="B214" s="116" t="s">
        <v>52</v>
      </c>
      <c r="C214" s="103" t="s">
        <v>97</v>
      </c>
      <c r="D214" s="107" t="s">
        <v>47</v>
      </c>
      <c r="E214" s="64">
        <v>6.25</v>
      </c>
      <c r="F214" s="122">
        <v>5.5</v>
      </c>
      <c r="G214" s="121">
        <v>5.4664299999999999</v>
      </c>
      <c r="H214" s="64">
        <v>6.25</v>
      </c>
      <c r="J214" s="121"/>
    </row>
    <row r="215" spans="1:10" ht="15" customHeight="1">
      <c r="A215" s="105"/>
      <c r="B215" s="116" t="s">
        <v>54</v>
      </c>
      <c r="C215" s="103" t="s">
        <v>98</v>
      </c>
      <c r="D215" s="107" t="s">
        <v>47</v>
      </c>
      <c r="E215" s="64">
        <v>6.25</v>
      </c>
      <c r="F215" s="122">
        <v>4.6399999999999997</v>
      </c>
      <c r="G215" s="121">
        <v>4.6900000000000004</v>
      </c>
      <c r="H215" s="64">
        <v>6.25</v>
      </c>
      <c r="J215" s="121"/>
    </row>
    <row r="216" spans="1:10" ht="15" customHeight="1">
      <c r="A216" s="105"/>
      <c r="B216" s="116" t="s">
        <v>56</v>
      </c>
      <c r="C216" s="103" t="s">
        <v>99</v>
      </c>
      <c r="D216" s="107" t="s">
        <v>47</v>
      </c>
      <c r="E216" s="64">
        <v>6</v>
      </c>
      <c r="F216" s="122">
        <v>3.46</v>
      </c>
      <c r="G216" s="121">
        <v>3.7507100000000002</v>
      </c>
      <c r="H216" s="64">
        <v>6</v>
      </c>
      <c r="J216" s="121"/>
    </row>
    <row r="217" spans="1:10" ht="15" customHeight="1">
      <c r="A217" s="105"/>
      <c r="B217" s="116" t="s">
        <v>58</v>
      </c>
      <c r="C217" s="103" t="s">
        <v>100</v>
      </c>
      <c r="D217" s="107" t="s">
        <v>47</v>
      </c>
      <c r="E217" s="64">
        <v>5.75</v>
      </c>
      <c r="F217" s="122">
        <v>2.83</v>
      </c>
      <c r="G217" s="121">
        <v>3.2528599999999996</v>
      </c>
      <c r="H217" s="64">
        <v>5.75</v>
      </c>
      <c r="J217" s="121"/>
    </row>
    <row r="218" spans="1:10" ht="15" customHeight="1">
      <c r="A218" s="105"/>
      <c r="B218" s="116"/>
      <c r="D218" s="107"/>
      <c r="E218" s="64"/>
      <c r="F218" s="122"/>
      <c r="G218" s="121"/>
      <c r="H218" s="64"/>
      <c r="J218" s="121"/>
    </row>
    <row r="219" spans="1:10" ht="15" customHeight="1">
      <c r="A219" s="105" t="s">
        <v>241</v>
      </c>
      <c r="B219" s="116" t="s">
        <v>239</v>
      </c>
      <c r="C219" s="103" t="s">
        <v>240</v>
      </c>
      <c r="D219" s="107" t="s">
        <v>47</v>
      </c>
      <c r="E219" s="64">
        <v>4.5</v>
      </c>
      <c r="F219" s="122">
        <v>1.75</v>
      </c>
      <c r="G219" s="121">
        <v>2.20357</v>
      </c>
      <c r="H219" s="64">
        <v>4.5</v>
      </c>
      <c r="J219" s="121"/>
    </row>
    <row r="220" spans="1:10" ht="15" customHeight="1">
      <c r="A220" s="105"/>
      <c r="B220" s="116" t="s">
        <v>62</v>
      </c>
      <c r="C220" s="103" t="s">
        <v>92</v>
      </c>
      <c r="D220" s="107" t="s">
        <v>47</v>
      </c>
      <c r="E220" s="64">
        <v>4.5</v>
      </c>
      <c r="F220" s="122">
        <v>2.61</v>
      </c>
      <c r="G220" s="121">
        <v>2.6949999999999998</v>
      </c>
      <c r="H220" s="64">
        <v>4.5</v>
      </c>
      <c r="J220" s="121"/>
    </row>
    <row r="221" spans="1:10" ht="15" customHeight="1">
      <c r="A221" s="105"/>
      <c r="B221" s="116" t="s">
        <v>64</v>
      </c>
      <c r="C221" s="103" t="s">
        <v>93</v>
      </c>
      <c r="D221" s="107" t="s">
        <v>47</v>
      </c>
      <c r="E221" s="64">
        <v>3.75</v>
      </c>
      <c r="F221" s="122">
        <v>1.45</v>
      </c>
      <c r="G221" s="121">
        <v>1.6842900000000001</v>
      </c>
      <c r="H221" s="64">
        <v>3.75</v>
      </c>
      <c r="J221" s="121"/>
    </row>
    <row r="222" spans="1:10" ht="15" customHeight="1">
      <c r="A222" s="105"/>
      <c r="B222" s="116" t="s">
        <v>66</v>
      </c>
      <c r="C222" s="103" t="s">
        <v>90</v>
      </c>
      <c r="D222" s="107" t="s">
        <v>47</v>
      </c>
      <c r="E222" s="64">
        <v>3.75</v>
      </c>
      <c r="F222" s="122">
        <v>1.2</v>
      </c>
      <c r="G222" s="121">
        <v>1.66357</v>
      </c>
      <c r="H222" s="64">
        <v>3.75</v>
      </c>
      <c r="J222" s="121"/>
    </row>
    <row r="223" spans="1:10" ht="15" customHeight="1">
      <c r="A223" s="105"/>
      <c r="B223" s="116" t="s">
        <v>68</v>
      </c>
      <c r="C223" s="103" t="s">
        <v>91</v>
      </c>
      <c r="D223" s="107" t="s">
        <v>47</v>
      </c>
      <c r="E223" s="64">
        <v>3.5</v>
      </c>
      <c r="F223" s="122">
        <v>1.64</v>
      </c>
      <c r="G223" s="121">
        <v>1.6664300000000001</v>
      </c>
      <c r="H223" s="64">
        <v>3.5</v>
      </c>
      <c r="J223" s="121"/>
    </row>
    <row r="224" spans="1:10" ht="15" customHeight="1">
      <c r="A224" s="105"/>
      <c r="B224" s="116" t="s">
        <v>235</v>
      </c>
      <c r="C224" s="103" t="s">
        <v>94</v>
      </c>
      <c r="D224" s="107" t="s">
        <v>47</v>
      </c>
      <c r="E224" s="64">
        <v>3.5</v>
      </c>
      <c r="F224" s="122">
        <v>2.15</v>
      </c>
      <c r="G224" s="121">
        <v>1.9014300000000002</v>
      </c>
      <c r="H224" s="64">
        <v>3.5</v>
      </c>
      <c r="J224" s="121"/>
    </row>
    <row r="225" spans="1:10" ht="15" customHeight="1">
      <c r="A225" s="105"/>
      <c r="B225" s="116" t="s">
        <v>48</v>
      </c>
      <c r="C225" s="103" t="s">
        <v>95</v>
      </c>
      <c r="D225" s="107" t="s">
        <v>47</v>
      </c>
      <c r="E225" s="64">
        <v>3.5</v>
      </c>
      <c r="F225" s="122">
        <v>1.6</v>
      </c>
      <c r="G225" s="121">
        <v>1.94</v>
      </c>
      <c r="H225" s="64">
        <v>3.5</v>
      </c>
      <c r="J225" s="121"/>
    </row>
    <row r="226" spans="1:10" ht="15" customHeight="1">
      <c r="A226" s="105"/>
      <c r="B226" s="116" t="s">
        <v>50</v>
      </c>
      <c r="C226" s="103" t="s">
        <v>96</v>
      </c>
      <c r="D226" s="107" t="s">
        <v>47</v>
      </c>
      <c r="E226" s="64">
        <v>3.5</v>
      </c>
      <c r="F226" s="122">
        <v>1.61</v>
      </c>
      <c r="G226" s="121">
        <v>1.8785699999999999</v>
      </c>
      <c r="H226" s="64">
        <v>3.5</v>
      </c>
      <c r="J226" s="121"/>
    </row>
    <row r="227" spans="1:10" ht="15" customHeight="1">
      <c r="A227" s="105"/>
      <c r="B227" s="116" t="s">
        <v>52</v>
      </c>
      <c r="C227" s="103" t="s">
        <v>97</v>
      </c>
      <c r="D227" s="107" t="s">
        <v>47</v>
      </c>
      <c r="E227" s="64">
        <v>3.5</v>
      </c>
      <c r="F227" s="122">
        <v>2.69</v>
      </c>
      <c r="G227" s="121">
        <v>4.3571400000000002</v>
      </c>
      <c r="H227" s="64">
        <v>3.5</v>
      </c>
      <c r="J227" s="121"/>
    </row>
    <row r="228" spans="1:10" ht="15" customHeight="1">
      <c r="A228" s="105"/>
      <c r="B228" s="116" t="s">
        <v>54</v>
      </c>
      <c r="C228" s="103" t="s">
        <v>98</v>
      </c>
      <c r="D228" s="107" t="s">
        <v>47</v>
      </c>
      <c r="E228" s="64">
        <v>1.5</v>
      </c>
      <c r="F228" s="122">
        <v>0.42</v>
      </c>
      <c r="G228" s="121">
        <v>2.105</v>
      </c>
      <c r="H228" s="64">
        <v>1.5</v>
      </c>
      <c r="J228" s="121"/>
    </row>
    <row r="229" spans="1:10" ht="15" customHeight="1">
      <c r="A229" s="105"/>
      <c r="B229" s="116" t="s">
        <v>56</v>
      </c>
      <c r="C229" s="103" t="s">
        <v>99</v>
      </c>
      <c r="D229" s="107" t="s">
        <v>47</v>
      </c>
      <c r="E229" s="64">
        <v>1.5</v>
      </c>
      <c r="F229" s="122">
        <v>0.38</v>
      </c>
      <c r="G229" s="121">
        <v>1.1007100000000001</v>
      </c>
      <c r="H229" s="64">
        <v>1.5</v>
      </c>
      <c r="J229" s="121"/>
    </row>
    <row r="230" spans="1:10" ht="15" customHeight="1">
      <c r="A230" s="105"/>
      <c r="B230" s="116" t="s">
        <v>58</v>
      </c>
      <c r="C230" s="103" t="s">
        <v>100</v>
      </c>
      <c r="D230" s="107" t="s">
        <v>47</v>
      </c>
      <c r="E230" s="64">
        <v>0.5</v>
      </c>
      <c r="F230" s="122">
        <v>0.22</v>
      </c>
      <c r="G230" s="121">
        <v>0.29929</v>
      </c>
      <c r="H230" s="64">
        <v>0.5</v>
      </c>
      <c r="I230" s="64"/>
      <c r="J230" s="121"/>
    </row>
    <row r="231" spans="1:10" ht="15" customHeight="1">
      <c r="A231" s="105"/>
      <c r="B231" s="116"/>
      <c r="D231" s="107"/>
      <c r="E231" s="64"/>
      <c r="F231" s="122"/>
      <c r="G231" s="121"/>
      <c r="H231" s="64"/>
      <c r="I231" s="64"/>
      <c r="J231" s="121"/>
    </row>
    <row r="232" spans="1:10" ht="15" customHeight="1">
      <c r="A232" s="105" t="s">
        <v>242</v>
      </c>
      <c r="B232" s="116" t="s">
        <v>239</v>
      </c>
      <c r="C232" s="103" t="s">
        <v>240</v>
      </c>
      <c r="D232" s="107" t="s">
        <v>47</v>
      </c>
      <c r="E232" s="64">
        <v>0.5</v>
      </c>
      <c r="F232" s="69">
        <v>0.23</v>
      </c>
      <c r="G232" s="121">
        <v>0.39143</v>
      </c>
      <c r="H232" s="64">
        <v>0.5</v>
      </c>
      <c r="I232" s="64"/>
      <c r="J232" s="121"/>
    </row>
    <row r="233" spans="1:10" ht="15" customHeight="1">
      <c r="A233" s="105"/>
      <c r="B233" s="116" t="s">
        <v>62</v>
      </c>
      <c r="C233" s="103" t="s">
        <v>92</v>
      </c>
      <c r="D233" s="107" t="s">
        <v>47</v>
      </c>
      <c r="E233" s="64">
        <v>0.5</v>
      </c>
      <c r="F233" s="69">
        <v>0.04</v>
      </c>
      <c r="G233" s="121">
        <v>0.24856999999999999</v>
      </c>
      <c r="H233" s="64">
        <v>0.5</v>
      </c>
      <c r="I233" s="64"/>
      <c r="J233" s="121"/>
    </row>
    <row r="234" spans="1:10" ht="15" customHeight="1">
      <c r="A234" s="105"/>
      <c r="B234" s="116" t="s">
        <v>64</v>
      </c>
      <c r="C234" s="103" t="s">
        <v>93</v>
      </c>
      <c r="D234" s="107" t="s">
        <v>47</v>
      </c>
      <c r="E234" s="64">
        <v>0.5</v>
      </c>
      <c r="F234" s="69">
        <v>0.37</v>
      </c>
      <c r="G234" s="121">
        <v>0.31642999999999999</v>
      </c>
      <c r="H234" s="64">
        <v>0.5</v>
      </c>
      <c r="I234" s="64"/>
      <c r="J234" s="121"/>
    </row>
    <row r="235" spans="1:10" ht="15" customHeight="1">
      <c r="A235" s="105"/>
      <c r="B235" s="116" t="s">
        <v>66</v>
      </c>
      <c r="C235" s="103" t="s">
        <v>90</v>
      </c>
      <c r="D235" s="107" t="s">
        <v>47</v>
      </c>
      <c r="E235" s="64">
        <v>0.5</v>
      </c>
      <c r="F235" s="69">
        <v>1E-3</v>
      </c>
      <c r="G235" s="65">
        <v>0.16356999999999999</v>
      </c>
      <c r="H235" s="64">
        <v>0.5</v>
      </c>
      <c r="I235" s="64"/>
      <c r="J235" s="121"/>
    </row>
    <row r="236" spans="1:10" ht="15" customHeight="1">
      <c r="A236" s="105"/>
      <c r="B236" s="116" t="s">
        <v>68</v>
      </c>
      <c r="C236" s="103" t="s">
        <v>91</v>
      </c>
      <c r="D236" s="107" t="s">
        <v>47</v>
      </c>
      <c r="E236" s="64">
        <v>0.5</v>
      </c>
      <c r="F236" s="69">
        <v>1E-3</v>
      </c>
      <c r="G236" s="65">
        <v>9.9289999999999989E-2</v>
      </c>
      <c r="H236" s="64">
        <v>0.5</v>
      </c>
      <c r="I236" s="64"/>
      <c r="J236" s="121"/>
    </row>
    <row r="237" spans="1:10" ht="15" customHeight="1">
      <c r="A237" s="105"/>
      <c r="B237" s="116" t="s">
        <v>235</v>
      </c>
      <c r="C237" s="103" t="s">
        <v>94</v>
      </c>
      <c r="D237" s="107" t="s">
        <v>47</v>
      </c>
      <c r="E237" s="64">
        <v>0.5</v>
      </c>
      <c r="F237" s="69">
        <v>0.09</v>
      </c>
      <c r="G237" s="65">
        <v>0.10143000000000001</v>
      </c>
      <c r="H237" s="64">
        <v>0.5</v>
      </c>
      <c r="I237" s="64"/>
      <c r="J237" s="121"/>
    </row>
    <row r="238" spans="1:10" ht="15" customHeight="1">
      <c r="A238" s="105"/>
      <c r="B238" s="116" t="s">
        <v>48</v>
      </c>
      <c r="C238" s="103" t="s">
        <v>95</v>
      </c>
      <c r="D238" s="107" t="s">
        <v>47</v>
      </c>
      <c r="E238" s="64">
        <v>0.5</v>
      </c>
      <c r="F238" s="69">
        <v>9.9999999999999991E-5</v>
      </c>
      <c r="G238" s="65">
        <v>7.0709999999999995E-2</v>
      </c>
      <c r="H238" s="64">
        <v>0.5</v>
      </c>
      <c r="I238" s="64"/>
      <c r="J238" s="121"/>
    </row>
    <row r="239" spans="1:10" ht="15" customHeight="1">
      <c r="A239" s="105"/>
      <c r="B239" s="116" t="s">
        <v>50</v>
      </c>
      <c r="C239" s="103" t="s">
        <v>96</v>
      </c>
      <c r="D239" s="107" t="s">
        <v>47</v>
      </c>
      <c r="E239" s="64">
        <v>0.5</v>
      </c>
      <c r="F239" s="69">
        <v>2E-3</v>
      </c>
      <c r="G239" s="65">
        <v>7.9289999999999999E-2</v>
      </c>
      <c r="H239" s="64">
        <v>0.5</v>
      </c>
      <c r="I239" s="64"/>
      <c r="J239" s="121"/>
    </row>
    <row r="240" spans="1:10" ht="15" customHeight="1">
      <c r="A240" s="105"/>
      <c r="B240" s="116" t="s">
        <v>52</v>
      </c>
      <c r="C240" s="103" t="s">
        <v>97</v>
      </c>
      <c r="D240" s="107" t="s">
        <v>47</v>
      </c>
      <c r="E240" s="64">
        <v>0.5</v>
      </c>
      <c r="F240" s="69">
        <v>0.01</v>
      </c>
      <c r="G240" s="65">
        <v>0.13893</v>
      </c>
      <c r="H240" s="64">
        <v>0.5</v>
      </c>
      <c r="I240" s="64"/>
      <c r="J240" s="121"/>
    </row>
    <row r="241" spans="1:10" ht="15" customHeight="1">
      <c r="A241" s="105"/>
      <c r="B241" s="116" t="s">
        <v>54</v>
      </c>
      <c r="C241" s="103" t="s">
        <v>98</v>
      </c>
      <c r="D241" s="107" t="s">
        <v>47</v>
      </c>
      <c r="E241" s="64">
        <v>0.5</v>
      </c>
      <c r="F241" s="69">
        <v>0.01</v>
      </c>
      <c r="G241" s="65">
        <v>7.9639999999999989E-2</v>
      </c>
      <c r="H241" s="64">
        <v>0.5</v>
      </c>
      <c r="I241" s="64"/>
      <c r="J241" s="121"/>
    </row>
    <row r="242" spans="1:10" ht="15" customHeight="1">
      <c r="A242" s="105"/>
      <c r="B242" s="116" t="s">
        <v>56</v>
      </c>
      <c r="C242" s="103" t="s">
        <v>99</v>
      </c>
      <c r="D242" s="107" t="s">
        <v>47</v>
      </c>
      <c r="E242" s="64">
        <v>0.5</v>
      </c>
      <c r="F242" s="70">
        <v>9.9999999999999991E-5</v>
      </c>
      <c r="G242" s="65">
        <v>5.0710000000000005E-2</v>
      </c>
      <c r="H242" s="64">
        <v>0.5</v>
      </c>
      <c r="I242" s="64"/>
      <c r="J242" s="121"/>
    </row>
    <row r="243" spans="1:10" ht="15" customHeight="1">
      <c r="A243" s="105"/>
      <c r="B243" s="116" t="s">
        <v>58</v>
      </c>
      <c r="C243" s="103" t="s">
        <v>100</v>
      </c>
      <c r="D243" s="107" t="s">
        <v>47</v>
      </c>
      <c r="E243" s="64">
        <v>0.5</v>
      </c>
      <c r="F243" s="70">
        <v>9.9999999999999991E-5</v>
      </c>
      <c r="G243" s="65">
        <v>0.08</v>
      </c>
      <c r="H243" s="64">
        <v>0.5</v>
      </c>
      <c r="I243" s="64"/>
      <c r="J243" s="121"/>
    </row>
    <row r="244" spans="1:10" ht="15" customHeight="1">
      <c r="A244" s="105"/>
      <c r="B244" s="116"/>
      <c r="D244" s="107"/>
      <c r="E244" s="64"/>
      <c r="F244" s="70"/>
      <c r="G244" s="65"/>
      <c r="H244" s="64"/>
      <c r="I244" s="64"/>
      <c r="J244" s="121"/>
    </row>
    <row r="245" spans="1:10" ht="15" customHeight="1">
      <c r="A245" s="105" t="s">
        <v>243</v>
      </c>
      <c r="B245" s="116" t="s">
        <v>239</v>
      </c>
      <c r="C245" s="103" t="s">
        <v>240</v>
      </c>
      <c r="D245" s="107" t="s">
        <v>47</v>
      </c>
      <c r="E245" s="64">
        <v>0.5</v>
      </c>
      <c r="F245" s="71">
        <v>1.0000000000000001E-5</v>
      </c>
      <c r="G245" s="65">
        <v>7.9640000000000002E-2</v>
      </c>
      <c r="H245" s="64">
        <v>0.5</v>
      </c>
      <c r="I245" s="64"/>
      <c r="J245" s="121"/>
    </row>
    <row r="246" spans="1:10" ht="15" customHeight="1">
      <c r="A246" s="105"/>
      <c r="B246" s="116" t="s">
        <v>62</v>
      </c>
      <c r="C246" s="103" t="s">
        <v>92</v>
      </c>
      <c r="D246" s="107" t="s">
        <v>47</v>
      </c>
      <c r="E246" s="64">
        <v>0.5</v>
      </c>
      <c r="F246" s="71">
        <v>1.9999999999999998E-4</v>
      </c>
      <c r="G246" s="65">
        <v>7.0359999999999992E-2</v>
      </c>
      <c r="H246" s="64">
        <v>0.5</v>
      </c>
      <c r="I246" s="64"/>
      <c r="J246" s="121"/>
    </row>
    <row r="247" spans="1:10" ht="15" customHeight="1">
      <c r="A247" s="105"/>
      <c r="B247" s="116" t="s">
        <v>64</v>
      </c>
      <c r="C247" s="103" t="s">
        <v>93</v>
      </c>
      <c r="D247" s="107" t="s">
        <v>47</v>
      </c>
      <c r="E247" s="64">
        <v>0.5</v>
      </c>
      <c r="F247" s="71">
        <v>9.9999999999999991E-5</v>
      </c>
      <c r="G247" s="65">
        <v>9.8569999999999991E-2</v>
      </c>
      <c r="H247" s="64">
        <v>0.5</v>
      </c>
      <c r="I247" s="64"/>
      <c r="J247" s="121"/>
    </row>
    <row r="248" spans="1:10" ht="15" customHeight="1">
      <c r="A248" s="105"/>
      <c r="B248" s="116" t="s">
        <v>66</v>
      </c>
      <c r="C248" s="103" t="s">
        <v>90</v>
      </c>
      <c r="D248" s="107" t="s">
        <v>47</v>
      </c>
      <c r="E248" s="64">
        <v>0.5</v>
      </c>
      <c r="F248" s="72">
        <v>0.02</v>
      </c>
      <c r="G248" s="65">
        <v>8.1070000000000003E-2</v>
      </c>
      <c r="H248" s="64">
        <v>0.5</v>
      </c>
      <c r="I248" s="64"/>
      <c r="J248" s="121"/>
    </row>
    <row r="249" spans="1:10" ht="15" customHeight="1">
      <c r="A249" s="105"/>
      <c r="B249" s="116" t="s">
        <v>68</v>
      </c>
      <c r="C249" s="103" t="s">
        <v>91</v>
      </c>
      <c r="D249" s="107" t="s">
        <v>47</v>
      </c>
      <c r="E249" s="64">
        <v>0.5</v>
      </c>
      <c r="F249" s="72">
        <v>0.01</v>
      </c>
      <c r="G249" s="65">
        <v>0.19928999999999999</v>
      </c>
      <c r="H249" s="64">
        <v>0.5</v>
      </c>
      <c r="I249" s="64"/>
      <c r="J249" s="121"/>
    </row>
    <row r="250" spans="1:10" ht="15" customHeight="1">
      <c r="A250" s="105"/>
      <c r="B250" s="116" t="s">
        <v>235</v>
      </c>
      <c r="C250" s="103" t="s">
        <v>94</v>
      </c>
      <c r="D250" s="107" t="s">
        <v>47</v>
      </c>
      <c r="E250" s="64">
        <v>0.5</v>
      </c>
      <c r="F250" s="72">
        <v>0.03</v>
      </c>
      <c r="G250" s="65">
        <v>0.52393000000000001</v>
      </c>
      <c r="H250" s="64">
        <v>0.5</v>
      </c>
      <c r="I250" s="64"/>
      <c r="J250" s="121"/>
    </row>
    <row r="251" spans="1:10" ht="15" customHeight="1">
      <c r="A251" s="105"/>
      <c r="B251" s="116" t="s">
        <v>48</v>
      </c>
      <c r="C251" s="103" t="s">
        <v>95</v>
      </c>
      <c r="D251" s="107" t="s">
        <v>47</v>
      </c>
      <c r="E251" s="64">
        <v>0.5</v>
      </c>
      <c r="F251" s="72">
        <v>0.01</v>
      </c>
      <c r="G251" s="65">
        <v>0.26107000000000002</v>
      </c>
      <c r="H251" s="64">
        <v>0.5</v>
      </c>
      <c r="I251" s="64"/>
      <c r="J251" s="121"/>
    </row>
    <row r="252" spans="1:10" ht="15" customHeight="1">
      <c r="A252" s="105"/>
      <c r="B252" s="116" t="s">
        <v>50</v>
      </c>
      <c r="C252" s="103" t="s">
        <v>96</v>
      </c>
      <c r="D252" s="107" t="s">
        <v>47</v>
      </c>
      <c r="E252" s="64">
        <v>0.5</v>
      </c>
      <c r="F252" s="72">
        <v>1.1363636363636366E-2</v>
      </c>
      <c r="G252" s="65">
        <v>0.15107000000000001</v>
      </c>
      <c r="H252" s="64">
        <v>0.5</v>
      </c>
      <c r="I252" s="64"/>
      <c r="J252" s="121"/>
    </row>
    <row r="253" spans="1:10" ht="15" customHeight="1">
      <c r="A253" s="105"/>
      <c r="B253" s="116" t="s">
        <v>52</v>
      </c>
      <c r="C253" s="103" t="s">
        <v>97</v>
      </c>
      <c r="D253" s="107" t="s">
        <v>47</v>
      </c>
      <c r="E253" s="64">
        <v>0.5</v>
      </c>
      <c r="F253" s="72">
        <v>0.04</v>
      </c>
      <c r="G253" s="65">
        <v>0.23963999999999999</v>
      </c>
      <c r="H253" s="64">
        <v>0.5</v>
      </c>
      <c r="I253" s="64"/>
      <c r="J253" s="121"/>
    </row>
    <row r="254" spans="1:10" ht="15" customHeight="1">
      <c r="A254" s="105"/>
      <c r="B254" s="116" t="s">
        <v>54</v>
      </c>
      <c r="C254" s="103" t="s">
        <v>98</v>
      </c>
      <c r="D254" s="107" t="s">
        <v>47</v>
      </c>
      <c r="E254" s="64">
        <v>0.5</v>
      </c>
      <c r="F254" s="72">
        <v>0.06</v>
      </c>
      <c r="G254" s="65">
        <v>0.21178999999999998</v>
      </c>
      <c r="H254" s="64">
        <v>0.5</v>
      </c>
      <c r="I254" s="64"/>
      <c r="J254" s="121"/>
    </row>
    <row r="255" spans="1:10" ht="15" customHeight="1">
      <c r="A255" s="105"/>
      <c r="B255" s="116" t="s">
        <v>56</v>
      </c>
      <c r="C255" s="103" t="s">
        <v>99</v>
      </c>
      <c r="D255" s="107" t="s">
        <v>47</v>
      </c>
      <c r="E255" s="64">
        <v>0.5</v>
      </c>
      <c r="F255" s="72">
        <v>0.02</v>
      </c>
      <c r="G255" s="65">
        <v>0.17179</v>
      </c>
      <c r="H255" s="64">
        <v>0.5</v>
      </c>
      <c r="I255" s="64"/>
      <c r="J255" s="121"/>
    </row>
    <row r="256" spans="1:10" ht="15" customHeight="1">
      <c r="A256" s="105"/>
      <c r="B256" s="116" t="s">
        <v>58</v>
      </c>
      <c r="C256" s="103" t="s">
        <v>100</v>
      </c>
      <c r="D256" s="107" t="s">
        <v>47</v>
      </c>
      <c r="E256" s="64">
        <v>0.5</v>
      </c>
      <c r="F256" s="68">
        <v>2E-3</v>
      </c>
      <c r="G256" s="65">
        <v>0.23</v>
      </c>
      <c r="H256" s="64">
        <v>0.5</v>
      </c>
      <c r="J256" s="121"/>
    </row>
    <row r="257" spans="1:10" ht="15" customHeight="1">
      <c r="A257" s="105"/>
      <c r="B257" s="116"/>
      <c r="D257" s="107"/>
      <c r="E257" s="64"/>
      <c r="F257" s="68"/>
      <c r="G257" s="65"/>
      <c r="H257" s="64"/>
      <c r="J257" s="121"/>
    </row>
    <row r="258" spans="1:10" ht="15" customHeight="1">
      <c r="A258" s="105" t="s">
        <v>244</v>
      </c>
      <c r="B258" s="116" t="s">
        <v>239</v>
      </c>
      <c r="C258" s="103" t="s">
        <v>240</v>
      </c>
      <c r="D258" s="107" t="s">
        <v>47</v>
      </c>
      <c r="E258" s="64">
        <v>0.5</v>
      </c>
      <c r="F258" s="73">
        <v>5.0000000000000001E-3</v>
      </c>
      <c r="G258" s="65">
        <v>0.11393</v>
      </c>
      <c r="H258" s="64">
        <v>0.5</v>
      </c>
      <c r="J258" s="121"/>
    </row>
    <row r="259" spans="1:10" ht="15" customHeight="1">
      <c r="A259" s="105"/>
      <c r="B259" s="116" t="s">
        <v>62</v>
      </c>
      <c r="C259" s="103" t="s">
        <v>92</v>
      </c>
      <c r="D259" s="107" t="s">
        <v>47</v>
      </c>
      <c r="E259" s="64">
        <v>0.5</v>
      </c>
      <c r="F259" s="73">
        <v>0.01</v>
      </c>
      <c r="G259" s="65">
        <v>0.15035999999999999</v>
      </c>
      <c r="H259" s="64">
        <v>0.5</v>
      </c>
      <c r="J259" s="121"/>
    </row>
    <row r="260" spans="1:10" ht="15" customHeight="1">
      <c r="A260" s="105"/>
      <c r="B260" s="116" t="s">
        <v>64</v>
      </c>
      <c r="C260" s="103" t="s">
        <v>93</v>
      </c>
      <c r="D260" s="107" t="s">
        <v>47</v>
      </c>
      <c r="E260" s="64">
        <v>0.5</v>
      </c>
      <c r="F260" s="73">
        <v>0.01</v>
      </c>
      <c r="G260" s="65">
        <v>0.21036000000000002</v>
      </c>
      <c r="H260" s="64">
        <v>0.5</v>
      </c>
      <c r="J260" s="121"/>
    </row>
    <row r="261" spans="1:10" ht="15" customHeight="1">
      <c r="A261" s="105"/>
      <c r="B261" s="116" t="s">
        <v>66</v>
      </c>
      <c r="C261" s="103" t="s">
        <v>90</v>
      </c>
      <c r="D261" s="107" t="s">
        <v>47</v>
      </c>
      <c r="E261" s="64">
        <v>0.5</v>
      </c>
      <c r="F261" s="73">
        <v>0.01</v>
      </c>
      <c r="G261" s="65">
        <v>0.19036</v>
      </c>
      <c r="H261" s="64">
        <v>0.5</v>
      </c>
      <c r="J261" s="121"/>
    </row>
    <row r="262" spans="1:10" ht="15" customHeight="1">
      <c r="A262" s="105"/>
      <c r="B262" s="116" t="s">
        <v>68</v>
      </c>
      <c r="C262" s="103" t="s">
        <v>91</v>
      </c>
      <c r="D262" s="107" t="s">
        <v>47</v>
      </c>
      <c r="E262" s="64">
        <v>0.5</v>
      </c>
      <c r="F262" s="73">
        <v>0.01</v>
      </c>
      <c r="G262" s="65">
        <v>0.19571</v>
      </c>
      <c r="H262" s="64">
        <v>0.5</v>
      </c>
      <c r="J262" s="121"/>
    </row>
    <row r="263" spans="1:10" ht="15" customHeight="1">
      <c r="A263" s="105"/>
      <c r="B263" s="116" t="s">
        <v>235</v>
      </c>
      <c r="C263" s="103" t="s">
        <v>94</v>
      </c>
      <c r="D263" s="107" t="s">
        <v>47</v>
      </c>
      <c r="E263" s="64">
        <v>0.5</v>
      </c>
      <c r="F263" s="73">
        <v>0.01</v>
      </c>
      <c r="G263" s="65">
        <v>0.19571</v>
      </c>
      <c r="H263" s="64">
        <v>0.5</v>
      </c>
      <c r="J263" s="121"/>
    </row>
    <row r="264" spans="1:10" ht="15" customHeight="1">
      <c r="A264" s="105"/>
      <c r="B264" s="116" t="s">
        <v>48</v>
      </c>
      <c r="C264" s="103" t="s">
        <v>95</v>
      </c>
      <c r="D264" s="107" t="s">
        <v>47</v>
      </c>
      <c r="E264" s="64">
        <v>0.5</v>
      </c>
      <c r="F264" s="73">
        <v>0.01</v>
      </c>
      <c r="G264" s="65">
        <v>0.19571</v>
      </c>
      <c r="H264" s="64">
        <v>0.5</v>
      </c>
      <c r="J264" s="121"/>
    </row>
    <row r="265" spans="1:10" ht="15" customHeight="1">
      <c r="A265" s="105"/>
      <c r="B265" s="116" t="s">
        <v>50</v>
      </c>
      <c r="C265" s="103" t="s">
        <v>96</v>
      </c>
      <c r="D265" s="107" t="s">
        <v>47</v>
      </c>
      <c r="E265" s="64">
        <v>0.5</v>
      </c>
      <c r="F265" s="73">
        <v>0.01</v>
      </c>
      <c r="G265" s="65">
        <v>0.21</v>
      </c>
      <c r="H265" s="64">
        <v>0.5</v>
      </c>
      <c r="J265" s="121"/>
    </row>
    <row r="266" spans="1:10" ht="15" customHeight="1">
      <c r="A266" s="105"/>
      <c r="B266" s="116" t="s">
        <v>52</v>
      </c>
      <c r="C266" s="103" t="s">
        <v>97</v>
      </c>
      <c r="D266" s="107" t="s">
        <v>47</v>
      </c>
      <c r="E266" s="64">
        <v>0.5</v>
      </c>
      <c r="F266" s="73">
        <v>0.01</v>
      </c>
      <c r="G266" s="65">
        <v>0.21</v>
      </c>
      <c r="H266" s="64">
        <v>0.5</v>
      </c>
      <c r="J266" s="121"/>
    </row>
    <row r="267" spans="1:10" ht="15" customHeight="1">
      <c r="A267" s="105"/>
      <c r="B267" s="116" t="s">
        <v>54</v>
      </c>
      <c r="C267" s="103" t="s">
        <v>98</v>
      </c>
      <c r="D267" s="107" t="s">
        <v>47</v>
      </c>
      <c r="E267" s="64">
        <v>0.5</v>
      </c>
      <c r="F267" s="73">
        <v>0.02</v>
      </c>
      <c r="G267" s="65">
        <v>0.21</v>
      </c>
      <c r="H267" s="64">
        <v>0.5</v>
      </c>
      <c r="J267" s="121"/>
    </row>
    <row r="268" spans="1:10" ht="15" customHeight="1">
      <c r="A268" s="105"/>
      <c r="B268" s="116" t="s">
        <v>56</v>
      </c>
      <c r="C268" s="103" t="s">
        <v>99</v>
      </c>
      <c r="D268" s="107" t="s">
        <v>47</v>
      </c>
      <c r="E268" s="64">
        <v>0.5</v>
      </c>
      <c r="F268" s="73">
        <v>0.04</v>
      </c>
      <c r="G268" s="65">
        <v>0.23071</v>
      </c>
      <c r="H268" s="64">
        <v>0.5</v>
      </c>
      <c r="J268" s="121"/>
    </row>
    <row r="269" spans="1:10" ht="15" customHeight="1">
      <c r="A269" s="105"/>
      <c r="B269" s="116" t="s">
        <v>58</v>
      </c>
      <c r="C269" s="103" t="s">
        <v>100</v>
      </c>
      <c r="D269" s="107" t="s">
        <v>47</v>
      </c>
      <c r="E269" s="64">
        <v>0.5</v>
      </c>
      <c r="F269" s="73">
        <v>0.35</v>
      </c>
      <c r="G269" s="65">
        <v>0.34071000000000001</v>
      </c>
      <c r="H269" s="64">
        <v>0.5</v>
      </c>
      <c r="J269" s="121"/>
    </row>
    <row r="270" spans="1:10" ht="15" customHeight="1">
      <c r="A270" s="105"/>
      <c r="B270" s="116"/>
      <c r="D270" s="107"/>
      <c r="E270" s="64"/>
      <c r="F270" s="73"/>
      <c r="G270" s="65"/>
      <c r="H270" s="64"/>
      <c r="J270" s="121"/>
    </row>
    <row r="271" spans="1:10" ht="15" customHeight="1">
      <c r="A271" s="105" t="s">
        <v>245</v>
      </c>
      <c r="B271" s="116" t="s">
        <v>239</v>
      </c>
      <c r="C271" s="103" t="s">
        <v>240</v>
      </c>
      <c r="D271" s="107" t="s">
        <v>47</v>
      </c>
      <c r="E271" s="64">
        <v>0.5</v>
      </c>
      <c r="F271" s="73">
        <v>0.06</v>
      </c>
      <c r="G271" s="65">
        <v>0.36070999999999998</v>
      </c>
      <c r="H271" s="64">
        <v>0.5</v>
      </c>
      <c r="J271" s="121"/>
    </row>
    <row r="272" spans="1:10" ht="15" customHeight="1">
      <c r="A272" s="105"/>
      <c r="B272" s="116" t="s">
        <v>62</v>
      </c>
      <c r="C272" s="103" t="s">
        <v>92</v>
      </c>
      <c r="D272" s="107" t="s">
        <v>47</v>
      </c>
      <c r="E272" s="64">
        <v>0.5</v>
      </c>
      <c r="F272" s="73">
        <v>0.04</v>
      </c>
      <c r="G272" s="65">
        <v>0.30357000000000001</v>
      </c>
      <c r="H272" s="64">
        <v>0.5</v>
      </c>
      <c r="J272" s="121"/>
    </row>
    <row r="273" spans="1:10" ht="15" customHeight="1">
      <c r="A273" s="105"/>
      <c r="B273" s="116" t="s">
        <v>64</v>
      </c>
      <c r="C273" s="103" t="s">
        <v>93</v>
      </c>
      <c r="D273" s="107" t="s">
        <v>47</v>
      </c>
      <c r="E273" s="64">
        <v>0.5</v>
      </c>
      <c r="F273" s="73">
        <v>0.03</v>
      </c>
      <c r="G273" s="65">
        <v>0.30142999999999998</v>
      </c>
      <c r="H273" s="64">
        <v>0.5</v>
      </c>
      <c r="J273" s="121"/>
    </row>
    <row r="274" spans="1:10" ht="15" customHeight="1">
      <c r="A274" s="105"/>
      <c r="B274" s="116" t="s">
        <v>66</v>
      </c>
      <c r="C274" s="103" t="s">
        <v>90</v>
      </c>
      <c r="D274" s="107" t="s">
        <v>47</v>
      </c>
      <c r="E274" s="64">
        <v>0.5</v>
      </c>
      <c r="F274" s="73">
        <v>2.6666666666666661E-2</v>
      </c>
      <c r="G274" s="65">
        <v>0.30250944444444444</v>
      </c>
      <c r="H274" s="64">
        <v>0.5</v>
      </c>
      <c r="J274" s="121"/>
    </row>
    <row r="275" spans="1:10" ht="15" customHeight="1">
      <c r="A275" s="105"/>
      <c r="B275" s="116" t="s">
        <v>68</v>
      </c>
      <c r="C275" s="103" t="s">
        <v>91</v>
      </c>
      <c r="D275" s="107" t="s">
        <v>47</v>
      </c>
      <c r="E275" s="64">
        <v>0.5</v>
      </c>
      <c r="F275" s="73">
        <v>0.05</v>
      </c>
      <c r="G275" s="65">
        <v>0.30286000000000002</v>
      </c>
      <c r="H275" s="64">
        <v>0.5</v>
      </c>
      <c r="J275" s="121"/>
    </row>
    <row r="276" spans="1:10" ht="15" customHeight="1">
      <c r="A276" s="105"/>
      <c r="B276" s="116" t="s">
        <v>235</v>
      </c>
      <c r="C276" s="103" t="s">
        <v>94</v>
      </c>
      <c r="D276" s="107" t="s">
        <v>47</v>
      </c>
      <c r="E276" s="64">
        <v>0.5</v>
      </c>
      <c r="F276" s="73">
        <v>0.04</v>
      </c>
      <c r="G276" s="65">
        <v>0.30286000000000002</v>
      </c>
      <c r="H276" s="64">
        <v>0.5</v>
      </c>
      <c r="J276" s="121"/>
    </row>
    <row r="277" spans="1:10" ht="15" customHeight="1">
      <c r="A277" s="105"/>
      <c r="B277" s="116" t="s">
        <v>48</v>
      </c>
      <c r="C277" s="103" t="s">
        <v>95</v>
      </c>
      <c r="D277" s="107" t="s">
        <v>47</v>
      </c>
      <c r="E277" s="64">
        <v>0.5</v>
      </c>
      <c r="F277" s="73">
        <v>0.06</v>
      </c>
      <c r="G277" s="65">
        <v>0.30107</v>
      </c>
      <c r="H277" s="64">
        <v>0.5</v>
      </c>
      <c r="J277" s="121"/>
    </row>
    <row r="278" spans="1:10" ht="15" customHeight="1">
      <c r="A278" s="105"/>
      <c r="B278" s="116" t="s">
        <v>50</v>
      </c>
      <c r="C278" s="103" t="s">
        <v>96</v>
      </c>
      <c r="D278" s="107" t="s">
        <v>47</v>
      </c>
      <c r="E278" s="64">
        <v>0.5</v>
      </c>
      <c r="F278" s="73">
        <v>0.05</v>
      </c>
      <c r="G278" s="65">
        <v>0.3</v>
      </c>
      <c r="H278" s="64">
        <v>0.5</v>
      </c>
      <c r="J278" s="121"/>
    </row>
    <row r="279" spans="1:10" ht="15" customHeight="1">
      <c r="A279" s="105"/>
      <c r="B279" s="116" t="s">
        <v>52</v>
      </c>
      <c r="C279" s="103" t="s">
        <v>97</v>
      </c>
      <c r="D279" s="107" t="s">
        <v>47</v>
      </c>
      <c r="E279" s="64">
        <v>0.5</v>
      </c>
      <c r="F279" s="73">
        <v>7.0000000000000007E-2</v>
      </c>
      <c r="G279" s="65">
        <v>0.3</v>
      </c>
      <c r="H279" s="64">
        <v>0.5</v>
      </c>
      <c r="J279" s="121"/>
    </row>
    <row r="280" spans="1:10" ht="15" customHeight="1">
      <c r="A280" s="105"/>
      <c r="B280" s="116" t="s">
        <v>54</v>
      </c>
      <c r="C280" s="103" t="s">
        <v>98</v>
      </c>
      <c r="D280" s="107" t="s">
        <v>246</v>
      </c>
      <c r="E280" s="64">
        <v>0.5</v>
      </c>
      <c r="F280" s="73">
        <v>0.04</v>
      </c>
      <c r="G280" s="65">
        <v>0.28071000000000002</v>
      </c>
      <c r="H280" s="64">
        <v>0.5</v>
      </c>
      <c r="J280" s="121"/>
    </row>
    <row r="281" spans="1:10" ht="15" customHeight="1">
      <c r="A281" s="105"/>
      <c r="B281" s="116" t="s">
        <v>56</v>
      </c>
      <c r="C281" s="103" t="s">
        <v>99</v>
      </c>
      <c r="D281" s="107" t="s">
        <v>246</v>
      </c>
      <c r="E281" s="64">
        <v>0.5</v>
      </c>
      <c r="F281" s="73">
        <v>0.05</v>
      </c>
      <c r="G281" s="65">
        <v>0.27821000000000001</v>
      </c>
      <c r="H281" s="64">
        <v>0.5</v>
      </c>
      <c r="J281" s="121"/>
    </row>
    <row r="282" spans="1:10" ht="15" customHeight="1">
      <c r="A282" s="105"/>
      <c r="B282" s="116" t="s">
        <v>58</v>
      </c>
      <c r="C282" s="103" t="s">
        <v>100</v>
      </c>
      <c r="D282" s="107" t="s">
        <v>246</v>
      </c>
      <c r="E282" s="64">
        <v>0.5</v>
      </c>
      <c r="F282" s="73">
        <v>0.03</v>
      </c>
      <c r="G282" s="65">
        <v>0.27750000000000002</v>
      </c>
      <c r="H282" s="64">
        <v>0.5</v>
      </c>
      <c r="J282" s="121"/>
    </row>
    <row r="283" spans="1:10" ht="15" customHeight="1">
      <c r="A283" s="105"/>
      <c r="B283" s="116"/>
      <c r="D283" s="107"/>
      <c r="E283" s="64"/>
      <c r="F283" s="73"/>
      <c r="G283" s="65"/>
      <c r="H283" s="64"/>
      <c r="J283" s="121"/>
    </row>
    <row r="284" spans="1:10" ht="15" customHeight="1">
      <c r="A284" s="105" t="s">
        <v>247</v>
      </c>
      <c r="B284" s="116" t="s">
        <v>239</v>
      </c>
      <c r="C284" s="103" t="s">
        <v>240</v>
      </c>
      <c r="D284" s="107" t="s">
        <v>246</v>
      </c>
      <c r="E284" s="64">
        <v>0.5</v>
      </c>
      <c r="F284" s="73">
        <v>0.01</v>
      </c>
      <c r="G284" s="65">
        <v>0.22786000000000001</v>
      </c>
      <c r="H284" s="64">
        <v>0.5</v>
      </c>
      <c r="J284" s="121"/>
    </row>
    <row r="285" spans="1:10" ht="15" customHeight="1">
      <c r="A285" s="105"/>
      <c r="B285" s="116" t="s">
        <v>62</v>
      </c>
      <c r="C285" s="103" t="s">
        <v>92</v>
      </c>
      <c r="D285" s="107" t="s">
        <v>246</v>
      </c>
      <c r="E285" s="64">
        <v>0.5</v>
      </c>
      <c r="F285" s="73">
        <v>0.02</v>
      </c>
      <c r="G285" s="65">
        <v>0.22500000000000001</v>
      </c>
      <c r="H285" s="64">
        <v>0.5</v>
      </c>
      <c r="J285" s="121"/>
    </row>
    <row r="286" spans="1:10" ht="15" customHeight="1">
      <c r="A286" s="105"/>
      <c r="B286" s="116" t="s">
        <v>64</v>
      </c>
      <c r="C286" s="103" t="s">
        <v>93</v>
      </c>
      <c r="D286" s="107" t="s">
        <v>246</v>
      </c>
      <c r="E286" s="64">
        <v>0.5</v>
      </c>
      <c r="F286" s="73">
        <v>0.04</v>
      </c>
      <c r="G286" s="65">
        <v>0.20785999999999999</v>
      </c>
      <c r="H286" s="64">
        <v>0.5</v>
      </c>
      <c r="J286" s="121"/>
    </row>
    <row r="287" spans="1:10" ht="15" customHeight="1">
      <c r="A287" s="105"/>
      <c r="B287" s="116" t="s">
        <v>66</v>
      </c>
      <c r="C287" s="103" t="s">
        <v>90</v>
      </c>
      <c r="D287" s="107" t="s">
        <v>246</v>
      </c>
      <c r="E287" s="64">
        <v>0.5</v>
      </c>
      <c r="F287" s="73">
        <v>0.01</v>
      </c>
      <c r="G287" s="65">
        <v>0.20713999999999999</v>
      </c>
      <c r="H287" s="64">
        <v>0.5</v>
      </c>
      <c r="J287" s="121"/>
    </row>
    <row r="288" spans="1:10" ht="15" customHeight="1">
      <c r="A288" s="105"/>
      <c r="B288" s="116" t="s">
        <v>68</v>
      </c>
      <c r="C288" s="103" t="s">
        <v>91</v>
      </c>
      <c r="D288" s="107" t="s">
        <v>246</v>
      </c>
      <c r="E288" s="64">
        <v>0.5</v>
      </c>
      <c r="F288" s="73">
        <v>0.02</v>
      </c>
      <c r="G288" s="65">
        <v>0.20713999999999999</v>
      </c>
      <c r="H288" s="64">
        <v>0.5</v>
      </c>
      <c r="J288" s="121"/>
    </row>
    <row r="289" spans="1:10" ht="15" customHeight="1">
      <c r="A289" s="105"/>
      <c r="B289" s="116" t="s">
        <v>235</v>
      </c>
      <c r="C289" s="103" t="s">
        <v>94</v>
      </c>
      <c r="D289" s="107" t="s">
        <v>246</v>
      </c>
      <c r="E289" s="64">
        <v>0.5</v>
      </c>
      <c r="F289" s="73">
        <v>0.08</v>
      </c>
      <c r="G289" s="65">
        <v>0.20713999999999999</v>
      </c>
      <c r="H289" s="64">
        <v>0.5</v>
      </c>
      <c r="J289" s="121"/>
    </row>
    <row r="290" spans="1:10" ht="15" customHeight="1">
      <c r="A290" s="105"/>
      <c r="B290" s="116" t="s">
        <v>236</v>
      </c>
      <c r="C290" s="103" t="s">
        <v>95</v>
      </c>
      <c r="D290" s="107" t="s">
        <v>246</v>
      </c>
      <c r="E290" s="64">
        <v>0.5</v>
      </c>
      <c r="F290" s="73">
        <v>0.04</v>
      </c>
      <c r="G290" s="65">
        <v>0.20642999999999997</v>
      </c>
      <c r="H290" s="64">
        <v>0.5</v>
      </c>
      <c r="J290" s="121"/>
    </row>
    <row r="291" spans="1:10" ht="15" customHeight="1">
      <c r="A291" s="105"/>
      <c r="B291" s="116" t="s">
        <v>50</v>
      </c>
      <c r="C291" s="103" t="s">
        <v>96</v>
      </c>
      <c r="D291" s="107" t="s">
        <v>246</v>
      </c>
      <c r="E291" s="64">
        <v>0.5</v>
      </c>
      <c r="F291" s="73">
        <v>0.03</v>
      </c>
      <c r="G291" s="65">
        <v>0.20642999999999997</v>
      </c>
      <c r="H291" s="64">
        <v>0.5</v>
      </c>
      <c r="J291" s="121"/>
    </row>
    <row r="292" spans="1:10" ht="15" customHeight="1">
      <c r="A292" s="105"/>
      <c r="B292" s="116" t="s">
        <v>52</v>
      </c>
      <c r="C292" s="103" t="s">
        <v>97</v>
      </c>
      <c r="D292" s="107" t="s">
        <v>246</v>
      </c>
      <c r="E292" s="64">
        <v>0.5</v>
      </c>
      <c r="F292" s="73">
        <v>0.06</v>
      </c>
      <c r="G292" s="65">
        <v>0.21571000000000004</v>
      </c>
      <c r="H292" s="64">
        <v>0.5</v>
      </c>
      <c r="J292" s="121"/>
    </row>
    <row r="293" spans="1:10" ht="15" customHeight="1">
      <c r="A293" s="105"/>
      <c r="B293" s="116" t="s">
        <v>54</v>
      </c>
      <c r="C293" s="103" t="s">
        <v>98</v>
      </c>
      <c r="D293" s="107" t="s">
        <v>246</v>
      </c>
      <c r="E293" s="64">
        <v>0.5</v>
      </c>
      <c r="F293" s="73">
        <v>0.05</v>
      </c>
      <c r="G293" s="65">
        <v>0.21571000000000001</v>
      </c>
      <c r="H293" s="64">
        <v>0.5</v>
      </c>
      <c r="J293" s="121"/>
    </row>
    <row r="294" spans="1:10" ht="15" customHeight="1">
      <c r="A294" s="105"/>
      <c r="B294" s="116" t="s">
        <v>56</v>
      </c>
      <c r="C294" s="103" t="s">
        <v>99</v>
      </c>
      <c r="D294" s="107" t="s">
        <v>246</v>
      </c>
      <c r="E294" s="64">
        <v>0.5</v>
      </c>
      <c r="F294" s="73">
        <v>0.04</v>
      </c>
      <c r="G294" s="65">
        <v>0.21143000000000001</v>
      </c>
      <c r="H294" s="64">
        <v>0.5</v>
      </c>
      <c r="J294" s="121"/>
    </row>
    <row r="295" spans="1:10" ht="15" customHeight="1">
      <c r="A295" s="105"/>
      <c r="B295" s="116" t="s">
        <v>58</v>
      </c>
      <c r="C295" s="103" t="s">
        <v>100</v>
      </c>
      <c r="D295" s="107" t="s">
        <v>246</v>
      </c>
      <c r="E295" s="64">
        <v>0.5</v>
      </c>
      <c r="F295" s="73">
        <v>0.1</v>
      </c>
      <c r="G295" s="65">
        <v>0.21</v>
      </c>
      <c r="H295" s="64">
        <v>0.5</v>
      </c>
      <c r="J295" s="121"/>
    </row>
    <row r="296" spans="1:10" ht="15" customHeight="1">
      <c r="A296" s="105"/>
      <c r="B296" s="116"/>
      <c r="D296" s="107"/>
      <c r="E296" s="64"/>
      <c r="F296" s="73"/>
      <c r="G296" s="65"/>
      <c r="H296" s="64"/>
      <c r="J296" s="121"/>
    </row>
    <row r="297" spans="1:10" ht="15" customHeight="1">
      <c r="A297" s="105" t="s">
        <v>248</v>
      </c>
      <c r="B297" s="116" t="s">
        <v>239</v>
      </c>
      <c r="C297" s="103" t="s">
        <v>240</v>
      </c>
      <c r="D297" s="107" t="s">
        <v>246</v>
      </c>
      <c r="E297" s="64">
        <v>0.5</v>
      </c>
      <c r="F297" s="73">
        <v>0.05</v>
      </c>
      <c r="G297" s="65">
        <v>0.21163999999999999</v>
      </c>
      <c r="H297" s="64">
        <v>0.5</v>
      </c>
      <c r="J297" s="121"/>
    </row>
    <row r="298" spans="1:10" ht="15" customHeight="1">
      <c r="A298" s="105"/>
      <c r="B298" s="116" t="s">
        <v>62</v>
      </c>
      <c r="C298" s="103" t="s">
        <v>92</v>
      </c>
      <c r="D298" s="107" t="s">
        <v>246</v>
      </c>
      <c r="E298" s="64">
        <v>0.5</v>
      </c>
      <c r="F298" s="73">
        <v>0.06</v>
      </c>
      <c r="G298" s="65">
        <v>0.21636</v>
      </c>
      <c r="H298" s="64">
        <v>0.5</v>
      </c>
      <c r="J298" s="121"/>
    </row>
    <row r="299" spans="1:10" ht="15" customHeight="1">
      <c r="A299" s="105"/>
      <c r="B299" s="116" t="s">
        <v>64</v>
      </c>
      <c r="C299" s="103" t="s">
        <v>93</v>
      </c>
      <c r="D299" s="107" t="s">
        <v>246</v>
      </c>
      <c r="E299" s="64">
        <v>0.5</v>
      </c>
      <c r="F299" s="73">
        <v>0.05</v>
      </c>
      <c r="G299" s="65">
        <v>0.21</v>
      </c>
      <c r="H299" s="64">
        <v>0.5</v>
      </c>
      <c r="J299" s="121"/>
    </row>
    <row r="300" spans="1:10" ht="15" customHeight="1">
      <c r="A300" s="105"/>
      <c r="B300" s="116" t="s">
        <v>66</v>
      </c>
      <c r="C300" s="103" t="s">
        <v>90</v>
      </c>
      <c r="D300" s="107" t="s">
        <v>246</v>
      </c>
      <c r="E300" s="64">
        <v>0.5</v>
      </c>
      <c r="F300" s="73">
        <v>0.05</v>
      </c>
      <c r="G300" s="65">
        <v>0.20713999999999999</v>
      </c>
      <c r="H300" s="64">
        <v>0.5</v>
      </c>
      <c r="J300" s="121"/>
    </row>
    <row r="301" spans="1:10" ht="15" customHeight="1">
      <c r="A301" s="105"/>
      <c r="B301" s="116" t="s">
        <v>68</v>
      </c>
      <c r="C301" s="103" t="s">
        <v>91</v>
      </c>
      <c r="D301" s="107" t="s">
        <v>47</v>
      </c>
      <c r="E301" s="64">
        <v>0.5</v>
      </c>
      <c r="F301" s="73">
        <v>0.06</v>
      </c>
      <c r="G301" s="65">
        <v>0.20932999999999999</v>
      </c>
      <c r="H301" s="64">
        <v>0.5</v>
      </c>
      <c r="J301" s="121"/>
    </row>
    <row r="302" spans="1:10" ht="15" customHeight="1">
      <c r="A302" s="105"/>
      <c r="B302" s="116" t="s">
        <v>235</v>
      </c>
      <c r="C302" s="103" t="s">
        <v>94</v>
      </c>
      <c r="D302" s="107" t="s">
        <v>47</v>
      </c>
      <c r="E302" s="64">
        <v>0.5</v>
      </c>
      <c r="F302" s="73">
        <v>0.54</v>
      </c>
      <c r="G302" s="65">
        <v>0.22714000000000004</v>
      </c>
      <c r="H302" s="64">
        <v>0.5</v>
      </c>
      <c r="J302" s="121"/>
    </row>
    <row r="303" spans="1:10" ht="15" customHeight="1">
      <c r="A303" s="105"/>
      <c r="B303" s="116" t="s">
        <v>236</v>
      </c>
      <c r="C303" s="103" t="s">
        <v>95</v>
      </c>
      <c r="D303" s="107" t="s">
        <v>47</v>
      </c>
      <c r="E303" s="64">
        <v>0.5</v>
      </c>
      <c r="F303" s="73">
        <v>0.03</v>
      </c>
      <c r="G303" s="65">
        <v>0.21786000000000003</v>
      </c>
      <c r="H303" s="64">
        <v>0.5</v>
      </c>
      <c r="J303" s="121"/>
    </row>
    <row r="304" spans="1:10" ht="15" customHeight="1">
      <c r="A304" s="105"/>
      <c r="B304" s="116" t="s">
        <v>50</v>
      </c>
      <c r="C304" s="103" t="s">
        <v>96</v>
      </c>
      <c r="D304" s="107" t="s">
        <v>47</v>
      </c>
      <c r="E304" s="64">
        <v>0.5</v>
      </c>
      <c r="F304" s="73">
        <v>0.03</v>
      </c>
      <c r="G304" s="65">
        <v>0.21503</v>
      </c>
      <c r="H304" s="64">
        <v>0.5</v>
      </c>
      <c r="J304" s="121"/>
    </row>
    <row r="305" spans="1:10" ht="15" customHeight="1">
      <c r="A305" s="105"/>
      <c r="B305" s="116" t="s">
        <v>52</v>
      </c>
      <c r="C305" s="103" t="s">
        <v>97</v>
      </c>
      <c r="D305" s="107" t="s">
        <v>47</v>
      </c>
      <c r="E305" s="64">
        <v>0.5</v>
      </c>
      <c r="F305" s="73">
        <v>0.05</v>
      </c>
      <c r="G305" s="65">
        <v>0.25285999999999997</v>
      </c>
      <c r="H305" s="64">
        <v>0.5</v>
      </c>
      <c r="J305" s="121"/>
    </row>
    <row r="306" spans="1:10" ht="15" customHeight="1">
      <c r="A306" s="105"/>
      <c r="B306" s="116" t="s">
        <v>54</v>
      </c>
      <c r="C306" s="103" t="s">
        <v>98</v>
      </c>
      <c r="D306" s="107" t="s">
        <v>47</v>
      </c>
      <c r="E306" s="64">
        <v>0.5</v>
      </c>
      <c r="F306" s="73">
        <v>0.03</v>
      </c>
      <c r="G306" s="65">
        <v>0.23071</v>
      </c>
      <c r="H306" s="64">
        <v>0.5</v>
      </c>
      <c r="J306" s="121"/>
    </row>
    <row r="307" spans="1:10" ht="15" customHeight="1">
      <c r="A307" s="105"/>
      <c r="B307" s="116" t="s">
        <v>56</v>
      </c>
      <c r="C307" s="103" t="s">
        <v>99</v>
      </c>
      <c r="D307" s="107" t="s">
        <v>47</v>
      </c>
      <c r="E307" s="64">
        <v>0.5</v>
      </c>
      <c r="F307" s="73">
        <v>0.05</v>
      </c>
      <c r="G307" s="65">
        <v>0.22928999999999999</v>
      </c>
      <c r="H307" s="64">
        <v>0.5</v>
      </c>
      <c r="J307" s="121"/>
    </row>
    <row r="308" spans="1:10" ht="15" customHeight="1">
      <c r="A308" s="105"/>
      <c r="B308" s="116" t="s">
        <v>58</v>
      </c>
      <c r="C308" s="103" t="s">
        <v>100</v>
      </c>
      <c r="D308" s="107" t="s">
        <v>47</v>
      </c>
      <c r="E308" s="64">
        <v>0.5</v>
      </c>
      <c r="F308" s="73">
        <v>0.03</v>
      </c>
      <c r="G308" s="65">
        <v>0.23525999999999997</v>
      </c>
      <c r="H308" s="64">
        <v>0.5</v>
      </c>
      <c r="J308" s="121"/>
    </row>
    <row r="309" spans="1:10" ht="15" customHeight="1">
      <c r="A309" s="105"/>
      <c r="B309" s="116"/>
      <c r="D309" s="107"/>
      <c r="E309" s="64"/>
      <c r="F309" s="73"/>
      <c r="G309" s="65"/>
      <c r="H309" s="64"/>
      <c r="J309" s="121"/>
    </row>
    <row r="310" spans="1:10" ht="15" customHeight="1">
      <c r="A310" s="105" t="s">
        <v>249</v>
      </c>
      <c r="B310" s="116" t="s">
        <v>239</v>
      </c>
      <c r="C310" s="103" t="s">
        <v>240</v>
      </c>
      <c r="D310" s="107" t="s">
        <v>47</v>
      </c>
      <c r="E310" s="64">
        <v>0.5</v>
      </c>
      <c r="F310" s="73">
        <v>0.05</v>
      </c>
      <c r="G310" s="65">
        <v>0.23785999999999999</v>
      </c>
      <c r="H310" s="64">
        <v>0.5</v>
      </c>
      <c r="J310" s="121"/>
    </row>
    <row r="311" spans="1:10" ht="15" customHeight="1">
      <c r="A311" s="105"/>
      <c r="B311" s="116" t="s">
        <v>62</v>
      </c>
      <c r="C311" s="103" t="s">
        <v>92</v>
      </c>
      <c r="D311" s="107" t="s">
        <v>47</v>
      </c>
      <c r="E311" s="64">
        <v>0.5</v>
      </c>
      <c r="F311" s="73">
        <v>0.05</v>
      </c>
      <c r="G311" s="65">
        <v>0.23749000000000001</v>
      </c>
      <c r="H311" s="64">
        <v>0.5</v>
      </c>
      <c r="J311" s="121"/>
    </row>
    <row r="312" spans="1:10" ht="15" customHeight="1">
      <c r="A312" s="105"/>
      <c r="B312" s="116" t="s">
        <v>64</v>
      </c>
      <c r="C312" s="103" t="s">
        <v>93</v>
      </c>
      <c r="D312" s="107" t="s">
        <v>47</v>
      </c>
      <c r="E312" s="64">
        <v>0.5</v>
      </c>
      <c r="F312" s="73">
        <v>0.06</v>
      </c>
      <c r="G312" s="65">
        <v>0.23599999999999996</v>
      </c>
      <c r="H312" s="64">
        <v>0.5</v>
      </c>
      <c r="J312" s="121"/>
    </row>
    <row r="313" spans="1:10" ht="15" customHeight="1">
      <c r="A313" s="105"/>
      <c r="B313" s="116" t="s">
        <v>66</v>
      </c>
      <c r="C313" s="103" t="s">
        <v>90</v>
      </c>
      <c r="D313" s="107" t="s">
        <v>47</v>
      </c>
      <c r="E313" s="64">
        <v>0.5</v>
      </c>
      <c r="F313" s="73">
        <v>0.04</v>
      </c>
      <c r="G313" s="65">
        <v>0.23286000000000001</v>
      </c>
      <c r="H313" s="64">
        <v>0.5</v>
      </c>
      <c r="J313" s="121"/>
    </row>
    <row r="314" spans="1:10" ht="15" customHeight="1">
      <c r="A314" s="105"/>
      <c r="B314" s="116" t="s">
        <v>68</v>
      </c>
      <c r="C314" s="103" t="s">
        <v>91</v>
      </c>
      <c r="D314" s="107" t="s">
        <v>47</v>
      </c>
      <c r="E314" s="64">
        <v>0.5</v>
      </c>
      <c r="F314" s="73">
        <v>7.0000000000000007E-2</v>
      </c>
      <c r="G314" s="65">
        <v>0.24181</v>
      </c>
      <c r="H314" s="64">
        <v>0.5</v>
      </c>
      <c r="J314" s="121"/>
    </row>
    <row r="315" spans="1:10" ht="15" customHeight="1">
      <c r="A315" s="105"/>
      <c r="B315" s="116" t="s">
        <v>45</v>
      </c>
      <c r="C315" s="103" t="s">
        <v>94</v>
      </c>
      <c r="D315" s="107" t="s">
        <v>47</v>
      </c>
      <c r="E315" s="64">
        <v>0.5</v>
      </c>
      <c r="F315" s="73">
        <v>0.08</v>
      </c>
      <c r="G315" s="65">
        <v>0.24004</v>
      </c>
      <c r="H315" s="64">
        <v>0.5</v>
      </c>
      <c r="J315" s="121"/>
    </row>
    <row r="316" spans="1:10" ht="15" customHeight="1">
      <c r="A316" s="105"/>
      <c r="B316" s="116" t="s">
        <v>48</v>
      </c>
      <c r="C316" s="103" t="s">
        <v>95</v>
      </c>
      <c r="D316" s="107" t="s">
        <v>47</v>
      </c>
      <c r="E316" s="64">
        <v>0.5</v>
      </c>
      <c r="F316" s="73">
        <v>7.0000000000000007E-2</v>
      </c>
      <c r="G316" s="65">
        <v>0.23916999999999999</v>
      </c>
      <c r="H316" s="64">
        <v>0.5</v>
      </c>
      <c r="J316" s="121"/>
    </row>
    <row r="317" spans="1:10" ht="15" customHeight="1">
      <c r="A317" s="105"/>
      <c r="B317" s="116" t="s">
        <v>50</v>
      </c>
      <c r="C317" s="103" t="s">
        <v>96</v>
      </c>
      <c r="D317" s="107" t="s">
        <v>47</v>
      </c>
      <c r="E317" s="64">
        <v>0.5</v>
      </c>
      <c r="F317" s="73">
        <v>0.03</v>
      </c>
      <c r="G317" s="65">
        <v>0.26021</v>
      </c>
      <c r="H317" s="64">
        <v>0.5</v>
      </c>
      <c r="J317" s="121"/>
    </row>
    <row r="318" spans="1:10" ht="15" customHeight="1">
      <c r="A318" s="105"/>
      <c r="B318" s="116" t="s">
        <v>52</v>
      </c>
      <c r="C318" s="103" t="s">
        <v>97</v>
      </c>
      <c r="D318" s="107" t="s">
        <v>47</v>
      </c>
      <c r="E318" s="64">
        <v>0.5</v>
      </c>
      <c r="F318" s="73">
        <v>0.05</v>
      </c>
      <c r="G318" s="65">
        <v>0.24142999999999998</v>
      </c>
      <c r="H318" s="64">
        <v>0.5</v>
      </c>
      <c r="J318" s="121"/>
    </row>
    <row r="319" spans="1:10" ht="15" customHeight="1">
      <c r="A319" s="105"/>
      <c r="B319" s="116" t="s">
        <v>54</v>
      </c>
      <c r="C319" s="103" t="s">
        <v>98</v>
      </c>
      <c r="D319" s="107" t="s">
        <v>47</v>
      </c>
      <c r="E319" s="64">
        <v>0.5</v>
      </c>
      <c r="F319" s="73">
        <v>1.6500000000000001E-2</v>
      </c>
      <c r="G319" s="65">
        <v>0.23405700000000004</v>
      </c>
      <c r="H319" s="64">
        <v>0.5</v>
      </c>
      <c r="J319" s="121"/>
    </row>
    <row r="320" spans="1:10" ht="15" customHeight="1">
      <c r="A320" s="105"/>
      <c r="B320" s="116" t="s">
        <v>56</v>
      </c>
      <c r="C320" s="103" t="s">
        <v>99</v>
      </c>
      <c r="D320" s="107" t="s">
        <v>47</v>
      </c>
      <c r="E320" s="64">
        <v>0.5</v>
      </c>
      <c r="F320" s="73">
        <v>0.03</v>
      </c>
      <c r="G320" s="65">
        <v>0.19392999999999999</v>
      </c>
      <c r="H320" s="64">
        <v>0.5</v>
      </c>
      <c r="J320" s="121"/>
    </row>
    <row r="321" spans="1:10" ht="15" customHeight="1">
      <c r="A321" s="105"/>
      <c r="B321" s="116" t="s">
        <v>58</v>
      </c>
      <c r="C321" s="103" t="s">
        <v>100</v>
      </c>
      <c r="D321" s="107" t="s">
        <v>47</v>
      </c>
      <c r="E321" s="64">
        <v>0.75</v>
      </c>
      <c r="F321" s="73">
        <v>0.01</v>
      </c>
      <c r="G321" s="65">
        <v>0.22106999999999999</v>
      </c>
      <c r="H321" s="64">
        <v>0.75</v>
      </c>
      <c r="J321" s="121"/>
    </row>
    <row r="322" spans="1:10" ht="15" customHeight="1">
      <c r="A322" s="105"/>
      <c r="B322" s="116"/>
      <c r="D322" s="107"/>
      <c r="E322" s="64"/>
      <c r="F322" s="73"/>
      <c r="G322" s="65"/>
      <c r="H322" s="64"/>
      <c r="J322" s="121"/>
    </row>
    <row r="323" spans="1:10" ht="15" customHeight="1">
      <c r="A323" s="105" t="s">
        <v>250</v>
      </c>
      <c r="B323" s="116" t="s">
        <v>60</v>
      </c>
      <c r="C323" s="103" t="s">
        <v>101</v>
      </c>
      <c r="D323" s="107" t="s">
        <v>47</v>
      </c>
      <c r="E323" s="64">
        <v>0.75</v>
      </c>
      <c r="F323" s="73">
        <v>0.02</v>
      </c>
      <c r="G323" s="65">
        <v>0.38429000000000002</v>
      </c>
      <c r="H323" s="64">
        <v>0.75</v>
      </c>
      <c r="J323" s="121"/>
    </row>
    <row r="324" spans="1:10" ht="15" customHeight="1">
      <c r="A324" s="105"/>
      <c r="B324" s="116" t="s">
        <v>62</v>
      </c>
      <c r="C324" s="103" t="s">
        <v>76</v>
      </c>
      <c r="D324" s="107" t="s">
        <v>47</v>
      </c>
      <c r="E324" s="64">
        <v>0.75</v>
      </c>
      <c r="F324" s="73">
        <v>0.03</v>
      </c>
      <c r="G324" s="65">
        <v>0.26863999999999999</v>
      </c>
      <c r="H324" s="64">
        <v>0.75</v>
      </c>
      <c r="J324" s="121"/>
    </row>
    <row r="325" spans="1:10" ht="15" customHeight="1">
      <c r="A325" s="105"/>
      <c r="B325" s="116" t="s">
        <v>64</v>
      </c>
      <c r="C325" s="103" t="s">
        <v>77</v>
      </c>
      <c r="D325" s="107" t="s">
        <v>47</v>
      </c>
      <c r="E325" s="64">
        <v>0.75</v>
      </c>
      <c r="F325" s="73">
        <v>0.12</v>
      </c>
      <c r="G325" s="65">
        <v>0.22839000000000001</v>
      </c>
      <c r="H325" s="64">
        <v>0.75</v>
      </c>
      <c r="J325" s="121"/>
    </row>
    <row r="326" spans="1:10" ht="15" customHeight="1">
      <c r="A326" s="105"/>
      <c r="B326" s="116" t="s">
        <v>66</v>
      </c>
      <c r="C326" s="103" t="s">
        <v>78</v>
      </c>
      <c r="D326" s="107" t="s">
        <v>47</v>
      </c>
      <c r="E326" s="64">
        <v>0.75</v>
      </c>
      <c r="F326" s="73">
        <v>0.04</v>
      </c>
      <c r="G326" s="65">
        <v>0.22714000000000004</v>
      </c>
      <c r="H326" s="64">
        <v>0.75</v>
      </c>
      <c r="J326" s="121"/>
    </row>
    <row r="327" spans="1:10" ht="15" customHeight="1">
      <c r="A327" s="105"/>
      <c r="B327" s="116" t="s">
        <v>68</v>
      </c>
      <c r="C327" s="103" t="s">
        <v>79</v>
      </c>
      <c r="D327" s="107" t="s">
        <v>47</v>
      </c>
      <c r="E327" s="64">
        <v>0.75</v>
      </c>
      <c r="F327" s="73">
        <v>0.04</v>
      </c>
      <c r="G327" s="65">
        <v>0.23321000000000003</v>
      </c>
      <c r="H327" s="64">
        <v>0.75</v>
      </c>
      <c r="J327" s="121"/>
    </row>
    <row r="328" spans="1:10" ht="15" customHeight="1">
      <c r="A328" s="105"/>
      <c r="B328" s="116" t="s">
        <v>45</v>
      </c>
      <c r="C328" s="103" t="s">
        <v>80</v>
      </c>
      <c r="D328" s="107" t="s">
        <v>47</v>
      </c>
      <c r="E328" s="64">
        <v>0.75</v>
      </c>
      <c r="F328" s="73">
        <v>0.1</v>
      </c>
      <c r="G328" s="65">
        <v>0.25518000000000002</v>
      </c>
      <c r="H328" s="64">
        <v>0.75</v>
      </c>
      <c r="J328" s="121"/>
    </row>
    <row r="329" spans="1:10" ht="15" customHeight="1">
      <c r="A329" s="105"/>
      <c r="B329" s="116" t="s">
        <v>48</v>
      </c>
      <c r="C329" s="103" t="s">
        <v>81</v>
      </c>
      <c r="D329" s="107" t="s">
        <v>47</v>
      </c>
      <c r="E329" s="64">
        <v>0.75</v>
      </c>
      <c r="F329" s="73">
        <v>0.04</v>
      </c>
      <c r="G329" s="65">
        <v>0.23982000000000001</v>
      </c>
      <c r="H329" s="64">
        <v>0.75</v>
      </c>
      <c r="J329" s="121"/>
    </row>
    <row r="330" spans="1:10" ht="15" customHeight="1">
      <c r="A330" s="105"/>
      <c r="B330" s="116" t="s">
        <v>50</v>
      </c>
      <c r="C330" s="103" t="s">
        <v>82</v>
      </c>
      <c r="D330" s="107" t="s">
        <v>47</v>
      </c>
      <c r="E330" s="64">
        <v>0.75</v>
      </c>
      <c r="F330" s="73">
        <v>0.08</v>
      </c>
      <c r="G330" s="65">
        <v>0.24357000000000004</v>
      </c>
      <c r="H330" s="64">
        <v>0.75</v>
      </c>
      <c r="J330" s="121"/>
    </row>
    <row r="331" spans="1:10" ht="15" customHeight="1">
      <c r="A331" s="105"/>
      <c r="B331" s="116" t="s">
        <v>52</v>
      </c>
      <c r="C331" s="103" t="s">
        <v>83</v>
      </c>
      <c r="D331" s="107" t="s">
        <v>47</v>
      </c>
      <c r="E331" s="64">
        <v>0.75</v>
      </c>
      <c r="F331" s="73">
        <v>0.16</v>
      </c>
      <c r="G331" s="65">
        <v>0.28786</v>
      </c>
      <c r="H331" s="64">
        <v>0.75</v>
      </c>
      <c r="J331" s="121"/>
    </row>
    <row r="332" spans="1:10" ht="15" customHeight="1">
      <c r="A332" s="105"/>
      <c r="B332" s="116" t="s">
        <v>54</v>
      </c>
      <c r="C332" s="103" t="s">
        <v>84</v>
      </c>
      <c r="D332" s="107" t="s">
        <v>47</v>
      </c>
      <c r="E332" s="64">
        <v>0.75</v>
      </c>
      <c r="F332" s="73">
        <v>0.12</v>
      </c>
      <c r="G332" s="65">
        <v>0.33928999999999998</v>
      </c>
      <c r="H332" s="64">
        <v>0.75</v>
      </c>
      <c r="J332" s="121"/>
    </row>
    <row r="333" spans="1:10" ht="15" customHeight="1">
      <c r="A333" s="105"/>
      <c r="B333" s="116" t="s">
        <v>56</v>
      </c>
      <c r="C333" s="103" t="s">
        <v>85</v>
      </c>
      <c r="D333" s="107" t="s">
        <v>47</v>
      </c>
      <c r="E333" s="64">
        <v>0.75</v>
      </c>
      <c r="F333" s="73">
        <v>0.22999999999999998</v>
      </c>
      <c r="G333" s="65">
        <v>0.43785999999999997</v>
      </c>
      <c r="H333" s="64">
        <v>0.75</v>
      </c>
      <c r="J333" s="121"/>
    </row>
    <row r="334" spans="1:10" ht="15" customHeight="1">
      <c r="A334" s="105"/>
      <c r="B334" s="116" t="s">
        <v>58</v>
      </c>
      <c r="C334" s="103" t="s">
        <v>86</v>
      </c>
      <c r="D334" s="107" t="s">
        <v>47</v>
      </c>
      <c r="E334" s="64">
        <v>1</v>
      </c>
      <c r="F334" s="73">
        <v>0.54</v>
      </c>
      <c r="G334" s="65">
        <v>0.74643000000000004</v>
      </c>
      <c r="H334" s="64">
        <v>1</v>
      </c>
      <c r="J334" s="121"/>
    </row>
    <row r="335" spans="1:10" ht="15" customHeight="1">
      <c r="A335" s="105"/>
      <c r="B335" s="116"/>
      <c r="D335" s="107"/>
      <c r="E335" s="64"/>
      <c r="F335" s="73"/>
      <c r="G335" s="65"/>
      <c r="H335" s="64"/>
      <c r="J335" s="121"/>
    </row>
    <row r="336" spans="1:10" ht="15" customHeight="1">
      <c r="A336" s="105" t="s">
        <v>251</v>
      </c>
      <c r="B336" s="116" t="s">
        <v>60</v>
      </c>
      <c r="C336" s="103" t="s">
        <v>101</v>
      </c>
      <c r="D336" s="107" t="s">
        <v>47</v>
      </c>
      <c r="E336" s="64">
        <v>1</v>
      </c>
      <c r="F336" s="73">
        <v>0.12</v>
      </c>
      <c r="G336" s="65">
        <v>0.59250000000000003</v>
      </c>
      <c r="H336" s="64">
        <v>1</v>
      </c>
      <c r="J336" s="121"/>
    </row>
    <row r="337" spans="1:10" ht="15" customHeight="1">
      <c r="A337" s="105"/>
      <c r="B337" s="116" t="s">
        <v>62</v>
      </c>
      <c r="C337" s="103" t="s">
        <v>76</v>
      </c>
      <c r="D337" s="107" t="s">
        <v>47</v>
      </c>
      <c r="E337" s="64">
        <v>1</v>
      </c>
      <c r="F337" s="73">
        <v>0.1</v>
      </c>
      <c r="G337" s="65">
        <v>0.46356999999999993</v>
      </c>
      <c r="H337" s="64">
        <v>1</v>
      </c>
      <c r="J337" s="121"/>
    </row>
    <row r="338" spans="1:10" ht="15" customHeight="1">
      <c r="A338" s="105"/>
      <c r="B338" s="116" t="s">
        <v>64</v>
      </c>
      <c r="C338" s="103" t="s">
        <v>77</v>
      </c>
      <c r="D338" s="107" t="s">
        <v>47</v>
      </c>
      <c r="E338" s="64">
        <v>1.25</v>
      </c>
      <c r="F338" s="73">
        <v>0.04</v>
      </c>
      <c r="G338" s="65">
        <v>0.44107000000000002</v>
      </c>
      <c r="H338" s="64">
        <v>1.25</v>
      </c>
      <c r="J338" s="121"/>
    </row>
    <row r="339" spans="1:10" ht="15" customHeight="1">
      <c r="A339" s="105"/>
      <c r="B339" s="116" t="s">
        <v>66</v>
      </c>
      <c r="C339" s="103" t="s">
        <v>78</v>
      </c>
      <c r="D339" s="107" t="s">
        <v>47</v>
      </c>
      <c r="E339" s="64">
        <v>1.25</v>
      </c>
      <c r="F339" s="73">
        <v>0.12</v>
      </c>
      <c r="G339" s="65">
        <v>0.38785999999999998</v>
      </c>
      <c r="H339" s="64">
        <v>1.25</v>
      </c>
      <c r="J339" s="121"/>
    </row>
    <row r="340" spans="1:10" ht="15" customHeight="1">
      <c r="A340" s="105"/>
      <c r="B340" s="116" t="s">
        <v>68</v>
      </c>
      <c r="C340" s="103" t="s">
        <v>79</v>
      </c>
      <c r="D340" s="107" t="s">
        <v>47</v>
      </c>
      <c r="E340" s="64">
        <v>1.25</v>
      </c>
      <c r="F340" s="73">
        <v>0.1</v>
      </c>
      <c r="G340" s="65">
        <v>0.35648999999999997</v>
      </c>
      <c r="H340" s="64">
        <v>1.25</v>
      </c>
      <c r="J340" s="121"/>
    </row>
    <row r="341" spans="1:10" ht="15" customHeight="1">
      <c r="A341" s="105"/>
      <c r="B341" s="116" t="s">
        <v>45</v>
      </c>
      <c r="C341" s="103" t="s">
        <v>80</v>
      </c>
      <c r="D341" s="107" t="s">
        <v>47</v>
      </c>
      <c r="E341" s="64">
        <v>1.5</v>
      </c>
      <c r="F341" s="73">
        <v>0.26</v>
      </c>
      <c r="G341" s="65">
        <v>0.46501999999999999</v>
      </c>
      <c r="H341" s="64">
        <v>1.5</v>
      </c>
      <c r="J341" s="121"/>
    </row>
    <row r="342" spans="1:10" ht="15" customHeight="1">
      <c r="A342" s="105"/>
      <c r="B342" s="116" t="s">
        <v>48</v>
      </c>
      <c r="C342" s="103" t="s">
        <v>81</v>
      </c>
      <c r="D342" s="107" t="s">
        <v>47</v>
      </c>
      <c r="E342" s="64">
        <v>1.5</v>
      </c>
      <c r="F342" s="73">
        <v>0.59</v>
      </c>
      <c r="G342" s="65">
        <v>0.43832000000000004</v>
      </c>
      <c r="H342" s="64">
        <v>1.5</v>
      </c>
      <c r="J342" s="121"/>
    </row>
    <row r="343" spans="1:10" ht="15" customHeight="1">
      <c r="A343" s="105"/>
      <c r="B343" s="116" t="s">
        <v>50</v>
      </c>
      <c r="C343" s="103" t="s">
        <v>82</v>
      </c>
      <c r="D343" s="107" t="s">
        <v>47</v>
      </c>
      <c r="E343" s="64">
        <v>1.5</v>
      </c>
      <c r="F343" s="73">
        <v>0.2</v>
      </c>
      <c r="G343" s="65">
        <v>0.42143000000000008</v>
      </c>
      <c r="H343" s="64">
        <v>1.5</v>
      </c>
      <c r="J343" s="121"/>
    </row>
    <row r="344" spans="1:10" ht="15" customHeight="1">
      <c r="A344" s="105"/>
      <c r="B344" s="116" t="s">
        <v>52</v>
      </c>
      <c r="C344" s="103" t="s">
        <v>83</v>
      </c>
      <c r="D344" s="107" t="s">
        <v>47</v>
      </c>
      <c r="E344" s="64">
        <v>1.5</v>
      </c>
      <c r="F344" s="73">
        <v>0.79</v>
      </c>
      <c r="G344" s="65">
        <v>0.58365999999999996</v>
      </c>
      <c r="H344" s="64">
        <v>1.5</v>
      </c>
      <c r="J344" s="121"/>
    </row>
    <row r="345" spans="1:10" ht="15" customHeight="1">
      <c r="A345" s="105"/>
      <c r="B345" s="116" t="s">
        <v>54</v>
      </c>
      <c r="C345" s="103" t="s">
        <v>84</v>
      </c>
      <c r="D345" s="107" t="s">
        <v>47</v>
      </c>
      <c r="E345" s="64">
        <v>1.5</v>
      </c>
      <c r="F345" s="73">
        <v>1.8900000000000001</v>
      </c>
      <c r="G345" s="65">
        <v>0.79106999999999994</v>
      </c>
      <c r="H345" s="64">
        <v>1.5</v>
      </c>
      <c r="J345" s="121"/>
    </row>
    <row r="346" spans="1:10" ht="15" customHeight="1">
      <c r="A346" s="105"/>
      <c r="B346" s="116" t="s">
        <v>56</v>
      </c>
      <c r="C346" s="103" t="s">
        <v>85</v>
      </c>
      <c r="D346" s="107" t="s">
        <v>47</v>
      </c>
      <c r="E346" s="64">
        <v>1.5</v>
      </c>
      <c r="F346" s="73">
        <v>0.25</v>
      </c>
      <c r="G346" s="65">
        <v>0.99892999999999998</v>
      </c>
      <c r="H346" s="64">
        <v>1.5</v>
      </c>
      <c r="J346" s="121"/>
    </row>
    <row r="347" spans="1:10" ht="15" customHeight="1">
      <c r="A347" s="105"/>
      <c r="B347" s="116" t="s">
        <v>58</v>
      </c>
      <c r="C347" s="103" t="s">
        <v>86</v>
      </c>
      <c r="D347" s="107" t="s">
        <v>47</v>
      </c>
      <c r="E347" s="64">
        <v>1.7500000000000002</v>
      </c>
      <c r="F347" s="73">
        <v>1.29</v>
      </c>
      <c r="G347" s="65">
        <v>1.1910700000000001</v>
      </c>
      <c r="H347" s="64">
        <v>1.7500000000000002</v>
      </c>
      <c r="J347" s="121"/>
    </row>
    <row r="348" spans="1:10" ht="15" customHeight="1">
      <c r="A348" s="105"/>
      <c r="B348" s="116"/>
      <c r="D348" s="107"/>
      <c r="E348" s="64"/>
      <c r="F348" s="73"/>
      <c r="G348" s="65"/>
      <c r="H348" s="64"/>
      <c r="J348" s="121"/>
    </row>
    <row r="349" spans="1:10" ht="15" customHeight="1">
      <c r="A349" s="105" t="s">
        <v>252</v>
      </c>
      <c r="B349" s="116" t="s">
        <v>60</v>
      </c>
      <c r="C349" s="103" t="s">
        <v>101</v>
      </c>
      <c r="D349" s="107" t="s">
        <v>47</v>
      </c>
      <c r="E349" s="64">
        <v>1.7500000000000002</v>
      </c>
      <c r="F349" s="73">
        <v>0.96</v>
      </c>
      <c r="G349" s="65">
        <v>0.93036000000000008</v>
      </c>
      <c r="H349" s="64">
        <v>1.7500000000000002</v>
      </c>
      <c r="J349" s="121"/>
    </row>
    <row r="350" spans="1:10" ht="15" customHeight="1">
      <c r="A350" s="105"/>
      <c r="B350" s="116" t="s">
        <v>62</v>
      </c>
      <c r="C350" s="103" t="s">
        <v>76</v>
      </c>
      <c r="D350" s="107" t="s">
        <v>47</v>
      </c>
      <c r="E350" s="64">
        <v>1.7500000000000002</v>
      </c>
      <c r="F350" s="73">
        <v>0.3</v>
      </c>
      <c r="G350" s="65">
        <v>0.73294000000000004</v>
      </c>
      <c r="H350" s="64">
        <v>1.7500000000000002</v>
      </c>
      <c r="J350" s="121"/>
    </row>
    <row r="351" spans="1:10" ht="15" customHeight="1">
      <c r="A351" s="105"/>
      <c r="B351" s="116" t="s">
        <v>64</v>
      </c>
      <c r="C351" s="103" t="s">
        <v>77</v>
      </c>
      <c r="D351" s="107" t="s">
        <v>47</v>
      </c>
      <c r="E351" s="64">
        <v>2</v>
      </c>
      <c r="F351" s="73">
        <v>0.48</v>
      </c>
      <c r="G351" s="65">
        <v>0.99036000000000002</v>
      </c>
      <c r="H351" s="64">
        <v>2</v>
      </c>
      <c r="J351" s="121"/>
    </row>
    <row r="352" spans="1:10" ht="15" customHeight="1">
      <c r="A352" s="105"/>
      <c r="B352" s="116" t="s">
        <v>66</v>
      </c>
      <c r="C352" s="103" t="s">
        <v>78</v>
      </c>
      <c r="D352" s="107" t="s">
        <v>47</v>
      </c>
      <c r="E352" s="64">
        <v>2</v>
      </c>
      <c r="F352" s="73">
        <v>0.52</v>
      </c>
      <c r="G352" s="65">
        <v>1.30643</v>
      </c>
      <c r="H352" s="64">
        <v>2</v>
      </c>
      <c r="J352" s="121"/>
    </row>
    <row r="353" spans="1:10" ht="15" customHeight="1">
      <c r="A353" s="105"/>
      <c r="B353" s="116" t="s">
        <v>68</v>
      </c>
      <c r="C353" s="103" t="s">
        <v>79</v>
      </c>
      <c r="D353" s="107" t="s">
        <v>47</v>
      </c>
      <c r="E353" s="64">
        <v>2</v>
      </c>
      <c r="F353" s="73">
        <v>1.27</v>
      </c>
      <c r="G353" s="65">
        <v>1.0175000000000001</v>
      </c>
      <c r="H353" s="64">
        <v>2</v>
      </c>
      <c r="J353" s="121"/>
    </row>
    <row r="354" spans="1:10" ht="15" customHeight="1">
      <c r="A354" s="105"/>
      <c r="B354" s="116" t="s">
        <v>45</v>
      </c>
      <c r="C354" s="103" t="s">
        <v>80</v>
      </c>
      <c r="D354" s="107" t="s">
        <v>47</v>
      </c>
      <c r="E354" s="64">
        <v>2.25</v>
      </c>
      <c r="F354" s="73">
        <v>2.7</v>
      </c>
      <c r="G354" s="65">
        <v>2.0119600000000002</v>
      </c>
      <c r="H354" s="64">
        <v>2.25</v>
      </c>
      <c r="J354" s="121"/>
    </row>
    <row r="355" spans="1:10" ht="15" customHeight="1">
      <c r="A355" s="105"/>
      <c r="B355" s="116" t="s">
        <v>48</v>
      </c>
      <c r="C355" s="103" t="s">
        <v>81</v>
      </c>
      <c r="D355" s="107" t="s">
        <v>47</v>
      </c>
      <c r="E355" s="64">
        <v>2.25</v>
      </c>
      <c r="F355" s="73">
        <v>0.76</v>
      </c>
      <c r="G355" s="65">
        <v>1.6758499999999998</v>
      </c>
      <c r="H355" s="64">
        <v>2.25</v>
      </c>
      <c r="J355" s="121"/>
    </row>
    <row r="356" spans="1:10" ht="15" customHeight="1">
      <c r="A356" s="105"/>
      <c r="B356" s="116" t="s">
        <v>50</v>
      </c>
      <c r="C356" s="103" t="s">
        <v>82</v>
      </c>
      <c r="D356" s="107" t="s">
        <v>47</v>
      </c>
      <c r="E356" s="64">
        <v>2.25</v>
      </c>
      <c r="F356" s="73">
        <v>1.01</v>
      </c>
      <c r="G356" s="65">
        <v>1.5369600000000001</v>
      </c>
      <c r="H356" s="64">
        <v>2.25</v>
      </c>
      <c r="J356" s="121"/>
    </row>
    <row r="357" spans="1:10" ht="15" customHeight="1">
      <c r="A357" s="105"/>
      <c r="B357" s="116" t="s">
        <v>52</v>
      </c>
      <c r="C357" s="103" t="s">
        <v>83</v>
      </c>
      <c r="D357" s="107" t="s">
        <v>47</v>
      </c>
      <c r="E357" s="64">
        <v>2.5</v>
      </c>
      <c r="F357" s="73">
        <v>3.3300000000000005</v>
      </c>
      <c r="G357" s="65">
        <v>2.2307100000000002</v>
      </c>
      <c r="H357" s="64">
        <v>2.5</v>
      </c>
      <c r="J357" s="121"/>
    </row>
    <row r="358" spans="1:10" ht="15" customHeight="1">
      <c r="A358" s="105"/>
      <c r="B358" s="116" t="s">
        <v>54</v>
      </c>
      <c r="C358" s="103" t="s">
        <v>84</v>
      </c>
      <c r="D358" s="107" t="s">
        <v>47</v>
      </c>
      <c r="E358" s="64">
        <v>2.5</v>
      </c>
      <c r="F358" s="73">
        <v>0.69</v>
      </c>
      <c r="G358" s="65">
        <v>1.2564299999999999</v>
      </c>
      <c r="H358" s="64">
        <v>2.5</v>
      </c>
      <c r="J358" s="121"/>
    </row>
    <row r="359" spans="1:10" ht="15" customHeight="1">
      <c r="A359" s="105"/>
      <c r="B359" s="116" t="s">
        <v>56</v>
      </c>
      <c r="C359" s="103" t="s">
        <v>85</v>
      </c>
      <c r="D359" s="107" t="s">
        <v>47</v>
      </c>
      <c r="E359" s="64">
        <v>2.5</v>
      </c>
      <c r="F359" s="73">
        <v>1.46</v>
      </c>
      <c r="G359" s="65">
        <v>1.20286</v>
      </c>
      <c r="H359" s="64">
        <v>2.5</v>
      </c>
      <c r="J359" s="121"/>
    </row>
    <row r="360" spans="1:10" ht="15" customHeight="1">
      <c r="A360" s="105"/>
      <c r="B360" s="116" t="s">
        <v>58</v>
      </c>
      <c r="C360" s="103" t="s">
        <v>86</v>
      </c>
      <c r="D360" s="107" t="s">
        <v>47</v>
      </c>
      <c r="E360" s="64">
        <v>2.75</v>
      </c>
      <c r="F360" s="73">
        <v>3.13</v>
      </c>
      <c r="G360" s="65">
        <v>2.2439300000000002</v>
      </c>
      <c r="H360" s="64">
        <v>2.75</v>
      </c>
      <c r="J360" s="121"/>
    </row>
    <row r="361" spans="1:10" ht="15" customHeight="1">
      <c r="A361" s="105"/>
      <c r="B361" s="116"/>
      <c r="D361" s="107"/>
      <c r="E361" s="64"/>
      <c r="F361" s="73"/>
      <c r="G361" s="65"/>
      <c r="H361" s="64"/>
      <c r="J361" s="121"/>
    </row>
    <row r="362" spans="1:10" ht="15" customHeight="1">
      <c r="A362" s="105" t="s">
        <v>253</v>
      </c>
      <c r="B362" s="116" t="s">
        <v>60</v>
      </c>
      <c r="C362" s="103" t="s">
        <v>101</v>
      </c>
      <c r="D362" s="107" t="s">
        <v>47</v>
      </c>
      <c r="E362" s="64">
        <v>2.75</v>
      </c>
      <c r="F362" s="73">
        <v>1.34</v>
      </c>
      <c r="G362" s="65">
        <v>1.0357099999999999</v>
      </c>
      <c r="H362" s="64">
        <v>2.75</v>
      </c>
      <c r="J362" s="121"/>
    </row>
    <row r="363" spans="1:10" ht="15" customHeight="1">
      <c r="A363" s="105"/>
      <c r="B363" s="116" t="s">
        <v>62</v>
      </c>
      <c r="C363" s="103" t="s">
        <v>76</v>
      </c>
      <c r="D363" s="107" t="s">
        <v>47</v>
      </c>
      <c r="E363" s="64">
        <v>2.75</v>
      </c>
      <c r="F363" s="73">
        <v>0.91999999999999993</v>
      </c>
      <c r="G363" s="65">
        <v>1.0003599999999999</v>
      </c>
      <c r="H363" s="64">
        <v>2.75</v>
      </c>
      <c r="J363" s="121"/>
    </row>
    <row r="364" spans="1:10" ht="15" customHeight="1">
      <c r="A364" s="105"/>
      <c r="B364" s="116" t="s">
        <v>64</v>
      </c>
      <c r="C364" s="103" t="s">
        <v>77</v>
      </c>
      <c r="D364" s="107" t="s">
        <v>47</v>
      </c>
      <c r="E364" s="64">
        <v>2.75</v>
      </c>
      <c r="F364" s="73">
        <v>2.6</v>
      </c>
      <c r="G364" s="65">
        <v>1.6578599999999999</v>
      </c>
      <c r="H364" s="64">
        <v>2.75</v>
      </c>
      <c r="J364" s="121"/>
    </row>
    <row r="365" spans="1:10" ht="15" customHeight="1">
      <c r="A365" s="105"/>
      <c r="B365" s="116" t="s">
        <v>66</v>
      </c>
      <c r="C365" s="103" t="s">
        <v>78</v>
      </c>
      <c r="D365" s="107" t="s">
        <v>47</v>
      </c>
      <c r="E365" s="64">
        <v>2.75</v>
      </c>
      <c r="F365" s="73">
        <v>2.15</v>
      </c>
      <c r="G365" s="65">
        <v>2.1107100000000001</v>
      </c>
      <c r="H365" s="64">
        <v>2.75</v>
      </c>
      <c r="J365" s="121"/>
    </row>
    <row r="366" spans="1:10" ht="15" customHeight="1">
      <c r="A366" s="105"/>
      <c r="B366" s="116" t="s">
        <v>68</v>
      </c>
      <c r="C366" s="103" t="s">
        <v>79</v>
      </c>
      <c r="D366" s="107" t="s">
        <v>47</v>
      </c>
      <c r="E366" s="64">
        <v>2.75</v>
      </c>
      <c r="F366" s="73">
        <v>1.8900000000000001</v>
      </c>
      <c r="G366" s="65">
        <v>1.97607</v>
      </c>
      <c r="H366" s="64">
        <v>2.75</v>
      </c>
      <c r="J366" s="121"/>
    </row>
    <row r="367" spans="1:10" ht="15" customHeight="1">
      <c r="A367" s="105"/>
      <c r="B367" s="116" t="s">
        <v>235</v>
      </c>
      <c r="C367" s="103" t="s">
        <v>80</v>
      </c>
      <c r="D367" s="107" t="s">
        <v>47</v>
      </c>
      <c r="E367" s="64">
        <v>2.75</v>
      </c>
      <c r="F367" s="73">
        <v>2.92</v>
      </c>
      <c r="G367" s="65">
        <v>2.5310700000000002</v>
      </c>
      <c r="H367" s="64">
        <v>2.75</v>
      </c>
      <c r="J367" s="121"/>
    </row>
    <row r="368" spans="1:10" ht="15" customHeight="1">
      <c r="A368" s="105"/>
      <c r="B368" s="116" t="s">
        <v>48</v>
      </c>
      <c r="C368" s="103" t="s">
        <v>81</v>
      </c>
      <c r="D368" s="107" t="s">
        <v>47</v>
      </c>
      <c r="E368" s="64">
        <v>2.75</v>
      </c>
      <c r="F368" s="73">
        <v>1.73</v>
      </c>
      <c r="G368" s="65">
        <v>1.9278599999999999</v>
      </c>
      <c r="H368" s="64">
        <v>2.75</v>
      </c>
      <c r="J368" s="121"/>
    </row>
    <row r="369" spans="1:10" ht="15" customHeight="1">
      <c r="A369" s="105"/>
      <c r="B369" s="116" t="s">
        <v>50</v>
      </c>
      <c r="C369" s="103" t="s">
        <v>82</v>
      </c>
      <c r="D369" s="107" t="s">
        <v>47</v>
      </c>
      <c r="E369" s="64">
        <v>2.5000000000000009</v>
      </c>
      <c r="F369" s="73">
        <v>0.84545454545454557</v>
      </c>
      <c r="G369" s="65">
        <v>1.9578963636363638</v>
      </c>
      <c r="H369" s="64">
        <v>2.5000000000000009</v>
      </c>
      <c r="J369" s="121"/>
    </row>
    <row r="370" spans="1:10" ht="15" customHeight="1">
      <c r="A370" s="105"/>
      <c r="B370" s="116" t="s">
        <v>52</v>
      </c>
      <c r="C370" s="103" t="s">
        <v>83</v>
      </c>
      <c r="D370" s="107" t="s">
        <v>47</v>
      </c>
      <c r="E370" s="64">
        <v>2.25</v>
      </c>
      <c r="F370" s="73">
        <v>2.78</v>
      </c>
      <c r="G370" s="65">
        <v>1.88357</v>
      </c>
      <c r="H370" s="64">
        <v>2.25</v>
      </c>
      <c r="J370" s="121"/>
    </row>
    <row r="371" spans="1:10" ht="15" customHeight="1">
      <c r="A371" s="105"/>
      <c r="B371" s="116" t="s">
        <v>54</v>
      </c>
      <c r="C371" s="103" t="s">
        <v>84</v>
      </c>
      <c r="D371" s="107" t="s">
        <v>47</v>
      </c>
      <c r="E371" s="64">
        <v>2</v>
      </c>
      <c r="F371" s="73">
        <v>1.95</v>
      </c>
      <c r="G371" s="65">
        <v>1.7778599999999998</v>
      </c>
      <c r="H371" s="64">
        <v>2</v>
      </c>
      <c r="J371" s="121"/>
    </row>
    <row r="372" spans="1:10" ht="15" customHeight="1">
      <c r="A372" s="105"/>
      <c r="B372" s="116" t="s">
        <v>56</v>
      </c>
      <c r="C372" s="103" t="s">
        <v>85</v>
      </c>
      <c r="D372" s="107" t="s">
        <v>47</v>
      </c>
      <c r="E372" s="64">
        <v>2</v>
      </c>
      <c r="F372" s="73">
        <v>2.02</v>
      </c>
      <c r="G372" s="65">
        <v>2.1861299999999999</v>
      </c>
      <c r="H372" s="64">
        <v>2</v>
      </c>
      <c r="J372" s="121"/>
    </row>
    <row r="373" spans="1:10" ht="15" customHeight="1">
      <c r="A373" s="105"/>
      <c r="B373" s="116" t="s">
        <v>58</v>
      </c>
      <c r="C373" s="103" t="s">
        <v>86</v>
      </c>
      <c r="D373" s="107" t="s">
        <v>47</v>
      </c>
      <c r="E373" s="64">
        <v>2.4900000000000002</v>
      </c>
      <c r="F373" s="73">
        <v>4.2699999999999996</v>
      </c>
      <c r="G373" s="65">
        <v>2.6661299999999999</v>
      </c>
      <c r="H373" s="64">
        <v>2.4900000000000002</v>
      </c>
      <c r="J373" s="121"/>
    </row>
    <row r="374" spans="1:10" ht="15" customHeight="1">
      <c r="A374" s="105"/>
      <c r="B374" s="116"/>
      <c r="D374" s="107"/>
      <c r="E374" s="64"/>
      <c r="F374" s="73"/>
      <c r="G374" s="65"/>
      <c r="H374" s="64"/>
      <c r="J374" s="121"/>
    </row>
    <row r="375" spans="1:10" ht="15" customHeight="1">
      <c r="A375" s="105" t="s">
        <v>254</v>
      </c>
      <c r="B375" s="116" t="s">
        <v>60</v>
      </c>
      <c r="C375" s="103" t="s">
        <v>101</v>
      </c>
      <c r="D375" s="107" t="s">
        <v>47</v>
      </c>
      <c r="E375" s="64">
        <v>2</v>
      </c>
      <c r="F375" s="73">
        <v>1.54</v>
      </c>
      <c r="G375" s="65">
        <v>2.2332700000000001</v>
      </c>
      <c r="H375" s="64">
        <v>2</v>
      </c>
      <c r="J375" s="121"/>
    </row>
    <row r="376" spans="1:10" ht="15" customHeight="1">
      <c r="A376" s="105"/>
      <c r="B376" s="116" t="s">
        <v>62</v>
      </c>
      <c r="C376" s="103" t="s">
        <v>76</v>
      </c>
      <c r="D376" s="107" t="s">
        <v>47</v>
      </c>
      <c r="E376" s="64">
        <v>2</v>
      </c>
      <c r="F376" s="73">
        <v>1.34</v>
      </c>
      <c r="G376" s="65">
        <v>1.6546400000000003</v>
      </c>
      <c r="H376" s="64">
        <v>2</v>
      </c>
      <c r="J376" s="121"/>
    </row>
    <row r="377" spans="1:10" ht="15" customHeight="1">
      <c r="A377" s="105"/>
      <c r="B377" s="116" t="s">
        <v>64</v>
      </c>
      <c r="C377" s="103" t="s">
        <v>77</v>
      </c>
      <c r="D377" s="107" t="s">
        <v>47</v>
      </c>
      <c r="E377" s="64">
        <v>1.6500000000000001</v>
      </c>
      <c r="F377" s="73">
        <v>1.48</v>
      </c>
      <c r="G377" s="65">
        <v>2.0501200000000002</v>
      </c>
      <c r="H377" s="64">
        <v>1.6500000000000001</v>
      </c>
      <c r="J377" s="121"/>
    </row>
    <row r="378" spans="1:10" ht="15" customHeight="1">
      <c r="A378" s="105"/>
      <c r="B378" s="116" t="s">
        <v>66</v>
      </c>
      <c r="C378" s="103" t="s">
        <v>78</v>
      </c>
      <c r="D378" s="107" t="s">
        <v>47</v>
      </c>
      <c r="E378" s="64">
        <v>1.1100000000000001</v>
      </c>
      <c r="F378" s="73">
        <v>0.54</v>
      </c>
      <c r="G378" s="65">
        <v>1.14839</v>
      </c>
      <c r="H378" s="64">
        <v>1.1100000000000001</v>
      </c>
      <c r="J378" s="121"/>
    </row>
    <row r="379" spans="1:10" ht="15" customHeight="1">
      <c r="A379" s="105"/>
      <c r="B379" s="116" t="s">
        <v>68</v>
      </c>
      <c r="C379" s="103" t="s">
        <v>79</v>
      </c>
      <c r="D379" s="107" t="s">
        <v>47</v>
      </c>
      <c r="E379" s="64">
        <v>0.62</v>
      </c>
      <c r="F379" s="73">
        <v>0.2</v>
      </c>
      <c r="G379" s="65">
        <v>1.0509500000000001</v>
      </c>
      <c r="H379" s="64">
        <v>0.62</v>
      </c>
      <c r="J379" s="121"/>
    </row>
    <row r="380" spans="1:10" ht="15" customHeight="1">
      <c r="A380" s="105"/>
      <c r="B380" s="116" t="s">
        <v>45</v>
      </c>
      <c r="C380" s="103" t="s">
        <v>80</v>
      </c>
      <c r="D380" s="107" t="s">
        <v>47</v>
      </c>
      <c r="E380" s="64">
        <v>0.5</v>
      </c>
      <c r="F380" s="73">
        <v>0.11</v>
      </c>
      <c r="G380" s="65">
        <v>0.44196000000000002</v>
      </c>
      <c r="H380" s="64">
        <v>0.5</v>
      </c>
      <c r="J380" s="121"/>
    </row>
    <row r="381" spans="1:10" ht="15" customHeight="1">
      <c r="A381" s="105"/>
      <c r="B381" s="116" t="s">
        <v>48</v>
      </c>
      <c r="C381" s="103" t="s">
        <v>81</v>
      </c>
      <c r="D381" s="107" t="s">
        <v>47</v>
      </c>
      <c r="E381" s="64">
        <v>0.5</v>
      </c>
      <c r="F381" s="73">
        <v>0.04</v>
      </c>
      <c r="G381" s="65">
        <v>0.25392999999999999</v>
      </c>
      <c r="H381" s="64">
        <v>0.5</v>
      </c>
      <c r="J381" s="121"/>
    </row>
    <row r="382" spans="1:10" ht="15" customHeight="1">
      <c r="A382" s="105"/>
      <c r="B382" s="116" t="s">
        <v>50</v>
      </c>
      <c r="C382" s="103" t="s">
        <v>82</v>
      </c>
      <c r="D382" s="107" t="s">
        <v>47</v>
      </c>
      <c r="E382" s="64">
        <v>0.5</v>
      </c>
      <c r="F382" s="73">
        <v>0.2</v>
      </c>
      <c r="G382" s="65">
        <v>0.37262000000000001</v>
      </c>
      <c r="H382" s="64">
        <v>0.5</v>
      </c>
      <c r="J382" s="121"/>
    </row>
    <row r="383" spans="1:10" ht="15" customHeight="1">
      <c r="A383" s="105"/>
      <c r="B383" s="116" t="s">
        <v>52</v>
      </c>
      <c r="C383" s="103" t="s">
        <v>83</v>
      </c>
      <c r="D383" s="107" t="s">
        <v>47</v>
      </c>
      <c r="E383" s="64">
        <v>0.5</v>
      </c>
      <c r="F383" s="73">
        <v>0.09</v>
      </c>
      <c r="G383" s="65">
        <v>0.48446</v>
      </c>
      <c r="H383" s="64">
        <v>0.5</v>
      </c>
      <c r="J383" s="121"/>
    </row>
    <row r="384" spans="1:10" ht="15" customHeight="1">
      <c r="A384" s="105"/>
      <c r="B384" s="116" t="s">
        <v>54</v>
      </c>
      <c r="C384" s="103" t="s">
        <v>84</v>
      </c>
      <c r="D384" s="107" t="s">
        <v>47</v>
      </c>
      <c r="E384" s="64">
        <v>0.5</v>
      </c>
      <c r="F384" s="73">
        <v>0.33</v>
      </c>
      <c r="G384" s="65">
        <v>0.40267999999999998</v>
      </c>
      <c r="H384" s="64">
        <v>0.5</v>
      </c>
      <c r="J384" s="121"/>
    </row>
    <row r="385" spans="1:10" ht="15" customHeight="1">
      <c r="A385" s="105"/>
      <c r="B385" s="116" t="s">
        <v>56</v>
      </c>
      <c r="C385" s="103" t="s">
        <v>85</v>
      </c>
      <c r="D385" s="107" t="s">
        <v>47</v>
      </c>
      <c r="E385" s="64">
        <v>0.5</v>
      </c>
      <c r="F385" s="73">
        <v>1.0999999999999999E-2</v>
      </c>
      <c r="G385" s="65">
        <v>0.11268</v>
      </c>
      <c r="H385" s="64">
        <v>0.5</v>
      </c>
      <c r="J385" s="121"/>
    </row>
    <row r="386" spans="1:10" ht="15" customHeight="1">
      <c r="A386" s="105"/>
      <c r="B386" s="116" t="s">
        <v>58</v>
      </c>
      <c r="C386" s="103" t="s">
        <v>86</v>
      </c>
      <c r="D386" s="107" t="s">
        <v>47</v>
      </c>
      <c r="E386" s="64">
        <v>0.5</v>
      </c>
      <c r="F386" s="73">
        <v>0.01</v>
      </c>
      <c r="G386" s="65">
        <v>0.17982000000000001</v>
      </c>
      <c r="H386" s="64">
        <v>0.5</v>
      </c>
      <c r="J386" s="121"/>
    </row>
    <row r="387" spans="1:10" ht="15" customHeight="1">
      <c r="A387" s="105"/>
      <c r="B387" s="116"/>
      <c r="D387" s="107"/>
      <c r="E387" s="64"/>
      <c r="F387" s="73"/>
      <c r="G387" s="65"/>
      <c r="H387" s="64"/>
      <c r="J387" s="121"/>
    </row>
    <row r="388" spans="1:10" ht="15" customHeight="1">
      <c r="A388" s="105" t="s">
        <v>102</v>
      </c>
      <c r="B388" s="116" t="s">
        <v>60</v>
      </c>
      <c r="C388" s="103" t="s">
        <v>101</v>
      </c>
      <c r="D388" s="107" t="s">
        <v>47</v>
      </c>
      <c r="E388" s="64">
        <v>0.5</v>
      </c>
      <c r="F388" s="73">
        <v>0.2</v>
      </c>
      <c r="G388" s="65">
        <v>0.15690999999999999</v>
      </c>
      <c r="H388" s="64">
        <v>0.5</v>
      </c>
      <c r="J388" s="121"/>
    </row>
    <row r="389" spans="1:10" ht="15" customHeight="1">
      <c r="A389" s="105"/>
      <c r="B389" s="116" t="s">
        <v>62</v>
      </c>
      <c r="C389" s="103" t="s">
        <v>76</v>
      </c>
      <c r="D389" s="107" t="s">
        <v>47</v>
      </c>
      <c r="E389" s="64">
        <v>0.5</v>
      </c>
      <c r="F389" s="73">
        <v>0.02</v>
      </c>
      <c r="G389" s="65">
        <v>0.1225</v>
      </c>
      <c r="H389" s="64">
        <v>0.5</v>
      </c>
      <c r="J389" s="121"/>
    </row>
    <row r="390" spans="1:10" ht="15" customHeight="1">
      <c r="A390" s="105"/>
      <c r="B390" s="116" t="s">
        <v>64</v>
      </c>
      <c r="C390" s="103" t="s">
        <v>77</v>
      </c>
      <c r="D390" s="107" t="s">
        <v>47</v>
      </c>
      <c r="E390" s="64">
        <v>0.5</v>
      </c>
      <c r="F390" s="73">
        <v>0.01</v>
      </c>
      <c r="G390" s="65">
        <v>0.12887000000000001</v>
      </c>
      <c r="H390" s="64">
        <v>0.5</v>
      </c>
      <c r="J390" s="121"/>
    </row>
    <row r="391" spans="1:10" ht="15" customHeight="1">
      <c r="A391" s="105"/>
      <c r="B391" s="116" t="s">
        <v>66</v>
      </c>
      <c r="C391" s="103" t="s">
        <v>78</v>
      </c>
      <c r="D391" s="107" t="s">
        <v>47</v>
      </c>
      <c r="E391" s="64">
        <v>0.5</v>
      </c>
      <c r="F391" s="73">
        <v>0.01</v>
      </c>
      <c r="G391" s="65">
        <v>9.0179999999999996E-2</v>
      </c>
      <c r="H391" s="64">
        <v>0.5</v>
      </c>
      <c r="J391" s="121"/>
    </row>
    <row r="392" spans="1:10" ht="15" customHeight="1">
      <c r="A392" s="105"/>
      <c r="B392" s="116" t="s">
        <v>68</v>
      </c>
      <c r="C392" s="103" t="s">
        <v>79</v>
      </c>
      <c r="D392" s="107" t="s">
        <v>47</v>
      </c>
      <c r="E392" s="64">
        <v>0.5</v>
      </c>
      <c r="F392" s="73">
        <v>0.01</v>
      </c>
      <c r="G392" s="65">
        <v>8.3930000000000005E-2</v>
      </c>
      <c r="H392" s="64">
        <v>0.5</v>
      </c>
      <c r="J392" s="121"/>
    </row>
    <row r="393" spans="1:10" ht="15" customHeight="1">
      <c r="A393" s="105"/>
      <c r="B393" s="116" t="s">
        <v>45</v>
      </c>
      <c r="C393" s="103" t="s">
        <v>80</v>
      </c>
      <c r="D393" s="107" t="s">
        <v>47</v>
      </c>
      <c r="E393" s="64">
        <v>0.5</v>
      </c>
      <c r="F393" s="73">
        <v>0.01</v>
      </c>
      <c r="G393" s="65">
        <v>9.8989999999999995E-2</v>
      </c>
      <c r="H393" s="64">
        <v>0.5</v>
      </c>
      <c r="J393" s="121"/>
    </row>
    <row r="394" spans="1:10" ht="15" customHeight="1">
      <c r="A394" s="105"/>
      <c r="B394" s="116" t="s">
        <v>48</v>
      </c>
      <c r="C394" s="103" t="s">
        <v>81</v>
      </c>
      <c r="D394" s="107" t="s">
        <v>47</v>
      </c>
      <c r="E394" s="64">
        <v>0.5</v>
      </c>
      <c r="F394" s="73">
        <v>0.02</v>
      </c>
      <c r="G394" s="65">
        <v>8.2680000000000003E-2</v>
      </c>
      <c r="H394" s="64">
        <v>0.5</v>
      </c>
      <c r="J394" s="121"/>
    </row>
    <row r="395" spans="1:10" ht="15" customHeight="1">
      <c r="A395" s="105"/>
      <c r="B395" s="116" t="s">
        <v>50</v>
      </c>
      <c r="C395" s="103" t="s">
        <v>82</v>
      </c>
      <c r="D395" s="107" t="s">
        <v>47</v>
      </c>
      <c r="E395" s="64">
        <v>0.5</v>
      </c>
      <c r="F395" s="73">
        <v>0.01</v>
      </c>
      <c r="G395" s="65">
        <v>6.4820000000000003E-2</v>
      </c>
      <c r="H395" s="64">
        <v>0.5</v>
      </c>
      <c r="J395" s="121"/>
    </row>
    <row r="396" spans="1:10" ht="15" customHeight="1">
      <c r="A396" s="105"/>
      <c r="B396" s="116" t="s">
        <v>52</v>
      </c>
      <c r="C396" s="103" t="s">
        <v>83</v>
      </c>
      <c r="D396" s="107" t="s">
        <v>47</v>
      </c>
      <c r="E396" s="64">
        <v>0.5</v>
      </c>
      <c r="F396" s="73">
        <v>6.0000000000000001E-3</v>
      </c>
      <c r="G396" s="65">
        <v>6.3390000000000002E-2</v>
      </c>
      <c r="H396" s="64">
        <v>0.5</v>
      </c>
      <c r="J396" s="121"/>
    </row>
    <row r="397" spans="1:10" ht="15" customHeight="1">
      <c r="A397" s="105"/>
      <c r="B397" s="116" t="s">
        <v>54</v>
      </c>
      <c r="C397" s="103" t="s">
        <v>84</v>
      </c>
      <c r="D397" s="107" t="s">
        <v>47</v>
      </c>
      <c r="E397" s="64">
        <v>0.5</v>
      </c>
      <c r="F397" s="73">
        <v>0.01</v>
      </c>
      <c r="G397" s="65">
        <v>6.7860000000000004E-2</v>
      </c>
      <c r="H397" s="64">
        <v>0.5</v>
      </c>
      <c r="J397" s="121"/>
    </row>
    <row r="398" spans="1:10" ht="15" customHeight="1">
      <c r="A398" s="105"/>
      <c r="B398" s="116" t="s">
        <v>56</v>
      </c>
      <c r="C398" s="103" t="s">
        <v>85</v>
      </c>
      <c r="D398" s="107" t="s">
        <v>47</v>
      </c>
      <c r="E398" s="64">
        <v>0.5</v>
      </c>
      <c r="F398" s="73">
        <v>0.05</v>
      </c>
      <c r="G398" s="65">
        <v>0.10195999999999998</v>
      </c>
      <c r="H398" s="64">
        <v>0.5</v>
      </c>
      <c r="J398" s="121"/>
    </row>
    <row r="399" spans="1:10" ht="15" customHeight="1">
      <c r="A399" s="105"/>
      <c r="B399" s="116" t="s">
        <v>58</v>
      </c>
      <c r="C399" s="103" t="s">
        <v>86</v>
      </c>
      <c r="D399" s="107" t="s">
        <v>47</v>
      </c>
      <c r="E399" s="64">
        <v>0.5</v>
      </c>
      <c r="F399" s="73">
        <v>0.03</v>
      </c>
      <c r="G399" s="65">
        <v>0.16</v>
      </c>
      <c r="H399" s="64">
        <v>0.5</v>
      </c>
      <c r="J399" s="121"/>
    </row>
    <row r="400" spans="1:10" ht="15" customHeight="1">
      <c r="A400" s="105"/>
      <c r="B400" s="116"/>
      <c r="D400" s="107"/>
      <c r="E400" s="64"/>
      <c r="F400" s="73"/>
      <c r="G400" s="65"/>
      <c r="H400" s="64"/>
      <c r="J400" s="121"/>
    </row>
    <row r="401" spans="1:10" ht="15" customHeight="1">
      <c r="A401" s="105" t="s">
        <v>179</v>
      </c>
      <c r="B401" s="116" t="s">
        <v>60</v>
      </c>
      <c r="C401" s="103" t="s">
        <v>101</v>
      </c>
      <c r="D401" s="107" t="s">
        <v>47</v>
      </c>
      <c r="E401" s="64">
        <v>0.5</v>
      </c>
      <c r="F401" s="73">
        <v>0.1</v>
      </c>
      <c r="G401" s="65">
        <v>0.19821</v>
      </c>
      <c r="H401" s="64">
        <v>0.5</v>
      </c>
      <c r="J401" s="121"/>
    </row>
    <row r="402" spans="1:10" ht="15" customHeight="1">
      <c r="A402" s="105"/>
      <c r="B402" s="116" t="s">
        <v>62</v>
      </c>
      <c r="C402" s="103" t="s">
        <v>76</v>
      </c>
      <c r="D402" s="107" t="s">
        <v>47</v>
      </c>
      <c r="E402" s="64">
        <v>0.5</v>
      </c>
      <c r="F402" s="73">
        <v>0.09</v>
      </c>
      <c r="G402" s="65">
        <v>0.20071</v>
      </c>
      <c r="H402" s="64">
        <v>0.5</v>
      </c>
      <c r="J402" s="121"/>
    </row>
    <row r="403" spans="1:10" ht="15" customHeight="1">
      <c r="A403" s="105"/>
      <c r="B403" s="116" t="s">
        <v>64</v>
      </c>
      <c r="C403" s="103" t="s">
        <v>77</v>
      </c>
      <c r="D403" s="107" t="s">
        <v>47</v>
      </c>
      <c r="E403" s="64">
        <v>0.75</v>
      </c>
      <c r="F403" s="73">
        <v>0.03</v>
      </c>
      <c r="G403" s="65">
        <v>0.30809999999999998</v>
      </c>
      <c r="H403" s="64">
        <v>0.75</v>
      </c>
      <c r="J403" s="121"/>
    </row>
    <row r="404" spans="1:10" ht="15" customHeight="1">
      <c r="A404" s="105"/>
      <c r="B404" s="116" t="s">
        <v>66</v>
      </c>
      <c r="C404" s="103" t="s">
        <v>78</v>
      </c>
      <c r="D404" s="107" t="s">
        <v>47</v>
      </c>
      <c r="E404" s="64">
        <v>0.75</v>
      </c>
      <c r="F404" s="73">
        <v>0.02</v>
      </c>
      <c r="G404" s="65">
        <v>0.20619000000000001</v>
      </c>
      <c r="H404" s="64">
        <v>0.75</v>
      </c>
      <c r="J404" s="121"/>
    </row>
    <row r="405" spans="1:10" ht="15" customHeight="1">
      <c r="A405" s="105"/>
      <c r="B405" s="116" t="s">
        <v>68</v>
      </c>
      <c r="C405" s="103" t="s">
        <v>79</v>
      </c>
      <c r="D405" s="107" t="s">
        <v>47</v>
      </c>
      <c r="E405" s="64">
        <v>1.25</v>
      </c>
      <c r="F405" s="73">
        <v>7.0000000000000007E-2</v>
      </c>
      <c r="G405" s="65">
        <v>0.19542000000000001</v>
      </c>
      <c r="H405" s="64">
        <v>1.25</v>
      </c>
      <c r="J405" s="121"/>
    </row>
    <row r="406" spans="1:10" ht="15" customHeight="1">
      <c r="A406" s="105"/>
      <c r="B406" s="116" t="s">
        <v>45</v>
      </c>
      <c r="C406" s="103" t="s">
        <v>80</v>
      </c>
      <c r="D406" s="107" t="s">
        <v>47</v>
      </c>
      <c r="E406" s="64">
        <v>2</v>
      </c>
      <c r="F406" s="73">
        <v>1.08</v>
      </c>
      <c r="G406" s="65">
        <v>0.87101000000000006</v>
      </c>
      <c r="H406" s="64">
        <v>2</v>
      </c>
      <c r="J406" s="121"/>
    </row>
    <row r="407" spans="1:10" ht="15" customHeight="1">
      <c r="A407" s="105"/>
      <c r="B407" s="116" t="s">
        <v>48</v>
      </c>
      <c r="C407" s="103" t="s">
        <v>81</v>
      </c>
      <c r="D407" s="107" t="s">
        <v>47</v>
      </c>
      <c r="E407" s="64">
        <v>2.75</v>
      </c>
      <c r="F407" s="73">
        <v>0.83</v>
      </c>
      <c r="G407" s="65">
        <v>1.3306</v>
      </c>
      <c r="H407" s="64">
        <v>2.75</v>
      </c>
      <c r="J407" s="121"/>
    </row>
    <row r="408" spans="1:10" ht="15" customHeight="1">
      <c r="A408" s="105"/>
      <c r="B408" s="116" t="s">
        <v>50</v>
      </c>
      <c r="C408" s="103" t="s">
        <v>82</v>
      </c>
      <c r="D408" s="107" t="s">
        <v>47</v>
      </c>
      <c r="E408" s="64">
        <v>2.75</v>
      </c>
      <c r="F408" s="73">
        <v>1.19</v>
      </c>
      <c r="G408" s="65">
        <v>1.8654199999999999</v>
      </c>
      <c r="H408" s="64">
        <v>2.75</v>
      </c>
      <c r="J408" s="121"/>
    </row>
    <row r="409" spans="1:10" ht="15" customHeight="1">
      <c r="A409" s="105"/>
      <c r="B409" s="116" t="s">
        <v>52</v>
      </c>
      <c r="C409" s="103" t="s">
        <v>83</v>
      </c>
      <c r="D409" s="107" t="s">
        <v>47</v>
      </c>
      <c r="E409" s="64">
        <v>3.5000000000000004</v>
      </c>
      <c r="F409" s="73">
        <v>2.2000000000000002</v>
      </c>
      <c r="G409" s="65">
        <v>2.6160700000000001</v>
      </c>
      <c r="H409" s="64">
        <v>3.5000000000000004</v>
      </c>
      <c r="J409" s="121"/>
    </row>
    <row r="410" spans="1:10" ht="15" customHeight="1">
      <c r="A410" s="105"/>
      <c r="B410" s="116" t="s">
        <v>54</v>
      </c>
      <c r="C410" s="103" t="s">
        <v>84</v>
      </c>
      <c r="D410" s="107" t="s">
        <v>47</v>
      </c>
      <c r="E410" s="64">
        <v>3.5000000000000004</v>
      </c>
      <c r="F410" s="73">
        <v>3.1300000000000003</v>
      </c>
      <c r="G410" s="65">
        <v>3.1733900000000004</v>
      </c>
      <c r="H410" s="64">
        <v>3.5000000000000004</v>
      </c>
      <c r="J410" s="121"/>
    </row>
    <row r="411" spans="1:10" ht="15" customHeight="1">
      <c r="A411" s="105"/>
      <c r="B411" s="116" t="s">
        <v>56</v>
      </c>
      <c r="C411" s="103" t="s">
        <v>85</v>
      </c>
      <c r="D411" s="107" t="s">
        <v>47</v>
      </c>
      <c r="E411" s="64">
        <v>4.25</v>
      </c>
      <c r="F411" s="73">
        <v>4.28</v>
      </c>
      <c r="G411" s="65">
        <v>4.4383299999999997</v>
      </c>
      <c r="H411" s="64">
        <v>4.25</v>
      </c>
      <c r="J411" s="121"/>
    </row>
    <row r="412" spans="1:10" ht="15" customHeight="1">
      <c r="A412" s="105"/>
      <c r="B412" s="116" t="s">
        <v>58</v>
      </c>
      <c r="C412" s="103" t="s">
        <v>86</v>
      </c>
      <c r="D412" s="107" t="s">
        <v>47</v>
      </c>
      <c r="E412" s="64">
        <v>4.75</v>
      </c>
      <c r="F412" s="73">
        <v>3.05</v>
      </c>
      <c r="G412" s="65">
        <v>4.3464299999999998</v>
      </c>
      <c r="H412" s="64">
        <v>4.75</v>
      </c>
      <c r="J412" s="121"/>
    </row>
    <row r="413" spans="1:10" ht="15" customHeight="1">
      <c r="A413" s="105"/>
      <c r="B413" s="116"/>
      <c r="D413" s="107"/>
      <c r="E413" s="64"/>
      <c r="F413" s="73"/>
      <c r="G413" s="65"/>
      <c r="H413" s="64"/>
      <c r="J413" s="121"/>
    </row>
    <row r="414" spans="1:10" ht="15" customHeight="1">
      <c r="A414" s="105" t="s">
        <v>180</v>
      </c>
      <c r="B414" s="116" t="s">
        <v>60</v>
      </c>
      <c r="C414" s="103" t="s">
        <v>101</v>
      </c>
      <c r="D414" s="107" t="s">
        <v>47</v>
      </c>
      <c r="E414" s="64">
        <v>4.75</v>
      </c>
      <c r="F414" s="73">
        <v>1.38</v>
      </c>
      <c r="G414" s="65">
        <v>2.7057099999999998</v>
      </c>
      <c r="H414" s="64">
        <v>4.75</v>
      </c>
      <c r="J414" s="121"/>
    </row>
    <row r="415" spans="1:10" ht="15" customHeight="1">
      <c r="A415" s="105"/>
      <c r="B415" s="116" t="s">
        <v>62</v>
      </c>
      <c r="C415" s="103" t="s">
        <v>76</v>
      </c>
      <c r="D415" s="107" t="s">
        <v>47</v>
      </c>
      <c r="E415" s="64">
        <v>5</v>
      </c>
      <c r="F415" s="73">
        <v>3.7599999999999993</v>
      </c>
      <c r="G415" s="65">
        <v>3.0316700000000001</v>
      </c>
      <c r="H415" s="64">
        <v>5</v>
      </c>
      <c r="J415" s="121"/>
    </row>
    <row r="416" spans="1:10" ht="15" customHeight="1">
      <c r="A416" s="105"/>
      <c r="B416" s="116" t="s">
        <v>64</v>
      </c>
      <c r="C416" s="103" t="s">
        <v>77</v>
      </c>
      <c r="D416" s="107" t="s">
        <v>47</v>
      </c>
      <c r="E416" s="64">
        <v>5.25</v>
      </c>
      <c r="F416" s="73">
        <v>2.14</v>
      </c>
      <c r="G416" s="65">
        <v>3.1411899999999999</v>
      </c>
      <c r="H416" s="64">
        <v>5.25</v>
      </c>
      <c r="J416" s="121"/>
    </row>
    <row r="417" spans="1:10" ht="15" customHeight="1">
      <c r="A417" s="105"/>
      <c r="B417" s="116" t="s">
        <v>66</v>
      </c>
      <c r="C417" s="103" t="s">
        <v>78</v>
      </c>
      <c r="D417" s="107" t="s">
        <v>47</v>
      </c>
      <c r="E417" s="64">
        <v>5.25</v>
      </c>
      <c r="F417" s="73">
        <v>3.66</v>
      </c>
      <c r="G417" s="65">
        <v>3.3051200000000005</v>
      </c>
      <c r="H417" s="64">
        <v>5.25</v>
      </c>
      <c r="J417" s="121"/>
    </row>
    <row r="418" spans="1:10" ht="15" customHeight="1">
      <c r="A418" s="105"/>
      <c r="B418" s="116" t="s">
        <v>68</v>
      </c>
      <c r="C418" s="103" t="s">
        <v>79</v>
      </c>
      <c r="D418" s="107" t="s">
        <v>47</v>
      </c>
      <c r="E418" s="64">
        <v>5.5</v>
      </c>
      <c r="F418" s="73">
        <v>3.83</v>
      </c>
      <c r="G418" s="65">
        <v>4.5089300000000003</v>
      </c>
      <c r="H418" s="64">
        <v>5.5</v>
      </c>
      <c r="J418" s="121"/>
    </row>
    <row r="419" spans="1:10" ht="15" customHeight="1">
      <c r="A419" s="105"/>
      <c r="B419" s="116" t="s">
        <v>45</v>
      </c>
      <c r="C419" s="103" t="s">
        <v>80</v>
      </c>
      <c r="D419" s="107" t="s">
        <v>47</v>
      </c>
      <c r="E419" s="64">
        <v>5.5</v>
      </c>
      <c r="F419" s="73">
        <v>5.38</v>
      </c>
      <c r="G419" s="65">
        <v>4.93405</v>
      </c>
      <c r="H419" s="64">
        <v>5.5</v>
      </c>
      <c r="J419" s="121"/>
    </row>
    <row r="420" spans="1:10" ht="15" customHeight="1">
      <c r="A420" s="105"/>
      <c r="B420" s="116" t="s">
        <v>48</v>
      </c>
      <c r="C420" s="103" t="s">
        <v>81</v>
      </c>
      <c r="D420" s="107" t="s">
        <v>47</v>
      </c>
      <c r="E420" s="64">
        <v>5.75</v>
      </c>
      <c r="F420" s="73">
        <v>5.44</v>
      </c>
      <c r="G420" s="65">
        <v>5.2874400000000001</v>
      </c>
      <c r="H420" s="64">
        <v>5.75</v>
      </c>
      <c r="J420" s="121"/>
    </row>
    <row r="421" spans="1:10" ht="15" customHeight="1">
      <c r="A421" s="105"/>
      <c r="B421" s="116" t="s">
        <v>50</v>
      </c>
      <c r="C421" s="103" t="s">
        <v>82</v>
      </c>
      <c r="D421" s="107" t="s">
        <v>47</v>
      </c>
      <c r="E421" s="64">
        <v>5.75</v>
      </c>
      <c r="F421" s="73">
        <v>3.2717391304347823</v>
      </c>
      <c r="G421" s="65">
        <v>4.6172617391304334</v>
      </c>
      <c r="H421" s="64">
        <v>5.75</v>
      </c>
      <c r="J421" s="121"/>
    </row>
    <row r="422" spans="1:10" ht="15" customHeight="1">
      <c r="A422" s="105"/>
      <c r="B422" s="116" t="s">
        <v>52</v>
      </c>
      <c r="C422" s="103" t="s">
        <v>83</v>
      </c>
      <c r="D422" s="107" t="s">
        <v>47</v>
      </c>
      <c r="E422" s="64">
        <v>5.75</v>
      </c>
      <c r="F422" s="73">
        <v>5.5</v>
      </c>
      <c r="G422" s="65">
        <v>5.3966099999999999</v>
      </c>
      <c r="H422" s="64">
        <v>5.75</v>
      </c>
      <c r="J422" s="121"/>
    </row>
    <row r="423" spans="1:10" ht="15" customHeight="1">
      <c r="A423" s="105"/>
      <c r="B423" s="116" t="s">
        <v>54</v>
      </c>
      <c r="C423" s="103" t="s">
        <v>84</v>
      </c>
      <c r="D423" s="107" t="s">
        <v>47</v>
      </c>
      <c r="E423" s="64">
        <v>5.75</v>
      </c>
      <c r="F423" s="76">
        <v>4.47</v>
      </c>
      <c r="G423" s="65">
        <v>4.9047000000000001</v>
      </c>
      <c r="H423" s="64">
        <v>5.75</v>
      </c>
      <c r="J423" s="121"/>
    </row>
    <row r="424" spans="1:10" ht="15" customHeight="1">
      <c r="A424" s="105"/>
      <c r="B424" s="116" t="s">
        <v>56</v>
      </c>
      <c r="C424" s="103" t="s">
        <v>85</v>
      </c>
      <c r="D424" s="107" t="s">
        <v>47</v>
      </c>
      <c r="E424" s="64">
        <v>5.75</v>
      </c>
      <c r="F424" s="76">
        <v>4.0999999999999996</v>
      </c>
      <c r="G424" s="65">
        <v>5.5167299999999999</v>
      </c>
      <c r="H424" s="64">
        <v>5.75</v>
      </c>
      <c r="J424" s="121"/>
    </row>
    <row r="425" spans="1:10" ht="15" customHeight="1">
      <c r="A425" s="105"/>
      <c r="B425" s="116" t="s">
        <v>58</v>
      </c>
      <c r="C425" s="103" t="s">
        <v>86</v>
      </c>
      <c r="D425" s="107" t="s">
        <v>47</v>
      </c>
      <c r="E425" s="64">
        <v>5.75</v>
      </c>
      <c r="F425" s="76">
        <v>5.93</v>
      </c>
      <c r="G425" s="65">
        <v>5.2680999999999996</v>
      </c>
      <c r="H425" s="64">
        <v>5.75</v>
      </c>
      <c r="J425" s="121"/>
    </row>
    <row r="426" spans="1:10" ht="15" customHeight="1">
      <c r="A426" s="105"/>
      <c r="B426" s="116"/>
      <c r="D426" s="107"/>
      <c r="E426" s="64"/>
      <c r="F426" s="73"/>
      <c r="G426" s="65"/>
      <c r="H426" s="64"/>
      <c r="J426" s="121"/>
    </row>
    <row r="427" spans="1:10" ht="15" customHeight="1">
      <c r="A427" s="105" t="s">
        <v>201</v>
      </c>
      <c r="B427" s="116" t="s">
        <v>60</v>
      </c>
      <c r="C427" s="103" t="s">
        <v>101</v>
      </c>
      <c r="D427" s="107" t="s">
        <v>47</v>
      </c>
      <c r="E427" s="64">
        <v>5.75</v>
      </c>
      <c r="F427" s="76">
        <v>5.05</v>
      </c>
      <c r="G427" s="65">
        <v>4.5896400000000002</v>
      </c>
      <c r="H427" s="64">
        <v>5.75</v>
      </c>
      <c r="J427" s="121"/>
    </row>
    <row r="428" spans="1:10" ht="15" customHeight="1">
      <c r="A428" s="105"/>
      <c r="B428" s="116" t="s">
        <v>62</v>
      </c>
      <c r="C428" s="103" t="s">
        <v>76</v>
      </c>
      <c r="D428" s="107" t="s">
        <v>47</v>
      </c>
      <c r="E428" s="64">
        <v>5.75</v>
      </c>
      <c r="F428" s="76">
        <v>4.8</v>
      </c>
      <c r="G428" s="65">
        <v>4.4849399999999999</v>
      </c>
      <c r="H428" s="64">
        <v>5.75</v>
      </c>
      <c r="J428" s="121"/>
    </row>
    <row r="429" spans="1:10" ht="15" customHeight="1">
      <c r="A429" s="105"/>
      <c r="B429" s="116" t="s">
        <v>64</v>
      </c>
      <c r="C429" s="103" t="s">
        <v>77</v>
      </c>
      <c r="D429" s="107" t="s">
        <v>47</v>
      </c>
      <c r="E429" s="64">
        <v>5.75</v>
      </c>
      <c r="F429" s="76">
        <v>4.93</v>
      </c>
      <c r="G429" s="65">
        <v>4.8014299999999999</v>
      </c>
      <c r="H429" s="64">
        <v>5.75</v>
      </c>
      <c r="J429" s="121"/>
    </row>
    <row r="430" spans="1:10" ht="15" customHeight="1">
      <c r="A430" s="105"/>
      <c r="B430" s="116" t="s">
        <v>66</v>
      </c>
      <c r="C430" s="103" t="s">
        <v>78</v>
      </c>
      <c r="D430" s="107" t="s">
        <v>47</v>
      </c>
      <c r="E430" s="64">
        <v>5.75</v>
      </c>
      <c r="F430" s="76">
        <v>5.28</v>
      </c>
      <c r="G430" s="65">
        <v>4.2998200000000004</v>
      </c>
      <c r="H430" s="64">
        <v>5.75</v>
      </c>
      <c r="J430" s="121"/>
    </row>
    <row r="431" spans="1:10" ht="15" customHeight="1">
      <c r="A431" s="105"/>
      <c r="B431" s="116" t="s">
        <v>68</v>
      </c>
      <c r="C431" s="103" t="s">
        <v>79</v>
      </c>
      <c r="D431" s="107" t="s">
        <v>47</v>
      </c>
      <c r="E431" s="64">
        <v>5.75</v>
      </c>
      <c r="F431" s="76">
        <v>4.25</v>
      </c>
      <c r="G431" s="65">
        <v>4.4741099999999996</v>
      </c>
      <c r="H431" s="64">
        <v>5.75</v>
      </c>
      <c r="J431" s="121"/>
    </row>
    <row r="432" spans="1:10" ht="15" customHeight="1">
      <c r="A432" s="105"/>
      <c r="B432" s="116" t="s">
        <v>45</v>
      </c>
      <c r="C432" s="103" t="s">
        <v>80</v>
      </c>
      <c r="D432" s="107" t="s">
        <v>47</v>
      </c>
      <c r="E432" s="64">
        <v>5.75</v>
      </c>
      <c r="F432" s="76">
        <v>5.08</v>
      </c>
      <c r="G432" s="65">
        <v>4.6102400000000001</v>
      </c>
      <c r="H432" s="64">
        <v>5.75</v>
      </c>
      <c r="J432" s="121"/>
    </row>
    <row r="433" spans="1:10" ht="15" customHeight="1">
      <c r="A433" s="105"/>
      <c r="B433" s="116" t="s">
        <v>48</v>
      </c>
      <c r="C433" s="103" t="s">
        <v>81</v>
      </c>
      <c r="D433" s="107" t="s">
        <v>47</v>
      </c>
      <c r="E433" s="64">
        <v>5.75</v>
      </c>
      <c r="F433" s="76">
        <v>4.8099999999999996</v>
      </c>
      <c r="G433" s="65">
        <v>4.5163700000000002</v>
      </c>
      <c r="H433" s="64">
        <v>5.75</v>
      </c>
      <c r="J433" s="121"/>
    </row>
    <row r="434" spans="1:10" ht="15" customHeight="1">
      <c r="A434" s="105"/>
      <c r="B434" s="116" t="s">
        <v>50</v>
      </c>
      <c r="C434" s="103" t="s">
        <v>82</v>
      </c>
      <c r="D434" s="107" t="s">
        <v>47</v>
      </c>
      <c r="E434" s="64">
        <v>5.75</v>
      </c>
      <c r="F434" s="76">
        <v>3.2</v>
      </c>
      <c r="G434" s="65">
        <v>3.9309500000000006</v>
      </c>
      <c r="H434" s="64">
        <v>5.75</v>
      </c>
      <c r="J434" s="121"/>
    </row>
    <row r="435" spans="1:10" ht="15" customHeight="1">
      <c r="A435" s="105"/>
      <c r="B435" s="116" t="s">
        <v>52</v>
      </c>
      <c r="C435" s="103" t="s">
        <v>83</v>
      </c>
      <c r="D435" s="107" t="s">
        <v>47</v>
      </c>
      <c r="E435" s="64">
        <v>5.25</v>
      </c>
      <c r="F435" s="76">
        <v>5.92</v>
      </c>
      <c r="G435" s="65">
        <v>4.3210100000000002</v>
      </c>
      <c r="H435" s="64">
        <v>5.25</v>
      </c>
      <c r="J435" s="121"/>
    </row>
    <row r="436" spans="1:10" ht="15" customHeight="1">
      <c r="A436" s="105"/>
      <c r="B436" s="116" t="s">
        <v>54</v>
      </c>
      <c r="C436" s="103" t="s">
        <v>84</v>
      </c>
      <c r="D436" s="107" t="s">
        <v>47</v>
      </c>
      <c r="E436" s="64">
        <v>5.25</v>
      </c>
      <c r="F436" s="73">
        <v>4.5999999999999996</v>
      </c>
      <c r="G436" s="65">
        <v>4.2411899999999996</v>
      </c>
      <c r="H436" s="64">
        <v>5.25</v>
      </c>
      <c r="J436" s="121"/>
    </row>
    <row r="437" spans="1:10" ht="12.75" customHeight="1">
      <c r="A437" s="108"/>
      <c r="B437" s="108"/>
      <c r="C437" s="109"/>
      <c r="D437" s="109"/>
      <c r="E437" s="109"/>
      <c r="F437" s="109"/>
      <c r="G437" s="109"/>
      <c r="H437" s="109"/>
    </row>
    <row r="438" spans="1:10">
      <c r="A438" s="116"/>
      <c r="C438" s="62"/>
    </row>
    <row r="439" spans="1:10" ht="13.25" customHeight="1">
      <c r="A439" s="59"/>
      <c r="C439" s="62"/>
      <c r="F439" s="74"/>
    </row>
    <row r="440" spans="1:10" ht="13.25" customHeight="1">
      <c r="A440" s="116"/>
      <c r="F440" s="74"/>
    </row>
    <row r="441" spans="1:10" s="111" customFormat="1" ht="16">
      <c r="A441" s="110"/>
      <c r="F441" s="114"/>
      <c r="G441" s="123"/>
    </row>
    <row r="442" spans="1:10" s="111" customFormat="1" ht="12">
      <c r="A442" s="110"/>
      <c r="F442" s="112"/>
      <c r="G442" s="112"/>
    </row>
    <row r="443" spans="1:10" s="111" customFormat="1" ht="11">
      <c r="A443" s="113"/>
      <c r="F443" s="113"/>
      <c r="G443" s="113"/>
    </row>
    <row r="444" spans="1:10" s="111" customFormat="1" ht="11">
      <c r="A444" s="113"/>
      <c r="F444" s="113"/>
      <c r="G444" s="113"/>
    </row>
    <row r="445" spans="1:10" s="111" customFormat="1" ht="12">
      <c r="A445" s="114"/>
      <c r="F445" s="75"/>
      <c r="G445" s="114"/>
    </row>
  </sheetData>
  <mergeCells count="2">
    <mergeCell ref="A1:H1"/>
    <mergeCell ref="A2:H2"/>
  </mergeCells>
  <hyperlinks>
    <hyperlink ref="D10" r:id="rId1" xr:uid="{F4C85EC0-1502-4467-BD08-5051CAC3E090}"/>
    <hyperlink ref="D11" r:id="rId2" xr:uid="{5C5882D2-8FC9-4A14-AD0E-69A6B775FB8D}"/>
    <hyperlink ref="E11" r:id="rId3" display="http://www.info.gov.hk/hkma/gdbook/eng/d/discount_rate_index.htm" xr:uid="{FD78E6FB-5F13-4D00-9662-C370DEA7059D}"/>
    <hyperlink ref="E12" r:id="rId4" display="http://www.info.gov.hk/hkma/gdbook/chi/stroke12/discount_rate_index.htm" xr:uid="{99FF3DD5-3200-4F3F-92DA-6CA59466AFF0}"/>
    <hyperlink ref="E13" r:id="rId5" display="http://www.info.gov.hk/hkma/gdbook/chi/stroke12/discount_rate_index.htm" xr:uid="{44D2E22A-ADBA-469A-80AD-D860BF306158}"/>
    <hyperlink ref="E10" r:id="rId6" display="http://www.info.gov.hk/hkma/gdbook/eng/d/discount_rate_index.htm" xr:uid="{0C1C8C52-AF8A-4909-91BB-57FDF84A0812}"/>
    <hyperlink ref="H10" r:id="rId7" xr:uid="{4D515F47-35DD-4466-BFC2-B1FAD30FD250}"/>
    <hyperlink ref="H11" r:id="rId8" xr:uid="{64B45785-CC90-477A-9CA6-26A219C6B5A8}"/>
    <hyperlink ref="H12" r:id="rId9" xr:uid="{EF40E27A-A34A-4EE0-9EF5-B8B574F644FF}"/>
    <hyperlink ref="H13" r:id="rId10" xr:uid="{675528FE-BBEB-425B-88D3-88B49CD860A0}"/>
    <hyperlink ref="D12" r:id="rId11" xr:uid="{95FAD410-A256-41C4-97A2-275664D420B5}"/>
    <hyperlink ref="D13" r:id="rId12" xr:uid="{1273E90C-278A-487E-9DE8-72EDC6B8257B}"/>
  </hyperlinks>
  <pageMargins left="0.74803149606299202" right="0.74803149606299202" top="0.98425196850393704" bottom="0.98425196850393704" header="0.511811023622047" footer="0.511811023622047"/>
  <pageSetup paperSize="9" scale="80" orientation="portrait" r:id="rId13"/>
  <headerFooter alignWithMargins="0">
    <oddFooter>&amp;L&amp;"Times New Roman,Regular"© 2025 Hong Kong Monetary Authority &amp;"新細明體,Regular"香港金融管理局&amp;R&amp;"新細明體,Regular"金融數據月報&amp;"Times New Roman,Regular" Monthly Statistical Bulletin 03/2025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63"/>
  <sheetViews>
    <sheetView workbookViewId="0">
      <selection activeCell="F25" sqref="F25"/>
    </sheetView>
  </sheetViews>
  <sheetFormatPr baseColWidth="10" defaultColWidth="8.6640625" defaultRowHeight="15"/>
  <cols>
    <col min="1" max="1" width="10.5" style="19" bestFit="1" customWidth="1"/>
    <col min="2" max="2" width="13.6640625" style="19" bestFit="1" customWidth="1"/>
    <col min="3" max="3" width="23.1640625" style="19" customWidth="1"/>
    <col min="4" max="5" width="8.6640625" style="19"/>
    <col min="6" max="6" width="15.1640625" style="19" customWidth="1"/>
    <col min="7" max="16384" width="8.6640625" style="19"/>
  </cols>
  <sheetData>
    <row r="1" spans="1:6" ht="32">
      <c r="A1" s="4" t="s">
        <v>0</v>
      </c>
      <c r="B1" s="6" t="s">
        <v>181</v>
      </c>
      <c r="C1" s="4" t="s">
        <v>104</v>
      </c>
      <c r="E1" s="6" t="s">
        <v>103</v>
      </c>
      <c r="F1" s="4" t="s">
        <v>105</v>
      </c>
    </row>
    <row r="2" spans="1:6">
      <c r="A2" s="20">
        <f>HKData!A5</f>
        <v>45231</v>
      </c>
      <c r="B2" s="19">
        <f t="shared" ref="B2:B65" si="0">IF(MONTH(A2)=1,(YEAR(A2)-1)*100+12,YEAR(A2)*100+MONTH(A2)-1)</f>
        <v>202310</v>
      </c>
      <c r="C2" s="21">
        <f>VLOOKUP(B2,$E$2:$F$13,2,FALSE)</f>
        <v>4.47</v>
      </c>
      <c r="E2" s="19">
        <v>202310</v>
      </c>
      <c r="F2" s="21">
        <f>'T7.3.1'!F423</f>
        <v>4.47</v>
      </c>
    </row>
    <row r="3" spans="1:6">
      <c r="A3" s="20">
        <f>HKData!A6</f>
        <v>45232</v>
      </c>
      <c r="B3" s="19">
        <f t="shared" si="0"/>
        <v>202310</v>
      </c>
      <c r="C3" s="21">
        <f t="shared" ref="C3:C66" si="1">VLOOKUP(B3,$E$2:$F$13,2,FALSE)</f>
        <v>4.47</v>
      </c>
      <c r="E3" s="19">
        <v>202311</v>
      </c>
      <c r="F3" s="21">
        <f>'T7.3.1'!F424</f>
        <v>4.0999999999999996</v>
      </c>
    </row>
    <row r="4" spans="1:6">
      <c r="A4" s="20">
        <f>HKData!A7</f>
        <v>45233</v>
      </c>
      <c r="B4" s="19">
        <f t="shared" si="0"/>
        <v>202310</v>
      </c>
      <c r="C4" s="21">
        <f t="shared" si="1"/>
        <v>4.47</v>
      </c>
      <c r="E4" s="19">
        <v>202312</v>
      </c>
      <c r="F4" s="21">
        <f>'T7.3.1'!F425</f>
        <v>5.93</v>
      </c>
    </row>
    <row r="5" spans="1:6">
      <c r="A5" s="20">
        <f>HKData!A8</f>
        <v>45236</v>
      </c>
      <c r="B5" s="19">
        <f t="shared" si="0"/>
        <v>202310</v>
      </c>
      <c r="C5" s="21">
        <f t="shared" si="1"/>
        <v>4.47</v>
      </c>
      <c r="E5" s="19">
        <v>202401</v>
      </c>
      <c r="F5" s="21">
        <f>'T7.3.1'!F427</f>
        <v>5.05</v>
      </c>
    </row>
    <row r="6" spans="1:6">
      <c r="A6" s="20">
        <f>HKData!A9</f>
        <v>45237</v>
      </c>
      <c r="B6" s="19">
        <f t="shared" si="0"/>
        <v>202310</v>
      </c>
      <c r="C6" s="21">
        <f t="shared" si="1"/>
        <v>4.47</v>
      </c>
      <c r="E6" s="19">
        <v>202402</v>
      </c>
      <c r="F6" s="21">
        <f>'T7.3.1'!F428</f>
        <v>4.8</v>
      </c>
    </row>
    <row r="7" spans="1:6">
      <c r="A7" s="20">
        <f>HKData!A10</f>
        <v>45238</v>
      </c>
      <c r="B7" s="19">
        <f t="shared" si="0"/>
        <v>202310</v>
      </c>
      <c r="C7" s="21">
        <f t="shared" si="1"/>
        <v>4.47</v>
      </c>
      <c r="E7" s="19">
        <v>202403</v>
      </c>
      <c r="F7" s="21">
        <f>'T7.3.1'!F429</f>
        <v>4.93</v>
      </c>
    </row>
    <row r="8" spans="1:6">
      <c r="A8" s="20">
        <f>HKData!A11</f>
        <v>45239</v>
      </c>
      <c r="B8" s="19">
        <f t="shared" si="0"/>
        <v>202310</v>
      </c>
      <c r="C8" s="21">
        <f t="shared" si="1"/>
        <v>4.47</v>
      </c>
      <c r="E8" s="19">
        <v>202404</v>
      </c>
      <c r="F8" s="21">
        <f>'T7.3.1'!F430</f>
        <v>5.28</v>
      </c>
    </row>
    <row r="9" spans="1:6">
      <c r="A9" s="20">
        <f>HKData!A12</f>
        <v>45240</v>
      </c>
      <c r="B9" s="19">
        <f t="shared" si="0"/>
        <v>202310</v>
      </c>
      <c r="C9" s="21">
        <f t="shared" si="1"/>
        <v>4.47</v>
      </c>
      <c r="E9" s="19">
        <v>202405</v>
      </c>
      <c r="F9" s="21">
        <f>'T7.3.1'!F431</f>
        <v>4.25</v>
      </c>
    </row>
    <row r="10" spans="1:6">
      <c r="A10" s="20">
        <f>HKData!A13</f>
        <v>45243</v>
      </c>
      <c r="B10" s="19">
        <f t="shared" si="0"/>
        <v>202310</v>
      </c>
      <c r="C10" s="21">
        <f t="shared" si="1"/>
        <v>4.47</v>
      </c>
      <c r="E10" s="19">
        <v>202406</v>
      </c>
      <c r="F10" s="21">
        <f>'T7.3.1'!F432</f>
        <v>5.08</v>
      </c>
    </row>
    <row r="11" spans="1:6">
      <c r="A11" s="20">
        <f>HKData!A14</f>
        <v>45244</v>
      </c>
      <c r="B11" s="19">
        <f t="shared" si="0"/>
        <v>202310</v>
      </c>
      <c r="C11" s="21">
        <f t="shared" si="1"/>
        <v>4.47</v>
      </c>
      <c r="E11" s="19">
        <v>202407</v>
      </c>
      <c r="F11" s="21">
        <f>'T7.3.1'!F433</f>
        <v>4.8099999999999996</v>
      </c>
    </row>
    <row r="12" spans="1:6">
      <c r="A12" s="20">
        <f>HKData!A15</f>
        <v>45245</v>
      </c>
      <c r="B12" s="19">
        <f t="shared" si="0"/>
        <v>202310</v>
      </c>
      <c r="C12" s="21">
        <f t="shared" si="1"/>
        <v>4.47</v>
      </c>
      <c r="E12" s="19">
        <v>202408</v>
      </c>
      <c r="F12" s="21">
        <f>'T7.3.1'!F434</f>
        <v>3.2</v>
      </c>
    </row>
    <row r="13" spans="1:6">
      <c r="A13" s="20">
        <f>HKData!A16</f>
        <v>45246</v>
      </c>
      <c r="B13" s="19">
        <f t="shared" si="0"/>
        <v>202310</v>
      </c>
      <c r="C13" s="21">
        <f t="shared" si="1"/>
        <v>4.47</v>
      </c>
      <c r="E13" s="19">
        <v>202409</v>
      </c>
      <c r="F13" s="21">
        <f>'T7.3.1'!F435</f>
        <v>5.92</v>
      </c>
    </row>
    <row r="14" spans="1:6">
      <c r="A14" s="20">
        <f>HKData!A17</f>
        <v>45247</v>
      </c>
      <c r="B14" s="19">
        <f t="shared" si="0"/>
        <v>202310</v>
      </c>
      <c r="C14" s="21">
        <f t="shared" si="1"/>
        <v>4.47</v>
      </c>
    </row>
    <row r="15" spans="1:6">
      <c r="A15" s="20">
        <f>HKData!A18</f>
        <v>45250</v>
      </c>
      <c r="B15" s="19">
        <f t="shared" si="0"/>
        <v>202310</v>
      </c>
      <c r="C15" s="21">
        <f t="shared" si="1"/>
        <v>4.47</v>
      </c>
    </row>
    <row r="16" spans="1:6">
      <c r="A16" s="20">
        <f>HKData!A19</f>
        <v>45251</v>
      </c>
      <c r="B16" s="19">
        <f t="shared" si="0"/>
        <v>202310</v>
      </c>
      <c r="C16" s="21">
        <f t="shared" si="1"/>
        <v>4.47</v>
      </c>
    </row>
    <row r="17" spans="1:3">
      <c r="A17" s="20">
        <f>HKData!A20</f>
        <v>45252</v>
      </c>
      <c r="B17" s="19">
        <f t="shared" si="0"/>
        <v>202310</v>
      </c>
      <c r="C17" s="21">
        <f t="shared" si="1"/>
        <v>4.47</v>
      </c>
    </row>
    <row r="18" spans="1:3">
      <c r="A18" s="20">
        <f>HKData!A21</f>
        <v>45253</v>
      </c>
      <c r="B18" s="19">
        <f t="shared" si="0"/>
        <v>202310</v>
      </c>
      <c r="C18" s="21">
        <f t="shared" si="1"/>
        <v>4.47</v>
      </c>
    </row>
    <row r="19" spans="1:3">
      <c r="A19" s="20">
        <f>HKData!A22</f>
        <v>45254</v>
      </c>
      <c r="B19" s="19">
        <f t="shared" si="0"/>
        <v>202310</v>
      </c>
      <c r="C19" s="21">
        <f t="shared" si="1"/>
        <v>4.47</v>
      </c>
    </row>
    <row r="20" spans="1:3">
      <c r="A20" s="20">
        <f>HKData!A23</f>
        <v>45257</v>
      </c>
      <c r="B20" s="19">
        <f t="shared" si="0"/>
        <v>202310</v>
      </c>
      <c r="C20" s="21">
        <f t="shared" si="1"/>
        <v>4.47</v>
      </c>
    </row>
    <row r="21" spans="1:3">
      <c r="A21" s="20">
        <f>HKData!A24</f>
        <v>45258</v>
      </c>
      <c r="B21" s="19">
        <f t="shared" si="0"/>
        <v>202310</v>
      </c>
      <c r="C21" s="21">
        <f t="shared" si="1"/>
        <v>4.47</v>
      </c>
    </row>
    <row r="22" spans="1:3">
      <c r="A22" s="20">
        <f>HKData!A25</f>
        <v>45259</v>
      </c>
      <c r="B22" s="19">
        <f t="shared" si="0"/>
        <v>202310</v>
      </c>
      <c r="C22" s="21">
        <f t="shared" si="1"/>
        <v>4.47</v>
      </c>
    </row>
    <row r="23" spans="1:3">
      <c r="A23" s="20">
        <f>HKData!A26</f>
        <v>45260</v>
      </c>
      <c r="B23" s="19">
        <f t="shared" si="0"/>
        <v>202310</v>
      </c>
      <c r="C23" s="21">
        <f t="shared" si="1"/>
        <v>4.47</v>
      </c>
    </row>
    <row r="24" spans="1:3">
      <c r="A24" s="20">
        <f>HKData!A27</f>
        <v>45261</v>
      </c>
      <c r="B24" s="19">
        <f t="shared" si="0"/>
        <v>202311</v>
      </c>
      <c r="C24" s="21">
        <f t="shared" si="1"/>
        <v>4.0999999999999996</v>
      </c>
    </row>
    <row r="25" spans="1:3">
      <c r="A25" s="20">
        <f>HKData!A28</f>
        <v>45264</v>
      </c>
      <c r="B25" s="19">
        <f t="shared" si="0"/>
        <v>202311</v>
      </c>
      <c r="C25" s="21">
        <f t="shared" si="1"/>
        <v>4.0999999999999996</v>
      </c>
    </row>
    <row r="26" spans="1:3">
      <c r="A26" s="20">
        <f>HKData!A29</f>
        <v>45265</v>
      </c>
      <c r="B26" s="19">
        <f t="shared" si="0"/>
        <v>202311</v>
      </c>
      <c r="C26" s="21">
        <f t="shared" si="1"/>
        <v>4.0999999999999996</v>
      </c>
    </row>
    <row r="27" spans="1:3">
      <c r="A27" s="20">
        <f>HKData!A30</f>
        <v>45266</v>
      </c>
      <c r="B27" s="19">
        <f t="shared" si="0"/>
        <v>202311</v>
      </c>
      <c r="C27" s="21">
        <f t="shared" si="1"/>
        <v>4.0999999999999996</v>
      </c>
    </row>
    <row r="28" spans="1:3">
      <c r="A28" s="20">
        <f>HKData!A31</f>
        <v>45267</v>
      </c>
      <c r="B28" s="19">
        <f t="shared" si="0"/>
        <v>202311</v>
      </c>
      <c r="C28" s="21">
        <f t="shared" si="1"/>
        <v>4.0999999999999996</v>
      </c>
    </row>
    <row r="29" spans="1:3">
      <c r="A29" s="20">
        <f>HKData!A32</f>
        <v>45268</v>
      </c>
      <c r="B29" s="19">
        <f t="shared" si="0"/>
        <v>202311</v>
      </c>
      <c r="C29" s="21">
        <f t="shared" si="1"/>
        <v>4.0999999999999996</v>
      </c>
    </row>
    <row r="30" spans="1:3">
      <c r="A30" s="20">
        <f>HKData!A33</f>
        <v>45271</v>
      </c>
      <c r="B30" s="19">
        <f t="shared" si="0"/>
        <v>202311</v>
      </c>
      <c r="C30" s="21">
        <f t="shared" si="1"/>
        <v>4.0999999999999996</v>
      </c>
    </row>
    <row r="31" spans="1:3">
      <c r="A31" s="20">
        <f>HKData!A34</f>
        <v>45272</v>
      </c>
      <c r="B31" s="19">
        <f t="shared" si="0"/>
        <v>202311</v>
      </c>
      <c r="C31" s="21">
        <f t="shared" si="1"/>
        <v>4.0999999999999996</v>
      </c>
    </row>
    <row r="32" spans="1:3">
      <c r="A32" s="20">
        <f>HKData!A35</f>
        <v>45273</v>
      </c>
      <c r="B32" s="19">
        <f t="shared" si="0"/>
        <v>202311</v>
      </c>
      <c r="C32" s="21">
        <f t="shared" si="1"/>
        <v>4.0999999999999996</v>
      </c>
    </row>
    <row r="33" spans="1:3">
      <c r="A33" s="20">
        <f>HKData!A36</f>
        <v>45274</v>
      </c>
      <c r="B33" s="19">
        <f t="shared" si="0"/>
        <v>202311</v>
      </c>
      <c r="C33" s="21">
        <f t="shared" si="1"/>
        <v>4.0999999999999996</v>
      </c>
    </row>
    <row r="34" spans="1:3">
      <c r="A34" s="20">
        <f>HKData!A37</f>
        <v>45275</v>
      </c>
      <c r="B34" s="19">
        <f t="shared" si="0"/>
        <v>202311</v>
      </c>
      <c r="C34" s="21">
        <f t="shared" si="1"/>
        <v>4.0999999999999996</v>
      </c>
    </row>
    <row r="35" spans="1:3">
      <c r="A35" s="20">
        <f>HKData!A38</f>
        <v>45278</v>
      </c>
      <c r="B35" s="19">
        <f t="shared" si="0"/>
        <v>202311</v>
      </c>
      <c r="C35" s="21">
        <f t="shared" si="1"/>
        <v>4.0999999999999996</v>
      </c>
    </row>
    <row r="36" spans="1:3">
      <c r="A36" s="20">
        <f>HKData!A39</f>
        <v>45279</v>
      </c>
      <c r="B36" s="19">
        <f t="shared" si="0"/>
        <v>202311</v>
      </c>
      <c r="C36" s="21">
        <f t="shared" si="1"/>
        <v>4.0999999999999996</v>
      </c>
    </row>
    <row r="37" spans="1:3">
      <c r="A37" s="20">
        <f>HKData!A40</f>
        <v>45280</v>
      </c>
      <c r="B37" s="19">
        <f t="shared" si="0"/>
        <v>202311</v>
      </c>
      <c r="C37" s="21">
        <f t="shared" si="1"/>
        <v>4.0999999999999996</v>
      </c>
    </row>
    <row r="38" spans="1:3">
      <c r="A38" s="20">
        <f>HKData!A41</f>
        <v>45281</v>
      </c>
      <c r="B38" s="19">
        <f t="shared" si="0"/>
        <v>202311</v>
      </c>
      <c r="C38" s="21">
        <f t="shared" si="1"/>
        <v>4.0999999999999996</v>
      </c>
    </row>
    <row r="39" spans="1:3">
      <c r="A39" s="20">
        <f>HKData!A42</f>
        <v>45282</v>
      </c>
      <c r="B39" s="19">
        <f t="shared" si="0"/>
        <v>202311</v>
      </c>
      <c r="C39" s="21">
        <f t="shared" si="1"/>
        <v>4.0999999999999996</v>
      </c>
    </row>
    <row r="40" spans="1:3">
      <c r="A40" s="20">
        <f>HKData!A43</f>
        <v>45287</v>
      </c>
      <c r="B40" s="19">
        <f t="shared" si="0"/>
        <v>202311</v>
      </c>
      <c r="C40" s="21">
        <f t="shared" si="1"/>
        <v>4.0999999999999996</v>
      </c>
    </row>
    <row r="41" spans="1:3">
      <c r="A41" s="20">
        <f>HKData!A44</f>
        <v>45288</v>
      </c>
      <c r="B41" s="19">
        <f t="shared" si="0"/>
        <v>202311</v>
      </c>
      <c r="C41" s="21">
        <f t="shared" si="1"/>
        <v>4.0999999999999996</v>
      </c>
    </row>
    <row r="42" spans="1:3">
      <c r="A42" s="20">
        <f>HKData!A45</f>
        <v>45289</v>
      </c>
      <c r="B42" s="19">
        <f t="shared" si="0"/>
        <v>202311</v>
      </c>
      <c r="C42" s="21">
        <f t="shared" si="1"/>
        <v>4.0999999999999996</v>
      </c>
    </row>
    <row r="43" spans="1:3">
      <c r="A43" s="20">
        <f>HKData!A46</f>
        <v>45293</v>
      </c>
      <c r="B43" s="19">
        <f t="shared" si="0"/>
        <v>202312</v>
      </c>
      <c r="C43" s="21">
        <f t="shared" si="1"/>
        <v>5.93</v>
      </c>
    </row>
    <row r="44" spans="1:3">
      <c r="A44" s="20">
        <f>HKData!A47</f>
        <v>45294</v>
      </c>
      <c r="B44" s="19">
        <f t="shared" si="0"/>
        <v>202312</v>
      </c>
      <c r="C44" s="21">
        <f t="shared" si="1"/>
        <v>5.93</v>
      </c>
    </row>
    <row r="45" spans="1:3">
      <c r="A45" s="20">
        <f>HKData!A48</f>
        <v>45295</v>
      </c>
      <c r="B45" s="19">
        <f t="shared" si="0"/>
        <v>202312</v>
      </c>
      <c r="C45" s="21">
        <f t="shared" si="1"/>
        <v>5.93</v>
      </c>
    </row>
    <row r="46" spans="1:3">
      <c r="A46" s="20">
        <f>HKData!A49</f>
        <v>45296</v>
      </c>
      <c r="B46" s="19">
        <f t="shared" si="0"/>
        <v>202312</v>
      </c>
      <c r="C46" s="21">
        <f t="shared" si="1"/>
        <v>5.93</v>
      </c>
    </row>
    <row r="47" spans="1:3">
      <c r="A47" s="20">
        <f>HKData!A50</f>
        <v>45299</v>
      </c>
      <c r="B47" s="19">
        <f t="shared" si="0"/>
        <v>202312</v>
      </c>
      <c r="C47" s="21">
        <f t="shared" si="1"/>
        <v>5.93</v>
      </c>
    </row>
    <row r="48" spans="1:3">
      <c r="A48" s="20">
        <f>HKData!A51</f>
        <v>45300</v>
      </c>
      <c r="B48" s="19">
        <f t="shared" si="0"/>
        <v>202312</v>
      </c>
      <c r="C48" s="21">
        <f t="shared" si="1"/>
        <v>5.93</v>
      </c>
    </row>
    <row r="49" spans="1:3">
      <c r="A49" s="20">
        <f>HKData!A52</f>
        <v>45301</v>
      </c>
      <c r="B49" s="19">
        <f t="shared" si="0"/>
        <v>202312</v>
      </c>
      <c r="C49" s="21">
        <f t="shared" si="1"/>
        <v>5.93</v>
      </c>
    </row>
    <row r="50" spans="1:3">
      <c r="A50" s="20">
        <f>HKData!A53</f>
        <v>45302</v>
      </c>
      <c r="B50" s="19">
        <f t="shared" si="0"/>
        <v>202312</v>
      </c>
      <c r="C50" s="21">
        <f t="shared" si="1"/>
        <v>5.93</v>
      </c>
    </row>
    <row r="51" spans="1:3">
      <c r="A51" s="20">
        <f>HKData!A54</f>
        <v>45303</v>
      </c>
      <c r="B51" s="19">
        <f t="shared" si="0"/>
        <v>202312</v>
      </c>
      <c r="C51" s="21">
        <f t="shared" si="1"/>
        <v>5.93</v>
      </c>
    </row>
    <row r="52" spans="1:3">
      <c r="A52" s="20">
        <f>HKData!A55</f>
        <v>45306</v>
      </c>
      <c r="B52" s="19">
        <f t="shared" si="0"/>
        <v>202312</v>
      </c>
      <c r="C52" s="21">
        <f t="shared" si="1"/>
        <v>5.93</v>
      </c>
    </row>
    <row r="53" spans="1:3">
      <c r="A53" s="20">
        <f>HKData!A56</f>
        <v>45307</v>
      </c>
      <c r="B53" s="19">
        <f t="shared" si="0"/>
        <v>202312</v>
      </c>
      <c r="C53" s="21">
        <f t="shared" si="1"/>
        <v>5.93</v>
      </c>
    </row>
    <row r="54" spans="1:3">
      <c r="A54" s="20">
        <f>HKData!A57</f>
        <v>45308</v>
      </c>
      <c r="B54" s="19">
        <f t="shared" si="0"/>
        <v>202312</v>
      </c>
      <c r="C54" s="21">
        <f t="shared" si="1"/>
        <v>5.93</v>
      </c>
    </row>
    <row r="55" spans="1:3">
      <c r="A55" s="20">
        <f>HKData!A58</f>
        <v>45309</v>
      </c>
      <c r="B55" s="19">
        <f t="shared" si="0"/>
        <v>202312</v>
      </c>
      <c r="C55" s="21">
        <f t="shared" si="1"/>
        <v>5.93</v>
      </c>
    </row>
    <row r="56" spans="1:3">
      <c r="A56" s="20">
        <f>HKData!A59</f>
        <v>45310</v>
      </c>
      <c r="B56" s="19">
        <f t="shared" si="0"/>
        <v>202312</v>
      </c>
      <c r="C56" s="21">
        <f t="shared" si="1"/>
        <v>5.93</v>
      </c>
    </row>
    <row r="57" spans="1:3">
      <c r="A57" s="20">
        <f>HKData!A60</f>
        <v>45313</v>
      </c>
      <c r="B57" s="19">
        <f t="shared" si="0"/>
        <v>202312</v>
      </c>
      <c r="C57" s="21">
        <f t="shared" si="1"/>
        <v>5.93</v>
      </c>
    </row>
    <row r="58" spans="1:3">
      <c r="A58" s="20">
        <f>HKData!A61</f>
        <v>45314</v>
      </c>
      <c r="B58" s="19">
        <f t="shared" si="0"/>
        <v>202312</v>
      </c>
      <c r="C58" s="21">
        <f t="shared" si="1"/>
        <v>5.93</v>
      </c>
    </row>
    <row r="59" spans="1:3">
      <c r="A59" s="20">
        <f>HKData!A62</f>
        <v>45315</v>
      </c>
      <c r="B59" s="19">
        <f t="shared" si="0"/>
        <v>202312</v>
      </c>
      <c r="C59" s="21">
        <f t="shared" si="1"/>
        <v>5.93</v>
      </c>
    </row>
    <row r="60" spans="1:3">
      <c r="A60" s="20">
        <f>HKData!A63</f>
        <v>45316</v>
      </c>
      <c r="B60" s="19">
        <f t="shared" si="0"/>
        <v>202312</v>
      </c>
      <c r="C60" s="21">
        <f t="shared" si="1"/>
        <v>5.93</v>
      </c>
    </row>
    <row r="61" spans="1:3">
      <c r="A61" s="20">
        <f>HKData!A64</f>
        <v>45317</v>
      </c>
      <c r="B61" s="19">
        <f t="shared" si="0"/>
        <v>202312</v>
      </c>
      <c r="C61" s="21">
        <f t="shared" si="1"/>
        <v>5.93</v>
      </c>
    </row>
    <row r="62" spans="1:3">
      <c r="A62" s="20">
        <f>HKData!A65</f>
        <v>45320</v>
      </c>
      <c r="B62" s="19">
        <f t="shared" si="0"/>
        <v>202312</v>
      </c>
      <c r="C62" s="21">
        <f t="shared" si="1"/>
        <v>5.93</v>
      </c>
    </row>
    <row r="63" spans="1:3">
      <c r="A63" s="20">
        <f>HKData!A66</f>
        <v>45321</v>
      </c>
      <c r="B63" s="19">
        <f t="shared" si="0"/>
        <v>202312</v>
      </c>
      <c r="C63" s="21">
        <f t="shared" si="1"/>
        <v>5.93</v>
      </c>
    </row>
    <row r="64" spans="1:3">
      <c r="A64" s="20">
        <f>HKData!A67</f>
        <v>45322</v>
      </c>
      <c r="B64" s="19">
        <f t="shared" si="0"/>
        <v>202312</v>
      </c>
      <c r="C64" s="21">
        <f t="shared" si="1"/>
        <v>5.93</v>
      </c>
    </row>
    <row r="65" spans="1:3">
      <c r="A65" s="20">
        <f>HKData!A68</f>
        <v>45323</v>
      </c>
      <c r="B65" s="19">
        <f t="shared" si="0"/>
        <v>202401</v>
      </c>
      <c r="C65" s="21">
        <f t="shared" si="1"/>
        <v>5.05</v>
      </c>
    </row>
    <row r="66" spans="1:3">
      <c r="A66" s="20">
        <f>HKData!A69</f>
        <v>45324</v>
      </c>
      <c r="B66" s="19">
        <f t="shared" ref="B66:B129" si="2">IF(MONTH(A66)=1,(YEAR(A66)-1)*100+12,YEAR(A66)*100+MONTH(A66)-1)</f>
        <v>202401</v>
      </c>
      <c r="C66" s="21">
        <f t="shared" si="1"/>
        <v>5.05</v>
      </c>
    </row>
    <row r="67" spans="1:3">
      <c r="A67" s="20">
        <f>HKData!A70</f>
        <v>45327</v>
      </c>
      <c r="B67" s="19">
        <f t="shared" si="2"/>
        <v>202401</v>
      </c>
      <c r="C67" s="21">
        <f t="shared" ref="C67:C130" si="3">VLOOKUP(B67,$E$2:$F$13,2,FALSE)</f>
        <v>5.05</v>
      </c>
    </row>
    <row r="68" spans="1:3">
      <c r="A68" s="20">
        <f>HKData!A71</f>
        <v>45328</v>
      </c>
      <c r="B68" s="19">
        <f t="shared" si="2"/>
        <v>202401</v>
      </c>
      <c r="C68" s="21">
        <f t="shared" si="3"/>
        <v>5.05</v>
      </c>
    </row>
    <row r="69" spans="1:3">
      <c r="A69" s="20">
        <f>HKData!A72</f>
        <v>45329</v>
      </c>
      <c r="B69" s="19">
        <f t="shared" si="2"/>
        <v>202401</v>
      </c>
      <c r="C69" s="21">
        <f t="shared" si="3"/>
        <v>5.05</v>
      </c>
    </row>
    <row r="70" spans="1:3">
      <c r="A70" s="20">
        <f>HKData!A73</f>
        <v>45330</v>
      </c>
      <c r="B70" s="19">
        <f t="shared" si="2"/>
        <v>202401</v>
      </c>
      <c r="C70" s="21">
        <f t="shared" si="3"/>
        <v>5.05</v>
      </c>
    </row>
    <row r="71" spans="1:3">
      <c r="A71" s="20">
        <f>HKData!A74</f>
        <v>45331</v>
      </c>
      <c r="B71" s="19">
        <f t="shared" si="2"/>
        <v>202401</v>
      </c>
      <c r="C71" s="21">
        <f t="shared" si="3"/>
        <v>5.05</v>
      </c>
    </row>
    <row r="72" spans="1:3">
      <c r="A72" s="20">
        <f>HKData!A75</f>
        <v>45336</v>
      </c>
      <c r="B72" s="19">
        <f t="shared" si="2"/>
        <v>202401</v>
      </c>
      <c r="C72" s="21">
        <f t="shared" si="3"/>
        <v>5.05</v>
      </c>
    </row>
    <row r="73" spans="1:3">
      <c r="A73" s="20">
        <f>HKData!A76</f>
        <v>45337</v>
      </c>
      <c r="B73" s="19">
        <f t="shared" si="2"/>
        <v>202401</v>
      </c>
      <c r="C73" s="21">
        <f t="shared" si="3"/>
        <v>5.05</v>
      </c>
    </row>
    <row r="74" spans="1:3">
      <c r="A74" s="20">
        <f>HKData!A77</f>
        <v>45338</v>
      </c>
      <c r="B74" s="19">
        <f t="shared" si="2"/>
        <v>202401</v>
      </c>
      <c r="C74" s="21">
        <f t="shared" si="3"/>
        <v>5.05</v>
      </c>
    </row>
    <row r="75" spans="1:3">
      <c r="A75" s="20">
        <f>HKData!A78</f>
        <v>45341</v>
      </c>
      <c r="B75" s="19">
        <f t="shared" si="2"/>
        <v>202401</v>
      </c>
      <c r="C75" s="21">
        <f t="shared" si="3"/>
        <v>5.05</v>
      </c>
    </row>
    <row r="76" spans="1:3">
      <c r="A76" s="20">
        <f>HKData!A79</f>
        <v>45342</v>
      </c>
      <c r="B76" s="19">
        <f t="shared" si="2"/>
        <v>202401</v>
      </c>
      <c r="C76" s="21">
        <f t="shared" si="3"/>
        <v>5.05</v>
      </c>
    </row>
    <row r="77" spans="1:3">
      <c r="A77" s="20">
        <f>HKData!A80</f>
        <v>45343</v>
      </c>
      <c r="B77" s="19">
        <f t="shared" si="2"/>
        <v>202401</v>
      </c>
      <c r="C77" s="21">
        <f t="shared" si="3"/>
        <v>5.05</v>
      </c>
    </row>
    <row r="78" spans="1:3">
      <c r="A78" s="20">
        <f>HKData!A81</f>
        <v>45344</v>
      </c>
      <c r="B78" s="19">
        <f t="shared" si="2"/>
        <v>202401</v>
      </c>
      <c r="C78" s="21">
        <f t="shared" si="3"/>
        <v>5.05</v>
      </c>
    </row>
    <row r="79" spans="1:3">
      <c r="A79" s="20">
        <f>HKData!A82</f>
        <v>45345</v>
      </c>
      <c r="B79" s="19">
        <f t="shared" si="2"/>
        <v>202401</v>
      </c>
      <c r="C79" s="21">
        <f t="shared" si="3"/>
        <v>5.05</v>
      </c>
    </row>
    <row r="80" spans="1:3">
      <c r="A80" s="20">
        <f>HKData!A83</f>
        <v>45348</v>
      </c>
      <c r="B80" s="19">
        <f t="shared" si="2"/>
        <v>202401</v>
      </c>
      <c r="C80" s="21">
        <f t="shared" si="3"/>
        <v>5.05</v>
      </c>
    </row>
    <row r="81" spans="1:3">
      <c r="A81" s="20">
        <f>HKData!A84</f>
        <v>45349</v>
      </c>
      <c r="B81" s="19">
        <f t="shared" si="2"/>
        <v>202401</v>
      </c>
      <c r="C81" s="21">
        <f t="shared" si="3"/>
        <v>5.05</v>
      </c>
    </row>
    <row r="82" spans="1:3">
      <c r="A82" s="20">
        <f>HKData!A85</f>
        <v>45350</v>
      </c>
      <c r="B82" s="19">
        <f t="shared" si="2"/>
        <v>202401</v>
      </c>
      <c r="C82" s="21">
        <f t="shared" si="3"/>
        <v>5.05</v>
      </c>
    </row>
    <row r="83" spans="1:3">
      <c r="A83" s="20">
        <f>HKData!A86</f>
        <v>45351</v>
      </c>
      <c r="B83" s="19">
        <f t="shared" si="2"/>
        <v>202401</v>
      </c>
      <c r="C83" s="21">
        <f t="shared" si="3"/>
        <v>5.05</v>
      </c>
    </row>
    <row r="84" spans="1:3">
      <c r="A84" s="20">
        <f>HKData!A87</f>
        <v>45352</v>
      </c>
      <c r="B84" s="19">
        <f t="shared" si="2"/>
        <v>202402</v>
      </c>
      <c r="C84" s="21">
        <f t="shared" si="3"/>
        <v>4.8</v>
      </c>
    </row>
    <row r="85" spans="1:3">
      <c r="A85" s="20">
        <f>HKData!A88</f>
        <v>45355</v>
      </c>
      <c r="B85" s="19">
        <f t="shared" si="2"/>
        <v>202402</v>
      </c>
      <c r="C85" s="21">
        <f t="shared" si="3"/>
        <v>4.8</v>
      </c>
    </row>
    <row r="86" spans="1:3">
      <c r="A86" s="20">
        <f>HKData!A89</f>
        <v>45356</v>
      </c>
      <c r="B86" s="19">
        <f t="shared" si="2"/>
        <v>202402</v>
      </c>
      <c r="C86" s="21">
        <f t="shared" si="3"/>
        <v>4.8</v>
      </c>
    </row>
    <row r="87" spans="1:3">
      <c r="A87" s="20">
        <f>HKData!A90</f>
        <v>45357</v>
      </c>
      <c r="B87" s="19">
        <f t="shared" si="2"/>
        <v>202402</v>
      </c>
      <c r="C87" s="21">
        <f t="shared" si="3"/>
        <v>4.8</v>
      </c>
    </row>
    <row r="88" spans="1:3">
      <c r="A88" s="20">
        <f>HKData!A91</f>
        <v>45358</v>
      </c>
      <c r="B88" s="19">
        <f t="shared" si="2"/>
        <v>202402</v>
      </c>
      <c r="C88" s="21">
        <f t="shared" si="3"/>
        <v>4.8</v>
      </c>
    </row>
    <row r="89" spans="1:3">
      <c r="A89" s="20">
        <f>HKData!A92</f>
        <v>45359</v>
      </c>
      <c r="B89" s="19">
        <f t="shared" si="2"/>
        <v>202402</v>
      </c>
      <c r="C89" s="21">
        <f t="shared" si="3"/>
        <v>4.8</v>
      </c>
    </row>
    <row r="90" spans="1:3">
      <c r="A90" s="20">
        <f>HKData!A93</f>
        <v>45362</v>
      </c>
      <c r="B90" s="19">
        <f t="shared" si="2"/>
        <v>202402</v>
      </c>
      <c r="C90" s="21">
        <f t="shared" si="3"/>
        <v>4.8</v>
      </c>
    </row>
    <row r="91" spans="1:3">
      <c r="A91" s="20">
        <f>HKData!A94</f>
        <v>45363</v>
      </c>
      <c r="B91" s="19">
        <f t="shared" si="2"/>
        <v>202402</v>
      </c>
      <c r="C91" s="21">
        <f t="shared" si="3"/>
        <v>4.8</v>
      </c>
    </row>
    <row r="92" spans="1:3">
      <c r="A92" s="20">
        <f>HKData!A95</f>
        <v>45364</v>
      </c>
      <c r="B92" s="19">
        <f t="shared" si="2"/>
        <v>202402</v>
      </c>
      <c r="C92" s="21">
        <f t="shared" si="3"/>
        <v>4.8</v>
      </c>
    </row>
    <row r="93" spans="1:3">
      <c r="A93" s="20">
        <f>HKData!A96</f>
        <v>45365</v>
      </c>
      <c r="B93" s="19">
        <f t="shared" si="2"/>
        <v>202402</v>
      </c>
      <c r="C93" s="21">
        <f t="shared" si="3"/>
        <v>4.8</v>
      </c>
    </row>
    <row r="94" spans="1:3">
      <c r="A94" s="20">
        <f>HKData!A97</f>
        <v>45366</v>
      </c>
      <c r="B94" s="19">
        <f t="shared" si="2"/>
        <v>202402</v>
      </c>
      <c r="C94" s="21">
        <f t="shared" si="3"/>
        <v>4.8</v>
      </c>
    </row>
    <row r="95" spans="1:3">
      <c r="A95" s="20">
        <f>HKData!A98</f>
        <v>45369</v>
      </c>
      <c r="B95" s="19">
        <f t="shared" si="2"/>
        <v>202402</v>
      </c>
      <c r="C95" s="21">
        <f t="shared" si="3"/>
        <v>4.8</v>
      </c>
    </row>
    <row r="96" spans="1:3">
      <c r="A96" s="20">
        <f>HKData!A99</f>
        <v>45370</v>
      </c>
      <c r="B96" s="19">
        <f t="shared" si="2"/>
        <v>202402</v>
      </c>
      <c r="C96" s="21">
        <f t="shared" si="3"/>
        <v>4.8</v>
      </c>
    </row>
    <row r="97" spans="1:3">
      <c r="A97" s="20">
        <f>HKData!A100</f>
        <v>45371</v>
      </c>
      <c r="B97" s="19">
        <f t="shared" si="2"/>
        <v>202402</v>
      </c>
      <c r="C97" s="21">
        <f t="shared" si="3"/>
        <v>4.8</v>
      </c>
    </row>
    <row r="98" spans="1:3">
      <c r="A98" s="20">
        <f>HKData!A101</f>
        <v>45372</v>
      </c>
      <c r="B98" s="19">
        <f t="shared" si="2"/>
        <v>202402</v>
      </c>
      <c r="C98" s="21">
        <f t="shared" si="3"/>
        <v>4.8</v>
      </c>
    </row>
    <row r="99" spans="1:3">
      <c r="A99" s="20">
        <f>HKData!A102</f>
        <v>45373</v>
      </c>
      <c r="B99" s="19">
        <f t="shared" si="2"/>
        <v>202402</v>
      </c>
      <c r="C99" s="21">
        <f t="shared" si="3"/>
        <v>4.8</v>
      </c>
    </row>
    <row r="100" spans="1:3">
      <c r="A100" s="20">
        <f>HKData!A103</f>
        <v>45376</v>
      </c>
      <c r="B100" s="19">
        <f t="shared" si="2"/>
        <v>202402</v>
      </c>
      <c r="C100" s="21">
        <f t="shared" si="3"/>
        <v>4.8</v>
      </c>
    </row>
    <row r="101" spans="1:3">
      <c r="A101" s="20">
        <f>HKData!A104</f>
        <v>45377</v>
      </c>
      <c r="B101" s="19">
        <f t="shared" si="2"/>
        <v>202402</v>
      </c>
      <c r="C101" s="21">
        <f t="shared" si="3"/>
        <v>4.8</v>
      </c>
    </row>
    <row r="102" spans="1:3">
      <c r="A102" s="20">
        <f>HKData!A105</f>
        <v>45378</v>
      </c>
      <c r="B102" s="19">
        <f t="shared" si="2"/>
        <v>202402</v>
      </c>
      <c r="C102" s="21">
        <f t="shared" si="3"/>
        <v>4.8</v>
      </c>
    </row>
    <row r="103" spans="1:3">
      <c r="A103" s="20">
        <f>HKData!A106</f>
        <v>45379</v>
      </c>
      <c r="B103" s="19">
        <f t="shared" si="2"/>
        <v>202402</v>
      </c>
      <c r="C103" s="21">
        <f t="shared" si="3"/>
        <v>4.8</v>
      </c>
    </row>
    <row r="104" spans="1:3">
      <c r="A104" s="20">
        <f>HKData!A107</f>
        <v>45384</v>
      </c>
      <c r="B104" s="19">
        <f t="shared" si="2"/>
        <v>202403</v>
      </c>
      <c r="C104" s="21">
        <f t="shared" si="3"/>
        <v>4.93</v>
      </c>
    </row>
    <row r="105" spans="1:3">
      <c r="A105" s="20">
        <f>HKData!A108</f>
        <v>45385</v>
      </c>
      <c r="B105" s="19">
        <f t="shared" si="2"/>
        <v>202403</v>
      </c>
      <c r="C105" s="21">
        <f t="shared" si="3"/>
        <v>4.93</v>
      </c>
    </row>
    <row r="106" spans="1:3">
      <c r="A106" s="20">
        <f>HKData!A109</f>
        <v>45387</v>
      </c>
      <c r="B106" s="19">
        <f t="shared" si="2"/>
        <v>202403</v>
      </c>
      <c r="C106" s="21">
        <f t="shared" si="3"/>
        <v>4.93</v>
      </c>
    </row>
    <row r="107" spans="1:3">
      <c r="A107" s="20">
        <f>HKData!A110</f>
        <v>45390</v>
      </c>
      <c r="B107" s="19">
        <f t="shared" si="2"/>
        <v>202403</v>
      </c>
      <c r="C107" s="21">
        <f t="shared" si="3"/>
        <v>4.93</v>
      </c>
    </row>
    <row r="108" spans="1:3">
      <c r="A108" s="20">
        <f>HKData!A111</f>
        <v>45391</v>
      </c>
      <c r="B108" s="19">
        <f t="shared" si="2"/>
        <v>202403</v>
      </c>
      <c r="C108" s="21">
        <f t="shared" si="3"/>
        <v>4.93</v>
      </c>
    </row>
    <row r="109" spans="1:3">
      <c r="A109" s="20">
        <f>HKData!A112</f>
        <v>45392</v>
      </c>
      <c r="B109" s="19">
        <f t="shared" si="2"/>
        <v>202403</v>
      </c>
      <c r="C109" s="21">
        <f t="shared" si="3"/>
        <v>4.93</v>
      </c>
    </row>
    <row r="110" spans="1:3">
      <c r="A110" s="20">
        <f>HKData!A113</f>
        <v>45393</v>
      </c>
      <c r="B110" s="19">
        <f t="shared" si="2"/>
        <v>202403</v>
      </c>
      <c r="C110" s="21">
        <f t="shared" si="3"/>
        <v>4.93</v>
      </c>
    </row>
    <row r="111" spans="1:3">
      <c r="A111" s="20">
        <f>HKData!A114</f>
        <v>45394</v>
      </c>
      <c r="B111" s="19">
        <f t="shared" si="2"/>
        <v>202403</v>
      </c>
      <c r="C111" s="21">
        <f t="shared" si="3"/>
        <v>4.93</v>
      </c>
    </row>
    <row r="112" spans="1:3">
      <c r="A112" s="20">
        <f>HKData!A115</f>
        <v>45397</v>
      </c>
      <c r="B112" s="19">
        <f t="shared" si="2"/>
        <v>202403</v>
      </c>
      <c r="C112" s="21">
        <f t="shared" si="3"/>
        <v>4.93</v>
      </c>
    </row>
    <row r="113" spans="1:3">
      <c r="A113" s="20">
        <f>HKData!A116</f>
        <v>45398</v>
      </c>
      <c r="B113" s="19">
        <f t="shared" si="2"/>
        <v>202403</v>
      </c>
      <c r="C113" s="21">
        <f t="shared" si="3"/>
        <v>4.93</v>
      </c>
    </row>
    <row r="114" spans="1:3">
      <c r="A114" s="20">
        <f>HKData!A117</f>
        <v>45399</v>
      </c>
      <c r="B114" s="19">
        <f t="shared" si="2"/>
        <v>202403</v>
      </c>
      <c r="C114" s="21">
        <f t="shared" si="3"/>
        <v>4.93</v>
      </c>
    </row>
    <row r="115" spans="1:3">
      <c r="A115" s="20">
        <f>HKData!A118</f>
        <v>45400</v>
      </c>
      <c r="B115" s="19">
        <f t="shared" si="2"/>
        <v>202403</v>
      </c>
      <c r="C115" s="21">
        <f t="shared" si="3"/>
        <v>4.93</v>
      </c>
    </row>
    <row r="116" spans="1:3">
      <c r="A116" s="20">
        <f>HKData!A119</f>
        <v>45401</v>
      </c>
      <c r="B116" s="19">
        <f t="shared" si="2"/>
        <v>202403</v>
      </c>
      <c r="C116" s="21">
        <f t="shared" si="3"/>
        <v>4.93</v>
      </c>
    </row>
    <row r="117" spans="1:3">
      <c r="A117" s="20">
        <f>HKData!A120</f>
        <v>45404</v>
      </c>
      <c r="B117" s="19">
        <f t="shared" si="2"/>
        <v>202403</v>
      </c>
      <c r="C117" s="21">
        <f t="shared" si="3"/>
        <v>4.93</v>
      </c>
    </row>
    <row r="118" spans="1:3">
      <c r="A118" s="20">
        <f>HKData!A121</f>
        <v>45405</v>
      </c>
      <c r="B118" s="19">
        <f t="shared" si="2"/>
        <v>202403</v>
      </c>
      <c r="C118" s="21">
        <f t="shared" si="3"/>
        <v>4.93</v>
      </c>
    </row>
    <row r="119" spans="1:3">
      <c r="A119" s="20">
        <f>HKData!A122</f>
        <v>45406</v>
      </c>
      <c r="B119" s="19">
        <f t="shared" si="2"/>
        <v>202403</v>
      </c>
      <c r="C119" s="21">
        <f t="shared" si="3"/>
        <v>4.93</v>
      </c>
    </row>
    <row r="120" spans="1:3">
      <c r="A120" s="20">
        <f>HKData!A123</f>
        <v>45407</v>
      </c>
      <c r="B120" s="19">
        <f t="shared" si="2"/>
        <v>202403</v>
      </c>
      <c r="C120" s="21">
        <f t="shared" si="3"/>
        <v>4.93</v>
      </c>
    </row>
    <row r="121" spans="1:3">
      <c r="A121" s="20">
        <f>HKData!A124</f>
        <v>45408</v>
      </c>
      <c r="B121" s="19">
        <f t="shared" si="2"/>
        <v>202403</v>
      </c>
      <c r="C121" s="21">
        <f t="shared" si="3"/>
        <v>4.93</v>
      </c>
    </row>
    <row r="122" spans="1:3">
      <c r="A122" s="20">
        <f>HKData!A125</f>
        <v>45411</v>
      </c>
      <c r="B122" s="19">
        <f t="shared" si="2"/>
        <v>202403</v>
      </c>
      <c r="C122" s="21">
        <f t="shared" si="3"/>
        <v>4.93</v>
      </c>
    </row>
    <row r="123" spans="1:3">
      <c r="A123" s="20">
        <f>HKData!A126</f>
        <v>45412</v>
      </c>
      <c r="B123" s="19">
        <f t="shared" si="2"/>
        <v>202403</v>
      </c>
      <c r="C123" s="21">
        <f t="shared" si="3"/>
        <v>4.93</v>
      </c>
    </row>
    <row r="124" spans="1:3">
      <c r="A124" s="20">
        <f>HKData!A127</f>
        <v>45414</v>
      </c>
      <c r="B124" s="19">
        <f t="shared" si="2"/>
        <v>202404</v>
      </c>
      <c r="C124" s="21">
        <f t="shared" si="3"/>
        <v>5.28</v>
      </c>
    </row>
    <row r="125" spans="1:3">
      <c r="A125" s="20">
        <f>HKData!A128</f>
        <v>45415</v>
      </c>
      <c r="B125" s="19">
        <f t="shared" si="2"/>
        <v>202404</v>
      </c>
      <c r="C125" s="21">
        <f t="shared" si="3"/>
        <v>5.28</v>
      </c>
    </row>
    <row r="126" spans="1:3">
      <c r="A126" s="20">
        <f>HKData!A129</f>
        <v>45418</v>
      </c>
      <c r="B126" s="19">
        <f t="shared" si="2"/>
        <v>202404</v>
      </c>
      <c r="C126" s="21">
        <f t="shared" si="3"/>
        <v>5.28</v>
      </c>
    </row>
    <row r="127" spans="1:3">
      <c r="A127" s="20">
        <f>HKData!A130</f>
        <v>45419</v>
      </c>
      <c r="B127" s="19">
        <f t="shared" si="2"/>
        <v>202404</v>
      </c>
      <c r="C127" s="21">
        <f t="shared" si="3"/>
        <v>5.28</v>
      </c>
    </row>
    <row r="128" spans="1:3">
      <c r="A128" s="20">
        <f>HKData!A131</f>
        <v>45420</v>
      </c>
      <c r="B128" s="19">
        <f t="shared" si="2"/>
        <v>202404</v>
      </c>
      <c r="C128" s="21">
        <f t="shared" si="3"/>
        <v>5.28</v>
      </c>
    </row>
    <row r="129" spans="1:3">
      <c r="A129" s="20">
        <f>HKData!A132</f>
        <v>45421</v>
      </c>
      <c r="B129" s="19">
        <f t="shared" si="2"/>
        <v>202404</v>
      </c>
      <c r="C129" s="21">
        <f t="shared" si="3"/>
        <v>5.28</v>
      </c>
    </row>
    <row r="130" spans="1:3">
      <c r="A130" s="20">
        <f>HKData!A133</f>
        <v>45422</v>
      </c>
      <c r="B130" s="19">
        <f t="shared" ref="B130:B193" si="4">IF(MONTH(A130)=1,(YEAR(A130)-1)*100+12,YEAR(A130)*100+MONTH(A130)-1)</f>
        <v>202404</v>
      </c>
      <c r="C130" s="21">
        <f t="shared" si="3"/>
        <v>5.28</v>
      </c>
    </row>
    <row r="131" spans="1:3">
      <c r="A131" s="20">
        <f>HKData!A134</f>
        <v>45425</v>
      </c>
      <c r="B131" s="19">
        <f t="shared" si="4"/>
        <v>202404</v>
      </c>
      <c r="C131" s="21">
        <f t="shared" ref="C131:C194" si="5">VLOOKUP(B131,$E$2:$F$13,2,FALSE)</f>
        <v>5.28</v>
      </c>
    </row>
    <row r="132" spans="1:3">
      <c r="A132" s="20">
        <f>HKData!A135</f>
        <v>45426</v>
      </c>
      <c r="B132" s="19">
        <f t="shared" si="4"/>
        <v>202404</v>
      </c>
      <c r="C132" s="21">
        <f t="shared" si="5"/>
        <v>5.28</v>
      </c>
    </row>
    <row r="133" spans="1:3">
      <c r="A133" s="20">
        <f>HKData!A136</f>
        <v>45428</v>
      </c>
      <c r="B133" s="19">
        <f t="shared" si="4"/>
        <v>202404</v>
      </c>
      <c r="C133" s="21">
        <f t="shared" si="5"/>
        <v>5.28</v>
      </c>
    </row>
    <row r="134" spans="1:3">
      <c r="A134" s="20">
        <f>HKData!A137</f>
        <v>45429</v>
      </c>
      <c r="B134" s="19">
        <f t="shared" si="4"/>
        <v>202404</v>
      </c>
      <c r="C134" s="21">
        <f t="shared" si="5"/>
        <v>5.28</v>
      </c>
    </row>
    <row r="135" spans="1:3">
      <c r="A135" s="20">
        <f>HKData!A138</f>
        <v>45432</v>
      </c>
      <c r="B135" s="19">
        <f t="shared" si="4"/>
        <v>202404</v>
      </c>
      <c r="C135" s="21">
        <f t="shared" si="5"/>
        <v>5.28</v>
      </c>
    </row>
    <row r="136" spans="1:3">
      <c r="A136" s="20">
        <f>HKData!A139</f>
        <v>45433</v>
      </c>
      <c r="B136" s="19">
        <f t="shared" si="4"/>
        <v>202404</v>
      </c>
      <c r="C136" s="21">
        <f t="shared" si="5"/>
        <v>5.28</v>
      </c>
    </row>
    <row r="137" spans="1:3">
      <c r="A137" s="20">
        <f>HKData!A140</f>
        <v>45434</v>
      </c>
      <c r="B137" s="19">
        <f t="shared" si="4"/>
        <v>202404</v>
      </c>
      <c r="C137" s="21">
        <f t="shared" si="5"/>
        <v>5.28</v>
      </c>
    </row>
    <row r="138" spans="1:3">
      <c r="A138" s="20">
        <f>HKData!A141</f>
        <v>45435</v>
      </c>
      <c r="B138" s="19">
        <f t="shared" si="4"/>
        <v>202404</v>
      </c>
      <c r="C138" s="21">
        <f t="shared" si="5"/>
        <v>5.28</v>
      </c>
    </row>
    <row r="139" spans="1:3">
      <c r="A139" s="20">
        <f>HKData!A142</f>
        <v>45436</v>
      </c>
      <c r="B139" s="19">
        <f t="shared" si="4"/>
        <v>202404</v>
      </c>
      <c r="C139" s="21">
        <f t="shared" si="5"/>
        <v>5.28</v>
      </c>
    </row>
    <row r="140" spans="1:3">
      <c r="A140" s="20">
        <f>HKData!A143</f>
        <v>45439</v>
      </c>
      <c r="B140" s="19">
        <f t="shared" si="4"/>
        <v>202404</v>
      </c>
      <c r="C140" s="21">
        <f t="shared" si="5"/>
        <v>5.28</v>
      </c>
    </row>
    <row r="141" spans="1:3">
      <c r="A141" s="20">
        <f>HKData!A144</f>
        <v>45440</v>
      </c>
      <c r="B141" s="19">
        <f t="shared" si="4"/>
        <v>202404</v>
      </c>
      <c r="C141" s="21">
        <f t="shared" si="5"/>
        <v>5.28</v>
      </c>
    </row>
    <row r="142" spans="1:3">
      <c r="A142" s="20">
        <f>HKData!A145</f>
        <v>45441</v>
      </c>
      <c r="B142" s="19">
        <f t="shared" si="4"/>
        <v>202404</v>
      </c>
      <c r="C142" s="21">
        <f t="shared" si="5"/>
        <v>5.28</v>
      </c>
    </row>
    <row r="143" spans="1:3">
      <c r="A143" s="20">
        <f>HKData!A146</f>
        <v>45442</v>
      </c>
      <c r="B143" s="19">
        <f t="shared" si="4"/>
        <v>202404</v>
      </c>
      <c r="C143" s="21">
        <f t="shared" si="5"/>
        <v>5.28</v>
      </c>
    </row>
    <row r="144" spans="1:3">
      <c r="A144" s="20">
        <f>HKData!A147</f>
        <v>45443</v>
      </c>
      <c r="B144" s="19">
        <f t="shared" si="4"/>
        <v>202404</v>
      </c>
      <c r="C144" s="21">
        <f t="shared" si="5"/>
        <v>5.28</v>
      </c>
    </row>
    <row r="145" spans="1:3">
      <c r="A145" s="20">
        <f>HKData!A148</f>
        <v>45446</v>
      </c>
      <c r="B145" s="19">
        <f t="shared" si="4"/>
        <v>202405</v>
      </c>
      <c r="C145" s="21">
        <f t="shared" si="5"/>
        <v>4.25</v>
      </c>
    </row>
    <row r="146" spans="1:3">
      <c r="A146" s="20">
        <f>HKData!A149</f>
        <v>45447</v>
      </c>
      <c r="B146" s="19">
        <f t="shared" si="4"/>
        <v>202405</v>
      </c>
      <c r="C146" s="21">
        <f t="shared" si="5"/>
        <v>4.25</v>
      </c>
    </row>
    <row r="147" spans="1:3">
      <c r="A147" s="20">
        <f>HKData!A150</f>
        <v>45448</v>
      </c>
      <c r="B147" s="19">
        <f t="shared" si="4"/>
        <v>202405</v>
      </c>
      <c r="C147" s="21">
        <f t="shared" si="5"/>
        <v>4.25</v>
      </c>
    </row>
    <row r="148" spans="1:3">
      <c r="A148" s="20">
        <f>HKData!A151</f>
        <v>45449</v>
      </c>
      <c r="B148" s="19">
        <f t="shared" si="4"/>
        <v>202405</v>
      </c>
      <c r="C148" s="21">
        <f t="shared" si="5"/>
        <v>4.25</v>
      </c>
    </row>
    <row r="149" spans="1:3">
      <c r="A149" s="20">
        <f>HKData!A152</f>
        <v>45450</v>
      </c>
      <c r="B149" s="19">
        <f t="shared" si="4"/>
        <v>202405</v>
      </c>
      <c r="C149" s="21">
        <f t="shared" si="5"/>
        <v>4.25</v>
      </c>
    </row>
    <row r="150" spans="1:3">
      <c r="A150" s="20">
        <f>HKData!A153</f>
        <v>45454</v>
      </c>
      <c r="B150" s="19">
        <f t="shared" si="4"/>
        <v>202405</v>
      </c>
      <c r="C150" s="21">
        <f t="shared" si="5"/>
        <v>4.25</v>
      </c>
    </row>
    <row r="151" spans="1:3">
      <c r="A151" s="20">
        <f>HKData!A154</f>
        <v>45455</v>
      </c>
      <c r="B151" s="19">
        <f t="shared" si="4"/>
        <v>202405</v>
      </c>
      <c r="C151" s="21">
        <f t="shared" si="5"/>
        <v>4.25</v>
      </c>
    </row>
    <row r="152" spans="1:3">
      <c r="A152" s="20">
        <f>HKData!A155</f>
        <v>45456</v>
      </c>
      <c r="B152" s="19">
        <f t="shared" si="4"/>
        <v>202405</v>
      </c>
      <c r="C152" s="21">
        <f t="shared" si="5"/>
        <v>4.25</v>
      </c>
    </row>
    <row r="153" spans="1:3">
      <c r="A153" s="20">
        <f>HKData!A156</f>
        <v>45457</v>
      </c>
      <c r="B153" s="19">
        <f t="shared" si="4"/>
        <v>202405</v>
      </c>
      <c r="C153" s="21">
        <f t="shared" si="5"/>
        <v>4.25</v>
      </c>
    </row>
    <row r="154" spans="1:3">
      <c r="A154" s="20">
        <f>HKData!A157</f>
        <v>45460</v>
      </c>
      <c r="B154" s="19">
        <f t="shared" si="4"/>
        <v>202405</v>
      </c>
      <c r="C154" s="21">
        <f t="shared" si="5"/>
        <v>4.25</v>
      </c>
    </row>
    <row r="155" spans="1:3">
      <c r="A155" s="20">
        <f>HKData!A158</f>
        <v>45461</v>
      </c>
      <c r="B155" s="19">
        <f t="shared" si="4"/>
        <v>202405</v>
      </c>
      <c r="C155" s="21">
        <f t="shared" si="5"/>
        <v>4.25</v>
      </c>
    </row>
    <row r="156" spans="1:3">
      <c r="A156" s="20">
        <f>HKData!A159</f>
        <v>45462</v>
      </c>
      <c r="B156" s="19">
        <f t="shared" si="4"/>
        <v>202405</v>
      </c>
      <c r="C156" s="21">
        <f t="shared" si="5"/>
        <v>4.25</v>
      </c>
    </row>
    <row r="157" spans="1:3">
      <c r="A157" s="20">
        <f>HKData!A160</f>
        <v>45463</v>
      </c>
      <c r="B157" s="19">
        <f t="shared" si="4"/>
        <v>202405</v>
      </c>
      <c r="C157" s="21">
        <f t="shared" si="5"/>
        <v>4.25</v>
      </c>
    </row>
    <row r="158" spans="1:3">
      <c r="A158" s="20">
        <f>HKData!A161</f>
        <v>45464</v>
      </c>
      <c r="B158" s="19">
        <f t="shared" si="4"/>
        <v>202405</v>
      </c>
      <c r="C158" s="21">
        <f t="shared" si="5"/>
        <v>4.25</v>
      </c>
    </row>
    <row r="159" spans="1:3">
      <c r="A159" s="20">
        <f>HKData!A162</f>
        <v>45467</v>
      </c>
      <c r="B159" s="19">
        <f t="shared" si="4"/>
        <v>202405</v>
      </c>
      <c r="C159" s="21">
        <f t="shared" si="5"/>
        <v>4.25</v>
      </c>
    </row>
    <row r="160" spans="1:3">
      <c r="A160" s="20">
        <f>HKData!A163</f>
        <v>45468</v>
      </c>
      <c r="B160" s="19">
        <f t="shared" si="4"/>
        <v>202405</v>
      </c>
      <c r="C160" s="21">
        <f t="shared" si="5"/>
        <v>4.25</v>
      </c>
    </row>
    <row r="161" spans="1:3">
      <c r="A161" s="20">
        <f>HKData!A164</f>
        <v>45469</v>
      </c>
      <c r="B161" s="19">
        <f t="shared" si="4"/>
        <v>202405</v>
      </c>
      <c r="C161" s="21">
        <f t="shared" si="5"/>
        <v>4.25</v>
      </c>
    </row>
    <row r="162" spans="1:3">
      <c r="A162" s="20">
        <f>HKData!A165</f>
        <v>45470</v>
      </c>
      <c r="B162" s="19">
        <f t="shared" si="4"/>
        <v>202405</v>
      </c>
      <c r="C162" s="21">
        <f t="shared" si="5"/>
        <v>4.25</v>
      </c>
    </row>
    <row r="163" spans="1:3">
      <c r="A163" s="20">
        <f>HKData!A166</f>
        <v>45471</v>
      </c>
      <c r="B163" s="19">
        <f t="shared" si="4"/>
        <v>202405</v>
      </c>
      <c r="C163" s="21">
        <f t="shared" si="5"/>
        <v>4.25</v>
      </c>
    </row>
    <row r="164" spans="1:3">
      <c r="A164" s="20">
        <f>HKData!A167</f>
        <v>45475</v>
      </c>
      <c r="B164" s="19">
        <f t="shared" si="4"/>
        <v>202406</v>
      </c>
      <c r="C164" s="21">
        <f t="shared" si="5"/>
        <v>5.08</v>
      </c>
    </row>
    <row r="165" spans="1:3">
      <c r="A165" s="20">
        <f>HKData!A168</f>
        <v>45476</v>
      </c>
      <c r="B165" s="19">
        <f t="shared" si="4"/>
        <v>202406</v>
      </c>
      <c r="C165" s="21">
        <f t="shared" si="5"/>
        <v>5.08</v>
      </c>
    </row>
    <row r="166" spans="1:3">
      <c r="A166" s="20">
        <f>HKData!A169</f>
        <v>45477</v>
      </c>
      <c r="B166" s="19">
        <f t="shared" si="4"/>
        <v>202406</v>
      </c>
      <c r="C166" s="21">
        <f t="shared" si="5"/>
        <v>5.08</v>
      </c>
    </row>
    <row r="167" spans="1:3">
      <c r="A167" s="20">
        <f>HKData!A170</f>
        <v>45478</v>
      </c>
      <c r="B167" s="19">
        <f t="shared" si="4"/>
        <v>202406</v>
      </c>
      <c r="C167" s="21">
        <f t="shared" si="5"/>
        <v>5.08</v>
      </c>
    </row>
    <row r="168" spans="1:3">
      <c r="A168" s="20">
        <f>HKData!A171</f>
        <v>45481</v>
      </c>
      <c r="B168" s="19">
        <f t="shared" si="4"/>
        <v>202406</v>
      </c>
      <c r="C168" s="21">
        <f t="shared" si="5"/>
        <v>5.08</v>
      </c>
    </row>
    <row r="169" spans="1:3">
      <c r="A169" s="20">
        <f>HKData!A172</f>
        <v>45482</v>
      </c>
      <c r="B169" s="19">
        <f t="shared" si="4"/>
        <v>202406</v>
      </c>
      <c r="C169" s="21">
        <f t="shared" si="5"/>
        <v>5.08</v>
      </c>
    </row>
    <row r="170" spans="1:3">
      <c r="A170" s="20">
        <f>HKData!A173</f>
        <v>45483</v>
      </c>
      <c r="B170" s="19">
        <f t="shared" si="4"/>
        <v>202406</v>
      </c>
      <c r="C170" s="21">
        <f t="shared" si="5"/>
        <v>5.08</v>
      </c>
    </row>
    <row r="171" spans="1:3">
      <c r="A171" s="20">
        <f>HKData!A174</f>
        <v>45484</v>
      </c>
      <c r="B171" s="19">
        <f t="shared" si="4"/>
        <v>202406</v>
      </c>
      <c r="C171" s="21">
        <f t="shared" si="5"/>
        <v>5.08</v>
      </c>
    </row>
    <row r="172" spans="1:3">
      <c r="A172" s="20">
        <f>HKData!A175</f>
        <v>45485</v>
      </c>
      <c r="B172" s="19">
        <f t="shared" si="4"/>
        <v>202406</v>
      </c>
      <c r="C172" s="21">
        <f t="shared" si="5"/>
        <v>5.08</v>
      </c>
    </row>
    <row r="173" spans="1:3">
      <c r="A173" s="20">
        <f>HKData!A176</f>
        <v>45488</v>
      </c>
      <c r="B173" s="19">
        <f t="shared" si="4"/>
        <v>202406</v>
      </c>
      <c r="C173" s="21">
        <f t="shared" si="5"/>
        <v>5.08</v>
      </c>
    </row>
    <row r="174" spans="1:3">
      <c r="A174" s="20">
        <f>HKData!A177</f>
        <v>45489</v>
      </c>
      <c r="B174" s="19">
        <f t="shared" si="4"/>
        <v>202406</v>
      </c>
      <c r="C174" s="21">
        <f t="shared" si="5"/>
        <v>5.08</v>
      </c>
    </row>
    <row r="175" spans="1:3">
      <c r="A175" s="20">
        <f>HKData!A178</f>
        <v>45490</v>
      </c>
      <c r="B175" s="19">
        <f t="shared" si="4"/>
        <v>202406</v>
      </c>
      <c r="C175" s="21">
        <f t="shared" si="5"/>
        <v>5.08</v>
      </c>
    </row>
    <row r="176" spans="1:3">
      <c r="A176" s="20">
        <f>HKData!A179</f>
        <v>45491</v>
      </c>
      <c r="B176" s="19">
        <f t="shared" si="4"/>
        <v>202406</v>
      </c>
      <c r="C176" s="21">
        <f t="shared" si="5"/>
        <v>5.08</v>
      </c>
    </row>
    <row r="177" spans="1:3">
      <c r="A177" s="20">
        <f>HKData!A180</f>
        <v>45492</v>
      </c>
      <c r="B177" s="19">
        <f t="shared" si="4"/>
        <v>202406</v>
      </c>
      <c r="C177" s="21">
        <f t="shared" si="5"/>
        <v>5.08</v>
      </c>
    </row>
    <row r="178" spans="1:3">
      <c r="A178" s="20">
        <f>HKData!A181</f>
        <v>45495</v>
      </c>
      <c r="B178" s="19">
        <f t="shared" si="4"/>
        <v>202406</v>
      </c>
      <c r="C178" s="21">
        <f t="shared" si="5"/>
        <v>5.08</v>
      </c>
    </row>
    <row r="179" spans="1:3">
      <c r="A179" s="20">
        <f>HKData!A182</f>
        <v>45496</v>
      </c>
      <c r="B179" s="19">
        <f t="shared" si="4"/>
        <v>202406</v>
      </c>
      <c r="C179" s="21">
        <f t="shared" si="5"/>
        <v>5.08</v>
      </c>
    </row>
    <row r="180" spans="1:3">
      <c r="A180" s="20">
        <f>HKData!A183</f>
        <v>45497</v>
      </c>
      <c r="B180" s="19">
        <f t="shared" si="4"/>
        <v>202406</v>
      </c>
      <c r="C180" s="21">
        <f t="shared" si="5"/>
        <v>5.08</v>
      </c>
    </row>
    <row r="181" spans="1:3">
      <c r="A181" s="20">
        <f>HKData!A184</f>
        <v>45498</v>
      </c>
      <c r="B181" s="19">
        <f t="shared" si="4"/>
        <v>202406</v>
      </c>
      <c r="C181" s="21">
        <f t="shared" si="5"/>
        <v>5.08</v>
      </c>
    </row>
    <row r="182" spans="1:3">
      <c r="A182" s="20">
        <f>HKData!A185</f>
        <v>45499</v>
      </c>
      <c r="B182" s="19">
        <f t="shared" si="4"/>
        <v>202406</v>
      </c>
      <c r="C182" s="21">
        <f t="shared" si="5"/>
        <v>5.08</v>
      </c>
    </row>
    <row r="183" spans="1:3">
      <c r="A183" s="20">
        <f>HKData!A186</f>
        <v>45502</v>
      </c>
      <c r="B183" s="19">
        <f t="shared" si="4"/>
        <v>202406</v>
      </c>
      <c r="C183" s="21">
        <f t="shared" si="5"/>
        <v>5.08</v>
      </c>
    </row>
    <row r="184" spans="1:3">
      <c r="A184" s="20">
        <f>HKData!A187</f>
        <v>45503</v>
      </c>
      <c r="B184" s="19">
        <f t="shared" si="4"/>
        <v>202406</v>
      </c>
      <c r="C184" s="21">
        <f t="shared" si="5"/>
        <v>5.08</v>
      </c>
    </row>
    <row r="185" spans="1:3">
      <c r="A185" s="20">
        <f>HKData!A188</f>
        <v>45504</v>
      </c>
      <c r="B185" s="19">
        <f t="shared" si="4"/>
        <v>202406</v>
      </c>
      <c r="C185" s="21">
        <f t="shared" si="5"/>
        <v>5.08</v>
      </c>
    </row>
    <row r="186" spans="1:3">
      <c r="A186" s="20">
        <f>HKData!A189</f>
        <v>45505</v>
      </c>
      <c r="B186" s="19">
        <f t="shared" si="4"/>
        <v>202407</v>
      </c>
      <c r="C186" s="21">
        <f t="shared" si="5"/>
        <v>4.8099999999999996</v>
      </c>
    </row>
    <row r="187" spans="1:3">
      <c r="A187" s="20">
        <f>HKData!A190</f>
        <v>45506</v>
      </c>
      <c r="B187" s="19">
        <f t="shared" si="4"/>
        <v>202407</v>
      </c>
      <c r="C187" s="21">
        <f t="shared" si="5"/>
        <v>4.8099999999999996</v>
      </c>
    </row>
    <row r="188" spans="1:3">
      <c r="A188" s="20">
        <f>HKData!A191</f>
        <v>45509</v>
      </c>
      <c r="B188" s="19">
        <f t="shared" si="4"/>
        <v>202407</v>
      </c>
      <c r="C188" s="21">
        <f t="shared" si="5"/>
        <v>4.8099999999999996</v>
      </c>
    </row>
    <row r="189" spans="1:3">
      <c r="A189" s="20">
        <f>HKData!A192</f>
        <v>45510</v>
      </c>
      <c r="B189" s="19">
        <f t="shared" si="4"/>
        <v>202407</v>
      </c>
      <c r="C189" s="21">
        <f t="shared" si="5"/>
        <v>4.8099999999999996</v>
      </c>
    </row>
    <row r="190" spans="1:3">
      <c r="A190" s="20">
        <f>HKData!A193</f>
        <v>45511</v>
      </c>
      <c r="B190" s="19">
        <f t="shared" si="4"/>
        <v>202407</v>
      </c>
      <c r="C190" s="21">
        <f t="shared" si="5"/>
        <v>4.8099999999999996</v>
      </c>
    </row>
    <row r="191" spans="1:3">
      <c r="A191" s="20">
        <f>HKData!A194</f>
        <v>45512</v>
      </c>
      <c r="B191" s="19">
        <f t="shared" si="4"/>
        <v>202407</v>
      </c>
      <c r="C191" s="21">
        <f t="shared" si="5"/>
        <v>4.8099999999999996</v>
      </c>
    </row>
    <row r="192" spans="1:3">
      <c r="A192" s="20">
        <f>HKData!A195</f>
        <v>45513</v>
      </c>
      <c r="B192" s="19">
        <f t="shared" si="4"/>
        <v>202407</v>
      </c>
      <c r="C192" s="21">
        <f t="shared" si="5"/>
        <v>4.8099999999999996</v>
      </c>
    </row>
    <row r="193" spans="1:3">
      <c r="A193" s="20">
        <f>HKData!A196</f>
        <v>45516</v>
      </c>
      <c r="B193" s="19">
        <f t="shared" si="4"/>
        <v>202407</v>
      </c>
      <c r="C193" s="21">
        <f t="shared" si="5"/>
        <v>4.8099999999999996</v>
      </c>
    </row>
    <row r="194" spans="1:3">
      <c r="A194" s="20">
        <f>HKData!A197</f>
        <v>45517</v>
      </c>
      <c r="B194" s="19">
        <f t="shared" ref="B194:B244" si="6">IF(MONTH(A194)=1,(YEAR(A194)-1)*100+12,YEAR(A194)*100+MONTH(A194)-1)</f>
        <v>202407</v>
      </c>
      <c r="C194" s="21">
        <f t="shared" si="5"/>
        <v>4.8099999999999996</v>
      </c>
    </row>
    <row r="195" spans="1:3">
      <c r="A195" s="20">
        <f>HKData!A198</f>
        <v>45518</v>
      </c>
      <c r="B195" s="19">
        <f t="shared" si="6"/>
        <v>202407</v>
      </c>
      <c r="C195" s="21">
        <f t="shared" ref="C195:C246" si="7">VLOOKUP(B195,$E$2:$F$13,2,FALSE)</f>
        <v>4.8099999999999996</v>
      </c>
    </row>
    <row r="196" spans="1:3">
      <c r="A196" s="20">
        <f>HKData!A199</f>
        <v>45519</v>
      </c>
      <c r="B196" s="19">
        <f t="shared" si="6"/>
        <v>202407</v>
      </c>
      <c r="C196" s="21">
        <f t="shared" si="7"/>
        <v>4.8099999999999996</v>
      </c>
    </row>
    <row r="197" spans="1:3">
      <c r="A197" s="20">
        <f>HKData!A200</f>
        <v>45520</v>
      </c>
      <c r="B197" s="19">
        <f t="shared" si="6"/>
        <v>202407</v>
      </c>
      <c r="C197" s="21">
        <f t="shared" si="7"/>
        <v>4.8099999999999996</v>
      </c>
    </row>
    <row r="198" spans="1:3">
      <c r="A198" s="20">
        <f>HKData!A201</f>
        <v>45523</v>
      </c>
      <c r="B198" s="19">
        <f t="shared" si="6"/>
        <v>202407</v>
      </c>
      <c r="C198" s="21">
        <f t="shared" si="7"/>
        <v>4.8099999999999996</v>
      </c>
    </row>
    <row r="199" spans="1:3">
      <c r="A199" s="20">
        <f>HKData!A202</f>
        <v>45524</v>
      </c>
      <c r="B199" s="19">
        <f t="shared" si="6"/>
        <v>202407</v>
      </c>
      <c r="C199" s="21">
        <f t="shared" si="7"/>
        <v>4.8099999999999996</v>
      </c>
    </row>
    <row r="200" spans="1:3">
      <c r="A200" s="20">
        <f>HKData!A203</f>
        <v>45525</v>
      </c>
      <c r="B200" s="19">
        <f t="shared" si="6"/>
        <v>202407</v>
      </c>
      <c r="C200" s="21">
        <f t="shared" si="7"/>
        <v>4.8099999999999996</v>
      </c>
    </row>
    <row r="201" spans="1:3">
      <c r="A201" s="20">
        <f>HKData!A204</f>
        <v>45526</v>
      </c>
      <c r="B201" s="19">
        <f t="shared" si="6"/>
        <v>202407</v>
      </c>
      <c r="C201" s="21">
        <f t="shared" si="7"/>
        <v>4.8099999999999996</v>
      </c>
    </row>
    <row r="202" spans="1:3">
      <c r="A202" s="20">
        <f>HKData!A205</f>
        <v>45527</v>
      </c>
      <c r="B202" s="19">
        <f t="shared" si="6"/>
        <v>202407</v>
      </c>
      <c r="C202" s="21">
        <f t="shared" si="7"/>
        <v>4.8099999999999996</v>
      </c>
    </row>
    <row r="203" spans="1:3">
      <c r="A203" s="20">
        <f>HKData!A206</f>
        <v>45530</v>
      </c>
      <c r="B203" s="19">
        <f t="shared" si="6"/>
        <v>202407</v>
      </c>
      <c r="C203" s="21">
        <f t="shared" si="7"/>
        <v>4.8099999999999996</v>
      </c>
    </row>
    <row r="204" spans="1:3">
      <c r="A204" s="20">
        <f>HKData!A207</f>
        <v>45531</v>
      </c>
      <c r="B204" s="19">
        <f t="shared" si="6"/>
        <v>202407</v>
      </c>
      <c r="C204" s="21">
        <f t="shared" si="7"/>
        <v>4.8099999999999996</v>
      </c>
    </row>
    <row r="205" spans="1:3">
      <c r="A205" s="20">
        <f>HKData!A208</f>
        <v>45532</v>
      </c>
      <c r="B205" s="19">
        <f t="shared" si="6"/>
        <v>202407</v>
      </c>
      <c r="C205" s="21">
        <f t="shared" si="7"/>
        <v>4.8099999999999996</v>
      </c>
    </row>
    <row r="206" spans="1:3">
      <c r="A206" s="20">
        <f>HKData!A209</f>
        <v>45533</v>
      </c>
      <c r="B206" s="19">
        <f t="shared" si="6"/>
        <v>202407</v>
      </c>
      <c r="C206" s="21">
        <f t="shared" si="7"/>
        <v>4.8099999999999996</v>
      </c>
    </row>
    <row r="207" spans="1:3">
      <c r="A207" s="20">
        <f>HKData!A210</f>
        <v>45534</v>
      </c>
      <c r="B207" s="19">
        <f t="shared" si="6"/>
        <v>202407</v>
      </c>
      <c r="C207" s="21">
        <f t="shared" si="7"/>
        <v>4.8099999999999996</v>
      </c>
    </row>
    <row r="208" spans="1:3">
      <c r="A208" s="20">
        <f>HKData!A211</f>
        <v>45537</v>
      </c>
      <c r="B208" s="19">
        <f t="shared" si="6"/>
        <v>202408</v>
      </c>
      <c r="C208" s="21">
        <f t="shared" si="7"/>
        <v>3.2</v>
      </c>
    </row>
    <row r="209" spans="1:3">
      <c r="A209" s="20">
        <f>HKData!A212</f>
        <v>45538</v>
      </c>
      <c r="B209" s="19">
        <f t="shared" si="6"/>
        <v>202408</v>
      </c>
      <c r="C209" s="21">
        <f t="shared" si="7"/>
        <v>3.2</v>
      </c>
    </row>
    <row r="210" spans="1:3">
      <c r="A210" s="20">
        <f>HKData!A213</f>
        <v>45539</v>
      </c>
      <c r="B210" s="19">
        <f t="shared" si="6"/>
        <v>202408</v>
      </c>
      <c r="C210" s="21">
        <f t="shared" si="7"/>
        <v>3.2</v>
      </c>
    </row>
    <row r="211" spans="1:3">
      <c r="A211" s="20">
        <f>HKData!A214</f>
        <v>45540</v>
      </c>
      <c r="B211" s="19">
        <f t="shared" si="6"/>
        <v>202408</v>
      </c>
      <c r="C211" s="21">
        <f t="shared" si="7"/>
        <v>3.2</v>
      </c>
    </row>
    <row r="212" spans="1:3">
      <c r="A212" s="20">
        <f>HKData!A215</f>
        <v>45544</v>
      </c>
      <c r="B212" s="19">
        <f t="shared" si="6"/>
        <v>202408</v>
      </c>
      <c r="C212" s="21">
        <f t="shared" si="7"/>
        <v>3.2</v>
      </c>
    </row>
    <row r="213" spans="1:3">
      <c r="A213" s="20">
        <f>HKData!A216</f>
        <v>45545</v>
      </c>
      <c r="B213" s="19">
        <f t="shared" si="6"/>
        <v>202408</v>
      </c>
      <c r="C213" s="21">
        <f t="shared" si="7"/>
        <v>3.2</v>
      </c>
    </row>
    <row r="214" spans="1:3">
      <c r="A214" s="20">
        <f>HKData!A217</f>
        <v>45546</v>
      </c>
      <c r="B214" s="19">
        <f t="shared" si="6"/>
        <v>202408</v>
      </c>
      <c r="C214" s="21">
        <f t="shared" si="7"/>
        <v>3.2</v>
      </c>
    </row>
    <row r="215" spans="1:3">
      <c r="A215" s="20">
        <f>HKData!A218</f>
        <v>45547</v>
      </c>
      <c r="B215" s="19">
        <f t="shared" si="6"/>
        <v>202408</v>
      </c>
      <c r="C215" s="21">
        <f t="shared" si="7"/>
        <v>3.2</v>
      </c>
    </row>
    <row r="216" spans="1:3">
      <c r="A216" s="20">
        <f>HKData!A219</f>
        <v>45548</v>
      </c>
      <c r="B216" s="19">
        <f t="shared" si="6"/>
        <v>202408</v>
      </c>
      <c r="C216" s="21">
        <f t="shared" si="7"/>
        <v>3.2</v>
      </c>
    </row>
    <row r="217" spans="1:3">
      <c r="A217" s="20">
        <f>HKData!A220</f>
        <v>45551</v>
      </c>
      <c r="B217" s="19">
        <f t="shared" si="6"/>
        <v>202408</v>
      </c>
      <c r="C217" s="21">
        <f t="shared" si="7"/>
        <v>3.2</v>
      </c>
    </row>
    <row r="218" spans="1:3">
      <c r="A218" s="20">
        <f>HKData!A221</f>
        <v>45552</v>
      </c>
      <c r="B218" s="19">
        <f t="shared" si="6"/>
        <v>202408</v>
      </c>
      <c r="C218" s="21">
        <f t="shared" si="7"/>
        <v>3.2</v>
      </c>
    </row>
    <row r="219" spans="1:3">
      <c r="A219" s="20">
        <f>HKData!A222</f>
        <v>45554</v>
      </c>
      <c r="B219" s="19">
        <f t="shared" si="6"/>
        <v>202408</v>
      </c>
      <c r="C219" s="21">
        <f t="shared" si="7"/>
        <v>3.2</v>
      </c>
    </row>
    <row r="220" spans="1:3">
      <c r="A220" s="20">
        <f>HKData!A223</f>
        <v>45555</v>
      </c>
      <c r="B220" s="19">
        <f t="shared" si="6"/>
        <v>202408</v>
      </c>
      <c r="C220" s="21">
        <f t="shared" si="7"/>
        <v>3.2</v>
      </c>
    </row>
    <row r="221" spans="1:3">
      <c r="A221" s="20">
        <f>HKData!A224</f>
        <v>45558</v>
      </c>
      <c r="B221" s="19">
        <f t="shared" si="6"/>
        <v>202408</v>
      </c>
      <c r="C221" s="21">
        <f t="shared" si="7"/>
        <v>3.2</v>
      </c>
    </row>
    <row r="222" spans="1:3">
      <c r="A222" s="20">
        <f>HKData!A225</f>
        <v>45559</v>
      </c>
      <c r="B222" s="19">
        <f t="shared" si="6"/>
        <v>202408</v>
      </c>
      <c r="C222" s="21">
        <f t="shared" si="7"/>
        <v>3.2</v>
      </c>
    </row>
    <row r="223" spans="1:3">
      <c r="A223" s="20">
        <f>HKData!A226</f>
        <v>45560</v>
      </c>
      <c r="B223" s="19">
        <f t="shared" si="6"/>
        <v>202408</v>
      </c>
      <c r="C223" s="21">
        <f t="shared" si="7"/>
        <v>3.2</v>
      </c>
    </row>
    <row r="224" spans="1:3">
      <c r="A224" s="20">
        <f>HKData!A227</f>
        <v>45561</v>
      </c>
      <c r="B224" s="19">
        <f t="shared" si="6"/>
        <v>202408</v>
      </c>
      <c r="C224" s="21">
        <f t="shared" si="7"/>
        <v>3.2</v>
      </c>
    </row>
    <row r="225" spans="1:3">
      <c r="A225" s="20">
        <f>HKData!A228</f>
        <v>45562</v>
      </c>
      <c r="B225" s="19">
        <f t="shared" si="6"/>
        <v>202408</v>
      </c>
      <c r="C225" s="21">
        <f t="shared" si="7"/>
        <v>3.2</v>
      </c>
    </row>
    <row r="226" spans="1:3">
      <c r="A226" s="20">
        <f>HKData!A229</f>
        <v>45565</v>
      </c>
      <c r="B226" s="19">
        <f t="shared" si="6"/>
        <v>202408</v>
      </c>
      <c r="C226" s="21">
        <f t="shared" si="7"/>
        <v>3.2</v>
      </c>
    </row>
    <row r="227" spans="1:3">
      <c r="A227" s="20">
        <f>HKData!A230</f>
        <v>45567</v>
      </c>
      <c r="B227" s="19">
        <f t="shared" si="6"/>
        <v>202409</v>
      </c>
      <c r="C227" s="21">
        <f t="shared" si="7"/>
        <v>5.92</v>
      </c>
    </row>
    <row r="228" spans="1:3">
      <c r="A228" s="20">
        <f>HKData!A231</f>
        <v>45568</v>
      </c>
      <c r="B228" s="19">
        <f t="shared" si="6"/>
        <v>202409</v>
      </c>
      <c r="C228" s="21">
        <f t="shared" si="7"/>
        <v>5.92</v>
      </c>
    </row>
    <row r="229" spans="1:3">
      <c r="A229" s="20">
        <f>HKData!A232</f>
        <v>45569</v>
      </c>
      <c r="B229" s="19">
        <f t="shared" si="6"/>
        <v>202409</v>
      </c>
      <c r="C229" s="21">
        <f t="shared" si="7"/>
        <v>5.92</v>
      </c>
    </row>
    <row r="230" spans="1:3">
      <c r="A230" s="20">
        <f>HKData!A233</f>
        <v>45572</v>
      </c>
      <c r="B230" s="19">
        <f t="shared" si="6"/>
        <v>202409</v>
      </c>
      <c r="C230" s="21">
        <f t="shared" si="7"/>
        <v>5.92</v>
      </c>
    </row>
    <row r="231" spans="1:3">
      <c r="A231" s="20">
        <f>HKData!A234</f>
        <v>45573</v>
      </c>
      <c r="B231" s="19">
        <f t="shared" si="6"/>
        <v>202409</v>
      </c>
      <c r="C231" s="21">
        <f t="shared" si="7"/>
        <v>5.92</v>
      </c>
    </row>
    <row r="232" spans="1:3">
      <c r="A232" s="20">
        <f>HKData!A235</f>
        <v>45574</v>
      </c>
      <c r="B232" s="19">
        <f t="shared" si="6"/>
        <v>202409</v>
      </c>
      <c r="C232" s="21">
        <f t="shared" si="7"/>
        <v>5.92</v>
      </c>
    </row>
    <row r="233" spans="1:3">
      <c r="A233" s="20">
        <f>HKData!A236</f>
        <v>45575</v>
      </c>
      <c r="B233" s="19">
        <f t="shared" si="6"/>
        <v>202409</v>
      </c>
      <c r="C233" s="21">
        <f t="shared" si="7"/>
        <v>5.92</v>
      </c>
    </row>
    <row r="234" spans="1:3">
      <c r="A234" s="20">
        <f>HKData!A237</f>
        <v>45579</v>
      </c>
      <c r="B234" s="19">
        <f t="shared" si="6"/>
        <v>202409</v>
      </c>
      <c r="C234" s="21">
        <f t="shared" si="7"/>
        <v>5.92</v>
      </c>
    </row>
    <row r="235" spans="1:3">
      <c r="A235" s="20">
        <f>HKData!A238</f>
        <v>45580</v>
      </c>
      <c r="B235" s="19">
        <f t="shared" si="6"/>
        <v>202409</v>
      </c>
      <c r="C235" s="21">
        <f t="shared" si="7"/>
        <v>5.92</v>
      </c>
    </row>
    <row r="236" spans="1:3">
      <c r="A236" s="20">
        <f>HKData!A239</f>
        <v>45581</v>
      </c>
      <c r="B236" s="19">
        <f t="shared" si="6"/>
        <v>202409</v>
      </c>
      <c r="C236" s="21">
        <f t="shared" si="7"/>
        <v>5.92</v>
      </c>
    </row>
    <row r="237" spans="1:3">
      <c r="A237" s="20">
        <f>HKData!A240</f>
        <v>45582</v>
      </c>
      <c r="B237" s="19">
        <f t="shared" si="6"/>
        <v>202409</v>
      </c>
      <c r="C237" s="21">
        <f t="shared" si="7"/>
        <v>5.92</v>
      </c>
    </row>
    <row r="238" spans="1:3">
      <c r="A238" s="20">
        <f>HKData!A241</f>
        <v>45583</v>
      </c>
      <c r="B238" s="19">
        <f t="shared" si="6"/>
        <v>202409</v>
      </c>
      <c r="C238" s="21">
        <f t="shared" si="7"/>
        <v>5.92</v>
      </c>
    </row>
    <row r="239" spans="1:3">
      <c r="A239" s="20">
        <f>HKData!A242</f>
        <v>45586</v>
      </c>
      <c r="B239" s="19">
        <f t="shared" si="6"/>
        <v>202409</v>
      </c>
      <c r="C239" s="21">
        <f t="shared" si="7"/>
        <v>5.92</v>
      </c>
    </row>
    <row r="240" spans="1:3">
      <c r="A240" s="20">
        <f>HKData!A243</f>
        <v>45587</v>
      </c>
      <c r="B240" s="19">
        <f t="shared" si="6"/>
        <v>202409</v>
      </c>
      <c r="C240" s="21">
        <f t="shared" si="7"/>
        <v>5.92</v>
      </c>
    </row>
    <row r="241" spans="1:3">
      <c r="A241" s="20">
        <f>HKData!A244</f>
        <v>45588</v>
      </c>
      <c r="B241" s="19">
        <f t="shared" si="6"/>
        <v>202409</v>
      </c>
      <c r="C241" s="21">
        <f t="shared" si="7"/>
        <v>5.92</v>
      </c>
    </row>
    <row r="242" spans="1:3">
      <c r="A242" s="20">
        <f>HKData!A245</f>
        <v>45589</v>
      </c>
      <c r="B242" s="19">
        <f t="shared" si="6"/>
        <v>202409</v>
      </c>
      <c r="C242" s="21">
        <f t="shared" si="7"/>
        <v>5.92</v>
      </c>
    </row>
    <row r="243" spans="1:3">
      <c r="A243" s="20">
        <f>HKData!A246</f>
        <v>45590</v>
      </c>
      <c r="B243" s="19">
        <f t="shared" si="6"/>
        <v>202409</v>
      </c>
      <c r="C243" s="21">
        <f t="shared" si="7"/>
        <v>5.92</v>
      </c>
    </row>
    <row r="244" spans="1:3">
      <c r="A244" s="20">
        <f>HKData!A247</f>
        <v>45593</v>
      </c>
      <c r="B244" s="19">
        <f t="shared" si="6"/>
        <v>202409</v>
      </c>
      <c r="C244" s="21">
        <f t="shared" si="7"/>
        <v>5.92</v>
      </c>
    </row>
    <row r="245" spans="1:3">
      <c r="A245" s="20">
        <f>HKData!A248</f>
        <v>45594</v>
      </c>
      <c r="B245" s="19">
        <f t="shared" ref="B245:B246" si="8">IF(MONTH(A245)=1,(YEAR(A245)-1)*100+12,YEAR(A245)*100+MONTH(A245)-1)</f>
        <v>202409</v>
      </c>
      <c r="C245" s="21">
        <f t="shared" si="7"/>
        <v>5.92</v>
      </c>
    </row>
    <row r="246" spans="1:3">
      <c r="A246" s="20">
        <f>HKData!A249</f>
        <v>45595</v>
      </c>
      <c r="B246" s="19">
        <f t="shared" si="8"/>
        <v>202409</v>
      </c>
      <c r="C246" s="21">
        <f t="shared" si="7"/>
        <v>5.92</v>
      </c>
    </row>
    <row r="247" spans="1:3">
      <c r="A247" s="20"/>
    </row>
    <row r="248" spans="1:3">
      <c r="A248" s="20"/>
    </row>
    <row r="249" spans="1:3">
      <c r="A249" s="20"/>
    </row>
    <row r="250" spans="1:3">
      <c r="A250" s="20"/>
    </row>
    <row r="251" spans="1:3">
      <c r="A251" s="20"/>
    </row>
    <row r="252" spans="1:3">
      <c r="A252" s="20"/>
    </row>
    <row r="253" spans="1:3">
      <c r="A253" s="20"/>
    </row>
    <row r="254" spans="1:3">
      <c r="A254" s="20"/>
    </row>
    <row r="255" spans="1:3">
      <c r="A255" s="20"/>
    </row>
    <row r="256" spans="1:3">
      <c r="A256" s="20"/>
    </row>
    <row r="257" spans="1:1">
      <c r="A257" s="20"/>
    </row>
    <row r="258" spans="1:1">
      <c r="A258" s="20"/>
    </row>
    <row r="259" spans="1:1">
      <c r="A259" s="20"/>
    </row>
    <row r="260" spans="1:1">
      <c r="A260" s="20"/>
    </row>
    <row r="261" spans="1:1">
      <c r="A261" s="20"/>
    </row>
    <row r="262" spans="1:1">
      <c r="A262" s="20"/>
    </row>
    <row r="263" spans="1:1">
      <c r="A263" s="20"/>
    </row>
    <row r="264" spans="1:1">
      <c r="A264" s="20"/>
    </row>
    <row r="265" spans="1:1">
      <c r="A265" s="20"/>
    </row>
    <row r="266" spans="1:1">
      <c r="A266" s="20"/>
    </row>
    <row r="267" spans="1:1">
      <c r="A267" s="20"/>
    </row>
    <row r="268" spans="1:1">
      <c r="A268" s="20"/>
    </row>
    <row r="269" spans="1:1">
      <c r="A269" s="20"/>
    </row>
    <row r="270" spans="1:1">
      <c r="A270" s="20"/>
    </row>
    <row r="271" spans="1:1">
      <c r="A271" s="20"/>
    </row>
    <row r="272" spans="1:1">
      <c r="A272" s="20"/>
    </row>
    <row r="273" spans="1:1">
      <c r="A273" s="20"/>
    </row>
    <row r="274" spans="1:1">
      <c r="A274" s="20"/>
    </row>
    <row r="275" spans="1:1">
      <c r="A275" s="20"/>
    </row>
    <row r="276" spans="1:1">
      <c r="A276" s="20"/>
    </row>
    <row r="277" spans="1:1">
      <c r="A277" s="20"/>
    </row>
    <row r="278" spans="1:1">
      <c r="A278" s="20"/>
    </row>
    <row r="279" spans="1:1">
      <c r="A279" s="20"/>
    </row>
    <row r="280" spans="1:1">
      <c r="A280" s="20"/>
    </row>
    <row r="281" spans="1:1">
      <c r="A281" s="20"/>
    </row>
    <row r="282" spans="1:1">
      <c r="A282" s="20"/>
    </row>
    <row r="283" spans="1:1">
      <c r="A283" s="20"/>
    </row>
    <row r="284" spans="1:1">
      <c r="A284" s="20"/>
    </row>
    <row r="285" spans="1:1">
      <c r="A285" s="20"/>
    </row>
    <row r="286" spans="1:1">
      <c r="A286" s="20"/>
    </row>
    <row r="287" spans="1:1">
      <c r="A287" s="20"/>
    </row>
    <row r="288" spans="1:1">
      <c r="A288" s="20"/>
    </row>
    <row r="289" spans="1:1">
      <c r="A289" s="20"/>
    </row>
    <row r="290" spans="1:1">
      <c r="A290" s="20"/>
    </row>
    <row r="291" spans="1:1">
      <c r="A291" s="20"/>
    </row>
    <row r="292" spans="1:1">
      <c r="A292" s="20"/>
    </row>
    <row r="293" spans="1:1">
      <c r="A293" s="20"/>
    </row>
    <row r="294" spans="1:1">
      <c r="A294" s="20"/>
    </row>
    <row r="295" spans="1:1">
      <c r="A295" s="20"/>
    </row>
    <row r="296" spans="1:1">
      <c r="A296" s="20"/>
    </row>
    <row r="297" spans="1:1">
      <c r="A297" s="20"/>
    </row>
    <row r="298" spans="1:1">
      <c r="A298" s="20"/>
    </row>
    <row r="299" spans="1:1">
      <c r="A299" s="20"/>
    </row>
    <row r="300" spans="1:1">
      <c r="A300" s="20"/>
    </row>
    <row r="301" spans="1:1">
      <c r="A301" s="20"/>
    </row>
    <row r="302" spans="1:1">
      <c r="A302" s="20"/>
    </row>
    <row r="303" spans="1:1">
      <c r="A303" s="20"/>
    </row>
    <row r="304" spans="1:1">
      <c r="A304" s="20"/>
    </row>
    <row r="305" spans="1:1">
      <c r="A305" s="20"/>
    </row>
    <row r="306" spans="1:1">
      <c r="A306" s="20"/>
    </row>
    <row r="307" spans="1:1">
      <c r="A307" s="20"/>
    </row>
    <row r="308" spans="1:1">
      <c r="A308" s="20"/>
    </row>
    <row r="309" spans="1:1">
      <c r="A309" s="20"/>
    </row>
    <row r="310" spans="1:1">
      <c r="A310" s="20"/>
    </row>
    <row r="311" spans="1:1">
      <c r="A311" s="20"/>
    </row>
    <row r="312" spans="1:1">
      <c r="A312" s="20"/>
    </row>
    <row r="313" spans="1:1">
      <c r="A313" s="20"/>
    </row>
    <row r="314" spans="1:1">
      <c r="A314" s="20"/>
    </row>
    <row r="315" spans="1:1">
      <c r="A315" s="20"/>
    </row>
    <row r="316" spans="1:1">
      <c r="A316" s="20"/>
    </row>
    <row r="317" spans="1:1">
      <c r="A317" s="20"/>
    </row>
    <row r="318" spans="1:1">
      <c r="A318" s="20"/>
    </row>
    <row r="319" spans="1:1">
      <c r="A319" s="20"/>
    </row>
    <row r="320" spans="1:1">
      <c r="A320" s="20"/>
    </row>
    <row r="321" spans="1:1">
      <c r="A321" s="20"/>
    </row>
    <row r="322" spans="1:1">
      <c r="A322" s="20"/>
    </row>
    <row r="323" spans="1:1">
      <c r="A323" s="20"/>
    </row>
    <row r="324" spans="1:1">
      <c r="A324" s="20"/>
    </row>
    <row r="325" spans="1:1">
      <c r="A325" s="20"/>
    </row>
    <row r="326" spans="1:1">
      <c r="A326" s="20"/>
    </row>
    <row r="327" spans="1:1">
      <c r="A327" s="20"/>
    </row>
    <row r="328" spans="1:1">
      <c r="A328" s="20"/>
    </row>
    <row r="329" spans="1:1">
      <c r="A329" s="20"/>
    </row>
    <row r="330" spans="1:1">
      <c r="A330" s="20"/>
    </row>
    <row r="331" spans="1:1">
      <c r="A331" s="20"/>
    </row>
    <row r="332" spans="1:1">
      <c r="A332" s="20"/>
    </row>
    <row r="333" spans="1:1">
      <c r="A333" s="20"/>
    </row>
    <row r="334" spans="1:1">
      <c r="A334" s="20"/>
    </row>
    <row r="335" spans="1:1">
      <c r="A335" s="20"/>
    </row>
    <row r="336" spans="1:1">
      <c r="A336" s="20"/>
    </row>
    <row r="337" spans="1:1">
      <c r="A337" s="20"/>
    </row>
    <row r="338" spans="1:1">
      <c r="A338" s="20"/>
    </row>
    <row r="339" spans="1:1">
      <c r="A339" s="20"/>
    </row>
    <row r="340" spans="1:1">
      <c r="A340" s="20"/>
    </row>
    <row r="341" spans="1:1">
      <c r="A341" s="20"/>
    </row>
    <row r="342" spans="1:1">
      <c r="A342" s="20"/>
    </row>
    <row r="343" spans="1:1">
      <c r="A343" s="20"/>
    </row>
    <row r="344" spans="1:1">
      <c r="A344" s="20"/>
    </row>
    <row r="345" spans="1:1">
      <c r="A345" s="20"/>
    </row>
    <row r="346" spans="1:1">
      <c r="A346" s="20"/>
    </row>
    <row r="347" spans="1:1">
      <c r="A347" s="20"/>
    </row>
    <row r="348" spans="1:1">
      <c r="A348" s="20"/>
    </row>
    <row r="349" spans="1:1">
      <c r="A349" s="20"/>
    </row>
    <row r="350" spans="1:1">
      <c r="A350" s="20"/>
    </row>
    <row r="351" spans="1:1">
      <c r="A351" s="20"/>
    </row>
    <row r="352" spans="1:1">
      <c r="A352" s="20"/>
    </row>
    <row r="353" spans="1:1">
      <c r="A353" s="20"/>
    </row>
    <row r="354" spans="1:1">
      <c r="A354" s="20"/>
    </row>
    <row r="355" spans="1:1">
      <c r="A355" s="20"/>
    </row>
    <row r="356" spans="1:1">
      <c r="A356" s="20"/>
    </row>
    <row r="357" spans="1:1">
      <c r="A357" s="20"/>
    </row>
    <row r="358" spans="1:1">
      <c r="A358" s="20"/>
    </row>
    <row r="359" spans="1:1">
      <c r="A359" s="20"/>
    </row>
    <row r="360" spans="1:1">
      <c r="A360" s="20"/>
    </row>
    <row r="361" spans="1:1">
      <c r="A361" s="20"/>
    </row>
    <row r="362" spans="1:1">
      <c r="A362" s="20"/>
    </row>
    <row r="363" spans="1:1">
      <c r="A363" s="20"/>
    </row>
    <row r="364" spans="1:1">
      <c r="A364" s="20"/>
    </row>
    <row r="365" spans="1:1">
      <c r="A365" s="20"/>
    </row>
    <row r="366" spans="1:1">
      <c r="A366" s="20"/>
    </row>
    <row r="367" spans="1:1">
      <c r="A367" s="20"/>
    </row>
    <row r="368" spans="1:1">
      <c r="A368" s="20"/>
    </row>
    <row r="369" spans="1:1">
      <c r="A369" s="20"/>
    </row>
    <row r="370" spans="1:1">
      <c r="A370" s="20"/>
    </row>
    <row r="371" spans="1:1">
      <c r="A371" s="20"/>
    </row>
    <row r="372" spans="1:1">
      <c r="A372" s="20"/>
    </row>
    <row r="373" spans="1:1">
      <c r="A373" s="20"/>
    </row>
    <row r="374" spans="1:1">
      <c r="A374" s="20"/>
    </row>
    <row r="375" spans="1:1">
      <c r="A375" s="20"/>
    </row>
    <row r="376" spans="1:1">
      <c r="A376" s="20"/>
    </row>
    <row r="377" spans="1:1">
      <c r="A377" s="20"/>
    </row>
    <row r="378" spans="1:1">
      <c r="A378" s="20"/>
    </row>
    <row r="379" spans="1:1">
      <c r="A379" s="20"/>
    </row>
    <row r="380" spans="1:1">
      <c r="A380" s="20"/>
    </row>
    <row r="381" spans="1:1">
      <c r="A381" s="20"/>
    </row>
    <row r="382" spans="1:1">
      <c r="A382" s="20"/>
    </row>
    <row r="383" spans="1:1">
      <c r="A383" s="20"/>
    </row>
    <row r="384" spans="1:1">
      <c r="A384" s="20"/>
    </row>
    <row r="385" spans="1:1">
      <c r="A385" s="20"/>
    </row>
    <row r="386" spans="1:1">
      <c r="A386" s="20"/>
    </row>
    <row r="387" spans="1:1">
      <c r="A387" s="20"/>
    </row>
    <row r="388" spans="1:1">
      <c r="A388" s="20"/>
    </row>
    <row r="389" spans="1:1">
      <c r="A389" s="20"/>
    </row>
    <row r="390" spans="1:1">
      <c r="A390" s="20"/>
    </row>
    <row r="391" spans="1:1">
      <c r="A391" s="20"/>
    </row>
    <row r="392" spans="1:1">
      <c r="A392" s="20"/>
    </row>
    <row r="393" spans="1:1">
      <c r="A393" s="20"/>
    </row>
    <row r="394" spans="1:1">
      <c r="A394" s="20"/>
    </row>
    <row r="395" spans="1:1">
      <c r="A395" s="20"/>
    </row>
    <row r="396" spans="1:1">
      <c r="A396" s="20"/>
    </row>
    <row r="397" spans="1:1">
      <c r="A397" s="20"/>
    </row>
    <row r="398" spans="1:1">
      <c r="A398" s="20"/>
    </row>
    <row r="399" spans="1:1">
      <c r="A399" s="20"/>
    </row>
    <row r="400" spans="1:1">
      <c r="A400" s="20"/>
    </row>
    <row r="401" spans="1:1">
      <c r="A401" s="20"/>
    </row>
    <row r="402" spans="1:1">
      <c r="A402" s="20"/>
    </row>
    <row r="403" spans="1:1">
      <c r="A403" s="20"/>
    </row>
    <row r="404" spans="1:1">
      <c r="A404" s="20"/>
    </row>
    <row r="405" spans="1:1">
      <c r="A405" s="20"/>
    </row>
    <row r="406" spans="1:1">
      <c r="A406" s="20"/>
    </row>
    <row r="407" spans="1:1">
      <c r="A407" s="20"/>
    </row>
    <row r="408" spans="1:1">
      <c r="A408" s="20"/>
    </row>
    <row r="409" spans="1:1">
      <c r="A409" s="20"/>
    </row>
    <row r="410" spans="1:1">
      <c r="A410" s="20"/>
    </row>
    <row r="411" spans="1:1">
      <c r="A411" s="20"/>
    </row>
    <row r="412" spans="1:1">
      <c r="A412" s="20"/>
    </row>
    <row r="413" spans="1:1">
      <c r="A413" s="20"/>
    </row>
    <row r="414" spans="1:1">
      <c r="A414" s="20"/>
    </row>
    <row r="415" spans="1:1">
      <c r="A415" s="20"/>
    </row>
    <row r="416" spans="1:1">
      <c r="A416" s="20"/>
    </row>
    <row r="417" spans="1:1">
      <c r="A417" s="20"/>
    </row>
    <row r="418" spans="1:1">
      <c r="A418" s="20"/>
    </row>
    <row r="419" spans="1:1">
      <c r="A419" s="20"/>
    </row>
    <row r="420" spans="1:1">
      <c r="A420" s="20"/>
    </row>
    <row r="421" spans="1:1">
      <c r="A421" s="20"/>
    </row>
    <row r="422" spans="1:1">
      <c r="A422" s="20"/>
    </row>
    <row r="423" spans="1:1">
      <c r="A423" s="20"/>
    </row>
    <row r="424" spans="1:1">
      <c r="A424" s="20"/>
    </row>
    <row r="425" spans="1:1">
      <c r="A425" s="20"/>
    </row>
    <row r="426" spans="1:1">
      <c r="A426" s="20"/>
    </row>
    <row r="427" spans="1:1">
      <c r="A427" s="20"/>
    </row>
    <row r="428" spans="1:1">
      <c r="A428" s="20"/>
    </row>
    <row r="429" spans="1:1">
      <c r="A429" s="20"/>
    </row>
    <row r="430" spans="1:1">
      <c r="A430" s="20"/>
    </row>
    <row r="431" spans="1:1">
      <c r="A431" s="20"/>
    </row>
    <row r="432" spans="1:1">
      <c r="A432" s="20"/>
    </row>
    <row r="433" spans="1:1">
      <c r="A433" s="20"/>
    </row>
    <row r="434" spans="1:1">
      <c r="A434" s="20"/>
    </row>
    <row r="435" spans="1:1">
      <c r="A435" s="20"/>
    </row>
    <row r="436" spans="1:1">
      <c r="A436" s="20"/>
    </row>
    <row r="437" spans="1:1">
      <c r="A437" s="20"/>
    </row>
    <row r="438" spans="1:1">
      <c r="A438" s="20"/>
    </row>
    <row r="439" spans="1:1">
      <c r="A439" s="20"/>
    </row>
    <row r="440" spans="1:1">
      <c r="A440" s="20"/>
    </row>
    <row r="441" spans="1:1">
      <c r="A441" s="20"/>
    </row>
    <row r="442" spans="1:1">
      <c r="A442" s="20"/>
    </row>
    <row r="443" spans="1:1">
      <c r="A443" s="20"/>
    </row>
    <row r="444" spans="1:1">
      <c r="A444" s="20"/>
    </row>
    <row r="445" spans="1:1">
      <c r="A445" s="20"/>
    </row>
    <row r="446" spans="1:1">
      <c r="A446" s="20"/>
    </row>
    <row r="447" spans="1:1">
      <c r="A447" s="20"/>
    </row>
    <row r="448" spans="1:1">
      <c r="A448" s="20"/>
    </row>
    <row r="449" spans="1:1">
      <c r="A449" s="20"/>
    </row>
    <row r="450" spans="1:1">
      <c r="A450" s="20"/>
    </row>
    <row r="451" spans="1:1">
      <c r="A451" s="20"/>
    </row>
    <row r="452" spans="1:1">
      <c r="A452" s="20"/>
    </row>
    <row r="453" spans="1:1">
      <c r="A453" s="20"/>
    </row>
    <row r="454" spans="1:1">
      <c r="A454" s="20"/>
    </row>
    <row r="455" spans="1:1">
      <c r="A455" s="20"/>
    </row>
    <row r="456" spans="1:1">
      <c r="A456" s="20"/>
    </row>
    <row r="457" spans="1:1">
      <c r="A457" s="20"/>
    </row>
    <row r="458" spans="1:1">
      <c r="A458" s="20"/>
    </row>
    <row r="459" spans="1:1">
      <c r="A459" s="20"/>
    </row>
    <row r="460" spans="1:1">
      <c r="A460" s="20"/>
    </row>
    <row r="461" spans="1:1">
      <c r="A461" s="20"/>
    </row>
    <row r="462" spans="1:1">
      <c r="A462" s="20"/>
    </row>
    <row r="463" spans="1:1">
      <c r="A463" s="20"/>
    </row>
  </sheetData>
  <phoneticPr fontId="33" type="noConversion"/>
  <pageMargins left="0.7" right="0.7" top="0.75" bottom="0.75" header="0.3" footer="0.3"/>
  <pageSetup orientation="portrait" r:id="rId1"/>
  <ignoredErrors>
    <ignoredError xmlns:x16r3="http://schemas.microsoft.com/office/spreadsheetml/2018/08/main" sqref="A66 A67:A244" x16r3:misleadingForma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4"/>
  <sheetViews>
    <sheetView zoomScale="75" zoomScaleNormal="100" workbookViewId="0">
      <selection activeCell="R36" sqref="R36"/>
    </sheetView>
  </sheetViews>
  <sheetFormatPr baseColWidth="10" defaultColWidth="8.6640625" defaultRowHeight="15"/>
  <cols>
    <col min="1" max="1" width="10.5" style="19" customWidth="1"/>
    <col min="2" max="2" width="13.6640625" style="19" bestFit="1" customWidth="1"/>
    <col min="3" max="3" width="16" style="19" customWidth="1"/>
    <col min="4" max="4" width="16" style="19" bestFit="1" customWidth="1"/>
    <col min="5" max="5" width="7.6640625" style="19" customWidth="1"/>
    <col min="6" max="6" width="15.5" style="19" customWidth="1"/>
    <col min="7" max="8" width="9.5" style="19" customWidth="1"/>
    <col min="9" max="9" width="15.5" style="19" customWidth="1"/>
    <col min="10" max="10" width="22.1640625" style="19" customWidth="1"/>
    <col min="11" max="11" width="10" style="19" customWidth="1"/>
    <col min="12" max="14" width="12.5" style="19" customWidth="1"/>
    <col min="15" max="15" width="13.5" style="19" customWidth="1"/>
    <col min="16" max="18" width="8.6640625" style="19"/>
    <col min="19" max="19" width="17.5" style="3" customWidth="1"/>
    <col min="20" max="20" width="11.5" style="3" customWidth="1"/>
    <col min="21" max="21" width="8.6640625" style="3"/>
    <col min="22" max="22" width="17.1640625" style="3" customWidth="1"/>
    <col min="23" max="23" width="15" style="3" customWidth="1"/>
    <col min="24" max="26" width="8.6640625" style="3"/>
    <col min="27" max="16384" width="8.6640625" style="19"/>
  </cols>
  <sheetData>
    <row r="1" spans="1:25" ht="19">
      <c r="A1" s="100" t="s">
        <v>221</v>
      </c>
      <c r="S1" s="6" t="s">
        <v>197</v>
      </c>
    </row>
    <row r="2" spans="1:25" ht="48">
      <c r="A2" s="4" t="s">
        <v>0</v>
      </c>
      <c r="B2" s="4" t="s">
        <v>106</v>
      </c>
      <c r="C2" s="4" t="s">
        <v>182</v>
      </c>
      <c r="D2" s="4" t="s">
        <v>185</v>
      </c>
      <c r="E2" s="4"/>
      <c r="F2" s="5" t="s">
        <v>186</v>
      </c>
      <c r="K2" s="79" t="s">
        <v>107</v>
      </c>
      <c r="L2" s="4" t="s">
        <v>192</v>
      </c>
      <c r="M2" s="4" t="s">
        <v>190</v>
      </c>
      <c r="N2" s="4" t="s">
        <v>191</v>
      </c>
      <c r="O2" s="4" t="s">
        <v>193</v>
      </c>
      <c r="S2" s="6" t="s">
        <v>204</v>
      </c>
      <c r="T2" s="6" t="s">
        <v>108</v>
      </c>
    </row>
    <row r="3" spans="1:25">
      <c r="A3" s="20">
        <f>HKData!A4</f>
        <v>45230</v>
      </c>
      <c r="B3" s="22"/>
      <c r="C3" s="23"/>
      <c r="K3" s="80" t="s">
        <v>194</v>
      </c>
      <c r="L3" s="4"/>
      <c r="M3" s="4"/>
      <c r="O3" s="21">
        <f>G10</f>
        <v>8.1639995574951172</v>
      </c>
      <c r="P3" s="8" t="str" cm="1">
        <f t="array" aca="1" ref="P3" ca="1">getformula(O3)</f>
        <v>&lt;--  =G10</v>
      </c>
      <c r="S3" s="3">
        <v>1</v>
      </c>
      <c r="T3" s="13">
        <f ca="1">O25</f>
        <v>7.9679767634448257</v>
      </c>
      <c r="Y3" s="14"/>
    </row>
    <row r="4" spans="1:25" ht="16">
      <c r="A4" s="20">
        <f>HKData!A5</f>
        <v>45231</v>
      </c>
      <c r="B4" s="22">
        <f>DailyHIBOR!C2/252/100</f>
        <v>1.7738095238095238E-4</v>
      </c>
      <c r="C4" s="23">
        <f>LN(HKData!N5/HKData!N4)-B4</f>
        <v>-8.0291967788609028E-4</v>
      </c>
      <c r="D4" s="23">
        <f>LN(HKData!F5/HKData!F4)-B4</f>
        <v>-1.4492591592626431E-2</v>
      </c>
      <c r="F4" s="9" t="s">
        <v>188</v>
      </c>
      <c r="G4" s="24">
        <f>AVERAGE(C4:C248)</f>
        <v>5.2133637565141043E-4</v>
      </c>
      <c r="H4" s="8" t="str" cm="1">
        <f t="array" aca="1" ref="H4" ca="1">getformula(G4)</f>
        <v>&lt;--  =AVERAGE(C4:C248)</v>
      </c>
      <c r="K4" s="77" t="s">
        <v>109</v>
      </c>
      <c r="L4" s="24">
        <f ca="1">_xlfn.NORM.S.INV(RAND())*$G$5+$G$4</f>
        <v>3.7522821025554091E-3</v>
      </c>
      <c r="M4" s="24">
        <f ca="1">_xlfn.NORM.S.INV(RAND())*$G$8</f>
        <v>-8.1901535133408494E-3</v>
      </c>
      <c r="N4" s="24">
        <f ca="1">$G$6+$G$7*L4+M4</f>
        <v>-6.7403056703144127E-3</v>
      </c>
      <c r="O4" s="21">
        <f ca="1">O3*EXP(N4+$G$9)</f>
        <v>8.1110619733220055</v>
      </c>
      <c r="P4" s="8" t="str" cm="1">
        <f t="array" aca="1" ref="P4" ca="1">getformula(O4)</f>
        <v>&lt;--  =O3*EXP(N4+$G$9)</v>
      </c>
      <c r="S4" s="3">
        <v>2</v>
      </c>
      <c r="T4" s="17">
        <f t="dataTable" ref="T4:T22" dt2D="0" dtr="0" r1="A2" ca="1"/>
        <v>7.764464548472624</v>
      </c>
      <c r="V4" s="6"/>
    </row>
    <row r="5" spans="1:25">
      <c r="A5" s="20">
        <f>HKData!A6</f>
        <v>45232</v>
      </c>
      <c r="B5" s="22">
        <f>DailyHIBOR!C3/252/100</f>
        <v>1.7738095238095238E-4</v>
      </c>
      <c r="C5" s="23">
        <f>LN(HKData!N6/HKData!N5)-B5</f>
        <v>7.3263919887701602E-3</v>
      </c>
      <c r="D5" s="23">
        <f>LN(HKData!F6/HKData!F5)-B5</f>
        <v>4.9054031604515741E-2</v>
      </c>
      <c r="F5" s="5" t="s">
        <v>189</v>
      </c>
      <c r="G5" s="24">
        <f>_xlfn.STDEV.S(C4:C248)</f>
        <v>1.626451075207656E-2</v>
      </c>
      <c r="H5" s="8" t="str" cm="1">
        <f t="array" aca="1" ref="H5" ca="1">getformula(G5)</f>
        <v>&lt;--  =STDEV.S(C4:C248)</v>
      </c>
      <c r="K5" s="77" t="s">
        <v>110</v>
      </c>
      <c r="L5" s="24">
        <f t="shared" ref="L5:L25" ca="1" si="0">_xlfn.NORM.S.INV(RAND())*$G$5+$G$4</f>
        <v>5.1035865682513403E-3</v>
      </c>
      <c r="M5" s="24">
        <f t="shared" ref="M5:M25" ca="1" si="1">_xlfn.NORM.S.INV(RAND())*$G$8</f>
        <v>-7.2838268766326764E-3</v>
      </c>
      <c r="N5" s="24">
        <f t="shared" ref="N5:N25" ca="1" si="2">$G$6+$G$7*L5+M5</f>
        <v>-4.9759722338500786E-3</v>
      </c>
      <c r="O5" s="21">
        <f t="shared" ref="O5:O25" ca="1" si="3">O4*EXP(N5+$G$9)</f>
        <v>8.0726980245753133</v>
      </c>
      <c r="P5" s="8" t="str" cm="1">
        <f t="array" aca="1" ref="P5" ca="1">getformula(O5)</f>
        <v>&lt;--  =O4*EXP(N5+$G$9)</v>
      </c>
      <c r="S5" s="3">
        <v>3</v>
      </c>
      <c r="T5" s="17">
        <v>8.0737538857522733</v>
      </c>
      <c r="V5" s="6"/>
    </row>
    <row r="6" spans="1:25">
      <c r="A6" s="20">
        <f>HKData!A7</f>
        <v>45233</v>
      </c>
      <c r="B6" s="22">
        <f>DailyHIBOR!C4/252/100</f>
        <v>1.7738095238095238E-4</v>
      </c>
      <c r="C6" s="23">
        <f>LN(HKData!N7/HKData!N6)-B6</f>
        <v>2.4671750461091782E-2</v>
      </c>
      <c r="D6" s="23">
        <f>LN(HKData!F7/HKData!F6)-B6</f>
        <v>2.3079386213190594E-2</v>
      </c>
      <c r="F6" s="6" t="s">
        <v>2</v>
      </c>
      <c r="G6" s="24">
        <f>INTERCEPT(D4:D248,C4:C248)</f>
        <v>-9.3265265210648682E-4</v>
      </c>
      <c r="H6" s="8" t="str" cm="1">
        <f t="array" aca="1" ref="H6" ca="1">getformula(G6)</f>
        <v>&lt;--  =INTERCEPT(D4:D248,C4:C248)</v>
      </c>
      <c r="K6" s="77" t="s">
        <v>111</v>
      </c>
      <c r="L6" s="24">
        <f t="shared" ca="1" si="0"/>
        <v>-8.3022647730117568E-4</v>
      </c>
      <c r="M6" s="24">
        <f t="shared" ca="1" si="1"/>
        <v>-1.1268347308179879E-2</v>
      </c>
      <c r="N6" s="24">
        <f t="shared" ca="1" si="2"/>
        <v>-1.2728149822471682E-2</v>
      </c>
      <c r="O6" s="21">
        <f t="shared" ca="1" si="3"/>
        <v>7.9724713390868365</v>
      </c>
      <c r="S6" s="3">
        <v>4</v>
      </c>
      <c r="T6" s="17">
        <v>8.1630776439135158</v>
      </c>
    </row>
    <row r="7" spans="1:25">
      <c r="A7" s="20">
        <f>HKData!A8</f>
        <v>45236</v>
      </c>
      <c r="B7" s="22">
        <f>DailyHIBOR!C5/252/100</f>
        <v>1.7738095238095238E-4</v>
      </c>
      <c r="C7" s="23">
        <f>LN(HKData!N8/HKData!N7)-B7</f>
        <v>1.6801117528260856E-2</v>
      </c>
      <c r="D7" s="23">
        <f>LN(HKData!F8/HKData!F7)-B7</f>
        <v>-2.539678952933324E-2</v>
      </c>
      <c r="F7" s="6" t="s">
        <v>1</v>
      </c>
      <c r="G7" s="24">
        <f>SLOPE(D4:D248,C4:C248)</f>
        <v>0.63494706155232139</v>
      </c>
      <c r="H7" s="8" t="str" cm="1">
        <f t="array" aca="1" ref="H7" ca="1">getformula(G7)</f>
        <v>&lt;--  =SLOPE(D4:D248,C4:C248)</v>
      </c>
      <c r="K7" s="77" t="s">
        <v>112</v>
      </c>
      <c r="L7" s="24">
        <f t="shared" ca="1" si="0"/>
        <v>4.9650078046589094E-3</v>
      </c>
      <c r="M7" s="24">
        <f t="shared" ca="1" si="1"/>
        <v>-9.1829321762195489E-3</v>
      </c>
      <c r="N7" s="24">
        <f t="shared" ca="1" si="2"/>
        <v>-6.9630677121735197E-3</v>
      </c>
      <c r="O7" s="21">
        <f t="shared" ca="1" si="3"/>
        <v>7.9190114241019574</v>
      </c>
      <c r="S7" s="3">
        <v>5</v>
      </c>
      <c r="T7" s="17">
        <v>9.1958738716210906</v>
      </c>
    </row>
    <row r="8" spans="1:25">
      <c r="A8" s="20">
        <f>HKData!A9</f>
        <v>45237</v>
      </c>
      <c r="B8" s="22">
        <f>DailyHIBOR!C6/252/100</f>
        <v>1.7738095238095238E-4</v>
      </c>
      <c r="C8" s="23">
        <f>LN(HKData!N9/HKData!N8)-B8</f>
        <v>-1.6813944303507137E-2</v>
      </c>
      <c r="D8" s="23">
        <f>LN(HKData!F9/HKData!F8)-B8</f>
        <v>-1.4025521589284806E-2</v>
      </c>
      <c r="F8" s="6" t="s">
        <v>187</v>
      </c>
      <c r="G8" s="24">
        <f>INDEX(LINEST(D4:D248,C4:C248,TRUE,TRUE),3,2)</f>
        <v>1.461281126311592E-2</v>
      </c>
      <c r="H8" s="8" t="str" cm="1">
        <f t="array" aca="1" ref="H8" ca="1">getformula(G8)</f>
        <v>&lt;--  =INDEX(LINEST(D4:D248,C4:C248,TRUE,TRUE),3,2)</v>
      </c>
      <c r="K8" s="77" t="s">
        <v>113</v>
      </c>
      <c r="L8" s="24">
        <f t="shared" ca="1" si="0"/>
        <v>-1.0330524535684586E-2</v>
      </c>
      <c r="M8" s="24">
        <f t="shared" ca="1" si="1"/>
        <v>2.3971484749958417E-3</v>
      </c>
      <c r="N8" s="24">
        <f t="shared" ca="1" si="2"/>
        <v>-5.0948403753377329E-3</v>
      </c>
      <c r="O8" s="21">
        <f t="shared" ca="1" si="3"/>
        <v>7.8806190316954652</v>
      </c>
      <c r="S8" s="3">
        <v>6</v>
      </c>
      <c r="T8" s="17">
        <v>8.1331971698963024</v>
      </c>
      <c r="U8" s="7"/>
    </row>
    <row r="9" spans="1:25">
      <c r="A9" s="20">
        <f>HKData!A10</f>
        <v>45238</v>
      </c>
      <c r="B9" s="22">
        <f>DailyHIBOR!C7/252/100</f>
        <v>1.7738095238095238E-4</v>
      </c>
      <c r="C9" s="23">
        <f>LN(HKData!N10/HKData!N9)-B9</f>
        <v>-5.9494286630301348E-3</v>
      </c>
      <c r="D9" s="23">
        <f>LN(HKData!F10/HKData!F9)-B9</f>
        <v>-1.6241849157618112E-2</v>
      </c>
      <c r="F9" s="6" t="s">
        <v>195</v>
      </c>
      <c r="G9" s="24">
        <f>B248</f>
        <v>2.349206349206349E-4</v>
      </c>
      <c r="H9" s="8" t="str" cm="1">
        <f t="array" aca="1" ref="H9" ca="1">getformula(G9)</f>
        <v>&lt;--  =B248</v>
      </c>
      <c r="I9" s="78" t="s">
        <v>196</v>
      </c>
      <c r="K9" s="77" t="s">
        <v>114</v>
      </c>
      <c r="L9" s="24">
        <f t="shared" ca="1" si="0"/>
        <v>-5.0738151012283874E-3</v>
      </c>
      <c r="M9" s="24">
        <f t="shared" ca="1" si="1"/>
        <v>-1.7574147193852446E-2</v>
      </c>
      <c r="N9" s="24">
        <f t="shared" ca="1" si="2"/>
        <v>-2.172840383534369E-2</v>
      </c>
      <c r="O9" s="21">
        <f t="shared" ca="1" si="3"/>
        <v>7.7130444112254972</v>
      </c>
      <c r="S9" s="3">
        <v>7</v>
      </c>
      <c r="T9" s="17">
        <v>7.1581510340831551</v>
      </c>
      <c r="U9" s="7"/>
    </row>
    <row r="10" spans="1:25">
      <c r="A10" s="20">
        <f>HKData!A11</f>
        <v>45239</v>
      </c>
      <c r="B10" s="22">
        <f>DailyHIBOR!C8/252/100</f>
        <v>1.7738095238095238E-4</v>
      </c>
      <c r="C10" s="23">
        <f>LN(HKData!N11/HKData!N10)-B10</f>
        <v>-3.4369210357066953E-3</v>
      </c>
      <c r="D10" s="23">
        <f>LN(HKData!F11/HKData!F10)-B10</f>
        <v>2.1845605186249364E-2</v>
      </c>
      <c r="F10" s="6" t="s">
        <v>202</v>
      </c>
      <c r="G10" s="19">
        <f>HKData!F249</f>
        <v>8.1639995574951172</v>
      </c>
      <c r="H10" s="8" t="str" cm="1">
        <f t="array" aca="1" ref="H10" ca="1">getformula(G10)</f>
        <v>&lt;--  =HKData!F249</v>
      </c>
      <c r="K10" s="77" t="s">
        <v>115</v>
      </c>
      <c r="L10" s="24">
        <f t="shared" ca="1" si="0"/>
        <v>-1.3203580366445205E-2</v>
      </c>
      <c r="M10" s="24">
        <f t="shared" ca="1" si="1"/>
        <v>-8.2955043322599092E-3</v>
      </c>
      <c r="N10" s="24">
        <f t="shared" ca="1" si="2"/>
        <v>-1.7611731540010701E-2</v>
      </c>
      <c r="O10" s="21">
        <f t="shared" ca="1" si="3"/>
        <v>7.5801740717435848</v>
      </c>
      <c r="S10" s="3">
        <v>8</v>
      </c>
      <c r="T10" s="17">
        <v>8.4186725033981915</v>
      </c>
    </row>
    <row r="11" spans="1:25">
      <c r="A11" s="20">
        <f>HKData!A12</f>
        <v>45240</v>
      </c>
      <c r="B11" s="22">
        <f>DailyHIBOR!C9/252/100</f>
        <v>1.7738095238095238E-4</v>
      </c>
      <c r="C11" s="23">
        <f>LN(HKData!N12/HKData!N11)-B11</f>
        <v>-1.7924256067119445E-2</v>
      </c>
      <c r="D11" s="23">
        <f>LN(HKData!F12/HKData!F11)-B11</f>
        <v>-1.413587494291507E-2</v>
      </c>
      <c r="K11" s="77" t="s">
        <v>116</v>
      </c>
      <c r="L11" s="24">
        <f t="shared" ca="1" si="0"/>
        <v>2.6155279563871972E-3</v>
      </c>
      <c r="M11" s="24">
        <f t="shared" ca="1" si="1"/>
        <v>-5.4872287213515664E-3</v>
      </c>
      <c r="N11" s="24">
        <f t="shared" ca="1" si="2"/>
        <v>-4.7591595831420544E-3</v>
      </c>
      <c r="O11" s="21">
        <f t="shared" ca="1" si="3"/>
        <v>7.5459570144106225</v>
      </c>
      <c r="S11" s="3">
        <v>9</v>
      </c>
      <c r="T11" s="17">
        <v>8.7679891052576071</v>
      </c>
    </row>
    <row r="12" spans="1:25">
      <c r="A12" s="20">
        <f>HKData!A13</f>
        <v>45243</v>
      </c>
      <c r="B12" s="22">
        <f>DailyHIBOR!C10/252/100</f>
        <v>1.7738095238095238E-4</v>
      </c>
      <c r="C12" s="23">
        <f>LN(HKData!N13/HKData!N12)-B12</f>
        <v>1.2699180420921262E-2</v>
      </c>
      <c r="D12" s="23">
        <f>LN(HKData!F13/HKData!F12)-B12</f>
        <v>7.8225951047600339E-3</v>
      </c>
      <c r="F12" s="26" t="s">
        <v>11</v>
      </c>
      <c r="G12" s="27"/>
      <c r="H12" s="27"/>
      <c r="I12" s="27"/>
      <c r="K12" s="77" t="s">
        <v>117</v>
      </c>
      <c r="L12" s="24">
        <f t="shared" ca="1" si="0"/>
        <v>2.8380748889741254E-2</v>
      </c>
      <c r="M12" s="24">
        <f t="shared" ca="1" si="1"/>
        <v>-1.0289789862286692E-2</v>
      </c>
      <c r="N12" s="24">
        <f t="shared" ca="1" si="2"/>
        <v>6.7978305978023384E-3</v>
      </c>
      <c r="O12" s="21">
        <f t="shared" ca="1" si="3"/>
        <v>7.5992129011061849</v>
      </c>
      <c r="S12" s="3">
        <v>10</v>
      </c>
      <c r="T12" s="17">
        <v>7.8018502369258824</v>
      </c>
    </row>
    <row r="13" spans="1:25">
      <c r="A13" s="20">
        <f>HKData!A14</f>
        <v>45244</v>
      </c>
      <c r="B13" s="22">
        <f>DailyHIBOR!C11/252/100</f>
        <v>1.7738095238095238E-4</v>
      </c>
      <c r="C13" s="23">
        <f>LN(HKData!N14/HKData!N13)-B13</f>
        <v>-1.8631352059524538E-3</v>
      </c>
      <c r="D13" s="23">
        <f>LN(HKData!F14/HKData!F13)-B13</f>
        <v>9.7335751217953528E-3</v>
      </c>
      <c r="F13" s="28" t="s">
        <v>1</v>
      </c>
      <c r="G13" s="25" cm="1">
        <f t="array" ref="G13:H17">LINEST(D4:D248,C4:C248,TRUE,TRUE)</f>
        <v>0.63494706155232206</v>
      </c>
      <c r="H13" s="25">
        <v>-9.3265265210648726E-4</v>
      </c>
      <c r="I13" s="28" t="s">
        <v>2</v>
      </c>
      <c r="K13" s="77" t="s">
        <v>118</v>
      </c>
      <c r="L13" s="24">
        <f t="shared" ca="1" si="0"/>
        <v>-7.9537658264152919E-4</v>
      </c>
      <c r="M13" s="24">
        <f t="shared" ca="1" si="1"/>
        <v>3.9884861528700563E-3</v>
      </c>
      <c r="N13" s="24">
        <f t="shared" ca="1" si="2"/>
        <v>2.5508114767878033E-3</v>
      </c>
      <c r="O13" s="21">
        <f t="shared" ca="1" si="3"/>
        <v>7.6204117860065592</v>
      </c>
      <c r="S13" s="3">
        <v>11</v>
      </c>
      <c r="T13" s="17">
        <v>7.8689872915695034</v>
      </c>
    </row>
    <row r="14" spans="1:25">
      <c r="A14" s="20">
        <f>HKData!A15</f>
        <v>45245</v>
      </c>
      <c r="B14" s="22">
        <f>DailyHIBOR!C12/252/100</f>
        <v>1.7738095238095238E-4</v>
      </c>
      <c r="C14" s="23">
        <f>LN(HKData!N15/HKData!N14)-B14</f>
        <v>3.8283968507975545E-2</v>
      </c>
      <c r="D14" s="23">
        <f>LN(HKData!F15/HKData!F14)-B14</f>
        <v>9.6362096239352817E-3</v>
      </c>
      <c r="F14" s="28" t="s">
        <v>3</v>
      </c>
      <c r="G14" s="29">
        <v>5.7517216155388101E-2</v>
      </c>
      <c r="H14" s="29">
        <v>9.3405970304911393E-4</v>
      </c>
      <c r="I14" s="28" t="s">
        <v>4</v>
      </c>
      <c r="K14" s="77" t="s">
        <v>119</v>
      </c>
      <c r="L14" s="24">
        <f t="shared" ca="1" si="0"/>
        <v>2.5767290420380368E-2</v>
      </c>
      <c r="M14" s="24">
        <f t="shared" ca="1" si="1"/>
        <v>-1.9268696764210672E-2</v>
      </c>
      <c r="N14" s="24">
        <f t="shared" ca="1" si="2"/>
        <v>-3.840484079731362E-3</v>
      </c>
      <c r="O14" s="21">
        <f t="shared" ca="1" si="3"/>
        <v>7.592985381369652</v>
      </c>
      <c r="S14" s="3">
        <v>12</v>
      </c>
      <c r="T14" s="17">
        <v>8.0700318844264611</v>
      </c>
    </row>
    <row r="15" spans="1:25">
      <c r="A15" s="20">
        <f>HKData!A16</f>
        <v>45246</v>
      </c>
      <c r="B15" s="22">
        <f>DailyHIBOR!C13/252/100</f>
        <v>1.7738095238095238E-4</v>
      </c>
      <c r="C15" s="23">
        <f>LN(HKData!N16/HKData!N15)-B15</f>
        <v>-1.3887827355564823E-2</v>
      </c>
      <c r="D15" s="23">
        <f>LN(HKData!F16/HKData!F15)-B15</f>
        <v>-1.7738095238095238E-4</v>
      </c>
      <c r="F15" s="28" t="s">
        <v>5</v>
      </c>
      <c r="G15" s="29">
        <v>0.33400041397203201</v>
      </c>
      <c r="H15" s="25">
        <v>1.461281126311592E-2</v>
      </c>
      <c r="I15" s="28" t="s">
        <v>6</v>
      </c>
      <c r="K15" s="77" t="s">
        <v>120</v>
      </c>
      <c r="L15" s="24">
        <f t="shared" ca="1" si="0"/>
        <v>3.4033286589518573E-4</v>
      </c>
      <c r="M15" s="24">
        <f t="shared" ca="1" si="1"/>
        <v>9.4356356512162107E-3</v>
      </c>
      <c r="N15" s="24">
        <f t="shared" ca="1" si="2"/>
        <v>8.7190763522595523E-3</v>
      </c>
      <c r="O15" s="21">
        <f t="shared" ca="1" si="3"/>
        <v>7.6612782403491977</v>
      </c>
      <c r="S15" s="3">
        <v>13</v>
      </c>
      <c r="T15" s="17">
        <v>7.7533743002112283</v>
      </c>
    </row>
    <row r="16" spans="1:25">
      <c r="A16" s="20">
        <f>HKData!A17</f>
        <v>45247</v>
      </c>
      <c r="B16" s="22">
        <f>DailyHIBOR!C14/252/100</f>
        <v>1.7738095238095238E-4</v>
      </c>
      <c r="C16" s="23">
        <f>LN(HKData!N17/HKData!N16)-B16</f>
        <v>-2.163827514237655E-2</v>
      </c>
      <c r="D16" s="23">
        <f>LN(HKData!F17/HKData!F16)-B16</f>
        <v>-4.0911455545887699E-3</v>
      </c>
      <c r="F16" s="28" t="s">
        <v>7</v>
      </c>
      <c r="G16" s="29">
        <v>121.86509165757268</v>
      </c>
      <c r="H16" s="30">
        <v>243</v>
      </c>
      <c r="I16" s="28" t="s">
        <v>8</v>
      </c>
      <c r="K16" s="77" t="s">
        <v>121</v>
      </c>
      <c r="L16" s="24">
        <f t="shared" ca="1" si="0"/>
        <v>-4.7880661089070072E-3</v>
      </c>
      <c r="M16" s="24">
        <f t="shared" ca="1" si="1"/>
        <v>-1.0676017323459392E-2</v>
      </c>
      <c r="N16" s="24">
        <f t="shared" ca="1" si="2"/>
        <v>-1.4648838481934641E-2</v>
      </c>
      <c r="O16" s="21">
        <f t="shared" ca="1" si="3"/>
        <v>7.5516412526411276</v>
      </c>
      <c r="S16" s="3">
        <v>14</v>
      </c>
      <c r="T16" s="17">
        <v>7.9424418722155279</v>
      </c>
    </row>
    <row r="17" spans="1:20">
      <c r="A17" s="20">
        <f>HKData!A18</f>
        <v>45250</v>
      </c>
      <c r="B17" s="22">
        <f>DailyHIBOR!C15/252/100</f>
        <v>1.7738095238095238E-4</v>
      </c>
      <c r="C17" s="23">
        <f>LN(HKData!N18/HKData!N17)-B17</f>
        <v>1.8208608781270369E-2</v>
      </c>
      <c r="D17" s="23">
        <f>LN(HKData!F18/HKData!F17)-B17</f>
        <v>-8.051370435009364E-3</v>
      </c>
      <c r="F17" s="28" t="s">
        <v>9</v>
      </c>
      <c r="G17" s="29">
        <v>2.602237131527136E-2</v>
      </c>
      <c r="H17" s="29">
        <v>5.1888823481781733E-2</v>
      </c>
      <c r="I17" s="28" t="s">
        <v>10</v>
      </c>
      <c r="K17" s="77" t="s">
        <v>122</v>
      </c>
      <c r="L17" s="24">
        <f t="shared" ca="1" si="0"/>
        <v>5.8914758283152412E-3</v>
      </c>
      <c r="M17" s="24">
        <f t="shared" ca="1" si="1"/>
        <v>-9.7326685887621223E-3</v>
      </c>
      <c r="N17" s="24">
        <f t="shared" ca="1" si="2"/>
        <v>-6.9245459754733174E-3</v>
      </c>
      <c r="O17" s="21">
        <f t="shared" ca="1" si="3"/>
        <v>7.5012921978754514</v>
      </c>
      <c r="S17" s="3">
        <v>15</v>
      </c>
      <c r="T17" s="17">
        <v>8.7985884545221484</v>
      </c>
    </row>
    <row r="18" spans="1:20">
      <c r="A18" s="20">
        <f>HKData!A19</f>
        <v>45251</v>
      </c>
      <c r="B18" s="22">
        <f>DailyHIBOR!C16/252/100</f>
        <v>1.7738095238095238E-4</v>
      </c>
      <c r="C18" s="23">
        <f>LN(HKData!N19/HKData!N18)-B18</f>
        <v>-2.6655403852300125E-3</v>
      </c>
      <c r="D18" s="23">
        <f>LN(HKData!F19/HKData!F18)-B18</f>
        <v>7.6966085302473614E-3</v>
      </c>
      <c r="K18" s="77" t="s">
        <v>123</v>
      </c>
      <c r="L18" s="24">
        <f t="shared" ca="1" si="0"/>
        <v>5.0802394690754656E-2</v>
      </c>
      <c r="M18" s="24">
        <f t="shared" ca="1" si="1"/>
        <v>-9.1431751225583783E-3</v>
      </c>
      <c r="N18" s="24">
        <f t="shared" ca="1" si="2"/>
        <v>2.2181003454051058E-2</v>
      </c>
      <c r="O18" s="21">
        <f t="shared" ca="1" si="3"/>
        <v>7.6713393561562402</v>
      </c>
      <c r="S18" s="3">
        <v>16</v>
      </c>
      <c r="T18" s="17">
        <v>6.9687531267762433</v>
      </c>
    </row>
    <row r="19" spans="1:20">
      <c r="A19" s="20">
        <f>HKData!A20</f>
        <v>45252</v>
      </c>
      <c r="B19" s="22">
        <f>DailyHIBOR!C17/252/100</f>
        <v>1.7738095238095238E-4</v>
      </c>
      <c r="C19" s="23">
        <f>LN(HKData!N20/HKData!N19)-B19</f>
        <v>-1.3740268601503648E-4</v>
      </c>
      <c r="D19" s="23">
        <f>LN(HKData!F20/HKData!F19)-B19</f>
        <v>-6.0772069264893053E-3</v>
      </c>
      <c r="K19" s="77" t="s">
        <v>124</v>
      </c>
      <c r="L19" s="24">
        <f t="shared" ca="1" si="0"/>
        <v>-9.0913575176353421E-3</v>
      </c>
      <c r="M19" s="24">
        <f t="shared" ca="1" si="1"/>
        <v>-4.7026290910707444E-4</v>
      </c>
      <c r="N19" s="24">
        <f t="shared" ca="1" si="2"/>
        <v>-7.1754463025577283E-3</v>
      </c>
      <c r="O19" s="21">
        <f t="shared" ca="1" si="3"/>
        <v>7.6182805693760605</v>
      </c>
      <c r="S19" s="3">
        <v>17</v>
      </c>
      <c r="T19" s="17">
        <v>8.2903161988989957</v>
      </c>
    </row>
    <row r="20" spans="1:20">
      <c r="A20" s="20">
        <f>HKData!A21</f>
        <v>45253</v>
      </c>
      <c r="B20" s="22">
        <f>DailyHIBOR!C18/252/100</f>
        <v>1.7738095238095238E-4</v>
      </c>
      <c r="C20" s="23">
        <f>LN(HKData!N21/HKData!N20)-B20</f>
        <v>9.7112147953098225E-3</v>
      </c>
      <c r="D20" s="23">
        <f>LN(HKData!F21/HKData!F20)-B20</f>
        <v>-6.112015054695219E-3</v>
      </c>
      <c r="K20" s="77" t="s">
        <v>125</v>
      </c>
      <c r="L20" s="24">
        <f t="shared" ca="1" si="0"/>
        <v>3.310238507966129E-2</v>
      </c>
      <c r="M20" s="24">
        <f t="shared" ca="1" si="1"/>
        <v>-1.6970514181669259E-2</v>
      </c>
      <c r="N20" s="24">
        <f t="shared" ca="1" si="2"/>
        <v>3.1150953029285972E-3</v>
      </c>
      <c r="O20" s="21">
        <f t="shared" ca="1" si="3"/>
        <v>7.6438447269621177</v>
      </c>
      <c r="S20" s="3">
        <v>18</v>
      </c>
      <c r="T20" s="17">
        <v>8.634093476801425</v>
      </c>
    </row>
    <row r="21" spans="1:20">
      <c r="A21" s="20">
        <f>HKData!A22</f>
        <v>45254</v>
      </c>
      <c r="B21" s="22">
        <f>DailyHIBOR!C19/252/100</f>
        <v>1.7738095238095238E-4</v>
      </c>
      <c r="C21" s="23">
        <f>LN(HKData!N22/HKData!N21)-B21</f>
        <v>-1.9992934774391923E-2</v>
      </c>
      <c r="D21" s="23">
        <f>LN(HKData!F22/HKData!F21)-B21</f>
        <v>-1.7186333803280097E-2</v>
      </c>
      <c r="K21" s="77" t="s">
        <v>126</v>
      </c>
      <c r="L21" s="24">
        <f t="shared" ca="1" si="0"/>
        <v>1.1837201024448796E-2</v>
      </c>
      <c r="M21" s="24">
        <f t="shared" ca="1" si="1"/>
        <v>1.4966183734905707E-2</v>
      </c>
      <c r="N21" s="24">
        <f t="shared" ca="1" si="2"/>
        <v>2.1549527090277111E-2</v>
      </c>
      <c r="O21" s="21">
        <f t="shared" ca="1" si="3"/>
        <v>7.8121886450594786</v>
      </c>
      <c r="S21" s="3">
        <v>19</v>
      </c>
      <c r="T21" s="17">
        <v>8.4272339752761525</v>
      </c>
    </row>
    <row r="22" spans="1:20">
      <c r="A22" s="20">
        <f>HKData!A23</f>
        <v>45257</v>
      </c>
      <c r="B22" s="22">
        <f>DailyHIBOR!C20/252/100</f>
        <v>1.7738095238095238E-4</v>
      </c>
      <c r="C22" s="23">
        <f>LN(HKData!N23/HKData!N22)-B22</f>
        <v>-2.1360467513637281E-3</v>
      </c>
      <c r="D22" s="23">
        <f>LN(HKData!F23/HKData!F22)-B22</f>
        <v>2.8666031974940904E-2</v>
      </c>
      <c r="K22" s="77" t="s">
        <v>127</v>
      </c>
      <c r="L22" s="24">
        <f t="shared" ca="1" si="0"/>
        <v>-1.3044326025420419E-2</v>
      </c>
      <c r="M22" s="24">
        <f t="shared" ca="1" si="1"/>
        <v>2.9014435018632117E-3</v>
      </c>
      <c r="N22" s="24">
        <f t="shared" ca="1" si="2"/>
        <v>-6.3136656300144421E-3</v>
      </c>
      <c r="O22" s="21">
        <f t="shared" ca="1" si="3"/>
        <v>7.7648443850596331</v>
      </c>
      <c r="S22" s="3">
        <v>20</v>
      </c>
      <c r="T22" s="17">
        <v>8.5672345728761634</v>
      </c>
    </row>
    <row r="23" spans="1:20">
      <c r="A23" s="20">
        <f>HKData!A24</f>
        <v>45258</v>
      </c>
      <c r="B23" s="22">
        <f>DailyHIBOR!C21/252/100</f>
        <v>1.7738095238095238E-4</v>
      </c>
      <c r="C23" s="23">
        <f>LN(HKData!N24/HKData!N23)-B23</f>
        <v>-9.9781380953581685E-3</v>
      </c>
      <c r="D23" s="23">
        <f>LN(HKData!F24/HKData!F23)-B23</f>
        <v>-1.201184102880358E-2</v>
      </c>
      <c r="K23" s="77" t="s">
        <v>128</v>
      </c>
      <c r="L23" s="24">
        <f t="shared" ca="1" si="0"/>
        <v>3.2576087534885043E-2</v>
      </c>
      <c r="M23" s="24">
        <f t="shared" ca="1" si="1"/>
        <v>-4.5938077793097876E-4</v>
      </c>
      <c r="N23" s="24">
        <f t="shared" ca="1" si="2"/>
        <v>1.9292057627108998E-2</v>
      </c>
      <c r="O23" s="21">
        <f t="shared" ca="1" si="3"/>
        <v>7.9179583943366438</v>
      </c>
    </row>
    <row r="24" spans="1:20">
      <c r="A24" s="20">
        <f>HKData!A25</f>
        <v>45259</v>
      </c>
      <c r="B24" s="22">
        <f>DailyHIBOR!C22/252/100</f>
        <v>1.7738095238095238E-4</v>
      </c>
      <c r="C24" s="23">
        <f>LN(HKData!N25/HKData!N24)-B24</f>
        <v>-2.1181156559982272E-2</v>
      </c>
      <c r="D24" s="23">
        <f>LN(HKData!F25/HKData!F24)-B24</f>
        <v>-2.8348334619333806E-2</v>
      </c>
      <c r="K24" s="77" t="s">
        <v>183</v>
      </c>
      <c r="L24" s="24">
        <f t="shared" ca="1" si="0"/>
        <v>-1.9197508038817407E-3</v>
      </c>
      <c r="M24" s="24">
        <f t="shared" ca="1" si="1"/>
        <v>-1.2749398288911112E-4</v>
      </c>
      <c r="N24" s="24">
        <f t="shared" ca="1" si="2"/>
        <v>-2.279086766833016E-3</v>
      </c>
      <c r="O24" s="21">
        <f t="shared" ca="1" si="3"/>
        <v>7.9017893037371101</v>
      </c>
      <c r="T24" s="17"/>
    </row>
    <row r="25" spans="1:20">
      <c r="A25" s="20">
        <f>HKData!A26</f>
        <v>45260</v>
      </c>
      <c r="B25" s="22">
        <f>DailyHIBOR!C23/252/100</f>
        <v>1.7738095238095238E-4</v>
      </c>
      <c r="C25" s="23">
        <f>LN(HKData!N26/HKData!N25)-B25</f>
        <v>2.7278356263214748E-3</v>
      </c>
      <c r="D25" s="23">
        <f>LN(HKData!F26/HKData!F25)-B25</f>
        <v>-2.0796601779894223E-2</v>
      </c>
      <c r="K25" s="77" t="s">
        <v>184</v>
      </c>
      <c r="L25" s="24">
        <f t="shared" ca="1" si="0"/>
        <v>-7.0306272226763021E-4</v>
      </c>
      <c r="M25" s="24">
        <f t="shared" ca="1" si="1"/>
        <v>9.4855156994997532E-3</v>
      </c>
      <c r="N25" s="24">
        <f t="shared" ca="1" si="2"/>
        <v>8.1064554378024595E-3</v>
      </c>
      <c r="O25" s="81">
        <f t="shared" ca="1" si="3"/>
        <v>7.9679767634448257</v>
      </c>
      <c r="T25" s="17"/>
    </row>
    <row r="26" spans="1:20">
      <c r="A26" s="20">
        <f>HKData!A27</f>
        <v>45261</v>
      </c>
      <c r="B26" s="22">
        <f>DailyHIBOR!C24/252/100</f>
        <v>1.6269841269841268E-4</v>
      </c>
      <c r="C26" s="23">
        <f>LN(HKData!N27/HKData!N26)-B26</f>
        <v>-1.2714390266342057E-2</v>
      </c>
      <c r="D26" s="23">
        <f>LN(HKData!F27/HKData!F26)-B26</f>
        <v>2.2495295009468324E-2</v>
      </c>
      <c r="T26" s="17"/>
    </row>
    <row r="27" spans="1:20">
      <c r="A27" s="20">
        <f>HKData!A28</f>
        <v>45264</v>
      </c>
      <c r="B27" s="22">
        <f>DailyHIBOR!C25/252/100</f>
        <v>1.6269841269841268E-4</v>
      </c>
      <c r="C27" s="23">
        <f>LN(HKData!N28/HKData!N27)-B27</f>
        <v>-1.1170580210675836E-2</v>
      </c>
      <c r="D27" s="23">
        <f>LN(HKData!F28/HKData!F27)-B27</f>
        <v>2.8877408193724841E-3</v>
      </c>
      <c r="K27" s="14" t="s">
        <v>222</v>
      </c>
      <c r="M27" s="8" t="str" cm="1">
        <f t="array" aca="1" ref="M27" ca="1">getformula(L25)</f>
        <v>&lt;--  =NORM.S.INV(RAND())*$G$5+$G$4</v>
      </c>
      <c r="T27" s="17"/>
    </row>
    <row r="28" spans="1:20">
      <c r="A28" s="20">
        <f>HKData!A29</f>
        <v>45265</v>
      </c>
      <c r="B28" s="22">
        <f>DailyHIBOR!C26/252/100</f>
        <v>1.6269841269841268E-4</v>
      </c>
      <c r="C28" s="23">
        <f>LN(HKData!N29/HKData!N28)-B28</f>
        <v>-1.9462823615849251E-2</v>
      </c>
      <c r="D28" s="23">
        <f>LN(HKData!F29/HKData!F28)-B28</f>
        <v>-1.9640579969556392E-2</v>
      </c>
      <c r="K28" s="14" t="s">
        <v>223</v>
      </c>
      <c r="M28" s="8" t="str" cm="1">
        <f t="array" aca="1" ref="M28" ca="1">getformula(M25)</f>
        <v>&lt;--  =NORM.S.INV(RAND())*$G$8</v>
      </c>
      <c r="T28" s="17"/>
    </row>
    <row r="29" spans="1:20">
      <c r="A29" s="20">
        <f>HKData!A30</f>
        <v>45266</v>
      </c>
      <c r="B29" s="22">
        <f>DailyHIBOR!C27/252/100</f>
        <v>1.6269841269841268E-4</v>
      </c>
      <c r="C29" s="23">
        <f>LN(HKData!N30/HKData!N29)-B29</f>
        <v>8.0956461086604484E-3</v>
      </c>
      <c r="D29" s="23">
        <f>LN(HKData!F30/HKData!F29)-B29</f>
        <v>1.4225971317435318E-2</v>
      </c>
      <c r="K29" s="14" t="s">
        <v>224</v>
      </c>
      <c r="M29" s="8" t="str" cm="1">
        <f t="array" aca="1" ref="M29" ca="1">getformula(N25)</f>
        <v>&lt;--  =$G$6+$G$7*L25+M25</v>
      </c>
      <c r="T29" s="17"/>
    </row>
    <row r="30" spans="1:20">
      <c r="A30" s="20">
        <f>HKData!A31</f>
        <v>45267</v>
      </c>
      <c r="B30" s="22">
        <f>DailyHIBOR!C28/252/100</f>
        <v>1.6269841269841268E-4</v>
      </c>
      <c r="C30" s="23">
        <f>LN(HKData!N31/HKData!N30)-B30</f>
        <v>-7.31744761947854E-3</v>
      </c>
      <c r="D30" s="23">
        <f>LN(HKData!F31/HKData!F30)-B30</f>
        <v>-3.5472674531479502E-2</v>
      </c>
      <c r="T30" s="17"/>
    </row>
    <row r="31" spans="1:20">
      <c r="A31" s="20">
        <f>HKData!A32</f>
        <v>45268</v>
      </c>
      <c r="B31" s="22">
        <f>DailyHIBOR!C29/252/100</f>
        <v>1.6269841269841268E-4</v>
      </c>
      <c r="C31" s="23">
        <f>LN(HKData!N32/HKData!N31)-B31</f>
        <v>-8.6768251072686427E-4</v>
      </c>
      <c r="D31" s="23">
        <f>LN(HKData!F32/HKData!F31)-B31</f>
        <v>6.1598782685801092E-3</v>
      </c>
      <c r="T31" s="17"/>
    </row>
    <row r="32" spans="1:20">
      <c r="A32" s="20">
        <f>HKData!A33</f>
        <v>45271</v>
      </c>
      <c r="B32" s="22">
        <f>DailyHIBOR!C30/252/100</f>
        <v>1.6269841269841268E-4</v>
      </c>
      <c r="C32" s="23">
        <f>LN(HKData!N33/HKData!N32)-B32</f>
        <v>-8.3309546193906549E-3</v>
      </c>
      <c r="D32" s="23">
        <f>LN(HKData!F33/HKData!F32)-B32</f>
        <v>-3.7123539826846234E-2</v>
      </c>
      <c r="T32" s="17"/>
    </row>
    <row r="33" spans="1:20">
      <c r="A33" s="20">
        <f>HKData!A34</f>
        <v>45272</v>
      </c>
      <c r="B33" s="22">
        <f>DailyHIBOR!C31/252/100</f>
        <v>1.6269841269841268E-4</v>
      </c>
      <c r="C33" s="23">
        <f>LN(HKData!N34/HKData!N33)-B33</f>
        <v>1.0459320507516438E-2</v>
      </c>
      <c r="D33" s="23">
        <f>LN(HKData!F34/HKData!F33)-B33</f>
        <v>1.9574825441456094E-2</v>
      </c>
      <c r="T33" s="17"/>
    </row>
    <row r="34" spans="1:20">
      <c r="A34" s="20">
        <f>HKData!A35</f>
        <v>45273</v>
      </c>
      <c r="B34" s="22">
        <f>DailyHIBOR!C32/252/100</f>
        <v>1.6269841269841268E-4</v>
      </c>
      <c r="C34" s="23">
        <f>LN(HKData!N35/HKData!N34)-B34</f>
        <v>-9.1035844243600242E-3</v>
      </c>
      <c r="D34" s="23">
        <f>LN(HKData!F35/HKData!F34)-B34</f>
        <v>-3.1036141834710262E-2</v>
      </c>
      <c r="T34" s="17"/>
    </row>
    <row r="35" spans="1:20">
      <c r="A35" s="20">
        <f>HKData!A36</f>
        <v>45274</v>
      </c>
      <c r="B35" s="22">
        <f>DailyHIBOR!C33/252/100</f>
        <v>1.6269841269841268E-4</v>
      </c>
      <c r="C35" s="23">
        <f>LN(HKData!N36/HKData!N35)-B35</f>
        <v>1.046777005369302E-2</v>
      </c>
      <c r="D35" s="23">
        <f>LN(HKData!F36/HKData!F35)-B35</f>
        <v>2.1986608718607841E-2</v>
      </c>
      <c r="T35" s="17"/>
    </row>
    <row r="36" spans="1:20">
      <c r="A36" s="20">
        <f>HKData!A37</f>
        <v>45275</v>
      </c>
      <c r="B36" s="22">
        <f>DailyHIBOR!C34/252/100</f>
        <v>1.6269841269841268E-4</v>
      </c>
      <c r="C36" s="23">
        <f>LN(HKData!N37/HKData!N36)-B36</f>
        <v>2.3336337227541817E-2</v>
      </c>
      <c r="D36" s="23">
        <f>LN(HKData!F37/HKData!F36)-B36</f>
        <v>-1.2586847688613137E-3</v>
      </c>
      <c r="T36" s="17"/>
    </row>
    <row r="37" spans="1:20">
      <c r="A37" s="20">
        <f>HKData!A38</f>
        <v>45278</v>
      </c>
      <c r="B37" s="22">
        <f>DailyHIBOR!C35/252/100</f>
        <v>1.6269841269841268E-4</v>
      </c>
      <c r="C37" s="23">
        <f>LN(HKData!N38/HKData!N37)-B37</f>
        <v>-9.9145447545690695E-3</v>
      </c>
      <c r="D37" s="23">
        <f>LN(HKData!F38/HKData!F37)-B37</f>
        <v>1.722911788860387E-2</v>
      </c>
      <c r="T37" s="17"/>
    </row>
    <row r="38" spans="1:20">
      <c r="A38" s="20">
        <f>HKData!A39</f>
        <v>45279</v>
      </c>
      <c r="B38" s="22">
        <f>DailyHIBOR!C36/252/100</f>
        <v>1.6269841269841268E-4</v>
      </c>
      <c r="C38" s="23">
        <f>LN(HKData!N39/HKData!N38)-B38</f>
        <v>-7.6613515646291085E-3</v>
      </c>
      <c r="D38" s="23">
        <f>LN(HKData!F39/HKData!F38)-B38</f>
        <v>-2.5259445540801225E-2</v>
      </c>
      <c r="T38" s="17"/>
    </row>
    <row r="39" spans="1:20">
      <c r="A39" s="20">
        <f>HKData!A40</f>
        <v>45280</v>
      </c>
      <c r="B39" s="22">
        <f>DailyHIBOR!C37/252/100</f>
        <v>1.6269841269841268E-4</v>
      </c>
      <c r="C39" s="23">
        <f>LN(HKData!N40/HKData!N39)-B39</f>
        <v>6.4082464123272976E-3</v>
      </c>
      <c r="D39" s="23">
        <f>LN(HKData!F40/HKData!F39)-B39</f>
        <v>-1.2683783822685767E-3</v>
      </c>
      <c r="T39" s="17"/>
    </row>
    <row r="40" spans="1:20">
      <c r="A40" s="20">
        <f>HKData!A41</f>
        <v>45281</v>
      </c>
      <c r="B40" s="22">
        <f>DailyHIBOR!C38/252/100</f>
        <v>1.6269841269841268E-4</v>
      </c>
      <c r="C40" s="23">
        <f>LN(HKData!N41/HKData!N40)-B40</f>
        <v>2.778206499891753E-4</v>
      </c>
      <c r="D40" s="23">
        <f>LN(HKData!F41/HKData!F40)-B40</f>
        <v>-4.5972290026064554E-3</v>
      </c>
      <c r="T40" s="17"/>
    </row>
    <row r="41" spans="1:20">
      <c r="A41" s="20">
        <f>HKData!A42</f>
        <v>45282</v>
      </c>
      <c r="B41" s="22">
        <f>DailyHIBOR!C39/252/100</f>
        <v>1.6269841269841268E-4</v>
      </c>
      <c r="C41" s="23">
        <f>LN(HKData!N42/HKData!N41)-B41</f>
        <v>-1.7196337127056139E-2</v>
      </c>
      <c r="D41" s="23">
        <f>LN(HKData!F42/HKData!F41)-B41</f>
        <v>-2.0365447541029348E-2</v>
      </c>
      <c r="T41" s="17"/>
    </row>
    <row r="42" spans="1:20">
      <c r="A42" s="20">
        <f>HKData!A43</f>
        <v>45287</v>
      </c>
      <c r="B42" s="22">
        <f>DailyHIBOR!C40/252/100</f>
        <v>1.6269841269841268E-4</v>
      </c>
      <c r="C42" s="23">
        <f>LN(HKData!N43/HKData!N42)-B42</f>
        <v>1.7094064145658668E-2</v>
      </c>
      <c r="D42" s="23">
        <f>LN(HKData!F43/HKData!F42)-B42</f>
        <v>9.9896366838894968E-3</v>
      </c>
      <c r="T42" s="17"/>
    </row>
    <row r="43" spans="1:20">
      <c r="A43" s="20">
        <f>HKData!A44</f>
        <v>45288</v>
      </c>
      <c r="B43" s="22">
        <f>DailyHIBOR!C41/252/100</f>
        <v>1.6269841269841268E-4</v>
      </c>
      <c r="C43" s="23">
        <f>LN(HKData!N44/HKData!N43)-B43</f>
        <v>2.4709966866764407E-2</v>
      </c>
      <c r="D43" s="23">
        <f>LN(HKData!F44/HKData!F43)-B43</f>
        <v>3.0778986964487737E-2</v>
      </c>
      <c r="T43" s="17"/>
    </row>
    <row r="44" spans="1:20">
      <c r="A44" s="20">
        <f>HKData!A45</f>
        <v>45289</v>
      </c>
      <c r="B44" s="22">
        <f>DailyHIBOR!C42/252/100</f>
        <v>1.6269841269841268E-4</v>
      </c>
      <c r="C44" s="23">
        <f>LN(HKData!N45/HKData!N44)-B44</f>
        <v>6.3832766299581862E-5</v>
      </c>
      <c r="D44" s="23">
        <f>LN(HKData!F45/HKData!F44)-B44</f>
        <v>-1.9943492148940339E-2</v>
      </c>
      <c r="T44" s="17"/>
    </row>
    <row r="45" spans="1:20">
      <c r="A45" s="20">
        <f>HKData!A46</f>
        <v>45293</v>
      </c>
      <c r="B45" s="22">
        <f>DailyHIBOR!C43/252/100</f>
        <v>2.3531746031746033E-4</v>
      </c>
      <c r="C45" s="23">
        <f>LN(HKData!N46/HKData!N45)-B45</f>
        <v>-1.5535313989951425E-2</v>
      </c>
      <c r="D45" s="23">
        <f>LN(HKData!F46/HKData!F45)-B45</f>
        <v>7.5038006527745208E-3</v>
      </c>
      <c r="T45" s="17"/>
    </row>
    <row r="46" spans="1:20">
      <c r="A46" s="20">
        <f>HKData!A47</f>
        <v>45294</v>
      </c>
      <c r="B46" s="22">
        <f>DailyHIBOR!C44/252/100</f>
        <v>2.3531746031746033E-4</v>
      </c>
      <c r="C46" s="23">
        <f>LN(HKData!N47/HKData!N46)-B46</f>
        <v>-8.7378834771566771E-3</v>
      </c>
      <c r="D46" s="23">
        <f>LN(HKData!F47/HKData!F46)-B46</f>
        <v>8.5366493993965509E-3</v>
      </c>
      <c r="T46" s="17"/>
    </row>
    <row r="47" spans="1:20">
      <c r="A47" s="20">
        <f>HKData!A48</f>
        <v>45295</v>
      </c>
      <c r="B47" s="22">
        <f>DailyHIBOR!C45/252/100</f>
        <v>2.3531746031746033E-4</v>
      </c>
      <c r="C47" s="23">
        <f>LN(HKData!N48/HKData!N47)-B47</f>
        <v>-2.6113041588822814E-4</v>
      </c>
      <c r="D47" s="23">
        <f>LN(HKData!F48/HKData!F47)-B47</f>
        <v>-2.3427955612893882E-2</v>
      </c>
      <c r="T47" s="17"/>
    </row>
    <row r="48" spans="1:20">
      <c r="A48" s="20">
        <f>HKData!A49</f>
        <v>45296</v>
      </c>
      <c r="B48" s="22">
        <f>DailyHIBOR!C46/252/100</f>
        <v>2.3531746031746033E-4</v>
      </c>
      <c r="C48" s="23">
        <f>LN(HKData!N49/HKData!N48)-B48</f>
        <v>-6.9047828287091472E-3</v>
      </c>
      <c r="D48" s="23">
        <f>LN(HKData!F49/HKData!F48)-B48</f>
        <v>-2.3531746031746033E-4</v>
      </c>
      <c r="T48" s="17"/>
    </row>
    <row r="49" spans="1:20">
      <c r="A49" s="20">
        <f>HKData!A50</f>
        <v>45299</v>
      </c>
      <c r="B49" s="22">
        <f>DailyHIBOR!C47/252/100</f>
        <v>2.3531746031746033E-4</v>
      </c>
      <c r="C49" s="23">
        <f>LN(HKData!N50/HKData!N49)-B49</f>
        <v>-1.9215250336544955E-2</v>
      </c>
      <c r="D49" s="23">
        <f>LN(HKData!F50/HKData!F49)-B49</f>
        <v>-4.7146559214914638E-3</v>
      </c>
      <c r="T49" s="17"/>
    </row>
    <row r="50" spans="1:20">
      <c r="A50" s="20">
        <f>HKData!A51</f>
        <v>45300</v>
      </c>
      <c r="B50" s="22">
        <f>DailyHIBOR!C48/252/100</f>
        <v>2.3531746031746033E-4</v>
      </c>
      <c r="C50" s="23">
        <f>LN(HKData!N51/HKData!N50)-B50</f>
        <v>-2.3597191427747752E-3</v>
      </c>
      <c r="D50" s="23">
        <f>LN(HKData!F51/HKData!F50)-B50</f>
        <v>8.8648573256964113E-4</v>
      </c>
      <c r="T50" s="17"/>
    </row>
    <row r="51" spans="1:20">
      <c r="A51" s="20">
        <f>HKData!A52</f>
        <v>45301</v>
      </c>
      <c r="B51" s="22">
        <f>DailyHIBOR!C49/252/100</f>
        <v>2.3531746031746033E-4</v>
      </c>
      <c r="C51" s="23">
        <f>LN(HKData!N52/HKData!N51)-B51</f>
        <v>-5.9799609215851418E-3</v>
      </c>
      <c r="D51" s="23">
        <f>LN(HKData!F52/HKData!F51)-B51</f>
        <v>-4.0263574456962825E-2</v>
      </c>
      <c r="T51" s="17"/>
    </row>
    <row r="52" spans="1:20">
      <c r="A52" s="20">
        <f>HKData!A53</f>
        <v>45302</v>
      </c>
      <c r="B52" s="22">
        <f>DailyHIBOR!C50/252/100</f>
        <v>2.3531746031746033E-4</v>
      </c>
      <c r="C52" s="23">
        <f>LN(HKData!N53/HKData!N52)-B52</f>
        <v>1.2404607686832747E-2</v>
      </c>
      <c r="D52" s="23">
        <f>LN(HKData!F53/HKData!F52)-B52</f>
        <v>3.2591604168006327E-3</v>
      </c>
      <c r="T52" s="17"/>
    </row>
    <row r="53" spans="1:20">
      <c r="A53" s="20">
        <f>HKData!A54</f>
        <v>45303</v>
      </c>
      <c r="B53" s="22">
        <f>DailyHIBOR!C51/252/100</f>
        <v>2.3531746031746033E-4</v>
      </c>
      <c r="C53" s="23">
        <f>LN(HKData!N54/HKData!N53)-B53</f>
        <v>-3.766253725229418E-3</v>
      </c>
      <c r="D53" s="23">
        <f>LN(HKData!F54/HKData!F53)-B53</f>
        <v>1.3621745613191637E-2</v>
      </c>
      <c r="T53" s="17"/>
    </row>
    <row r="54" spans="1:20">
      <c r="A54" s="20">
        <f>HKData!A55</f>
        <v>45306</v>
      </c>
      <c r="B54" s="22">
        <f>DailyHIBOR!C52/252/100</f>
        <v>2.3531746031746033E-4</v>
      </c>
      <c r="C54" s="23">
        <f>LN(HKData!N55/HKData!N54)-B54</f>
        <v>-1.9758729158512434E-3</v>
      </c>
      <c r="D54" s="23">
        <f>LN(HKData!F55/HKData!F54)-B54</f>
        <v>6.6217495103595625E-3</v>
      </c>
      <c r="T54" s="11"/>
    </row>
    <row r="55" spans="1:20">
      <c r="A55" s="20">
        <f>HKData!A56</f>
        <v>45307</v>
      </c>
      <c r="B55" s="22">
        <f>DailyHIBOR!C53/252/100</f>
        <v>2.3531746031746033E-4</v>
      </c>
      <c r="C55" s="23">
        <f>LN(HKData!N56/HKData!N55)-B55</f>
        <v>-2.2080673777606061E-2</v>
      </c>
      <c r="D55" s="23">
        <f>LN(HKData!F56/HKData!F55)-B55</f>
        <v>-3.5001290575229001E-2</v>
      </c>
      <c r="T55" s="11"/>
    </row>
    <row r="56" spans="1:20">
      <c r="A56" s="20">
        <f>HKData!A57</f>
        <v>45308</v>
      </c>
      <c r="B56" s="22">
        <f>DailyHIBOR!C54/252/100</f>
        <v>2.3531746031746033E-4</v>
      </c>
      <c r="C56" s="23">
        <f>LN(HKData!N57/HKData!N56)-B56</f>
        <v>-3.8066816030648182E-2</v>
      </c>
      <c r="D56" s="23">
        <f>LN(HKData!F57/HKData!F56)-B56</f>
        <v>-7.335832702135915E-3</v>
      </c>
      <c r="T56" s="11"/>
    </row>
    <row r="57" spans="1:20">
      <c r="A57" s="20">
        <f>HKData!A58</f>
        <v>45309</v>
      </c>
      <c r="B57" s="22">
        <f>DailyHIBOR!C55/252/100</f>
        <v>2.3531746031746033E-4</v>
      </c>
      <c r="C57" s="23">
        <f>LN(HKData!N58/HKData!N57)-B57</f>
        <v>7.257026312668946E-3</v>
      </c>
      <c r="D57" s="23">
        <f>LN(HKData!F58/HKData!F57)-B57</f>
        <v>2.6714071784314144E-2</v>
      </c>
      <c r="T57" s="11"/>
    </row>
    <row r="58" spans="1:20">
      <c r="A58" s="20">
        <f>HKData!A59</f>
        <v>45310</v>
      </c>
      <c r="B58" s="22">
        <f>DailyHIBOR!C56/252/100</f>
        <v>2.3531746031746033E-4</v>
      </c>
      <c r="C58" s="23">
        <f>LN(HKData!N59/HKData!N58)-B58</f>
        <v>-5.6489012906257392E-3</v>
      </c>
      <c r="D58" s="23">
        <f>LN(HKData!F59/HKData!F58)-B58</f>
        <v>-3.4336122560555148E-2</v>
      </c>
      <c r="T58" s="11"/>
    </row>
    <row r="59" spans="1:20">
      <c r="A59" s="20">
        <f>HKData!A60</f>
        <v>45313</v>
      </c>
      <c r="B59" s="22">
        <f>DailyHIBOR!C57/252/100</f>
        <v>2.3531746031746033E-4</v>
      </c>
      <c r="C59" s="23">
        <f>LN(HKData!N60/HKData!N59)-B59</f>
        <v>-2.3197160993361443E-2</v>
      </c>
      <c r="D59" s="23">
        <f>LN(HKData!F60/HKData!F59)-B59</f>
        <v>-1.4693430673654698E-2</v>
      </c>
      <c r="T59" s="11"/>
    </row>
    <row r="60" spans="1:20">
      <c r="A60" s="20">
        <f>HKData!A61</f>
        <v>45314</v>
      </c>
      <c r="B60" s="22">
        <f>DailyHIBOR!C58/252/100</f>
        <v>2.3531746031746033E-4</v>
      </c>
      <c r="C60" s="23">
        <f>LN(HKData!N61/HKData!N60)-B60</f>
        <v>2.5680611328264349E-2</v>
      </c>
      <c r="D60" s="23">
        <f>LN(HKData!F61/HKData!F60)-B60</f>
        <v>9.77520807202576E-4</v>
      </c>
      <c r="T60" s="11"/>
    </row>
    <row r="61" spans="1:20">
      <c r="A61" s="20">
        <f>HKData!A62</f>
        <v>45315</v>
      </c>
      <c r="B61" s="22">
        <f>DailyHIBOR!C59/252/100</f>
        <v>2.3531746031746033E-4</v>
      </c>
      <c r="C61" s="23">
        <f>LN(HKData!N62/HKData!N61)-B61</f>
        <v>3.4700868659915132E-2</v>
      </c>
      <c r="D61" s="23">
        <f>LN(HKData!F62/HKData!F61)-B61</f>
        <v>4.6015027139354649E-3</v>
      </c>
      <c r="T61" s="11"/>
    </row>
    <row r="62" spans="1:20">
      <c r="A62" s="20">
        <f>HKData!A63</f>
        <v>45316</v>
      </c>
      <c r="B62" s="22">
        <f>DailyHIBOR!C60/252/100</f>
        <v>2.3531746031746033E-4</v>
      </c>
      <c r="C62" s="23">
        <f>LN(HKData!N63/HKData!N62)-B62</f>
        <v>1.9202981122571745E-2</v>
      </c>
      <c r="D62" s="23">
        <f>LN(HKData!F63/HKData!F62)-B62</f>
        <v>8.1731373112469072E-3</v>
      </c>
      <c r="T62" s="11"/>
    </row>
    <row r="63" spans="1:20">
      <c r="A63" s="20">
        <f>HKData!A64</f>
        <v>45317</v>
      </c>
      <c r="B63" s="22">
        <f>DailyHIBOR!C61/252/100</f>
        <v>2.3531746031746033E-4</v>
      </c>
      <c r="C63" s="23">
        <f>LN(HKData!N64/HKData!N63)-B63</f>
        <v>-1.6385895750771685E-2</v>
      </c>
      <c r="D63" s="23">
        <f>LN(HKData!F64/HKData!F63)-B63</f>
        <v>-3.8303572930571345E-3</v>
      </c>
      <c r="T63" s="11"/>
    </row>
    <row r="64" spans="1:20">
      <c r="A64" s="20">
        <f>HKData!A65</f>
        <v>45320</v>
      </c>
      <c r="B64" s="22">
        <f>DailyHIBOR!C62/252/100</f>
        <v>2.3531746031746033E-4</v>
      </c>
      <c r="C64" s="23">
        <f>LN(HKData!N65/HKData!N64)-B64</f>
        <v>7.5706435904710325E-3</v>
      </c>
      <c r="D64" s="23">
        <f>LN(HKData!F65/HKData!F64)-B64</f>
        <v>1.0511138228028367E-2</v>
      </c>
      <c r="T64" s="11"/>
    </row>
    <row r="65" spans="1:20">
      <c r="A65" s="20">
        <f>HKData!A66</f>
        <v>45321</v>
      </c>
      <c r="B65" s="22">
        <f>DailyHIBOR!C63/252/100</f>
        <v>2.3531746031746033E-4</v>
      </c>
      <c r="C65" s="23">
        <f>LN(HKData!N66/HKData!N65)-B65</f>
        <v>-2.3759493391716107E-2</v>
      </c>
      <c r="D65" s="23">
        <f>LN(HKData!F66/HKData!F65)-B65</f>
        <v>-4.6416116846333351E-2</v>
      </c>
      <c r="T65" s="11"/>
    </row>
    <row r="66" spans="1:20">
      <c r="A66" s="20">
        <f>HKData!A67</f>
        <v>45322</v>
      </c>
      <c r="B66" s="22">
        <f>DailyHIBOR!C64/252/100</f>
        <v>2.3531746031746033E-4</v>
      </c>
      <c r="C66" s="23">
        <f>LN(HKData!N67/HKData!N66)-B66</f>
        <v>-1.4239409235227552E-2</v>
      </c>
      <c r="D66" s="23">
        <f>LN(HKData!F67/HKData!F66)-B66</f>
        <v>-2.4150897990428119E-2</v>
      </c>
      <c r="T66" s="11"/>
    </row>
    <row r="67" spans="1:20">
      <c r="A67" s="20">
        <f>HKData!A68</f>
        <v>45323</v>
      </c>
      <c r="B67" s="22">
        <f>DailyHIBOR!C65/252/100</f>
        <v>2.0039682539682539E-4</v>
      </c>
      <c r="C67" s="23">
        <f>LN(HKData!N68/HKData!N67)-B67</f>
        <v>5.025785953761408E-3</v>
      </c>
      <c r="D67" s="23">
        <f>LN(HKData!F68/HKData!F67)-B67</f>
        <v>3.3616233348058563E-2</v>
      </c>
      <c r="T67" s="11"/>
    </row>
    <row r="68" spans="1:20">
      <c r="A68" s="20">
        <f>HKData!A69</f>
        <v>45324</v>
      </c>
      <c r="B68" s="22">
        <f>DailyHIBOR!C66/252/100</f>
        <v>2.0039682539682539E-4</v>
      </c>
      <c r="C68" s="23">
        <f>LN(HKData!N69/HKData!N68)-B68</f>
        <v>-2.3001167341253539E-3</v>
      </c>
      <c r="D68" s="23">
        <f>LN(HKData!F69/HKData!F68)-B68</f>
        <v>3.487384070649783E-3</v>
      </c>
      <c r="T68" s="11"/>
    </row>
    <row r="69" spans="1:20">
      <c r="A69" s="20">
        <f>HKData!A70</f>
        <v>45327</v>
      </c>
      <c r="B69" s="22">
        <f>DailyHIBOR!C67/252/100</f>
        <v>2.0039682539682539E-4</v>
      </c>
      <c r="C69" s="23">
        <f>LN(HKData!N70/HKData!N69)-B69</f>
        <v>-1.7176069728607999E-3</v>
      </c>
      <c r="D69" s="23">
        <f>LN(HKData!F70/HKData!F69)-B69</f>
        <v>-8.8264487451628834E-3</v>
      </c>
      <c r="T69" s="11"/>
    </row>
    <row r="70" spans="1:20">
      <c r="A70" s="20">
        <f>HKData!A71</f>
        <v>45328</v>
      </c>
      <c r="B70" s="22">
        <f>DailyHIBOR!C68/252/100</f>
        <v>2.0039682539682539E-4</v>
      </c>
      <c r="C70" s="23">
        <f>LN(HKData!N71/HKData!N70)-B70</f>
        <v>3.9420719520782188E-2</v>
      </c>
      <c r="D70" s="23">
        <f>LN(HKData!F71/HKData!F70)-B70</f>
        <v>9.6519412554330677E-3</v>
      </c>
      <c r="T70" s="11"/>
    </row>
    <row r="71" spans="1:20">
      <c r="A71" s="20">
        <f>HKData!A72</f>
        <v>45329</v>
      </c>
      <c r="B71" s="22">
        <f>DailyHIBOR!C69/252/100</f>
        <v>2.0039682539682539E-4</v>
      </c>
      <c r="C71" s="23">
        <f>LN(HKData!N72/HKData!N71)-B71</f>
        <v>-3.6133476974181608E-3</v>
      </c>
      <c r="D71" s="23">
        <f>LN(HKData!F72/HKData!F71)-B71</f>
        <v>-1.6260113898454585E-2</v>
      </c>
      <c r="T71" s="11"/>
    </row>
    <row r="72" spans="1:20">
      <c r="A72" s="20">
        <f>HKData!A73</f>
        <v>45330</v>
      </c>
      <c r="B72" s="22">
        <f>DailyHIBOR!C70/252/100</f>
        <v>2.0039682539682539E-4</v>
      </c>
      <c r="C72" s="23">
        <f>LN(HKData!N73/HKData!N72)-B72</f>
        <v>-1.2955237531779318E-2</v>
      </c>
      <c r="D72" s="23">
        <f>LN(HKData!F73/HKData!F72)-B72</f>
        <v>2.1968108145699286E-2</v>
      </c>
      <c r="T72" s="11"/>
    </row>
    <row r="73" spans="1:20">
      <c r="A73" s="20">
        <f>HKData!A74</f>
        <v>45331</v>
      </c>
      <c r="B73" s="22">
        <f>DailyHIBOR!C71/252/100</f>
        <v>2.0039682539682539E-4</v>
      </c>
      <c r="C73" s="23">
        <f>LN(HKData!N74/HKData!N73)-B73</f>
        <v>-8.5161246185579374E-3</v>
      </c>
      <c r="D73" s="23">
        <f>LN(HKData!F74/HKData!F73)-B73</f>
        <v>-8.7631368264719858E-3</v>
      </c>
      <c r="T73" s="11"/>
    </row>
    <row r="74" spans="1:20">
      <c r="A74" s="20">
        <f>HKData!A75</f>
        <v>45336</v>
      </c>
      <c r="B74" s="22">
        <f>DailyHIBOR!C72/252/100</f>
        <v>2.0039682539682539E-4</v>
      </c>
      <c r="C74" s="23">
        <f>LN(HKData!N75/HKData!N74)-B74</f>
        <v>8.1978042334193962E-3</v>
      </c>
      <c r="D74" s="23">
        <f>LN(HKData!F75/HKData!F74)-B74</f>
        <v>8.3623431756782753E-3</v>
      </c>
      <c r="T74" s="11"/>
    </row>
    <row r="75" spans="1:20">
      <c r="A75" s="20">
        <f>HKData!A76</f>
        <v>45337</v>
      </c>
      <c r="B75" s="22">
        <f>DailyHIBOR!C73/252/100</f>
        <v>2.0039682539682539E-4</v>
      </c>
      <c r="C75" s="23">
        <f>LN(HKData!N76/HKData!N75)-B75</f>
        <v>3.900286395565208E-3</v>
      </c>
      <c r="D75" s="23">
        <f>LN(HKData!F76/HKData!F75)-B75</f>
        <v>5.8713002483931501E-3</v>
      </c>
      <c r="T75" s="11"/>
    </row>
    <row r="76" spans="1:20">
      <c r="A76" s="20">
        <f>HKData!A77</f>
        <v>45338</v>
      </c>
      <c r="B76" s="22">
        <f>DailyHIBOR!C74/252/100</f>
        <v>2.0039682539682539E-4</v>
      </c>
      <c r="C76" s="23">
        <f>LN(HKData!N77/HKData!N76)-B76</f>
        <v>2.4291154155687285E-2</v>
      </c>
      <c r="D76" s="23">
        <f>LN(HKData!F77/HKData!F76)-B76</f>
        <v>1.6606592308569014E-2</v>
      </c>
      <c r="T76" s="11"/>
    </row>
    <row r="77" spans="1:20">
      <c r="A77" s="20">
        <f>HKData!A78</f>
        <v>45341</v>
      </c>
      <c r="B77" s="22">
        <f>DailyHIBOR!C75/252/100</f>
        <v>2.0039682539682539E-4</v>
      </c>
      <c r="C77" s="23">
        <f>LN(HKData!N78/HKData!N77)-B77</f>
        <v>-1.1546656350936605E-2</v>
      </c>
      <c r="D77" s="23">
        <f>LN(HKData!F78/HKData!F77)-B77</f>
        <v>-1.9431717314573806E-2</v>
      </c>
      <c r="T77" s="11"/>
    </row>
    <row r="78" spans="1:20">
      <c r="A78" s="20">
        <f>HKData!A79</f>
        <v>45342</v>
      </c>
      <c r="B78" s="22">
        <f>DailyHIBOR!C76/252/100</f>
        <v>2.0039682539682539E-4</v>
      </c>
      <c r="C78" s="23">
        <f>LN(HKData!N79/HKData!N78)-B78</f>
        <v>5.4718754825049121E-3</v>
      </c>
      <c r="D78" s="23">
        <f>LN(HKData!F79/HKData!F78)-B78</f>
        <v>1.0124414421232111E-3</v>
      </c>
      <c r="T78" s="11"/>
    </row>
    <row r="79" spans="1:20">
      <c r="A79" s="20">
        <f>HKData!A80</f>
        <v>45343</v>
      </c>
      <c r="B79" s="22">
        <f>DailyHIBOR!C77/252/100</f>
        <v>2.0039682539682539E-4</v>
      </c>
      <c r="C79" s="23">
        <f>LN(HKData!N80/HKData!N79)-B79</f>
        <v>1.5408169712017436E-2</v>
      </c>
      <c r="D79" s="23">
        <f>LN(HKData!F80/HKData!F79)-B79</f>
        <v>1.4240317591942799E-2</v>
      </c>
      <c r="T79" s="11"/>
    </row>
    <row r="80" spans="1:20">
      <c r="A80" s="20">
        <f>HKData!A81</f>
        <v>45344</v>
      </c>
      <c r="B80" s="22">
        <f>DailyHIBOR!C78/252/100</f>
        <v>2.0039682539682539E-4</v>
      </c>
      <c r="C80" s="23">
        <f>LN(HKData!N81/HKData!N80)-B80</f>
        <v>1.4228612282867318E-2</v>
      </c>
      <c r="D80" s="23">
        <f>LN(HKData!F81/HKData!F80)-B80</f>
        <v>1.1676292214389095E-2</v>
      </c>
      <c r="T80" s="11"/>
    </row>
    <row r="81" spans="1:20">
      <c r="A81" s="20">
        <f>HKData!A82</f>
        <v>45345</v>
      </c>
      <c r="B81" s="22">
        <f>DailyHIBOR!C79/252/100</f>
        <v>2.0039682539682539E-4</v>
      </c>
      <c r="C81" s="23">
        <f>LN(HKData!N82/HKData!N81)-B81</f>
        <v>-1.2216369563339156E-3</v>
      </c>
      <c r="D81" s="23">
        <f>LN(HKData!F82/HKData!F81)-B81</f>
        <v>2.1580593637554697E-3</v>
      </c>
      <c r="T81" s="11"/>
    </row>
    <row r="82" spans="1:20">
      <c r="A82" s="20">
        <f>HKData!A83</f>
        <v>45348</v>
      </c>
      <c r="B82" s="22">
        <f>DailyHIBOR!C80/252/100</f>
        <v>2.0039682539682539E-4</v>
      </c>
      <c r="C82" s="23">
        <f>LN(HKData!N83/HKData!N82)-B82</f>
        <v>-5.6630904389713219E-3</v>
      </c>
      <c r="D82" s="23">
        <f>LN(HKData!F83/HKData!F82)-B82</f>
        <v>9.7674867514154461E-4</v>
      </c>
      <c r="T82" s="11"/>
    </row>
    <row r="83" spans="1:20">
      <c r="A83" s="20">
        <f>HKData!A84</f>
        <v>45349</v>
      </c>
      <c r="B83" s="22">
        <f>DailyHIBOR!C81/252/100</f>
        <v>2.0039682539682539E-4</v>
      </c>
      <c r="C83" s="23">
        <f>LN(HKData!N84/HKData!N83)-B83</f>
        <v>9.1374733252164355E-3</v>
      </c>
      <c r="D83" s="23">
        <f>LN(HKData!F84/HKData!F83)-B83</f>
        <v>9.1673326712412781E-3</v>
      </c>
      <c r="T83" s="11"/>
    </row>
    <row r="84" spans="1:20">
      <c r="A84" s="20">
        <f>HKData!A85</f>
        <v>45350</v>
      </c>
      <c r="B84" s="22">
        <f>DailyHIBOR!C82/252/100</f>
        <v>2.0039682539682539E-4</v>
      </c>
      <c r="C84" s="23">
        <f>LN(HKData!N85/HKData!N84)-B84</f>
        <v>-1.5440360280965251E-2</v>
      </c>
      <c r="D84" s="23">
        <f>LN(HKData!F85/HKData!F84)-B84</f>
        <v>-1.6651995917658223E-2</v>
      </c>
      <c r="T84" s="11"/>
    </row>
    <row r="85" spans="1:20">
      <c r="A85" s="20">
        <f>HKData!A86</f>
        <v>45351</v>
      </c>
      <c r="B85" s="22">
        <f>DailyHIBOR!C83/252/100</f>
        <v>2.0039682539682539E-4</v>
      </c>
      <c r="C85" s="23">
        <f>LN(HKData!N86/HKData!N85)-B85</f>
        <v>-1.7381563874266795E-3</v>
      </c>
      <c r="D85" s="23">
        <f>LN(HKData!F86/HKData!F85)-B85</f>
        <v>-1.6927184635312568E-2</v>
      </c>
      <c r="T85" s="11"/>
    </row>
    <row r="86" spans="1:20">
      <c r="A86" s="20">
        <f>HKData!A87</f>
        <v>45352</v>
      </c>
      <c r="B86" s="22">
        <f>DailyHIBOR!C84/252/100</f>
        <v>1.9047619047619045E-4</v>
      </c>
      <c r="C86" s="23">
        <f>LN(HKData!N87/HKData!N86)-B86</f>
        <v>4.522398328268399E-3</v>
      </c>
      <c r="D86" s="23">
        <f>LN(HKData!F87/HKData!F86)-B86</f>
        <v>3.0654222373484835E-2</v>
      </c>
      <c r="T86" s="11"/>
    </row>
    <row r="87" spans="1:20">
      <c r="A87" s="20">
        <f>HKData!A88</f>
        <v>45355</v>
      </c>
      <c r="B87" s="22">
        <f>DailyHIBOR!C85/252/100</f>
        <v>1.9047619047619045E-4</v>
      </c>
      <c r="C87" s="23">
        <f>LN(HKData!N88/HKData!N87)-B87</f>
        <v>2.0314558810510542E-4</v>
      </c>
      <c r="D87" s="23">
        <f>LN(HKData!F88/HKData!F87)-B87</f>
        <v>-1.9047619047619045E-4</v>
      </c>
      <c r="T87" s="11"/>
    </row>
    <row r="88" spans="1:20">
      <c r="A88" s="20">
        <f>HKData!A89</f>
        <v>45356</v>
      </c>
      <c r="B88" s="22">
        <f>DailyHIBOR!C86/252/100</f>
        <v>1.9047619047619045E-4</v>
      </c>
      <c r="C88" s="23">
        <f>LN(HKData!N89/HKData!N88)-B88</f>
        <v>-2.6648029026974548E-2</v>
      </c>
      <c r="D88" s="23">
        <f>LN(HKData!F89/HKData!F88)-B88</f>
        <v>-1.1941436286459677E-2</v>
      </c>
      <c r="T88" s="11"/>
    </row>
    <row r="89" spans="1:20">
      <c r="A89" s="20">
        <f>HKData!A90</f>
        <v>45357</v>
      </c>
      <c r="B89" s="22">
        <f>DailyHIBOR!C87/252/100</f>
        <v>1.9047619047619045E-4</v>
      </c>
      <c r="C89" s="23">
        <f>LN(HKData!N90/HKData!N89)-B89</f>
        <v>1.6708332798904702E-2</v>
      </c>
      <c r="D89" s="23">
        <f>LN(HKData!F90/HKData!F89)-B89</f>
        <v>4.5264427470852586E-3</v>
      </c>
      <c r="T89" s="11"/>
    </row>
    <row r="90" spans="1:20">
      <c r="A90" s="20">
        <f>HKData!A91</f>
        <v>45358</v>
      </c>
      <c r="B90" s="22">
        <f>DailyHIBOR!C88/252/100</f>
        <v>1.9047619047619045E-4</v>
      </c>
      <c r="C90" s="23">
        <f>LN(HKData!N91/HKData!N90)-B90</f>
        <v>-1.2943826377340003E-2</v>
      </c>
      <c r="D90" s="23">
        <f>LN(HKData!F91/HKData!F90)-B90</f>
        <v>2.3066335413521839E-2</v>
      </c>
      <c r="T90" s="11"/>
    </row>
    <row r="91" spans="1:20">
      <c r="A91" s="20">
        <f>HKData!A92</f>
        <v>45359</v>
      </c>
      <c r="B91" s="22">
        <f>DailyHIBOR!C89/252/100</f>
        <v>1.9047619047619045E-4</v>
      </c>
      <c r="C91" s="23">
        <f>LN(HKData!N92/HKData!N91)-B91</f>
        <v>7.3968744749168076E-3</v>
      </c>
      <c r="D91" s="23">
        <f>LN(HKData!F92/HKData!F91)-B91</f>
        <v>6.6824176135578586E-3</v>
      </c>
      <c r="T91" s="11"/>
    </row>
    <row r="92" spans="1:20">
      <c r="A92" s="20">
        <f>HKData!A93</f>
        <v>45362</v>
      </c>
      <c r="B92" s="22">
        <f>DailyHIBOR!C90/252/100</f>
        <v>1.9047619047619045E-4</v>
      </c>
      <c r="C92" s="23">
        <f>LN(HKData!N93/HKData!N92)-B92</f>
        <v>1.4027968540453689E-2</v>
      </c>
      <c r="D92" s="23">
        <f>LN(HKData!F93/HKData!F92)-B92</f>
        <v>1.2288460533558936E-2</v>
      </c>
      <c r="T92" s="11"/>
    </row>
    <row r="93" spans="1:20">
      <c r="A93" s="20">
        <f>HKData!A94</f>
        <v>45363</v>
      </c>
      <c r="B93" s="22">
        <f>DailyHIBOR!C91/252/100</f>
        <v>1.9047619047619045E-4</v>
      </c>
      <c r="C93" s="23">
        <f>LN(HKData!N94/HKData!N93)-B93</f>
        <v>2.9854159562265364E-2</v>
      </c>
      <c r="D93" s="23">
        <f>LN(HKData!F94/HKData!F93)-B93</f>
        <v>1.2134539970130269E-2</v>
      </c>
      <c r="T93" s="11"/>
    </row>
    <row r="94" spans="1:20">
      <c r="A94" s="20">
        <f>HKData!A95</f>
        <v>45364</v>
      </c>
      <c r="B94" s="22">
        <f>DailyHIBOR!C92/252/100</f>
        <v>1.9047619047619045E-4</v>
      </c>
      <c r="C94" s="23">
        <f>LN(HKData!N95/HKData!N94)-B94</f>
        <v>-8.5707003503921538E-4</v>
      </c>
      <c r="D94" s="23">
        <f>LN(HKData!F95/HKData!F94)-B94</f>
        <v>-1.3045515755798487E-3</v>
      </c>
      <c r="T94" s="11"/>
    </row>
    <row r="95" spans="1:20">
      <c r="A95" s="20">
        <f>HKData!A96</f>
        <v>45365</v>
      </c>
      <c r="B95" s="22">
        <f>DailyHIBOR!C93/252/100</f>
        <v>1.9047619047619045E-4</v>
      </c>
      <c r="C95" s="23">
        <f>LN(HKData!N96/HKData!N95)-B95</f>
        <v>-7.2666444881753405E-3</v>
      </c>
      <c r="D95" s="23">
        <f>LN(HKData!F96/HKData!F95)-B95</f>
        <v>-6.9020392042548591E-3</v>
      </c>
      <c r="T95" s="11"/>
    </row>
    <row r="96" spans="1:20">
      <c r="A96" s="20">
        <f>HKData!A97</f>
        <v>45366</v>
      </c>
      <c r="B96" s="22">
        <f>DailyHIBOR!C94/252/100</f>
        <v>1.9047619047619045E-4</v>
      </c>
      <c r="C96" s="23">
        <f>LN(HKData!N97/HKData!N96)-B96</f>
        <v>-1.4487115051628295E-2</v>
      </c>
      <c r="D96" s="23">
        <f>LN(HKData!F97/HKData!F96)-B96</f>
        <v>-1.4888322072930477E-2</v>
      </c>
      <c r="T96" s="11"/>
    </row>
    <row r="97" spans="1:20">
      <c r="A97" s="20">
        <f>HKData!A98</f>
        <v>45369</v>
      </c>
      <c r="B97" s="22">
        <f>DailyHIBOR!C95/252/100</f>
        <v>1.9047619047619045E-4</v>
      </c>
      <c r="C97" s="23">
        <f>LN(HKData!N98/HKData!N97)-B97</f>
        <v>7.7960643017864625E-4</v>
      </c>
      <c r="D97" s="23">
        <f>LN(HKData!F98/HKData!F97)-B97</f>
        <v>-1.1645301131318274E-2</v>
      </c>
      <c r="T97" s="11"/>
    </row>
    <row r="98" spans="1:20">
      <c r="A98" s="20">
        <f>HKData!A99</f>
        <v>45370</v>
      </c>
      <c r="B98" s="22">
        <f>DailyHIBOR!C96/252/100</f>
        <v>1.9047619047619045E-4</v>
      </c>
      <c r="C98" s="23">
        <f>LN(HKData!N99/HKData!N98)-B98</f>
        <v>-1.267395035319099E-2</v>
      </c>
      <c r="D98" s="23">
        <f>LN(HKData!F99/HKData!F98)-B98</f>
        <v>-2.9415213669882988E-2</v>
      </c>
      <c r="T98" s="11"/>
    </row>
    <row r="99" spans="1:20">
      <c r="A99" s="20">
        <f>HKData!A100</f>
        <v>45371</v>
      </c>
      <c r="B99" s="22">
        <f>DailyHIBOR!C97/252/100</f>
        <v>1.9047619047619045E-4</v>
      </c>
      <c r="C99" s="23">
        <f>LN(HKData!N100/HKData!N99)-B99</f>
        <v>6.3134397118936138E-4</v>
      </c>
      <c r="D99" s="23">
        <f>LN(HKData!F100/HKData!F99)-B99</f>
        <v>-7.3333785110409541E-3</v>
      </c>
      <c r="T99" s="11"/>
    </row>
    <row r="100" spans="1:20">
      <c r="A100" s="20">
        <f>HKData!A101</f>
        <v>45372</v>
      </c>
      <c r="B100" s="22">
        <f>DailyHIBOR!C98/252/100</f>
        <v>1.9047619047619045E-4</v>
      </c>
      <c r="C100" s="23">
        <f>LN(HKData!N101/HKData!N100)-B100</f>
        <v>1.8970001555444004E-2</v>
      </c>
      <c r="D100" s="23">
        <f>LN(HKData!F101/HKData!F100)-B100</f>
        <v>1.286601543542586E-2</v>
      </c>
      <c r="T100" s="11"/>
    </row>
    <row r="101" spans="1:20">
      <c r="A101" s="20">
        <f>HKData!A102</f>
        <v>45373</v>
      </c>
      <c r="B101" s="22">
        <f>DailyHIBOR!C99/252/100</f>
        <v>1.9047619047619045E-4</v>
      </c>
      <c r="C101" s="23">
        <f>LN(HKData!N102/HKData!N101)-B101</f>
        <v>-2.1989954045852508E-2</v>
      </c>
      <c r="D101" s="23">
        <f>LN(HKData!F102/HKData!F101)-B101</f>
        <v>-1.0860245483355856E-2</v>
      </c>
      <c r="T101" s="11"/>
    </row>
    <row r="102" spans="1:20">
      <c r="A102" s="20">
        <f>HKData!A103</f>
        <v>45376</v>
      </c>
      <c r="B102" s="22">
        <f>DailyHIBOR!C100/252/100</f>
        <v>1.9047619047619045E-4</v>
      </c>
      <c r="C102" s="23">
        <f>LN(HKData!N103/HKData!N102)-B102</f>
        <v>-1.7572123805575115E-3</v>
      </c>
      <c r="D102" s="23">
        <f>LN(HKData!F103/HKData!F102)-B102</f>
        <v>-3.2900971882086058E-2</v>
      </c>
      <c r="T102" s="11"/>
    </row>
    <row r="103" spans="1:20">
      <c r="A103" s="20">
        <f>HKData!A104</f>
        <v>45377</v>
      </c>
      <c r="B103" s="22">
        <f>DailyHIBOR!C101/252/100</f>
        <v>1.9047619047619045E-4</v>
      </c>
      <c r="C103" s="23">
        <f>LN(HKData!N104/HKData!N103)-B103</f>
        <v>8.5536782962093404E-3</v>
      </c>
      <c r="D103" s="23">
        <f>LN(HKData!F104/HKData!F103)-B103</f>
        <v>4.7235908666344922E-3</v>
      </c>
      <c r="T103" s="11"/>
    </row>
    <row r="104" spans="1:20">
      <c r="A104" s="20">
        <f>HKData!A105</f>
        <v>45378</v>
      </c>
      <c r="B104" s="22">
        <f>DailyHIBOR!C102/252/100</f>
        <v>1.9047619047619045E-4</v>
      </c>
      <c r="C104" s="23">
        <f>LN(HKData!N105/HKData!N104)-B104</f>
        <v>-1.3851551679041322E-2</v>
      </c>
      <c r="D104" s="23">
        <f>LN(HKData!F105/HKData!F104)-B104</f>
        <v>3.479197748220992E-3</v>
      </c>
    </row>
    <row r="105" spans="1:20">
      <c r="A105" s="20">
        <f>HKData!A106</f>
        <v>45379</v>
      </c>
      <c r="B105" s="22">
        <f>DailyHIBOR!C103/252/100</f>
        <v>1.9047619047619045E-4</v>
      </c>
      <c r="C105" s="23">
        <f>LN(HKData!N106/HKData!N105)-B105</f>
        <v>8.8324128742427368E-3</v>
      </c>
      <c r="D105" s="23">
        <f>LN(HKData!F106/HKData!F105)-B105</f>
        <v>-2.241353287092223E-2</v>
      </c>
    </row>
    <row r="106" spans="1:20">
      <c r="A106" s="20">
        <f>HKData!A107</f>
        <v>45384</v>
      </c>
      <c r="B106" s="22">
        <f>DailyHIBOR!C104/252/100</f>
        <v>1.9563492063492065E-4</v>
      </c>
      <c r="C106" s="23">
        <f>LN(HKData!N107/HKData!N106)-B106</f>
        <v>2.3113777296006843E-2</v>
      </c>
      <c r="D106" s="23">
        <f>LN(HKData!F107/HKData!F106)-B106</f>
        <v>3.2956453545914761E-2</v>
      </c>
    </row>
    <row r="107" spans="1:20">
      <c r="A107" s="20">
        <f>HKData!A108</f>
        <v>45385</v>
      </c>
      <c r="B107" s="22">
        <f>DailyHIBOR!C105/252/100</f>
        <v>1.9563492063492065E-4</v>
      </c>
      <c r="C107" s="23">
        <f>LN(HKData!N108/HKData!N107)-B107</f>
        <v>-1.2462019089509908E-2</v>
      </c>
      <c r="D107" s="23">
        <f>LN(HKData!F108/HKData!F107)-B107</f>
        <v>-1.2346270457112268E-2</v>
      </c>
    </row>
    <row r="108" spans="1:20">
      <c r="A108" s="20">
        <f>HKData!A109</f>
        <v>45387</v>
      </c>
      <c r="B108" s="22">
        <f>DailyHIBOR!C106/252/100</f>
        <v>1.9563492063492065E-4</v>
      </c>
      <c r="C108" s="23">
        <f>LN(HKData!N109/HKData!N108)-B108</f>
        <v>-2.6617136786240384E-4</v>
      </c>
      <c r="D108" s="23">
        <f>LN(HKData!F109/HKData!F108)-B108</f>
        <v>2.2462070075624126E-3</v>
      </c>
    </row>
    <row r="109" spans="1:20">
      <c r="A109" s="20">
        <f>HKData!A110</f>
        <v>45390</v>
      </c>
      <c r="B109" s="22">
        <f>DailyHIBOR!C107/252/100</f>
        <v>1.9563492063492065E-4</v>
      </c>
      <c r="C109" s="23">
        <f>LN(HKData!N110/HKData!N109)-B109</f>
        <v>3.3816961800702596E-4</v>
      </c>
      <c r="D109" s="23">
        <f>LN(HKData!F110/HKData!F109)-B109</f>
        <v>-1.493788511798564E-2</v>
      </c>
    </row>
    <row r="110" spans="1:20">
      <c r="A110" s="20">
        <f>HKData!A111</f>
        <v>45391</v>
      </c>
      <c r="B110" s="22">
        <f>DailyHIBOR!C108/252/100</f>
        <v>1.9563492063492065E-4</v>
      </c>
      <c r="C110" s="23">
        <f>LN(HKData!N111/HKData!N110)-B110</f>
        <v>5.4788792974674247E-3</v>
      </c>
      <c r="D110" s="23">
        <f>LN(HKData!F111/HKData!F110)-B110</f>
        <v>2.5462515218585061E-2</v>
      </c>
    </row>
    <row r="111" spans="1:20">
      <c r="A111" s="20">
        <f>HKData!A112</f>
        <v>45392</v>
      </c>
      <c r="B111" s="22">
        <f>DailyHIBOR!C109/252/100</f>
        <v>1.9563492063492065E-4</v>
      </c>
      <c r="C111" s="23">
        <f>LN(HKData!N112/HKData!N111)-B111</f>
        <v>1.812250375719248E-2</v>
      </c>
      <c r="D111" s="23">
        <f>LN(HKData!F112/HKData!F111)-B111</f>
        <v>9.4082593224518382E-3</v>
      </c>
    </row>
    <row r="112" spans="1:20">
      <c r="A112" s="20">
        <f>HKData!A113</f>
        <v>45393</v>
      </c>
      <c r="B112" s="22">
        <f>DailyHIBOR!C110/252/100</f>
        <v>1.9563492063492065E-4</v>
      </c>
      <c r="C112" s="23">
        <f>LN(HKData!N113/HKData!N112)-B112</f>
        <v>-2.7743807635829693E-3</v>
      </c>
      <c r="D112" s="23">
        <f>LN(HKData!F113/HKData!F112)-B112</f>
        <v>2.1910874123875902E-3</v>
      </c>
    </row>
    <row r="113" spans="1:4">
      <c r="A113" s="20">
        <f>HKData!A114</f>
        <v>45394</v>
      </c>
      <c r="B113" s="22">
        <f>DailyHIBOR!C111/252/100</f>
        <v>1.9563492063492065E-4</v>
      </c>
      <c r="C113" s="23">
        <f>LN(HKData!N114/HKData!N113)-B113</f>
        <v>-2.227672537991798E-2</v>
      </c>
      <c r="D113" s="23">
        <f>LN(HKData!F114/HKData!F113)-B113</f>
        <v>-4.9746669828209062E-3</v>
      </c>
    </row>
    <row r="114" spans="1:4">
      <c r="A114" s="20">
        <f>HKData!A115</f>
        <v>45397</v>
      </c>
      <c r="B114" s="22">
        <f>DailyHIBOR!C112/252/100</f>
        <v>1.9563492063492065E-4</v>
      </c>
      <c r="C114" s="23">
        <f>LN(HKData!N115/HKData!N114)-B114</f>
        <v>-7.4718190235240796E-3</v>
      </c>
      <c r="D114" s="23">
        <f>LN(HKData!F115/HKData!F114)-B114</f>
        <v>-3.7949878831736411E-3</v>
      </c>
    </row>
    <row r="115" spans="1:4">
      <c r="A115" s="20">
        <f>HKData!A116</f>
        <v>45398</v>
      </c>
      <c r="B115" s="22">
        <f>DailyHIBOR!C113/252/100</f>
        <v>1.9563492063492065E-4</v>
      </c>
      <c r="C115" s="23">
        <f>LN(HKData!N116/HKData!N115)-B115</f>
        <v>-2.159659189342231E-2</v>
      </c>
      <c r="D115" s="23">
        <f>LN(HKData!F116/HKData!F115)-B115</f>
        <v>-1.9613678530409406E-2</v>
      </c>
    </row>
    <row r="116" spans="1:4">
      <c r="A116" s="20">
        <f>HKData!A117</f>
        <v>45399</v>
      </c>
      <c r="B116" s="22">
        <f>DailyHIBOR!C114/252/100</f>
        <v>1.9563492063492065E-4</v>
      </c>
      <c r="C116" s="23">
        <f>LN(HKData!N117/HKData!N116)-B116</f>
        <v>-1.9016723555858467E-5</v>
      </c>
      <c r="D116" s="23">
        <f>LN(HKData!F117/HKData!F116)-B116</f>
        <v>-2.2501439156574453E-2</v>
      </c>
    </row>
    <row r="117" spans="1:4">
      <c r="A117" s="20">
        <f>HKData!A118</f>
        <v>45400</v>
      </c>
      <c r="B117" s="22">
        <f>DailyHIBOR!C115/252/100</f>
        <v>1.9563492063492065E-4</v>
      </c>
      <c r="C117" s="23">
        <f>LN(HKData!N118/HKData!N117)-B117</f>
        <v>8.0175671989971518E-3</v>
      </c>
      <c r="D117" s="23">
        <f>LN(HKData!F118/HKData!F117)-B117</f>
        <v>3.5567865735558653E-3</v>
      </c>
    </row>
    <row r="118" spans="1:4">
      <c r="A118" s="20">
        <f>HKData!A119</f>
        <v>45401</v>
      </c>
      <c r="B118" s="22">
        <f>DailyHIBOR!C116/252/100</f>
        <v>1.9563492063492065E-4</v>
      </c>
      <c r="C118" s="23">
        <f>LN(HKData!N119/HKData!N118)-B118</f>
        <v>-1.011472566706525E-2</v>
      </c>
      <c r="D118" s="23">
        <f>LN(HKData!F119/HKData!F118)-B118</f>
        <v>-2.9330074412737335E-2</v>
      </c>
    </row>
    <row r="119" spans="1:4">
      <c r="A119" s="20">
        <f>HKData!A120</f>
        <v>45404</v>
      </c>
      <c r="B119" s="22">
        <f>DailyHIBOR!C117/252/100</f>
        <v>1.9563492063492065E-4</v>
      </c>
      <c r="C119" s="23">
        <f>LN(HKData!N120/HKData!N119)-B119</f>
        <v>1.7372711963235192E-2</v>
      </c>
      <c r="D119" s="23">
        <f>LN(HKData!F120/HKData!F119)-B119</f>
        <v>1.3844082313100988E-2</v>
      </c>
    </row>
    <row r="120" spans="1:4">
      <c r="A120" s="20">
        <f>HKData!A121</f>
        <v>45405</v>
      </c>
      <c r="B120" s="22">
        <f>DailyHIBOR!C118/252/100</f>
        <v>1.9563492063492065E-4</v>
      </c>
      <c r="C120" s="23">
        <f>LN(HKData!N121/HKData!N120)-B120</f>
        <v>1.8835193968202601E-2</v>
      </c>
      <c r="D120" s="23">
        <f>LN(HKData!F121/HKData!F120)-B120</f>
        <v>6.1215404728044457E-3</v>
      </c>
    </row>
    <row r="121" spans="1:4">
      <c r="A121" s="20">
        <f>HKData!A122</f>
        <v>45406</v>
      </c>
      <c r="B121" s="22">
        <f>DailyHIBOR!C119/252/100</f>
        <v>1.9563492063492065E-4</v>
      </c>
      <c r="C121" s="23">
        <f>LN(HKData!N122/HKData!N121)-B121</f>
        <v>2.1688145464876001E-2</v>
      </c>
      <c r="D121" s="23">
        <f>LN(HKData!F122/HKData!F121)-B121</f>
        <v>1.0629996619914849E-3</v>
      </c>
    </row>
    <row r="122" spans="1:4">
      <c r="A122" s="20">
        <f>HKData!A123</f>
        <v>45407</v>
      </c>
      <c r="B122" s="22">
        <f>DailyHIBOR!C120/252/100</f>
        <v>1.9563492063492065E-4</v>
      </c>
      <c r="C122" s="23">
        <f>LN(HKData!N123/HKData!N122)-B122</f>
        <v>4.6335801376792768E-3</v>
      </c>
      <c r="D122" s="23">
        <f>LN(HKData!F123/HKData!F122)-B122</f>
        <v>-5.2397709747122722E-3</v>
      </c>
    </row>
    <row r="123" spans="1:4">
      <c r="A123" s="20">
        <f>HKData!A124</f>
        <v>45408</v>
      </c>
      <c r="B123" s="22">
        <f>DailyHIBOR!C121/252/100</f>
        <v>1.9563492063492065E-4</v>
      </c>
      <c r="C123" s="23">
        <f>LN(HKData!N124/HKData!N123)-B123</f>
        <v>2.0792918163478655E-2</v>
      </c>
      <c r="D123" s="23">
        <f>LN(HKData!F124/HKData!F123)-B123</f>
        <v>2.600672910038138E-2</v>
      </c>
    </row>
    <row r="124" spans="1:4">
      <c r="A124" s="20">
        <f>HKData!A125</f>
        <v>45411</v>
      </c>
      <c r="B124" s="22">
        <f>DailyHIBOR!C122/252/100</f>
        <v>1.9563492063492065E-4</v>
      </c>
      <c r="C124" s="23">
        <f>LN(HKData!N125/HKData!N124)-B124</f>
        <v>5.2148309492208895E-3</v>
      </c>
      <c r="D124" s="23">
        <f>LN(HKData!F125/HKData!F124)-B124</f>
        <v>1.9317137861276552E-2</v>
      </c>
    </row>
    <row r="125" spans="1:4">
      <c r="A125" s="20">
        <f>HKData!A126</f>
        <v>45412</v>
      </c>
      <c r="B125" s="22">
        <f>DailyHIBOR!C123/252/100</f>
        <v>1.9563492063492065E-4</v>
      </c>
      <c r="C125" s="23">
        <f>LN(HKData!N126/HKData!N125)-B125</f>
        <v>7.1223155170427473E-4</v>
      </c>
      <c r="D125" s="23">
        <f>LN(HKData!F126/HKData!F125)-B125</f>
        <v>-1.8477593705001745E-2</v>
      </c>
    </row>
    <row r="126" spans="1:4">
      <c r="A126" s="20">
        <f>HKData!A127</f>
        <v>45414</v>
      </c>
      <c r="B126" s="22">
        <f>DailyHIBOR!C124/252/100</f>
        <v>2.0952380952380954E-4</v>
      </c>
      <c r="C126" s="23">
        <f>LN(HKData!N127/HKData!N126)-B126</f>
        <v>2.4484507461069491E-2</v>
      </c>
      <c r="D126" s="23">
        <f>LN(HKData!F127/HKData!F126)-B126</f>
        <v>4.6645988636066067E-2</v>
      </c>
    </row>
    <row r="127" spans="1:4">
      <c r="A127" s="20">
        <f>HKData!A128</f>
        <v>45415</v>
      </c>
      <c r="B127" s="22">
        <f>DailyHIBOR!C125/252/100</f>
        <v>2.0952380952380954E-4</v>
      </c>
      <c r="C127" s="23">
        <f>LN(HKData!N128/HKData!N127)-B127</f>
        <v>1.4445411772240036E-2</v>
      </c>
      <c r="D127" s="23">
        <f>LN(HKData!F128/HKData!F127)-B127</f>
        <v>5.0144250156631993E-2</v>
      </c>
    </row>
    <row r="128" spans="1:4">
      <c r="A128" s="20">
        <f>HKData!A129</f>
        <v>45418</v>
      </c>
      <c r="B128" s="22">
        <f>DailyHIBOR!C126/252/100</f>
        <v>2.0952380952380954E-4</v>
      </c>
      <c r="C128" s="23">
        <f>LN(HKData!N129/HKData!N128)-B128</f>
        <v>5.3164928204105111E-3</v>
      </c>
      <c r="D128" s="23">
        <f>LN(HKData!F129/HKData!F128)-B128</f>
        <v>-2.3926042195336214E-2</v>
      </c>
    </row>
    <row r="129" spans="1:4">
      <c r="A129" s="20">
        <f>HKData!A130</f>
        <v>45419</v>
      </c>
      <c r="B129" s="22">
        <f>DailyHIBOR!C127/252/100</f>
        <v>2.0952380952380954E-4</v>
      </c>
      <c r="C129" s="23">
        <f>LN(HKData!N130/HKData!N129)-B129</f>
        <v>-5.5488706096439586E-3</v>
      </c>
      <c r="D129" s="23">
        <f>LN(HKData!F130/HKData!F129)-B129</f>
        <v>-1.4018748113883046E-2</v>
      </c>
    </row>
    <row r="130" spans="1:4">
      <c r="A130" s="20">
        <f>HKData!A131</f>
        <v>45420</v>
      </c>
      <c r="B130" s="22">
        <f>DailyHIBOR!C128/252/100</f>
        <v>2.0952380952380954E-4</v>
      </c>
      <c r="C130" s="23">
        <f>LN(HKData!N131/HKData!N130)-B130</f>
        <v>-9.2063359241674279E-3</v>
      </c>
      <c r="D130" s="23">
        <f>LN(HKData!F131/HKData!F130)-B130</f>
        <v>-1.6564962941116947E-2</v>
      </c>
    </row>
    <row r="131" spans="1:4">
      <c r="A131" s="20">
        <f>HKData!A132</f>
        <v>45421</v>
      </c>
      <c r="B131" s="22">
        <f>DailyHIBOR!C129/252/100</f>
        <v>2.0952380952380954E-4</v>
      </c>
      <c r="C131" s="23">
        <f>LN(HKData!N132/HKData!N131)-B131</f>
        <v>1.1944819770155777E-2</v>
      </c>
      <c r="D131" s="23">
        <f>LN(HKData!F132/HKData!F131)-B131</f>
        <v>1.4986512252642125E-2</v>
      </c>
    </row>
    <row r="132" spans="1:4">
      <c r="A132" s="20">
        <f>HKData!A133</f>
        <v>45422</v>
      </c>
      <c r="B132" s="22">
        <f>DailyHIBOR!C130/252/100</f>
        <v>2.0952380952380954E-4</v>
      </c>
      <c r="C132" s="23">
        <f>LN(HKData!N133/HKData!N132)-B132</f>
        <v>2.2503570848099029E-2</v>
      </c>
      <c r="D132" s="23">
        <f>LN(HKData!F133/HKData!F132)-B132</f>
        <v>6.7269346993437083E-3</v>
      </c>
    </row>
    <row r="133" spans="1:4">
      <c r="A133" s="20">
        <f>HKData!A134</f>
        <v>45425</v>
      </c>
      <c r="B133" s="22">
        <f>DailyHIBOR!C131/252/100</f>
        <v>2.0952380952380954E-4</v>
      </c>
      <c r="C133" s="23">
        <f>LN(HKData!N134/HKData!N133)-B133</f>
        <v>7.7414564982863253E-3</v>
      </c>
      <c r="D133" s="23">
        <f>LN(HKData!F134/HKData!F133)-B133</f>
        <v>1.3520697433117039E-2</v>
      </c>
    </row>
    <row r="134" spans="1:4">
      <c r="A134" s="20">
        <f>HKData!A135</f>
        <v>45426</v>
      </c>
      <c r="B134" s="22">
        <f>DailyHIBOR!C132/252/100</f>
        <v>2.0952380952380954E-4</v>
      </c>
      <c r="C134" s="23">
        <f>LN(HKData!N135/HKData!N134)-B134</f>
        <v>-2.3750622087464301E-3</v>
      </c>
      <c r="D134" s="23">
        <f>LN(HKData!F135/HKData!F134)-B134</f>
        <v>-9.3419870819995473E-3</v>
      </c>
    </row>
    <row r="135" spans="1:4">
      <c r="A135" s="20">
        <f>HKData!A136</f>
        <v>45428</v>
      </c>
      <c r="B135" s="22">
        <f>DailyHIBOR!C133/252/100</f>
        <v>2.0952380952380954E-4</v>
      </c>
      <c r="C135" s="23">
        <f>LN(HKData!N136/HKData!N135)-B135</f>
        <v>1.5541983516554222E-2</v>
      </c>
      <c r="D135" s="23">
        <f>LN(HKData!F136/HKData!F135)-B135</f>
        <v>8.9229394629519749E-3</v>
      </c>
    </row>
    <row r="136" spans="1:4">
      <c r="A136" s="20">
        <f>HKData!A137</f>
        <v>45429</v>
      </c>
      <c r="B136" s="22">
        <f>DailyHIBOR!C134/252/100</f>
        <v>2.0952380952380954E-4</v>
      </c>
      <c r="C136" s="23">
        <f>LN(HKData!N137/HKData!N136)-B136</f>
        <v>8.8878647672140654E-3</v>
      </c>
      <c r="D136" s="23">
        <f>LN(HKData!F137/HKData!F136)-B136</f>
        <v>1.2212925771131819E-2</v>
      </c>
    </row>
    <row r="137" spans="1:4">
      <c r="A137" s="20">
        <f>HKData!A138</f>
        <v>45432</v>
      </c>
      <c r="B137" s="22">
        <f>DailyHIBOR!C135/252/100</f>
        <v>2.0952380952380954E-4</v>
      </c>
      <c r="C137" s="23">
        <f>LN(HKData!N138/HKData!N137)-B137</f>
        <v>4.0064398894169729E-3</v>
      </c>
      <c r="D137" s="23">
        <f>LN(HKData!F138/HKData!F137)-B137</f>
        <v>1.5381100781697382E-2</v>
      </c>
    </row>
    <row r="138" spans="1:4">
      <c r="A138" s="20">
        <f>HKData!A139</f>
        <v>45433</v>
      </c>
      <c r="B138" s="22">
        <f>DailyHIBOR!C136/252/100</f>
        <v>2.0952380952380954E-4</v>
      </c>
      <c r="C138" s="23">
        <f>LN(HKData!N139/HKData!N138)-B138</f>
        <v>-2.1601763286018379E-2</v>
      </c>
      <c r="D138" s="23">
        <f>LN(HKData!F139/HKData!F138)-B138</f>
        <v>-3.1637461714568813E-2</v>
      </c>
    </row>
    <row r="139" spans="1:4">
      <c r="A139" s="20">
        <f>HKData!A140</f>
        <v>45434</v>
      </c>
      <c r="B139" s="22">
        <f>DailyHIBOR!C137/252/100</f>
        <v>2.0952380952380954E-4</v>
      </c>
      <c r="C139" s="23">
        <f>LN(HKData!N140/HKData!N139)-B139</f>
        <v>-1.512074430148001E-3</v>
      </c>
      <c r="D139" s="23">
        <f>LN(HKData!F140/HKData!F139)-B139</f>
        <v>-3.6362060108531499E-3</v>
      </c>
    </row>
    <row r="140" spans="1:4">
      <c r="A140" s="20">
        <f>HKData!A141</f>
        <v>45435</v>
      </c>
      <c r="B140" s="22">
        <f>DailyHIBOR!C138/252/100</f>
        <v>2.0952380952380954E-4</v>
      </c>
      <c r="C140" s="23">
        <f>LN(HKData!N141/HKData!N140)-B140</f>
        <v>-1.7385545315243126E-2</v>
      </c>
      <c r="D140" s="23">
        <f>LN(HKData!F141/HKData!F140)-B140</f>
        <v>-2.5703285833091494E-2</v>
      </c>
    </row>
    <row r="141" spans="1:4">
      <c r="A141" s="20">
        <f>HKData!A142</f>
        <v>45436</v>
      </c>
      <c r="B141" s="22">
        <f>DailyHIBOR!C139/252/100</f>
        <v>2.0952380952380954E-4</v>
      </c>
      <c r="C141" s="23">
        <f>LN(HKData!N142/HKData!N141)-B141</f>
        <v>-1.4072487038662164E-2</v>
      </c>
      <c r="D141" s="23">
        <f>LN(HKData!F142/HKData!F141)-B141</f>
        <v>-1.0829174573506063E-2</v>
      </c>
    </row>
    <row r="142" spans="1:4">
      <c r="A142" s="20">
        <f>HKData!A143</f>
        <v>45439</v>
      </c>
      <c r="B142" s="22">
        <f>DailyHIBOR!C140/252/100</f>
        <v>2.0952380952380954E-4</v>
      </c>
      <c r="C142" s="23">
        <f>LN(HKData!N143/HKData!N142)-B142</f>
        <v>1.1458974315117368E-2</v>
      </c>
      <c r="D142" s="23">
        <f>LN(HKData!F143/HKData!F142)-B142</f>
        <v>-3.7746583257712301E-3</v>
      </c>
    </row>
    <row r="143" spans="1:4">
      <c r="A143" s="20">
        <f>HKData!A144</f>
        <v>45440</v>
      </c>
      <c r="B143" s="22">
        <f>DailyHIBOR!C141/252/100</f>
        <v>2.0952380952380954E-4</v>
      </c>
      <c r="C143" s="23">
        <f>LN(HKData!N144/HKData!N143)-B143</f>
        <v>-5.3832583750815254E-4</v>
      </c>
      <c r="D143" s="23">
        <f>LN(HKData!F144/HKData!F143)-B143</f>
        <v>-6.1796013430047607E-3</v>
      </c>
    </row>
    <row r="144" spans="1:4">
      <c r="A144" s="20">
        <f>HKData!A145</f>
        <v>45441</v>
      </c>
      <c r="B144" s="22">
        <f>DailyHIBOR!C142/252/100</f>
        <v>2.0952380952380954E-4</v>
      </c>
      <c r="C144" s="23">
        <f>LN(HKData!N145/HKData!N144)-B144</f>
        <v>-1.8664057024395855E-2</v>
      </c>
      <c r="D144" s="23">
        <f>LN(HKData!F145/HKData!F144)-B144</f>
        <v>1.5239277545541845E-2</v>
      </c>
    </row>
    <row r="145" spans="1:4">
      <c r="A145" s="20">
        <f>HKData!A146</f>
        <v>45442</v>
      </c>
      <c r="B145" s="22">
        <f>DailyHIBOR!C143/252/100</f>
        <v>2.0952380952380954E-4</v>
      </c>
      <c r="C145" s="23">
        <f>LN(HKData!N146/HKData!N145)-B145</f>
        <v>-1.3657786692477662E-2</v>
      </c>
      <c r="D145" s="23">
        <f>LN(HKData!F146/HKData!F145)-B145</f>
        <v>-2.0460182822540154E-2</v>
      </c>
    </row>
    <row r="146" spans="1:4">
      <c r="A146" s="20">
        <f>HKData!A147</f>
        <v>45443</v>
      </c>
      <c r="B146" s="22">
        <f>DailyHIBOR!C144/252/100</f>
        <v>2.0952380952380954E-4</v>
      </c>
      <c r="C146" s="23">
        <f>LN(HKData!N147/HKData!N146)-B146</f>
        <v>-8.5037554625706328E-3</v>
      </c>
      <c r="D146" s="23">
        <f>LN(HKData!F147/HKData!F146)-B146</f>
        <v>-8.6689091072692202E-3</v>
      </c>
    </row>
    <row r="147" spans="1:4">
      <c r="A147" s="20">
        <f>HKData!A148</f>
        <v>45446</v>
      </c>
      <c r="B147" s="22">
        <f>DailyHIBOR!C145/252/100</f>
        <v>1.6865079365079364E-4</v>
      </c>
      <c r="C147" s="23">
        <f>LN(HKData!N148/HKData!N147)-B147</f>
        <v>1.7562417257444857E-2</v>
      </c>
      <c r="D147" s="23">
        <f>LN(HKData!F148/HKData!F147)-B147</f>
        <v>8.2907345040944599E-3</v>
      </c>
    </row>
    <row r="148" spans="1:4">
      <c r="A148" s="20">
        <f>HKData!A149</f>
        <v>45447</v>
      </c>
      <c r="B148" s="22">
        <f>DailyHIBOR!C146/252/100</f>
        <v>1.6865079365079364E-4</v>
      </c>
      <c r="C148" s="23">
        <f>LN(HKData!N149/HKData!N148)-B148</f>
        <v>2.0605762293164978E-3</v>
      </c>
      <c r="D148" s="23">
        <f>LN(HKData!F149/HKData!F148)-B148</f>
        <v>5.83007712194106E-3</v>
      </c>
    </row>
    <row r="149" spans="1:4">
      <c r="A149" s="20">
        <f>HKData!A150</f>
        <v>45448</v>
      </c>
      <c r="B149" s="22">
        <f>DailyHIBOR!C147/252/100</f>
        <v>1.6865079365079364E-4</v>
      </c>
      <c r="C149" s="23">
        <f>LN(HKData!N150/HKData!N149)-B149</f>
        <v>-1.2073772415589017E-3</v>
      </c>
      <c r="D149" s="23">
        <f>LN(HKData!F150/HKData!F149)-B149</f>
        <v>3.4135110108939461E-3</v>
      </c>
    </row>
    <row r="150" spans="1:4">
      <c r="A150" s="20">
        <f>HKData!A151</f>
        <v>45449</v>
      </c>
      <c r="B150" s="22">
        <f>DailyHIBOR!C148/252/100</f>
        <v>1.6865079365079364E-4</v>
      </c>
      <c r="C150" s="23">
        <f>LN(HKData!N151/HKData!N150)-B150</f>
        <v>2.6409645437852568E-3</v>
      </c>
      <c r="D150" s="23">
        <f>LN(HKData!F151/HKData!F150)-B150</f>
        <v>-4.9476828558367792E-3</v>
      </c>
    </row>
    <row r="151" spans="1:4">
      <c r="A151" s="20">
        <f>HKData!A152</f>
        <v>45450</v>
      </c>
      <c r="B151" s="22">
        <f>DailyHIBOR!C149/252/100</f>
        <v>1.6865079365079364E-4</v>
      </c>
      <c r="C151" s="23">
        <f>LN(HKData!N152/HKData!N151)-B151</f>
        <v>-6.1317727894215218E-3</v>
      </c>
      <c r="D151" s="23">
        <f>LN(HKData!F152/HKData!F151)-B151</f>
        <v>2.7003679161627374E-2</v>
      </c>
    </row>
    <row r="152" spans="1:4">
      <c r="A152" s="20">
        <f>HKData!A153</f>
        <v>45454</v>
      </c>
      <c r="B152" s="22">
        <f>DailyHIBOR!C150/252/100</f>
        <v>1.6865079365079364E-4</v>
      </c>
      <c r="C152" s="23">
        <f>LN(HKData!N153/HKData!N152)-B152</f>
        <v>-1.06007223736966E-2</v>
      </c>
      <c r="D152" s="23">
        <f>LN(HKData!F153/HKData!F152)-B152</f>
        <v>-1.7805768699200582E-2</v>
      </c>
    </row>
    <row r="153" spans="1:4">
      <c r="A153" s="20">
        <f>HKData!A154</f>
        <v>45455</v>
      </c>
      <c r="B153" s="22">
        <f>DailyHIBOR!C151/252/100</f>
        <v>1.6865079365079364E-4</v>
      </c>
      <c r="C153" s="23">
        <f>LN(HKData!N154/HKData!N153)-B153</f>
        <v>-1.3376951213614097E-2</v>
      </c>
      <c r="D153" s="23">
        <f>LN(HKData!F154/HKData!F153)-B153</f>
        <v>-1.4505720501329835E-2</v>
      </c>
    </row>
    <row r="154" spans="1:4">
      <c r="A154" s="20">
        <f>HKData!A155</f>
        <v>45456</v>
      </c>
      <c r="B154" s="22">
        <f>DailyHIBOR!C152/252/100</f>
        <v>1.6865079365079364E-4</v>
      </c>
      <c r="C154" s="23">
        <f>LN(HKData!N155/HKData!N154)-B154</f>
        <v>9.5284423038669488E-3</v>
      </c>
      <c r="D154" s="23">
        <f>LN(HKData!F155/HKData!F154)-B154</f>
        <v>1.0603284397780879E-2</v>
      </c>
    </row>
    <row r="155" spans="1:4">
      <c r="A155" s="20">
        <f>HKData!A156</f>
        <v>45457</v>
      </c>
      <c r="B155" s="22">
        <f>DailyHIBOR!C153/252/100</f>
        <v>1.6865079365079364E-4</v>
      </c>
      <c r="C155" s="23">
        <f>LN(HKData!N156/HKData!N155)-B155</f>
        <v>-9.6461510841551346E-3</v>
      </c>
      <c r="D155" s="23">
        <f>LN(HKData!F156/HKData!F155)-B155</f>
        <v>2.2095577861155347E-3</v>
      </c>
    </row>
    <row r="156" spans="1:4">
      <c r="A156" s="20">
        <f>HKData!A157</f>
        <v>45460</v>
      </c>
      <c r="B156" s="22">
        <f>DailyHIBOR!C154/252/100</f>
        <v>1.6865079365079364E-4</v>
      </c>
      <c r="C156" s="23">
        <f>LN(HKData!N157/HKData!N156)-B156</f>
        <v>-4.8417408478322897E-4</v>
      </c>
      <c r="D156" s="23">
        <f>LN(HKData!F157/HKData!F156)-B156</f>
        <v>3.0243012622237088E-2</v>
      </c>
    </row>
    <row r="157" spans="1:4">
      <c r="A157" s="20">
        <f>HKData!A158</f>
        <v>45461</v>
      </c>
      <c r="B157" s="22">
        <f>DailyHIBOR!C155/252/100</f>
        <v>1.6865079365079364E-4</v>
      </c>
      <c r="C157" s="23">
        <f>LN(HKData!N158/HKData!N157)-B157</f>
        <v>-1.316065219614475E-3</v>
      </c>
      <c r="D157" s="23">
        <f>LN(HKData!F158/HKData!F157)-B157</f>
        <v>-2.4755405645887291E-3</v>
      </c>
    </row>
    <row r="158" spans="1:4">
      <c r="A158" s="20">
        <f>HKData!A159</f>
        <v>45462</v>
      </c>
      <c r="B158" s="22">
        <f>DailyHIBOR!C156/252/100</f>
        <v>1.6865079365079364E-4</v>
      </c>
      <c r="C158" s="23">
        <f>LN(HKData!N159/HKData!N158)-B158</f>
        <v>2.8163221302551715E-2</v>
      </c>
      <c r="D158" s="23">
        <f>LN(HKData!F159/HKData!F158)-B158</f>
        <v>2.3791532038859326E-2</v>
      </c>
    </row>
    <row r="159" spans="1:4">
      <c r="A159" s="20">
        <f>HKData!A160</f>
        <v>45463</v>
      </c>
      <c r="B159" s="22">
        <f>DailyHIBOR!C157/252/100</f>
        <v>1.6865079365079364E-4</v>
      </c>
      <c r="C159" s="23">
        <f>LN(HKData!N160/HKData!N159)-B159</f>
        <v>-5.3403459397511361E-3</v>
      </c>
      <c r="D159" s="23">
        <f>LN(HKData!F160/HKData!F159)-B159</f>
        <v>-3.5743251767295932E-2</v>
      </c>
    </row>
    <row r="160" spans="1:4">
      <c r="A160" s="20">
        <f>HKData!A161</f>
        <v>45464</v>
      </c>
      <c r="B160" s="22">
        <f>DailyHIBOR!C158/252/100</f>
        <v>1.6865079365079364E-4</v>
      </c>
      <c r="C160" s="23">
        <f>LN(HKData!N161/HKData!N160)-B160</f>
        <v>-1.7042999734705317E-2</v>
      </c>
      <c r="D160" s="23">
        <f>LN(HKData!F161/HKData!F160)-B160</f>
        <v>-2.6205596883508632E-2</v>
      </c>
    </row>
    <row r="161" spans="1:4">
      <c r="A161" s="20">
        <f>HKData!A162</f>
        <v>45467</v>
      </c>
      <c r="B161" s="22">
        <f>DailyHIBOR!C159/252/100</f>
        <v>1.6865079365079364E-4</v>
      </c>
      <c r="C161" s="23">
        <f>LN(HKData!N162/HKData!N161)-B161</f>
        <v>-2.1350261202579849E-4</v>
      </c>
      <c r="D161" s="23">
        <f>LN(HKData!F162/HKData!F161)-B161</f>
        <v>-1.9539672704844777E-2</v>
      </c>
    </row>
    <row r="162" spans="1:4">
      <c r="A162" s="20">
        <f>HKData!A163</f>
        <v>45468</v>
      </c>
      <c r="B162" s="22">
        <f>DailyHIBOR!C160/252/100</f>
        <v>1.6865079365079364E-4</v>
      </c>
      <c r="C162" s="23">
        <f>LN(HKData!N163/HKData!N162)-B162</f>
        <v>2.3348789287101646E-3</v>
      </c>
      <c r="D162" s="23">
        <f>LN(HKData!F163/HKData!F162)-B162</f>
        <v>-1.4947274410010938E-2</v>
      </c>
    </row>
    <row r="163" spans="1:4">
      <c r="A163" s="20">
        <f>HKData!A164</f>
        <v>45469</v>
      </c>
      <c r="B163" s="22">
        <f>DailyHIBOR!C161/252/100</f>
        <v>1.6865079365079364E-4</v>
      </c>
      <c r="C163" s="23">
        <f>LN(HKData!N164/HKData!N163)-B163</f>
        <v>7.7316145372997738E-4</v>
      </c>
      <c r="D163" s="23">
        <f>LN(HKData!F164/HKData!F163)-B163</f>
        <v>-5.1437741824415517E-3</v>
      </c>
    </row>
    <row r="164" spans="1:4">
      <c r="A164" s="20">
        <f>HKData!A165</f>
        <v>45470</v>
      </c>
      <c r="B164" s="22">
        <f>DailyHIBOR!C162/252/100</f>
        <v>1.6865079365079364E-4</v>
      </c>
      <c r="C164" s="23">
        <f>LN(HKData!N165/HKData!N164)-B164</f>
        <v>-2.1029308290013836E-2</v>
      </c>
      <c r="D164" s="23">
        <f>LN(HKData!F165/HKData!F164)-B164</f>
        <v>-7.6781522435635362E-3</v>
      </c>
    </row>
    <row r="165" spans="1:4">
      <c r="A165" s="20">
        <f>HKData!A166</f>
        <v>45471</v>
      </c>
      <c r="B165" s="22">
        <f>DailyHIBOR!C163/252/100</f>
        <v>1.6865079365079364E-4</v>
      </c>
      <c r="C165" s="23">
        <f>LN(HKData!N166/HKData!N165)-B165</f>
        <v>-4.7941492422583131E-5</v>
      </c>
      <c r="D165" s="23">
        <f>LN(HKData!F166/HKData!F165)-B165</f>
        <v>9.8314107726341846E-3</v>
      </c>
    </row>
    <row r="166" spans="1:4">
      <c r="A166" s="20">
        <f>HKData!A167</f>
        <v>45475</v>
      </c>
      <c r="B166" s="22">
        <f>DailyHIBOR!C164/252/100</f>
        <v>2.0158730158730161E-4</v>
      </c>
      <c r="C166" s="23">
        <f>LN(HKData!N167/HKData!N166)-B166</f>
        <v>2.6462283052587627E-3</v>
      </c>
      <c r="D166" s="23">
        <f>LN(HKData!F167/HKData!F166)-B166</f>
        <v>-2.6921474179594659E-3</v>
      </c>
    </row>
    <row r="167" spans="1:4">
      <c r="A167" s="20">
        <f>HKData!A168</f>
        <v>45476</v>
      </c>
      <c r="B167" s="22">
        <f>DailyHIBOR!C165/252/100</f>
        <v>2.0158730158730161E-4</v>
      </c>
      <c r="C167" s="23">
        <f>LN(HKData!N168/HKData!N167)-B167</f>
        <v>1.1515643151111001E-2</v>
      </c>
      <c r="D167" s="23">
        <f>LN(HKData!F168/HKData!F167)-B167</f>
        <v>3.5320260826275001E-3</v>
      </c>
    </row>
    <row r="168" spans="1:4">
      <c r="A168" s="20">
        <f>HKData!A169</f>
        <v>45477</v>
      </c>
      <c r="B168" s="22">
        <f>DailyHIBOR!C166/252/100</f>
        <v>2.0158730158730161E-4</v>
      </c>
      <c r="C168" s="23">
        <f>LN(HKData!N169/HKData!N168)-B168</f>
        <v>2.5594993524459364E-3</v>
      </c>
      <c r="D168" s="23">
        <f>LN(HKData!F169/HKData!F168)-B168</f>
        <v>1.0399227029887137E-3</v>
      </c>
    </row>
    <row r="169" spans="1:4">
      <c r="A169" s="20">
        <f>HKData!A170</f>
        <v>45478</v>
      </c>
      <c r="B169" s="22">
        <f>DailyHIBOR!C167/252/100</f>
        <v>2.0158730158730161E-4</v>
      </c>
      <c r="C169" s="23">
        <f>LN(HKData!N170/HKData!N169)-B169</f>
        <v>-1.2966672571239197E-2</v>
      </c>
      <c r="D169" s="23">
        <f>LN(HKData!F170/HKData!F169)-B169</f>
        <v>-1.4430973061632896E-3</v>
      </c>
    </row>
    <row r="170" spans="1:4">
      <c r="A170" s="20">
        <f>HKData!A171</f>
        <v>45481</v>
      </c>
      <c r="B170" s="22">
        <f>DailyHIBOR!C168/252/100</f>
        <v>2.0158730158730161E-4</v>
      </c>
      <c r="C170" s="23">
        <f>LN(HKData!N171/HKData!N170)-B170</f>
        <v>-1.5803274105395428E-2</v>
      </c>
      <c r="D170" s="23">
        <f>LN(HKData!F171/HKData!F170)-B170</f>
        <v>-7.6829985052208243E-3</v>
      </c>
    </row>
    <row r="171" spans="1:4">
      <c r="A171" s="20">
        <f>HKData!A172</f>
        <v>45482</v>
      </c>
      <c r="B171" s="22">
        <f>DailyHIBOR!C169/252/100</f>
        <v>2.0158730158730161E-4</v>
      </c>
      <c r="C171" s="23">
        <f>LN(HKData!N172/HKData!N171)-B171</f>
        <v>-2.4895633360668058E-4</v>
      </c>
      <c r="D171" s="23">
        <f>LN(HKData!F172/HKData!F171)-B171</f>
        <v>1.0492399528928907E-3</v>
      </c>
    </row>
    <row r="172" spans="1:4">
      <c r="A172" s="20">
        <f>HKData!A173</f>
        <v>45483</v>
      </c>
      <c r="B172" s="22">
        <f>DailyHIBOR!C170/252/100</f>
        <v>2.0158730158730161E-4</v>
      </c>
      <c r="C172" s="23">
        <f>LN(HKData!N173/HKData!N172)-B172</f>
        <v>-3.1483357483160024E-3</v>
      </c>
      <c r="D172" s="23">
        <f>LN(HKData!F173/HKData!F172)-B172</f>
        <v>1.0476773384295998E-3</v>
      </c>
    </row>
    <row r="173" spans="1:4">
      <c r="A173" s="20">
        <f>HKData!A174</f>
        <v>45484</v>
      </c>
      <c r="B173" s="22">
        <f>DailyHIBOR!C171/252/100</f>
        <v>2.0158730158730161E-4</v>
      </c>
      <c r="C173" s="23">
        <f>LN(HKData!N174/HKData!N173)-B173</f>
        <v>2.0230811498396381E-2</v>
      </c>
      <c r="D173" s="23">
        <f>LN(HKData!F174/HKData!F173)-B173</f>
        <v>7.2610221782442369E-3</v>
      </c>
    </row>
    <row r="174" spans="1:4">
      <c r="A174" s="20">
        <f>HKData!A175</f>
        <v>45485</v>
      </c>
      <c r="B174" s="22">
        <f>DailyHIBOR!C172/252/100</f>
        <v>2.0158730158730161E-4</v>
      </c>
      <c r="C174" s="23">
        <f>LN(HKData!N175/HKData!N174)-B174</f>
        <v>2.5324599092514562E-2</v>
      </c>
      <c r="D174" s="23">
        <f>LN(HKData!F175/HKData!F174)-B174</f>
        <v>1.2113907494632195E-2</v>
      </c>
    </row>
    <row r="175" spans="1:4">
      <c r="A175" s="20">
        <f>HKData!A176</f>
        <v>45488</v>
      </c>
      <c r="B175" s="22">
        <f>DailyHIBOR!C173/252/100</f>
        <v>2.0158730158730161E-4</v>
      </c>
      <c r="C175" s="23">
        <f>LN(HKData!N176/HKData!N175)-B175</f>
        <v>-1.5483988821968534E-2</v>
      </c>
      <c r="D175" s="23">
        <f>LN(HKData!F176/HKData!F175)-B175</f>
        <v>-1.7486025908947149E-2</v>
      </c>
    </row>
    <row r="176" spans="1:4">
      <c r="A176" s="20">
        <f>HKData!A177</f>
        <v>45489</v>
      </c>
      <c r="B176" s="22">
        <f>DailyHIBOR!C174/252/100</f>
        <v>2.0158730158730161E-4</v>
      </c>
      <c r="C176" s="23">
        <f>LN(HKData!N177/HKData!N176)-B176</f>
        <v>-1.6314269678611326E-2</v>
      </c>
      <c r="D176" s="23">
        <f>LN(HKData!F177/HKData!F176)-B176</f>
        <v>-2.6952529702784184E-3</v>
      </c>
    </row>
    <row r="177" spans="1:4">
      <c r="A177" s="20">
        <f>HKData!A178</f>
        <v>45490</v>
      </c>
      <c r="B177" s="22">
        <f>DailyHIBOR!C175/252/100</f>
        <v>2.0158730158730161E-4</v>
      </c>
      <c r="C177" s="23">
        <f>LN(HKData!N178/HKData!N177)-B177</f>
        <v>4.4293081458916361E-4</v>
      </c>
      <c r="D177" s="23">
        <f>LN(HKData!F178/HKData!F177)-B177</f>
        <v>1.0971736031782191E-2</v>
      </c>
    </row>
    <row r="178" spans="1:4">
      <c r="A178" s="20">
        <f>HKData!A179</f>
        <v>45491</v>
      </c>
      <c r="B178" s="22">
        <f>DailyHIBOR!C176/252/100</f>
        <v>2.0158730158730161E-4</v>
      </c>
      <c r="C178" s="23">
        <f>LN(HKData!N179/HKData!N178)-B178</f>
        <v>1.9944942896184419E-3</v>
      </c>
      <c r="D178" s="23">
        <f>LN(HKData!F179/HKData!F178)-B178</f>
        <v>-7.6366445936630958E-3</v>
      </c>
    </row>
    <row r="179" spans="1:4">
      <c r="A179" s="20">
        <f>HKData!A180</f>
        <v>45492</v>
      </c>
      <c r="B179" s="22">
        <f>DailyHIBOR!C177/252/100</f>
        <v>2.0158730158730161E-4</v>
      </c>
      <c r="C179" s="23">
        <f>LN(HKData!N180/HKData!N179)-B179</f>
        <v>-2.0700631494657867E-2</v>
      </c>
      <c r="D179" s="23">
        <f>LN(HKData!F180/HKData!F179)-B179</f>
        <v>-3.9398533428809043E-3</v>
      </c>
    </row>
    <row r="180" spans="1:4">
      <c r="A180" s="20">
        <f>HKData!A181</f>
        <v>45495</v>
      </c>
      <c r="B180" s="22">
        <f>DailyHIBOR!C178/252/100</f>
        <v>2.0158730158730161E-4</v>
      </c>
      <c r="C180" s="23">
        <f>LN(HKData!N181/HKData!N180)-B180</f>
        <v>1.2248160274776727E-2</v>
      </c>
      <c r="D180" s="23">
        <f>LN(HKData!F181/HKData!F180)-B180</f>
        <v>6.0212420121248658E-3</v>
      </c>
    </row>
    <row r="181" spans="1:4">
      <c r="A181" s="20">
        <f>HKData!A182</f>
        <v>45496</v>
      </c>
      <c r="B181" s="22">
        <f>DailyHIBOR!C179/252/100</f>
        <v>2.0158730158730161E-4</v>
      </c>
      <c r="C181" s="23">
        <f>LN(HKData!N182/HKData!N181)-B181</f>
        <v>-9.6886457710274373E-3</v>
      </c>
      <c r="D181" s="23">
        <f>LN(HKData!F182/HKData!F181)-B181</f>
        <v>-6.4244166152994794E-3</v>
      </c>
    </row>
    <row r="182" spans="1:4">
      <c r="A182" s="20">
        <f>HKData!A183</f>
        <v>45497</v>
      </c>
      <c r="B182" s="22">
        <f>DailyHIBOR!C180/252/100</f>
        <v>2.0158730158730161E-4</v>
      </c>
      <c r="C182" s="23">
        <f>LN(HKData!N183/HKData!N182)-B182</f>
        <v>-9.3049697120178888E-3</v>
      </c>
      <c r="D182" s="23">
        <f>LN(HKData!F183/HKData!F182)-B182</f>
        <v>-1.4508519416042804E-3</v>
      </c>
    </row>
    <row r="183" spans="1:4">
      <c r="A183" s="20">
        <f>HKData!A184</f>
        <v>45498</v>
      </c>
      <c r="B183" s="22">
        <f>DailyHIBOR!C181/252/100</f>
        <v>2.0158730158730161E-4</v>
      </c>
      <c r="C183" s="23">
        <f>LN(HKData!N184/HKData!N183)-B183</f>
        <v>-1.7045311414190072E-2</v>
      </c>
      <c r="D183" s="23">
        <f>LN(HKData!F184/HKData!F183)-B183</f>
        <v>-1.2780374370939006E-2</v>
      </c>
    </row>
    <row r="184" spans="1:4">
      <c r="A184" s="20">
        <f>HKData!A185</f>
        <v>45499</v>
      </c>
      <c r="B184" s="22">
        <f>DailyHIBOR!C182/252/100</f>
        <v>2.0158730158730161E-4</v>
      </c>
      <c r="C184" s="23">
        <f>LN(HKData!N185/HKData!N184)-B184</f>
        <v>-2.3681366164824184E-4</v>
      </c>
      <c r="D184" s="23">
        <f>LN(HKData!F185/HKData!F184)-B184</f>
        <v>1.3626464407781468E-2</v>
      </c>
    </row>
    <row r="185" spans="1:4">
      <c r="A185" s="20">
        <f>HKData!A186</f>
        <v>45502</v>
      </c>
      <c r="B185" s="22">
        <f>DailyHIBOR!C183/252/100</f>
        <v>2.0158730158730161E-4</v>
      </c>
      <c r="C185" s="23">
        <f>LN(HKData!N186/HKData!N185)-B185</f>
        <v>1.2468255946101545E-2</v>
      </c>
      <c r="D185" s="23">
        <f>LN(HKData!F186/HKData!F185)-B185</f>
        <v>-1.4508519416042804E-3</v>
      </c>
    </row>
    <row r="186" spans="1:4">
      <c r="A186" s="20">
        <f>HKData!A187</f>
        <v>45503</v>
      </c>
      <c r="B186" s="22">
        <f>DailyHIBOR!C184/252/100</f>
        <v>2.0158730158730161E-4</v>
      </c>
      <c r="C186" s="23">
        <f>LN(HKData!N187/HKData!N186)-B186</f>
        <v>-1.3953036066674418E-2</v>
      </c>
      <c r="D186" s="23">
        <f>LN(HKData!F187/HKData!F186)-B186</f>
        <v>-8.990090266738901E-3</v>
      </c>
    </row>
    <row r="187" spans="1:4">
      <c r="A187" s="20">
        <f>HKData!A188</f>
        <v>45504</v>
      </c>
      <c r="B187" s="22">
        <f>DailyHIBOR!C185/252/100</f>
        <v>2.0158730158730161E-4</v>
      </c>
      <c r="C187" s="23">
        <f>LN(HKData!N188/HKData!N187)-B187</f>
        <v>1.9695093864420976E-2</v>
      </c>
      <c r="D187" s="23">
        <f>LN(HKData!F188/HKData!F187)-B187</f>
        <v>1.6059009617293465E-2</v>
      </c>
    </row>
    <row r="188" spans="1:4">
      <c r="A188" s="20">
        <f>HKData!A189</f>
        <v>45505</v>
      </c>
      <c r="B188" s="22">
        <f>DailyHIBOR!C186/252/100</f>
        <v>1.9087301587301586E-4</v>
      </c>
      <c r="C188" s="23">
        <f>LN(HKData!N189/HKData!N188)-B188</f>
        <v>-2.4788494600881243E-3</v>
      </c>
      <c r="D188" s="23">
        <f>LN(HKData!F189/HKData!F188)-B188</f>
        <v>-2.6754362882916E-3</v>
      </c>
    </row>
    <row r="189" spans="1:4">
      <c r="A189" s="20">
        <f>HKData!A190</f>
        <v>45506</v>
      </c>
      <c r="B189" s="22">
        <f>DailyHIBOR!C187/252/100</f>
        <v>1.9087301587301586E-4</v>
      </c>
      <c r="C189" s="23">
        <f>LN(HKData!N190/HKData!N189)-B189</f>
        <v>-2.1181204656196748E-2</v>
      </c>
      <c r="D189" s="23">
        <f>LN(HKData!F190/HKData!F189)-B189</f>
        <v>-6.4292309516638746E-3</v>
      </c>
    </row>
    <row r="190" spans="1:4">
      <c r="A190" s="20">
        <f>HKData!A191</f>
        <v>45509</v>
      </c>
      <c r="B190" s="22">
        <f>DailyHIBOR!C188/252/100</f>
        <v>1.9087301587301586E-4</v>
      </c>
      <c r="C190" s="23">
        <f>LN(HKData!N191/HKData!N190)-B190</f>
        <v>-1.4883287585949341E-2</v>
      </c>
      <c r="D190" s="23">
        <f>LN(HKData!F191/HKData!F190)-B190</f>
        <v>-1.5323537865288457E-2</v>
      </c>
    </row>
    <row r="191" spans="1:4">
      <c r="A191" s="20">
        <f>HKData!A192</f>
        <v>45510</v>
      </c>
      <c r="B191" s="22">
        <f>DailyHIBOR!C189/252/100</f>
        <v>1.9087301587301586E-4</v>
      </c>
      <c r="C191" s="23">
        <f>LN(HKData!N192/HKData!N191)-B191</f>
        <v>-3.2509120767941226E-3</v>
      </c>
      <c r="D191" s="23">
        <f>LN(HKData!F192/HKData!F191)-B191</f>
        <v>1.744188372803978E-2</v>
      </c>
    </row>
    <row r="192" spans="1:4">
      <c r="A192" s="20">
        <f>HKData!A193</f>
        <v>45511</v>
      </c>
      <c r="B192" s="22">
        <f>DailyHIBOR!C190/252/100</f>
        <v>1.9087301587301586E-4</v>
      </c>
      <c r="C192" s="23">
        <f>LN(HKData!N193/HKData!N192)-B192</f>
        <v>1.3561359315217243E-2</v>
      </c>
      <c r="D192" s="23">
        <f>LN(HKData!F193/HKData!F192)-B192</f>
        <v>-1.2753921352251035E-2</v>
      </c>
    </row>
    <row r="193" spans="1:4">
      <c r="A193" s="20">
        <f>HKData!A194</f>
        <v>45512</v>
      </c>
      <c r="B193" s="22">
        <f>DailyHIBOR!C191/252/100</f>
        <v>1.9087301587301586E-4</v>
      </c>
      <c r="C193" s="23">
        <f>LN(HKData!N194/HKData!N193)-B193</f>
        <v>6.365378456589134E-4</v>
      </c>
      <c r="D193" s="23">
        <f>LN(HKData!F194/HKData!F193)-B193</f>
        <v>-7.8051391683120336E-3</v>
      </c>
    </row>
    <row r="194" spans="1:4">
      <c r="A194" s="20">
        <f>HKData!A195</f>
        <v>45513</v>
      </c>
      <c r="B194" s="22">
        <f>DailyHIBOR!C192/252/100</f>
        <v>1.9087301587301586E-4</v>
      </c>
      <c r="C194" s="23">
        <f>LN(HKData!N195/HKData!N194)-B194</f>
        <v>1.1486031901204025E-2</v>
      </c>
      <c r="D194" s="23">
        <f>LN(HKData!F195/HKData!F194)-B194</f>
        <v>1.0822477847067245E-3</v>
      </c>
    </row>
    <row r="195" spans="1:4">
      <c r="A195" s="20">
        <f>HKData!A196</f>
        <v>45516</v>
      </c>
      <c r="B195" s="22">
        <f>DailyHIBOR!C193/252/100</f>
        <v>1.9087301587301586E-4</v>
      </c>
      <c r="C195" s="23">
        <f>LN(HKData!N196/HKData!N195)-B195</f>
        <v>1.0616852725761948E-3</v>
      </c>
      <c r="D195" s="23">
        <f>LN(HKData!F196/HKData!F195)-B195</f>
        <v>-1.9087301587301586E-4</v>
      </c>
    </row>
    <row r="196" spans="1:4">
      <c r="A196" s="20">
        <f>HKData!A197</f>
        <v>45517</v>
      </c>
      <c r="B196" s="22">
        <f>DailyHIBOR!C194/252/100</f>
        <v>1.9087301587301586E-4</v>
      </c>
      <c r="C196" s="23">
        <f>LN(HKData!N197/HKData!N196)-B196</f>
        <v>3.449723808587447E-3</v>
      </c>
      <c r="D196" s="23">
        <f>LN(HKData!F197/HKData!F196)-B196</f>
        <v>-2.7386721905784885E-3</v>
      </c>
    </row>
    <row r="197" spans="1:4">
      <c r="A197" s="20">
        <f>HKData!A198</f>
        <v>45518</v>
      </c>
      <c r="B197" s="22">
        <f>DailyHIBOR!C195/252/100</f>
        <v>1.9087301587301586E-4</v>
      </c>
      <c r="C197" s="23">
        <f>LN(HKData!N198/HKData!N197)-B197</f>
        <v>-3.7316022646558134E-3</v>
      </c>
      <c r="D197" s="23">
        <f>LN(HKData!F198/HKData!F197)-B197</f>
        <v>2.6242439156206089E-2</v>
      </c>
    </row>
    <row r="198" spans="1:4">
      <c r="A198" s="20">
        <f>HKData!A199</f>
        <v>45519</v>
      </c>
      <c r="B198" s="22">
        <f>DailyHIBOR!C196/252/100</f>
        <v>1.9087301587301586E-4</v>
      </c>
      <c r="C198" s="23">
        <f>LN(HKData!N199/HKData!N198)-B198</f>
        <v>-4.3742134059333198E-4</v>
      </c>
      <c r="D198" s="23">
        <f>LN(HKData!F199/HKData!F198)-B198</f>
        <v>-1.773524066138725E-2</v>
      </c>
    </row>
    <row r="199" spans="1:4">
      <c r="A199" s="20">
        <f>HKData!A200</f>
        <v>45520</v>
      </c>
      <c r="B199" s="22">
        <f>DailyHIBOR!C197/252/100</f>
        <v>1.9087301587301586E-4</v>
      </c>
      <c r="C199" s="23">
        <f>LN(HKData!N200/HKData!N199)-B199</f>
        <v>1.8398314846750571E-2</v>
      </c>
      <c r="D199" s="23">
        <f>LN(HKData!F200/HKData!F199)-B199</f>
        <v>8.6197538263144066E-3</v>
      </c>
    </row>
    <row r="200" spans="1:4">
      <c r="A200" s="20">
        <f>HKData!A201</f>
        <v>45523</v>
      </c>
      <c r="B200" s="22">
        <f>DailyHIBOR!C198/252/100</f>
        <v>1.9087301587301586E-4</v>
      </c>
      <c r="C200" s="23">
        <f>LN(HKData!N201/HKData!N200)-B200</f>
        <v>7.7755251060623032E-3</v>
      </c>
      <c r="D200" s="23">
        <f>LN(HKData!F201/HKData!F200)-B200</f>
        <v>3.5615484783177703E-3</v>
      </c>
    </row>
    <row r="201" spans="1:4">
      <c r="A201" s="20">
        <f>HKData!A202</f>
        <v>45524</v>
      </c>
      <c r="B201" s="22">
        <f>DailyHIBOR!C199/252/100</f>
        <v>1.9087301587301586E-4</v>
      </c>
      <c r="C201" s="23">
        <f>LN(HKData!N202/HKData!N201)-B201</f>
        <v>-3.5254912697014564E-3</v>
      </c>
      <c r="D201" s="23">
        <f>LN(HKData!F202/HKData!F201)-B201</f>
        <v>-2.6909649103702455E-3</v>
      </c>
    </row>
    <row r="202" spans="1:4">
      <c r="A202" s="20">
        <f>HKData!A203</f>
        <v>45525</v>
      </c>
      <c r="B202" s="22">
        <f>DailyHIBOR!C200/252/100</f>
        <v>1.9087301587301586E-4</v>
      </c>
      <c r="C202" s="23">
        <f>LN(HKData!N203/HKData!N202)-B202</f>
        <v>-7.0713083547567814E-3</v>
      </c>
      <c r="D202" s="23">
        <f>LN(HKData!F203/HKData!F202)-B202</f>
        <v>-1.4432026155664667E-3</v>
      </c>
    </row>
    <row r="203" spans="1:4">
      <c r="A203" s="20">
        <f>HKData!A204</f>
        <v>45526</v>
      </c>
      <c r="B203" s="22">
        <f>DailyHIBOR!C201/252/100</f>
        <v>1.9087301587301586E-4</v>
      </c>
      <c r="C203" s="23">
        <f>LN(HKData!N204/HKData!N203)-B203</f>
        <v>1.4081472739583671E-2</v>
      </c>
      <c r="D203" s="23">
        <f>LN(HKData!F204/HKData!F203)-B203</f>
        <v>7.2998145196111388E-3</v>
      </c>
    </row>
    <row r="204" spans="1:4">
      <c r="A204" s="20">
        <f>HKData!A205</f>
        <v>45527</v>
      </c>
      <c r="B204" s="22">
        <f>DailyHIBOR!C202/252/100</f>
        <v>1.9087301587301586E-4</v>
      </c>
      <c r="C204" s="23">
        <f>LN(HKData!N205/HKData!N204)-B204</f>
        <v>-1.8304676852537384E-3</v>
      </c>
      <c r="D204" s="23">
        <f>LN(HKData!F205/HKData!F204)-B204</f>
        <v>-2.6814331322451801E-3</v>
      </c>
    </row>
    <row r="205" spans="1:4">
      <c r="A205" s="20">
        <f>HKData!A206</f>
        <v>45530</v>
      </c>
      <c r="B205" s="22">
        <f>DailyHIBOR!C203/252/100</f>
        <v>1.9087301587301586E-4</v>
      </c>
      <c r="C205" s="23">
        <f>LN(HKData!N206/HKData!N205)-B205</f>
        <v>1.0350116113407888E-2</v>
      </c>
      <c r="D205" s="23">
        <f>LN(HKData!F206/HKData!F205)-B205</f>
        <v>1.7114803800954446E-2</v>
      </c>
    </row>
    <row r="206" spans="1:4">
      <c r="A206" s="20">
        <f>HKData!A207</f>
        <v>45531</v>
      </c>
      <c r="B206" s="22">
        <f>DailyHIBOR!C204/252/100</f>
        <v>1.9087301587301586E-4</v>
      </c>
      <c r="C206" s="23">
        <f>LN(HKData!N207/HKData!N206)-B206</f>
        <v>4.0666167104414829E-3</v>
      </c>
      <c r="D206" s="23">
        <f>LN(HKData!F207/HKData!F206)-B206</f>
        <v>-1.4171591769368418E-3</v>
      </c>
    </row>
    <row r="207" spans="1:4">
      <c r="A207" s="20">
        <f>HKData!A208</f>
        <v>45532</v>
      </c>
      <c r="B207" s="22">
        <f>DailyHIBOR!C205/252/100</f>
        <v>1.9087301587301586E-4</v>
      </c>
      <c r="C207" s="23">
        <f>LN(HKData!N208/HKData!N207)-B207</f>
        <v>-1.0437544766040044E-2</v>
      </c>
      <c r="D207" s="23">
        <f>LN(HKData!F208/HKData!F207)-B207</f>
        <v>-3.8786539119196818E-3</v>
      </c>
    </row>
    <row r="208" spans="1:4">
      <c r="A208" s="20">
        <f>HKData!A209</f>
        <v>45533</v>
      </c>
      <c r="B208" s="22">
        <f>DailyHIBOR!C206/252/100</f>
        <v>1.9087301587301586E-4</v>
      </c>
      <c r="C208" s="23">
        <f>LN(HKData!N209/HKData!N208)-B208</f>
        <v>5.1008162979417617E-3</v>
      </c>
      <c r="D208" s="23">
        <f>LN(HKData!F209/HKData!F208)-B208</f>
        <v>5.9479155755395837E-3</v>
      </c>
    </row>
    <row r="209" spans="1:4">
      <c r="A209" s="20">
        <f>HKData!A210</f>
        <v>45534</v>
      </c>
      <c r="B209" s="22">
        <f>DailyHIBOR!C207/252/100</f>
        <v>1.9087301587301586E-4</v>
      </c>
      <c r="C209" s="23">
        <f>LN(HKData!N210/HKData!N209)-B209</f>
        <v>1.1143855531518636E-2</v>
      </c>
      <c r="D209" s="23">
        <f>LN(HKData!F210/HKData!F209)-B209</f>
        <v>-8.795653958554547E-3</v>
      </c>
    </row>
    <row r="210" spans="1:4">
      <c r="A210" s="20">
        <f>HKData!A211</f>
        <v>45537</v>
      </c>
      <c r="B210" s="22">
        <f>DailyHIBOR!C208/252/100</f>
        <v>1.2698412698412698E-4</v>
      </c>
      <c r="C210" s="23">
        <f>LN(HKData!N211/HKData!N210)-B210</f>
        <v>-1.6780448672922797E-2</v>
      </c>
      <c r="D210" s="23">
        <f>LN(HKData!F211/HKData!F210)-B210</f>
        <v>7.2530752813952755E-3</v>
      </c>
    </row>
    <row r="211" spans="1:4">
      <c r="A211" s="20">
        <f>HKData!A212</f>
        <v>45538</v>
      </c>
      <c r="B211" s="22">
        <f>DailyHIBOR!C209/252/100</f>
        <v>1.2698412698412698E-4</v>
      </c>
      <c r="C211" s="23">
        <f>LN(HKData!N212/HKData!N211)-B211</f>
        <v>-2.4176758349961432E-3</v>
      </c>
      <c r="D211" s="23">
        <f>LN(HKData!F212/HKData!F211)-B211</f>
        <v>-1.3532702880479528E-3</v>
      </c>
    </row>
    <row r="212" spans="1:4">
      <c r="A212" s="20">
        <f>HKData!A213</f>
        <v>45539</v>
      </c>
      <c r="B212" s="22">
        <f>DailyHIBOR!C210/252/100</f>
        <v>1.2698412698412698E-4</v>
      </c>
      <c r="C212" s="23">
        <f>LN(HKData!N213/HKData!N212)-B212</f>
        <v>-1.1187014854172873E-2</v>
      </c>
      <c r="D212" s="23">
        <f>LN(HKData!F213/HKData!F212)-B212</f>
        <v>3.5473722224033063E-3</v>
      </c>
    </row>
    <row r="213" spans="1:4">
      <c r="A213" s="20">
        <f>HKData!A214</f>
        <v>45540</v>
      </c>
      <c r="B213" s="22">
        <f>DailyHIBOR!C211/252/100</f>
        <v>1.2698412698412698E-4</v>
      </c>
      <c r="C213" s="23">
        <f>LN(HKData!N214/HKData!N213)-B213</f>
        <v>-8.7417324893581652E-4</v>
      </c>
      <c r="D213" s="23">
        <f>LN(HKData!F214/HKData!F213)-B213</f>
        <v>8.3939375688295622E-3</v>
      </c>
    </row>
    <row r="214" spans="1:4">
      <c r="A214" s="20">
        <f>HKData!A215</f>
        <v>45544</v>
      </c>
      <c r="B214" s="22">
        <f>DailyHIBOR!C212/252/100</f>
        <v>1.2698412698412698E-4</v>
      </c>
      <c r="C214" s="23">
        <f>LN(HKData!N215/HKData!N214)-B214</f>
        <v>-1.4407298107701616E-2</v>
      </c>
      <c r="D214" s="23">
        <f>LN(HKData!F215/HKData!F214)-B214</f>
        <v>-6.2060638946004644E-3</v>
      </c>
    </row>
    <row r="215" spans="1:4">
      <c r="A215" s="20">
        <f>HKData!A216</f>
        <v>45545</v>
      </c>
      <c r="B215" s="22">
        <f>DailyHIBOR!C213/252/100</f>
        <v>1.2698412698412698E-4</v>
      </c>
      <c r="C215" s="23">
        <f>LN(HKData!N216/HKData!N215)-B215</f>
        <v>2.0297273180243727E-3</v>
      </c>
      <c r="D215" s="23">
        <f>LN(HKData!F216/HKData!F215)-B215</f>
        <v>-2.353498314117591E-2</v>
      </c>
    </row>
    <row r="216" spans="1:4">
      <c r="A216" s="20">
        <f>HKData!A217</f>
        <v>45546</v>
      </c>
      <c r="B216" s="22">
        <f>DailyHIBOR!C214/252/100</f>
        <v>1.2698412698412698E-4</v>
      </c>
      <c r="C216" s="23">
        <f>LN(HKData!N217/HKData!N216)-B216</f>
        <v>-7.4286287474013505E-3</v>
      </c>
      <c r="D216" s="23">
        <f>LN(HKData!F217/HKData!F216)-B216</f>
        <v>-1.2039718049611427E-2</v>
      </c>
    </row>
    <row r="217" spans="1:4">
      <c r="A217" s="20">
        <f>HKData!A218</f>
        <v>45547</v>
      </c>
      <c r="B217" s="22">
        <f>DailyHIBOR!C215/252/100</f>
        <v>1.2698412698412698E-4</v>
      </c>
      <c r="C217" s="23">
        <f>LN(HKData!N218/HKData!N217)-B217</f>
        <v>7.5401935622124256E-3</v>
      </c>
      <c r="D217" s="23">
        <f>LN(HKData!F218/HKData!F217)-B217</f>
        <v>5.1850992166667968E-3</v>
      </c>
    </row>
    <row r="218" spans="1:4">
      <c r="A218" s="20">
        <f>HKData!A219</f>
        <v>45548</v>
      </c>
      <c r="B218" s="22">
        <f>DailyHIBOR!C216/252/100</f>
        <v>1.2698412698412698E-4</v>
      </c>
      <c r="C218" s="23">
        <f>LN(HKData!N219/HKData!N218)-B218</f>
        <v>7.3102735395593503E-3</v>
      </c>
      <c r="D218" s="23">
        <f>LN(HKData!F219/HKData!F218)-B218</f>
        <v>3.8385936763822635E-3</v>
      </c>
    </row>
    <row r="219" spans="1:4">
      <c r="A219" s="20">
        <f>HKData!A220</f>
        <v>45551</v>
      </c>
      <c r="B219" s="22">
        <f>DailyHIBOR!C217/252/100</f>
        <v>1.2698412698412698E-4</v>
      </c>
      <c r="C219" s="23">
        <f>LN(HKData!N220/HKData!N219)-B219</f>
        <v>2.9214490542449028E-3</v>
      </c>
      <c r="D219" s="23">
        <f>LN(HKData!F220/HKData!F219)-B219</f>
        <v>6.4476922674128884E-3</v>
      </c>
    </row>
    <row r="220" spans="1:4">
      <c r="A220" s="20">
        <f>HKData!A221</f>
        <v>45552</v>
      </c>
      <c r="B220" s="22">
        <f>DailyHIBOR!C218/252/100</f>
        <v>1.2698412698412698E-4</v>
      </c>
      <c r="C220" s="23">
        <f>LN(HKData!N221/HKData!N220)-B220</f>
        <v>1.3435703118739926E-2</v>
      </c>
      <c r="D220" s="23">
        <f>LN(HKData!F221/HKData!F220)-B220</f>
        <v>1.6767507726431864E-2</v>
      </c>
    </row>
    <row r="221" spans="1:4">
      <c r="A221" s="20">
        <f>HKData!A222</f>
        <v>45554</v>
      </c>
      <c r="B221" s="22">
        <f>DailyHIBOR!C219/252/100</f>
        <v>1.2698412698412698E-4</v>
      </c>
      <c r="C221" s="23">
        <f>LN(HKData!N222/HKData!N221)-B221</f>
        <v>1.9672325287972393E-2</v>
      </c>
      <c r="D221" s="23">
        <f>LN(HKData!F222/HKData!F221)-B221</f>
        <v>-1.4165185904276151E-3</v>
      </c>
    </row>
    <row r="222" spans="1:4">
      <c r="A222" s="20">
        <f>HKData!A223</f>
        <v>45555</v>
      </c>
      <c r="B222" s="22">
        <f>DailyHIBOR!C220/252/100</f>
        <v>1.2698412698412698E-4</v>
      </c>
      <c r="C222" s="23">
        <f>LN(HKData!N223/HKData!N222)-B222</f>
        <v>1.3404981285478559E-2</v>
      </c>
      <c r="D222" s="23">
        <f>LN(HKData!F223/HKData!F222)-B222</f>
        <v>-1.2698412698412698E-4</v>
      </c>
    </row>
    <row r="223" spans="1:4">
      <c r="A223" s="20">
        <f>HKData!A224</f>
        <v>45558</v>
      </c>
      <c r="B223" s="22">
        <f>DailyHIBOR!C221/252/100</f>
        <v>1.2698412698412698E-4</v>
      </c>
      <c r="C223" s="23">
        <f>LN(HKData!N224/HKData!N223)-B223</f>
        <v>-7.5488301694623524E-4</v>
      </c>
      <c r="D223" s="23">
        <f>LN(HKData!F224/HKData!F223)-B223</f>
        <v>-2.7109267681515695E-3</v>
      </c>
    </row>
    <row r="224" spans="1:4">
      <c r="A224" s="20">
        <f>HKData!A225</f>
        <v>45559</v>
      </c>
      <c r="B224" s="22">
        <f>DailyHIBOR!C222/252/100</f>
        <v>1.2698412698412698E-4</v>
      </c>
      <c r="C224" s="23">
        <f>LN(HKData!N225/HKData!N224)-B224</f>
        <v>4.0334819998916575E-2</v>
      </c>
      <c r="D224" s="23">
        <f>LN(HKData!F225/HKData!F224)-B224</f>
        <v>3.7464929776267202E-3</v>
      </c>
    </row>
    <row r="225" spans="1:4">
      <c r="A225" s="20">
        <f>HKData!A226</f>
        <v>45560</v>
      </c>
      <c r="B225" s="22">
        <f>DailyHIBOR!C223/252/100</f>
        <v>1.2698412698412698E-4</v>
      </c>
      <c r="C225" s="23">
        <f>LN(HKData!N226/HKData!N225)-B225</f>
        <v>6.6152500758547943E-3</v>
      </c>
      <c r="D225" s="23">
        <f>LN(HKData!F226/HKData!F225)-B225</f>
        <v>1.3948722782213941E-2</v>
      </c>
    </row>
    <row r="226" spans="1:4">
      <c r="A226" s="20">
        <f>HKData!A227</f>
        <v>45561</v>
      </c>
      <c r="B226" s="22">
        <f>DailyHIBOR!C224/252/100</f>
        <v>1.2698412698412698E-4</v>
      </c>
      <c r="C226" s="23">
        <f>LN(HKData!N227/HKData!N226)-B226</f>
        <v>4.0616449800545087E-2</v>
      </c>
      <c r="D226" s="23">
        <f>LN(HKData!F227/HKData!F226)-B226</f>
        <v>2.12440268042146E-2</v>
      </c>
    </row>
    <row r="227" spans="1:4">
      <c r="A227" s="20">
        <f>HKData!A228</f>
        <v>45562</v>
      </c>
      <c r="B227" s="22">
        <f>DailyHIBOR!C225/252/100</f>
        <v>1.2698412698412698E-4</v>
      </c>
      <c r="C227" s="23">
        <f>LN(HKData!N228/HKData!N227)-B227</f>
        <v>3.4776713402588859E-2</v>
      </c>
      <c r="D227" s="23">
        <f>LN(HKData!F228/HKData!F227)-B227</f>
        <v>3.8902376551957309E-2</v>
      </c>
    </row>
    <row r="228" spans="1:4">
      <c r="A228" s="20">
        <f>HKData!A229</f>
        <v>45565</v>
      </c>
      <c r="B228" s="22">
        <f>DailyHIBOR!C226/252/100</f>
        <v>1.2698412698412698E-4</v>
      </c>
      <c r="C228" s="23">
        <f>LN(HKData!N229/HKData!N228)-B228</f>
        <v>2.388313065391319E-2</v>
      </c>
      <c r="D228" s="23">
        <f>LN(HKData!F229/HKData!F228)-B228</f>
        <v>3.9737595996388847E-2</v>
      </c>
    </row>
    <row r="229" spans="1:4">
      <c r="A229" s="20">
        <f>HKData!A230</f>
        <v>45567</v>
      </c>
      <c r="B229" s="22">
        <f>DailyHIBOR!C227/252/100</f>
        <v>2.349206349206349E-4</v>
      </c>
      <c r="C229" s="23">
        <f>LN(HKData!N230/HKData!N229)-B229</f>
        <v>5.99084264866281E-2</v>
      </c>
      <c r="D229" s="23">
        <f>LN(HKData!F230/HKData!F229)-B229</f>
        <v>6.6379685998311276E-3</v>
      </c>
    </row>
    <row r="230" spans="1:4">
      <c r="A230" s="20">
        <f>HKData!A231</f>
        <v>45568</v>
      </c>
      <c r="B230" s="22">
        <f>DailyHIBOR!C228/252/100</f>
        <v>2.349206349206349E-4</v>
      </c>
      <c r="C230" s="23">
        <f>LN(HKData!N231/HKData!N230)-B230</f>
        <v>-1.5057506028686069E-2</v>
      </c>
      <c r="D230" s="23">
        <f>LN(HKData!F231/HKData!F230)-B230</f>
        <v>-1.3771083497244342E-3</v>
      </c>
    </row>
    <row r="231" spans="1:4">
      <c r="A231" s="20">
        <f>HKData!A232</f>
        <v>45569</v>
      </c>
      <c r="B231" s="22">
        <f>DailyHIBOR!C229/252/100</f>
        <v>2.349206349206349E-4</v>
      </c>
      <c r="C231" s="23">
        <f>LN(HKData!N232/HKData!N231)-B231</f>
        <v>2.7564154130329914E-2</v>
      </c>
      <c r="D231" s="23">
        <f>LN(HKData!F232/HKData!F231)-B231</f>
        <v>3.1877361659047141E-3</v>
      </c>
    </row>
    <row r="232" spans="1:4">
      <c r="A232" s="20">
        <f>HKData!A233</f>
        <v>45572</v>
      </c>
      <c r="B232" s="22">
        <f>DailyHIBOR!C230/252/100</f>
        <v>2.349206349206349E-4</v>
      </c>
      <c r="C232" s="23">
        <f>LN(HKData!N233/HKData!N232)-B232</f>
        <v>1.5600344467120412E-2</v>
      </c>
      <c r="D232" s="23">
        <f>LN(HKData!F233/HKData!F232)-B232</f>
        <v>5.0830560726024772E-2</v>
      </c>
    </row>
    <row r="233" spans="1:4">
      <c r="A233" s="20">
        <f>HKData!A234</f>
        <v>45573</v>
      </c>
      <c r="B233" s="22">
        <f>DailyHIBOR!C231/252/100</f>
        <v>2.349206349206349E-4</v>
      </c>
      <c r="C233" s="23">
        <f>LN(HKData!N234/HKData!N233)-B233</f>
        <v>-9.9027872343209478E-2</v>
      </c>
      <c r="D233" s="23">
        <f>LN(HKData!F234/HKData!F233)-B233</f>
        <v>-8.0187472406438448E-2</v>
      </c>
    </row>
    <row r="234" spans="1:4">
      <c r="A234" s="20">
        <f>HKData!A235</f>
        <v>45574</v>
      </c>
      <c r="B234" s="22">
        <f>DailyHIBOR!C232/252/100</f>
        <v>2.349206349206349E-4</v>
      </c>
      <c r="C234" s="23">
        <f>LN(HKData!N235/HKData!N234)-B234</f>
        <v>-1.4167810062316726E-2</v>
      </c>
      <c r="D234" s="23">
        <f>LN(HKData!F235/HKData!F234)-B234</f>
        <v>-1.3214377293625483E-2</v>
      </c>
    </row>
    <row r="235" spans="1:4">
      <c r="A235" s="20">
        <f>HKData!A236</f>
        <v>45575</v>
      </c>
      <c r="B235" s="22">
        <f>DailyHIBOR!C233/252/100</f>
        <v>2.349206349206349E-4</v>
      </c>
      <c r="C235" s="23">
        <f>LN(HKData!N236/HKData!N235)-B235</f>
        <v>2.9117946823618648E-2</v>
      </c>
      <c r="D235" s="23">
        <f>LN(HKData!F236/HKData!F235)-B235</f>
        <v>3.9351137348335077E-2</v>
      </c>
    </row>
    <row r="236" spans="1:4">
      <c r="A236" s="20">
        <f>HKData!A237</f>
        <v>45579</v>
      </c>
      <c r="B236" s="22">
        <f>DailyHIBOR!C234/252/100</f>
        <v>2.349206349206349E-4</v>
      </c>
      <c r="C236" s="23">
        <f>LN(HKData!N237/HKData!N236)-B236</f>
        <v>-7.7499822504432788E-3</v>
      </c>
      <c r="D236" s="23">
        <f>LN(HKData!F237/HKData!F236)-B236</f>
        <v>-4.8115199743685184E-3</v>
      </c>
    </row>
    <row r="237" spans="1:4">
      <c r="A237" s="20">
        <f>HKData!A238</f>
        <v>45580</v>
      </c>
      <c r="B237" s="22">
        <f>DailyHIBOR!C235/252/100</f>
        <v>2.349206349206349E-4</v>
      </c>
      <c r="C237" s="23">
        <f>LN(HKData!N238/HKData!N237)-B237</f>
        <v>-3.762392102290292E-2</v>
      </c>
      <c r="D237" s="23">
        <f>LN(HKData!F238/HKData!F237)-B237</f>
        <v>-3.6432715980108207E-2</v>
      </c>
    </row>
    <row r="238" spans="1:4">
      <c r="A238" s="20">
        <f>HKData!A239</f>
        <v>45581</v>
      </c>
      <c r="B238" s="22">
        <f>DailyHIBOR!C236/252/100</f>
        <v>2.349206349206349E-4</v>
      </c>
      <c r="C238" s="23">
        <f>LN(HKData!N239/HKData!N238)-B238</f>
        <v>-1.8080745493368614E-3</v>
      </c>
      <c r="D238" s="23">
        <f>LN(HKData!F239/HKData!F238)-B238</f>
        <v>1.1585488349978671E-2</v>
      </c>
    </row>
    <row r="239" spans="1:4">
      <c r="A239" s="20">
        <f>HKData!A240</f>
        <v>45582</v>
      </c>
      <c r="B239" s="22">
        <f>DailyHIBOR!C237/252/100</f>
        <v>2.349206349206349E-4</v>
      </c>
      <c r="C239" s="23">
        <f>LN(HKData!N240/HKData!N239)-B239</f>
        <v>-1.0528340626513749E-2</v>
      </c>
      <c r="D239" s="23">
        <f>LN(HKData!F240/HKData!F239)-B239</f>
        <v>-1.682296452828495E-2</v>
      </c>
    </row>
    <row r="240" spans="1:4">
      <c r="A240" s="20">
        <f>HKData!A241</f>
        <v>45583</v>
      </c>
      <c r="B240" s="22">
        <f>DailyHIBOR!C238/252/100</f>
        <v>2.349206349206349E-4</v>
      </c>
      <c r="C240" s="23">
        <f>LN(HKData!N241/HKData!N240)-B240</f>
        <v>3.5236159016897681E-2</v>
      </c>
      <c r="D240" s="23">
        <f>LN(HKData!F241/HKData!F240)-B240</f>
        <v>1.5177361501949559E-2</v>
      </c>
    </row>
    <row r="241" spans="1:4">
      <c r="A241" s="20">
        <f>HKData!A242</f>
        <v>45586</v>
      </c>
      <c r="B241" s="22">
        <f>DailyHIBOR!C239/252/100</f>
        <v>2.349206349206349E-4</v>
      </c>
      <c r="C241" s="23">
        <f>LN(HKData!N242/HKData!N241)-B241</f>
        <v>-1.6011806123042812E-2</v>
      </c>
      <c r="D241" s="23">
        <f>LN(HKData!F242/HKData!F241)-B241</f>
        <v>-2.4045565195836571E-2</v>
      </c>
    </row>
    <row r="242" spans="1:4">
      <c r="A242" s="20">
        <f>HKData!A243</f>
        <v>45587</v>
      </c>
      <c r="B242" s="22">
        <f>DailyHIBOR!C240/252/100</f>
        <v>2.349206349206349E-4</v>
      </c>
      <c r="C242" s="23">
        <f>LN(HKData!N243/HKData!N242)-B242</f>
        <v>7.650587624674287E-4</v>
      </c>
      <c r="D242" s="23">
        <f>LN(HKData!F243/HKData!F242)-B242</f>
        <v>-2.349206349206349E-4</v>
      </c>
    </row>
    <row r="243" spans="1:4">
      <c r="A243" s="20">
        <f>HKData!A244</f>
        <v>45588</v>
      </c>
      <c r="B243" s="22">
        <f>DailyHIBOR!C241/252/100</f>
        <v>2.349206349206349E-4</v>
      </c>
      <c r="C243" s="23">
        <f>LN(HKData!N244/HKData!N243)-B243</f>
        <v>1.2426754677592472E-2</v>
      </c>
      <c r="D243" s="23">
        <f>LN(HKData!F244/HKData!F243)-B243</f>
        <v>8.1634417891251216E-3</v>
      </c>
    </row>
    <row r="244" spans="1:4">
      <c r="A244" s="20">
        <f>HKData!A245</f>
        <v>45589</v>
      </c>
      <c r="B244" s="22">
        <f>DailyHIBOR!C242/252/100</f>
        <v>2.349206349206349E-4</v>
      </c>
      <c r="C244" s="23">
        <f>LN(HKData!N245/HKData!N244)-B244</f>
        <v>-1.3351848651277323E-2</v>
      </c>
      <c r="D244" s="23">
        <f>LN(HKData!F245/HKData!F244)-B244</f>
        <v>-1.2254235304377453E-2</v>
      </c>
    </row>
    <row r="245" spans="1:4">
      <c r="A245" s="20">
        <f>HKData!A246</f>
        <v>45590</v>
      </c>
      <c r="B245" s="22">
        <f>DailyHIBOR!C243/252/100</f>
        <v>2.349206349206349E-4</v>
      </c>
      <c r="C245" s="23">
        <f>LN(HKData!N246/HKData!N245)-B245</f>
        <v>4.6595299346895843E-3</v>
      </c>
      <c r="D245" s="23">
        <f>LN(HKData!F246/HKData!F245)-B245</f>
        <v>1.7740365644380945E-2</v>
      </c>
    </row>
    <row r="246" spans="1:4">
      <c r="A246" s="20">
        <f>HKData!A247</f>
        <v>45593</v>
      </c>
      <c r="B246" s="22">
        <f>DailyHIBOR!C244/252/100</f>
        <v>2.349206349206349E-4</v>
      </c>
      <c r="C246" s="23">
        <f>LN(HKData!N247/HKData!N246)-B246</f>
        <v>2.1223130162052972E-4</v>
      </c>
      <c r="D246" s="23">
        <f>LN(HKData!F247/HKData!F246)-B246</f>
        <v>9.52005598288528E-4</v>
      </c>
    </row>
    <row r="247" spans="1:4">
      <c r="A247" s="20">
        <f>HKData!A248</f>
        <v>45594</v>
      </c>
      <c r="B247" s="22">
        <f>DailyHIBOR!C245/252/100</f>
        <v>2.349206349206349E-4</v>
      </c>
      <c r="C247" s="23">
        <f>LN(HKData!N248/HKData!N247)-B247</f>
        <v>4.6939037643095993E-3</v>
      </c>
      <c r="D247" s="23">
        <f>LN(HKData!F248/HKData!F247)-B247</f>
        <v>-8.5732582429991488E-3</v>
      </c>
    </row>
    <row r="248" spans="1:4">
      <c r="A248" s="20">
        <f>HKData!A249</f>
        <v>45595</v>
      </c>
      <c r="B248" s="22">
        <f>DailyHIBOR!C246/252/100</f>
        <v>2.349206349206349E-4</v>
      </c>
      <c r="C248" s="23">
        <f>LN(HKData!N249/HKData!N248)-B248</f>
        <v>-1.5838260740686998E-2</v>
      </c>
      <c r="D248" s="23">
        <f>LN(HKData!F249/HKData!F248)-B248</f>
        <v>-5.031138729976915E-3</v>
      </c>
    </row>
    <row r="249" spans="1:4">
      <c r="A249" s="20"/>
      <c r="B249" s="22"/>
    </row>
    <row r="250" spans="1:4">
      <c r="A250" s="20"/>
      <c r="B250" s="22"/>
    </row>
    <row r="251" spans="1:4">
      <c r="A251" s="20"/>
      <c r="B251" s="22"/>
    </row>
    <row r="252" spans="1:4">
      <c r="A252" s="20"/>
      <c r="B252" s="22"/>
    </row>
    <row r="253" spans="1:4">
      <c r="A253" s="20"/>
      <c r="B253" s="22"/>
    </row>
    <row r="254" spans="1:4">
      <c r="A254" s="20"/>
      <c r="B254" s="22"/>
    </row>
    <row r="255" spans="1:4">
      <c r="A255" s="20"/>
      <c r="B255" s="22"/>
    </row>
    <row r="256" spans="1:4">
      <c r="A256" s="20"/>
      <c r="B256" s="22"/>
    </row>
    <row r="257" spans="1:2">
      <c r="A257" s="20"/>
      <c r="B257" s="22"/>
    </row>
    <row r="258" spans="1:2">
      <c r="A258" s="20"/>
      <c r="B258" s="22"/>
    </row>
    <row r="259" spans="1:2">
      <c r="A259" s="20"/>
      <c r="B259" s="22"/>
    </row>
    <row r="260" spans="1:2">
      <c r="A260" s="20"/>
      <c r="B260" s="22"/>
    </row>
    <row r="261" spans="1:2">
      <c r="A261" s="20"/>
      <c r="B261" s="22"/>
    </row>
    <row r="262" spans="1:2">
      <c r="A262" s="20"/>
      <c r="B262" s="22"/>
    </row>
    <row r="263" spans="1:2">
      <c r="A263" s="20"/>
      <c r="B263" s="22"/>
    </row>
    <row r="264" spans="1:2">
      <c r="A264" s="20"/>
      <c r="B264" s="22"/>
    </row>
    <row r="265" spans="1:2">
      <c r="A265" s="20"/>
      <c r="B265" s="22"/>
    </row>
    <row r="266" spans="1:2">
      <c r="A266" s="20"/>
      <c r="B266" s="22"/>
    </row>
    <row r="267" spans="1:2">
      <c r="A267" s="20"/>
      <c r="B267" s="22"/>
    </row>
    <row r="268" spans="1:2">
      <c r="A268" s="20"/>
      <c r="B268" s="22"/>
    </row>
    <row r="269" spans="1:2">
      <c r="A269" s="20"/>
      <c r="B269" s="22"/>
    </row>
    <row r="270" spans="1:2">
      <c r="A270" s="20"/>
      <c r="B270" s="22"/>
    </row>
    <row r="271" spans="1:2">
      <c r="A271" s="20"/>
      <c r="B271" s="22"/>
    </row>
    <row r="272" spans="1:2">
      <c r="A272" s="20"/>
      <c r="B272" s="22"/>
    </row>
    <row r="273" spans="1:2">
      <c r="A273" s="20"/>
      <c r="B273" s="22"/>
    </row>
    <row r="274" spans="1:2">
      <c r="A274" s="20"/>
      <c r="B274" s="22"/>
    </row>
    <row r="275" spans="1:2">
      <c r="A275" s="20"/>
      <c r="B275" s="22"/>
    </row>
    <row r="276" spans="1:2">
      <c r="A276" s="20"/>
      <c r="B276" s="22"/>
    </row>
    <row r="277" spans="1:2">
      <c r="A277" s="20"/>
      <c r="B277" s="22"/>
    </row>
    <row r="278" spans="1:2">
      <c r="A278" s="20"/>
      <c r="B278" s="22"/>
    </row>
    <row r="279" spans="1:2">
      <c r="A279" s="20"/>
      <c r="B279" s="22"/>
    </row>
    <row r="280" spans="1:2">
      <c r="A280" s="20"/>
      <c r="B280" s="22"/>
    </row>
    <row r="281" spans="1:2">
      <c r="A281" s="20"/>
      <c r="B281" s="22"/>
    </row>
    <row r="282" spans="1:2">
      <c r="A282" s="20"/>
      <c r="B282" s="22"/>
    </row>
    <row r="283" spans="1:2">
      <c r="A283" s="20"/>
      <c r="B283" s="22"/>
    </row>
    <row r="284" spans="1:2">
      <c r="A284" s="20"/>
      <c r="B284" s="22"/>
    </row>
    <row r="285" spans="1:2">
      <c r="A285" s="20"/>
      <c r="B285" s="22"/>
    </row>
    <row r="286" spans="1:2">
      <c r="A286" s="20"/>
      <c r="B286" s="22"/>
    </row>
    <row r="287" spans="1:2">
      <c r="A287" s="20"/>
      <c r="B287" s="22"/>
    </row>
    <row r="288" spans="1:2">
      <c r="A288" s="20"/>
      <c r="B288" s="22"/>
    </row>
    <row r="289" spans="1:2">
      <c r="A289" s="20"/>
      <c r="B289" s="22"/>
    </row>
    <row r="290" spans="1:2">
      <c r="A290" s="20"/>
      <c r="B290" s="22"/>
    </row>
    <row r="291" spans="1:2">
      <c r="A291" s="20"/>
      <c r="B291" s="22"/>
    </row>
    <row r="292" spans="1:2">
      <c r="A292" s="20"/>
      <c r="B292" s="22"/>
    </row>
    <row r="293" spans="1:2">
      <c r="A293" s="20"/>
      <c r="B293" s="22"/>
    </row>
    <row r="294" spans="1:2">
      <c r="A294" s="20"/>
      <c r="B294" s="22"/>
    </row>
    <row r="295" spans="1:2">
      <c r="A295" s="20"/>
      <c r="B295" s="22"/>
    </row>
    <row r="296" spans="1:2">
      <c r="A296" s="20"/>
      <c r="B296" s="22"/>
    </row>
    <row r="297" spans="1:2">
      <c r="A297" s="20"/>
      <c r="B297" s="22"/>
    </row>
    <row r="298" spans="1:2">
      <c r="A298" s="20"/>
      <c r="B298" s="22"/>
    </row>
    <row r="299" spans="1:2">
      <c r="A299" s="20"/>
      <c r="B299" s="22"/>
    </row>
    <row r="300" spans="1:2">
      <c r="A300" s="20"/>
      <c r="B300" s="22"/>
    </row>
    <row r="301" spans="1:2">
      <c r="A301" s="20"/>
      <c r="B301" s="22"/>
    </row>
    <row r="302" spans="1:2">
      <c r="A302" s="20"/>
      <c r="B302" s="22"/>
    </row>
    <row r="303" spans="1:2">
      <c r="A303" s="20"/>
      <c r="B303" s="22"/>
    </row>
    <row r="304" spans="1:2">
      <c r="A304" s="20"/>
      <c r="B304" s="22"/>
    </row>
    <row r="305" spans="1:2">
      <c r="A305" s="20"/>
      <c r="B305" s="22"/>
    </row>
    <row r="306" spans="1:2">
      <c r="A306" s="20"/>
      <c r="B306" s="22"/>
    </row>
    <row r="307" spans="1:2">
      <c r="A307" s="20"/>
      <c r="B307" s="22"/>
    </row>
    <row r="308" spans="1:2">
      <c r="A308" s="20"/>
      <c r="B308" s="22"/>
    </row>
    <row r="309" spans="1:2">
      <c r="A309" s="20"/>
      <c r="B309" s="22"/>
    </row>
    <row r="310" spans="1:2">
      <c r="A310" s="20"/>
      <c r="B310" s="22"/>
    </row>
    <row r="311" spans="1:2">
      <c r="A311" s="20"/>
      <c r="B311" s="22"/>
    </row>
    <row r="312" spans="1:2">
      <c r="A312" s="20"/>
      <c r="B312" s="22"/>
    </row>
    <row r="313" spans="1:2">
      <c r="A313" s="20"/>
      <c r="B313" s="22"/>
    </row>
    <row r="314" spans="1:2">
      <c r="A314" s="20"/>
      <c r="B314" s="22"/>
    </row>
    <row r="315" spans="1:2">
      <c r="A315" s="20"/>
      <c r="B315" s="22"/>
    </row>
    <row r="316" spans="1:2">
      <c r="A316" s="20"/>
      <c r="B316" s="22"/>
    </row>
    <row r="317" spans="1:2">
      <c r="A317" s="20"/>
      <c r="B317" s="22"/>
    </row>
    <row r="318" spans="1:2">
      <c r="A318" s="20"/>
      <c r="B318" s="22"/>
    </row>
    <row r="319" spans="1:2">
      <c r="A319" s="20"/>
      <c r="B319" s="22"/>
    </row>
    <row r="320" spans="1:2">
      <c r="A320" s="20"/>
      <c r="B320" s="22"/>
    </row>
    <row r="321" spans="1:2">
      <c r="A321" s="20"/>
      <c r="B321" s="22"/>
    </row>
    <row r="322" spans="1:2">
      <c r="A322" s="20"/>
      <c r="B322" s="22"/>
    </row>
    <row r="323" spans="1:2">
      <c r="A323" s="20"/>
      <c r="B323" s="22"/>
    </row>
    <row r="324" spans="1:2">
      <c r="A324" s="20"/>
      <c r="B324" s="22"/>
    </row>
    <row r="325" spans="1:2">
      <c r="A325" s="20"/>
      <c r="B325" s="22"/>
    </row>
    <row r="326" spans="1:2">
      <c r="A326" s="20"/>
      <c r="B326" s="22"/>
    </row>
    <row r="327" spans="1:2">
      <c r="A327" s="20"/>
      <c r="B327" s="22"/>
    </row>
    <row r="328" spans="1:2">
      <c r="A328" s="20"/>
      <c r="B328" s="22"/>
    </row>
    <row r="329" spans="1:2">
      <c r="A329" s="20"/>
      <c r="B329" s="22"/>
    </row>
    <row r="330" spans="1:2">
      <c r="A330" s="20"/>
      <c r="B330" s="22"/>
    </row>
    <row r="331" spans="1:2">
      <c r="A331" s="20"/>
      <c r="B331" s="22"/>
    </row>
    <row r="332" spans="1:2">
      <c r="A332" s="20"/>
      <c r="B332" s="22"/>
    </row>
    <row r="333" spans="1:2">
      <c r="A333" s="20"/>
      <c r="B333" s="22"/>
    </row>
    <row r="334" spans="1:2">
      <c r="A334" s="20"/>
      <c r="B334" s="22"/>
    </row>
    <row r="335" spans="1:2">
      <c r="A335" s="20"/>
      <c r="B335" s="22"/>
    </row>
    <row r="336" spans="1:2">
      <c r="A336" s="20"/>
      <c r="B336" s="22"/>
    </row>
    <row r="337" spans="1:2">
      <c r="A337" s="20"/>
      <c r="B337" s="22"/>
    </row>
    <row r="338" spans="1:2">
      <c r="A338" s="20"/>
      <c r="B338" s="22"/>
    </row>
    <row r="339" spans="1:2">
      <c r="A339" s="20"/>
      <c r="B339" s="22"/>
    </row>
    <row r="340" spans="1:2">
      <c r="A340" s="20"/>
      <c r="B340" s="22"/>
    </row>
    <row r="341" spans="1:2">
      <c r="A341" s="20"/>
      <c r="B341" s="22"/>
    </row>
    <row r="342" spans="1:2">
      <c r="A342" s="20"/>
      <c r="B342" s="22"/>
    </row>
    <row r="343" spans="1:2">
      <c r="A343" s="20"/>
      <c r="B343" s="22"/>
    </row>
    <row r="344" spans="1:2">
      <c r="A344" s="20"/>
      <c r="B344" s="22"/>
    </row>
    <row r="345" spans="1:2">
      <c r="A345" s="20"/>
      <c r="B345" s="22"/>
    </row>
    <row r="346" spans="1:2">
      <c r="A346" s="20"/>
      <c r="B346" s="22"/>
    </row>
    <row r="347" spans="1:2">
      <c r="A347" s="20"/>
      <c r="B347" s="22"/>
    </row>
    <row r="348" spans="1:2">
      <c r="A348" s="20"/>
      <c r="B348" s="22"/>
    </row>
    <row r="349" spans="1:2">
      <c r="A349" s="20"/>
      <c r="B349" s="22"/>
    </row>
    <row r="350" spans="1:2">
      <c r="A350" s="20"/>
      <c r="B350" s="22"/>
    </row>
    <row r="351" spans="1:2">
      <c r="A351" s="20"/>
      <c r="B351" s="22"/>
    </row>
    <row r="352" spans="1:2">
      <c r="A352" s="20"/>
      <c r="B352" s="22"/>
    </row>
    <row r="353" spans="1:2">
      <c r="A353" s="20"/>
      <c r="B353" s="22"/>
    </row>
    <row r="354" spans="1:2">
      <c r="A354" s="20"/>
      <c r="B354" s="22"/>
    </row>
    <row r="355" spans="1:2">
      <c r="A355" s="20"/>
      <c r="B355" s="22"/>
    </row>
    <row r="356" spans="1:2">
      <c r="A356" s="20"/>
      <c r="B356" s="22"/>
    </row>
    <row r="357" spans="1:2">
      <c r="A357" s="20"/>
      <c r="B357" s="22"/>
    </row>
    <row r="358" spans="1:2">
      <c r="A358" s="20"/>
      <c r="B358" s="22"/>
    </row>
    <row r="359" spans="1:2">
      <c r="A359" s="20"/>
      <c r="B359" s="22"/>
    </row>
    <row r="360" spans="1:2">
      <c r="A360" s="20"/>
      <c r="B360" s="22"/>
    </row>
    <row r="361" spans="1:2">
      <c r="A361" s="20"/>
      <c r="B361" s="22"/>
    </row>
    <row r="362" spans="1:2">
      <c r="A362" s="20"/>
      <c r="B362" s="22"/>
    </row>
    <row r="363" spans="1:2">
      <c r="A363" s="20"/>
      <c r="B363" s="22"/>
    </row>
    <row r="364" spans="1:2">
      <c r="A364" s="20"/>
      <c r="B364" s="22"/>
    </row>
    <row r="365" spans="1:2">
      <c r="A365" s="20"/>
      <c r="B365" s="22"/>
    </row>
    <row r="366" spans="1:2">
      <c r="A366" s="20"/>
      <c r="B366" s="22"/>
    </row>
    <row r="367" spans="1:2">
      <c r="A367" s="20"/>
      <c r="B367" s="22"/>
    </row>
    <row r="368" spans="1:2">
      <c r="A368" s="20"/>
      <c r="B368" s="22"/>
    </row>
    <row r="369" spans="1:2">
      <c r="A369" s="20"/>
      <c r="B369" s="22"/>
    </row>
    <row r="370" spans="1:2">
      <c r="A370" s="20"/>
      <c r="B370" s="22"/>
    </row>
    <row r="371" spans="1:2">
      <c r="A371" s="20"/>
      <c r="B371" s="22"/>
    </row>
    <row r="372" spans="1:2">
      <c r="A372" s="20"/>
      <c r="B372" s="22"/>
    </row>
    <row r="373" spans="1:2">
      <c r="A373" s="20"/>
      <c r="B373" s="22"/>
    </row>
    <row r="374" spans="1:2">
      <c r="A374" s="20"/>
      <c r="B374" s="22"/>
    </row>
    <row r="375" spans="1:2">
      <c r="A375" s="20"/>
      <c r="B375" s="22"/>
    </row>
    <row r="376" spans="1:2">
      <c r="A376" s="20"/>
      <c r="B376" s="22"/>
    </row>
    <row r="377" spans="1:2">
      <c r="A377" s="20"/>
      <c r="B377" s="22"/>
    </row>
    <row r="378" spans="1:2">
      <c r="A378" s="20"/>
      <c r="B378" s="22"/>
    </row>
    <row r="379" spans="1:2">
      <c r="A379" s="20"/>
      <c r="B379" s="22"/>
    </row>
    <row r="380" spans="1:2">
      <c r="A380" s="20"/>
      <c r="B380" s="22"/>
    </row>
    <row r="381" spans="1:2">
      <c r="A381" s="20"/>
      <c r="B381" s="22"/>
    </row>
    <row r="382" spans="1:2">
      <c r="A382" s="20"/>
      <c r="B382" s="22"/>
    </row>
    <row r="383" spans="1:2">
      <c r="A383" s="20"/>
      <c r="B383" s="22"/>
    </row>
    <row r="384" spans="1:2">
      <c r="A384" s="20"/>
      <c r="B384" s="22"/>
    </row>
    <row r="385" spans="1:2">
      <c r="A385" s="20"/>
      <c r="B385" s="22"/>
    </row>
    <row r="386" spans="1:2">
      <c r="A386" s="20"/>
      <c r="B386" s="22"/>
    </row>
    <row r="387" spans="1:2">
      <c r="A387" s="20"/>
      <c r="B387" s="22"/>
    </row>
    <row r="388" spans="1:2">
      <c r="A388" s="20"/>
      <c r="B388" s="22"/>
    </row>
    <row r="389" spans="1:2">
      <c r="A389" s="20"/>
      <c r="B389" s="22"/>
    </row>
    <row r="390" spans="1:2">
      <c r="A390" s="20"/>
      <c r="B390" s="22"/>
    </row>
    <row r="391" spans="1:2">
      <c r="A391" s="20"/>
      <c r="B391" s="22"/>
    </row>
    <row r="392" spans="1:2">
      <c r="A392" s="20"/>
      <c r="B392" s="22"/>
    </row>
    <row r="393" spans="1:2">
      <c r="A393" s="20"/>
      <c r="B393" s="22"/>
    </row>
    <row r="394" spans="1:2">
      <c r="A394" s="20"/>
      <c r="B394" s="22"/>
    </row>
    <row r="395" spans="1:2">
      <c r="A395" s="20"/>
      <c r="B395" s="22"/>
    </row>
    <row r="396" spans="1:2">
      <c r="A396" s="20"/>
      <c r="B396" s="22"/>
    </row>
    <row r="397" spans="1:2">
      <c r="A397" s="20"/>
      <c r="B397" s="22"/>
    </row>
    <row r="398" spans="1:2">
      <c r="A398" s="20"/>
      <c r="B398" s="22"/>
    </row>
    <row r="399" spans="1:2">
      <c r="A399" s="20"/>
      <c r="B399" s="22"/>
    </row>
    <row r="400" spans="1:2">
      <c r="A400" s="20"/>
      <c r="B400" s="22"/>
    </row>
    <row r="401" spans="1:2">
      <c r="A401" s="20"/>
      <c r="B401" s="22"/>
    </row>
    <row r="402" spans="1:2">
      <c r="A402" s="20"/>
      <c r="B402" s="22"/>
    </row>
    <row r="403" spans="1:2">
      <c r="A403" s="20"/>
      <c r="B403" s="22"/>
    </row>
    <row r="404" spans="1:2">
      <c r="A404" s="20"/>
      <c r="B404" s="22"/>
    </row>
    <row r="405" spans="1:2">
      <c r="A405" s="20"/>
      <c r="B405" s="22"/>
    </row>
    <row r="406" spans="1:2">
      <c r="A406" s="20"/>
      <c r="B406" s="22"/>
    </row>
    <row r="407" spans="1:2">
      <c r="A407" s="20"/>
      <c r="B407" s="22"/>
    </row>
    <row r="408" spans="1:2">
      <c r="A408" s="20"/>
      <c r="B408" s="22"/>
    </row>
    <row r="409" spans="1:2">
      <c r="A409" s="20"/>
      <c r="B409" s="22"/>
    </row>
    <row r="410" spans="1:2">
      <c r="A410" s="20"/>
      <c r="B410" s="22"/>
    </row>
    <row r="411" spans="1:2">
      <c r="A411" s="20"/>
      <c r="B411" s="22"/>
    </row>
    <row r="412" spans="1:2">
      <c r="A412" s="20"/>
      <c r="B412" s="22"/>
    </row>
    <row r="413" spans="1:2">
      <c r="A413" s="20"/>
      <c r="B413" s="22"/>
    </row>
    <row r="414" spans="1:2">
      <c r="A414" s="20"/>
      <c r="B414" s="22"/>
    </row>
    <row r="415" spans="1:2">
      <c r="A415" s="20"/>
      <c r="B415" s="22"/>
    </row>
    <row r="416" spans="1:2">
      <c r="A416" s="20"/>
      <c r="B416" s="22"/>
    </row>
    <row r="417" spans="1:2">
      <c r="A417" s="20"/>
      <c r="B417" s="22"/>
    </row>
    <row r="418" spans="1:2">
      <c r="A418" s="20"/>
      <c r="B418" s="22"/>
    </row>
    <row r="419" spans="1:2">
      <c r="A419" s="20"/>
      <c r="B419" s="22"/>
    </row>
    <row r="420" spans="1:2">
      <c r="A420" s="20"/>
      <c r="B420" s="22"/>
    </row>
    <row r="421" spans="1:2">
      <c r="A421" s="20"/>
      <c r="B421" s="22"/>
    </row>
    <row r="422" spans="1:2">
      <c r="A422" s="20"/>
      <c r="B422" s="22"/>
    </row>
    <row r="423" spans="1:2">
      <c r="A423" s="20"/>
      <c r="B423" s="22"/>
    </row>
    <row r="424" spans="1:2">
      <c r="A424" s="20"/>
      <c r="B424" s="22"/>
    </row>
    <row r="425" spans="1:2">
      <c r="A425" s="20"/>
      <c r="B425" s="22"/>
    </row>
    <row r="426" spans="1:2">
      <c r="A426" s="20"/>
      <c r="B426" s="22"/>
    </row>
    <row r="427" spans="1:2">
      <c r="A427" s="20"/>
      <c r="B427" s="22"/>
    </row>
    <row r="428" spans="1:2">
      <c r="A428" s="20"/>
      <c r="B428" s="22"/>
    </row>
    <row r="429" spans="1:2">
      <c r="A429" s="20"/>
      <c r="B429" s="22"/>
    </row>
    <row r="430" spans="1:2">
      <c r="A430" s="20"/>
      <c r="B430" s="22"/>
    </row>
    <row r="431" spans="1:2">
      <c r="A431" s="20"/>
      <c r="B431" s="22"/>
    </row>
    <row r="432" spans="1:2">
      <c r="A432" s="20"/>
      <c r="B432" s="22"/>
    </row>
    <row r="433" spans="1:2">
      <c r="A433" s="20"/>
      <c r="B433" s="22"/>
    </row>
    <row r="434" spans="1:2">
      <c r="A434" s="20"/>
      <c r="B434" s="22"/>
    </row>
    <row r="435" spans="1:2">
      <c r="A435" s="20"/>
      <c r="B435" s="22"/>
    </row>
    <row r="436" spans="1:2">
      <c r="A436" s="20"/>
      <c r="B436" s="22"/>
    </row>
    <row r="437" spans="1:2">
      <c r="A437" s="20"/>
      <c r="B437" s="22"/>
    </row>
    <row r="438" spans="1:2">
      <c r="A438" s="20"/>
      <c r="B438" s="22"/>
    </row>
    <row r="439" spans="1:2">
      <c r="A439" s="20"/>
      <c r="B439" s="22"/>
    </row>
    <row r="440" spans="1:2">
      <c r="A440" s="20"/>
      <c r="B440" s="22"/>
    </row>
    <row r="441" spans="1:2">
      <c r="A441" s="20"/>
      <c r="B441" s="22"/>
    </row>
    <row r="442" spans="1:2">
      <c r="A442" s="20"/>
      <c r="B442" s="22"/>
    </row>
    <row r="443" spans="1:2">
      <c r="A443" s="20"/>
      <c r="B443" s="22"/>
    </row>
    <row r="444" spans="1:2">
      <c r="A444" s="20"/>
      <c r="B444" s="22"/>
    </row>
    <row r="445" spans="1:2">
      <c r="A445" s="20"/>
      <c r="B445" s="22"/>
    </row>
    <row r="446" spans="1:2">
      <c r="A446" s="20"/>
      <c r="B446" s="22"/>
    </row>
    <row r="447" spans="1:2">
      <c r="A447" s="20"/>
      <c r="B447" s="22"/>
    </row>
    <row r="448" spans="1:2">
      <c r="A448" s="20"/>
      <c r="B448" s="22"/>
    </row>
    <row r="449" spans="1:2">
      <c r="A449" s="20"/>
      <c r="B449" s="22"/>
    </row>
    <row r="450" spans="1:2">
      <c r="A450" s="20"/>
      <c r="B450" s="22"/>
    </row>
    <row r="451" spans="1:2">
      <c r="A451" s="20"/>
      <c r="B451" s="22"/>
    </row>
    <row r="452" spans="1:2">
      <c r="A452" s="20"/>
      <c r="B452" s="22"/>
    </row>
    <row r="453" spans="1:2">
      <c r="A453" s="20"/>
      <c r="B453" s="22"/>
    </row>
    <row r="454" spans="1:2">
      <c r="A454" s="20"/>
      <c r="B454" s="22"/>
    </row>
    <row r="455" spans="1:2">
      <c r="A455" s="20"/>
      <c r="B455" s="22"/>
    </row>
    <row r="456" spans="1:2">
      <c r="A456" s="20"/>
      <c r="B456" s="22"/>
    </row>
    <row r="457" spans="1:2">
      <c r="A457" s="20"/>
      <c r="B457" s="22"/>
    </row>
    <row r="458" spans="1:2">
      <c r="A458" s="20"/>
      <c r="B458" s="22"/>
    </row>
    <row r="459" spans="1:2">
      <c r="A459" s="20"/>
      <c r="B459" s="22"/>
    </row>
    <row r="460" spans="1:2">
      <c r="A460" s="20"/>
      <c r="B460" s="22"/>
    </row>
    <row r="461" spans="1:2">
      <c r="A461" s="20"/>
      <c r="B461" s="22"/>
    </row>
    <row r="462" spans="1:2">
      <c r="A462" s="20"/>
      <c r="B462" s="22"/>
    </row>
    <row r="463" spans="1:2">
      <c r="A463" s="20"/>
      <c r="B463" s="22"/>
    </row>
    <row r="464" spans="1:2">
      <c r="A464" s="20"/>
      <c r="B464" s="22"/>
    </row>
    <row r="465" spans="1:2">
      <c r="A465" s="20"/>
      <c r="B465" s="22"/>
    </row>
    <row r="466" spans="1:2">
      <c r="A466" s="20"/>
      <c r="B466" s="22"/>
    </row>
    <row r="467" spans="1:2">
      <c r="A467" s="20"/>
      <c r="B467" s="22"/>
    </row>
    <row r="468" spans="1:2">
      <c r="A468" s="20"/>
      <c r="B468" s="22"/>
    </row>
    <row r="469" spans="1:2">
      <c r="A469" s="20"/>
      <c r="B469" s="22"/>
    </row>
    <row r="470" spans="1:2">
      <c r="A470" s="20"/>
      <c r="B470" s="22"/>
    </row>
    <row r="471" spans="1:2">
      <c r="A471" s="20"/>
      <c r="B471" s="22"/>
    </row>
    <row r="472" spans="1:2">
      <c r="A472" s="20"/>
      <c r="B472" s="22"/>
    </row>
    <row r="473" spans="1:2">
      <c r="A473" s="20"/>
      <c r="B473" s="22"/>
    </row>
    <row r="474" spans="1:2">
      <c r="A474" s="20"/>
      <c r="B474" s="22"/>
    </row>
    <row r="475" spans="1:2">
      <c r="A475" s="20"/>
      <c r="B475" s="22"/>
    </row>
    <row r="476" spans="1:2">
      <c r="A476" s="20"/>
      <c r="B476" s="22"/>
    </row>
    <row r="477" spans="1:2">
      <c r="A477" s="20"/>
      <c r="B477" s="22"/>
    </row>
    <row r="478" spans="1:2">
      <c r="A478" s="20"/>
      <c r="B478" s="22"/>
    </row>
    <row r="479" spans="1:2">
      <c r="A479" s="20"/>
      <c r="B479" s="22"/>
    </row>
    <row r="480" spans="1:2">
      <c r="A480" s="20"/>
      <c r="B480" s="22"/>
    </row>
    <row r="481" spans="1:2">
      <c r="A481" s="20"/>
      <c r="B481" s="22"/>
    </row>
    <row r="482" spans="1:2">
      <c r="A482" s="20"/>
      <c r="B482" s="22"/>
    </row>
    <row r="483" spans="1:2">
      <c r="A483" s="20"/>
      <c r="B483" s="22"/>
    </row>
    <row r="484" spans="1:2">
      <c r="A484" s="20"/>
      <c r="B484" s="22"/>
    </row>
    <row r="485" spans="1:2">
      <c r="A485" s="20"/>
      <c r="B485" s="22"/>
    </row>
    <row r="486" spans="1:2">
      <c r="A486" s="20"/>
      <c r="B486" s="22"/>
    </row>
    <row r="487" spans="1:2">
      <c r="A487" s="20"/>
      <c r="B487" s="22"/>
    </row>
    <row r="488" spans="1:2">
      <c r="A488" s="20"/>
      <c r="B488" s="22"/>
    </row>
    <row r="489" spans="1:2">
      <c r="A489" s="20"/>
      <c r="B489" s="22"/>
    </row>
    <row r="490" spans="1:2">
      <c r="A490" s="20"/>
      <c r="B490" s="22"/>
    </row>
    <row r="491" spans="1:2">
      <c r="A491" s="20"/>
      <c r="B491" s="22"/>
    </row>
    <row r="492" spans="1:2">
      <c r="A492" s="20"/>
      <c r="B492" s="22"/>
    </row>
    <row r="493" spans="1:2">
      <c r="A493" s="20"/>
      <c r="B493" s="22"/>
    </row>
    <row r="494" spans="1:2">
      <c r="A494" s="20"/>
      <c r="B494" s="22"/>
    </row>
    <row r="495" spans="1:2">
      <c r="A495" s="20"/>
      <c r="B495" s="22"/>
    </row>
    <row r="496" spans="1:2">
      <c r="A496" s="20"/>
      <c r="B496" s="22"/>
    </row>
    <row r="497" spans="1:2">
      <c r="A497" s="20"/>
      <c r="B497" s="22"/>
    </row>
    <row r="498" spans="1:2">
      <c r="A498" s="20"/>
      <c r="B498" s="22"/>
    </row>
    <row r="499" spans="1:2">
      <c r="A499" s="20"/>
      <c r="B499" s="22"/>
    </row>
    <row r="500" spans="1:2">
      <c r="A500" s="20"/>
      <c r="B500" s="22"/>
    </row>
    <row r="501" spans="1:2">
      <c r="A501" s="20"/>
      <c r="B501" s="22"/>
    </row>
    <row r="502" spans="1:2">
      <c r="A502" s="20"/>
      <c r="B502" s="22"/>
    </row>
    <row r="503" spans="1:2">
      <c r="A503" s="20"/>
      <c r="B503" s="22"/>
    </row>
    <row r="504" spans="1:2">
      <c r="A504" s="20"/>
      <c r="B504" s="22"/>
    </row>
    <row r="505" spans="1:2">
      <c r="A505" s="20"/>
      <c r="B505" s="22"/>
    </row>
    <row r="506" spans="1:2">
      <c r="A506" s="20"/>
      <c r="B506" s="22"/>
    </row>
    <row r="507" spans="1:2">
      <c r="A507" s="20"/>
      <c r="B507" s="22"/>
    </row>
    <row r="508" spans="1:2">
      <c r="A508" s="20"/>
      <c r="B508" s="22"/>
    </row>
    <row r="509" spans="1:2">
      <c r="A509" s="20"/>
      <c r="B509" s="22"/>
    </row>
    <row r="510" spans="1:2">
      <c r="A510" s="20"/>
      <c r="B510" s="22"/>
    </row>
    <row r="511" spans="1:2">
      <c r="A511" s="20"/>
      <c r="B511" s="22"/>
    </row>
    <row r="512" spans="1:2">
      <c r="A512" s="20"/>
      <c r="B512" s="22"/>
    </row>
    <row r="513" spans="1:2">
      <c r="A513" s="20"/>
      <c r="B513" s="22"/>
    </row>
    <row r="514" spans="1:2">
      <c r="A514" s="20"/>
      <c r="B514" s="22"/>
    </row>
    <row r="515" spans="1:2">
      <c r="A515" s="20"/>
      <c r="B515" s="22"/>
    </row>
    <row r="516" spans="1:2">
      <c r="A516" s="20"/>
      <c r="B516" s="22"/>
    </row>
    <row r="517" spans="1:2">
      <c r="A517" s="20"/>
      <c r="B517" s="22"/>
    </row>
    <row r="518" spans="1:2">
      <c r="A518" s="20"/>
      <c r="B518" s="22"/>
    </row>
    <row r="519" spans="1:2">
      <c r="A519" s="20"/>
      <c r="B519" s="22"/>
    </row>
    <row r="520" spans="1:2">
      <c r="A520" s="20"/>
      <c r="B520" s="22"/>
    </row>
    <row r="521" spans="1:2">
      <c r="A521" s="20"/>
      <c r="B521" s="22"/>
    </row>
    <row r="522" spans="1:2">
      <c r="A522" s="20"/>
      <c r="B522" s="22"/>
    </row>
    <row r="523" spans="1:2">
      <c r="A523" s="20"/>
      <c r="B523" s="22"/>
    </row>
    <row r="524" spans="1:2">
      <c r="A524" s="20"/>
      <c r="B524" s="22"/>
    </row>
    <row r="525" spans="1:2">
      <c r="A525" s="20"/>
      <c r="B525" s="22"/>
    </row>
    <row r="526" spans="1:2">
      <c r="A526" s="20"/>
      <c r="B526" s="22"/>
    </row>
    <row r="527" spans="1:2">
      <c r="A527" s="20"/>
      <c r="B527" s="22"/>
    </row>
    <row r="528" spans="1:2">
      <c r="A528" s="20"/>
      <c r="B528" s="22"/>
    </row>
    <row r="529" spans="1:2">
      <c r="A529" s="20"/>
      <c r="B529" s="22"/>
    </row>
    <row r="530" spans="1:2">
      <c r="A530" s="20"/>
      <c r="B530" s="22"/>
    </row>
    <row r="531" spans="1:2">
      <c r="A531" s="20"/>
      <c r="B531" s="22"/>
    </row>
    <row r="532" spans="1:2">
      <c r="A532" s="20"/>
      <c r="B532" s="22"/>
    </row>
    <row r="533" spans="1:2">
      <c r="A533" s="20"/>
      <c r="B533" s="22"/>
    </row>
    <row r="534" spans="1:2">
      <c r="A534" s="20"/>
      <c r="B534" s="22"/>
    </row>
    <row r="535" spans="1:2">
      <c r="A535" s="20"/>
      <c r="B535" s="22"/>
    </row>
    <row r="536" spans="1:2">
      <c r="A536" s="20"/>
      <c r="B536" s="22"/>
    </row>
    <row r="537" spans="1:2">
      <c r="A537" s="20"/>
      <c r="B537" s="22"/>
    </row>
    <row r="538" spans="1:2">
      <c r="A538" s="20"/>
      <c r="B538" s="22"/>
    </row>
    <row r="539" spans="1:2">
      <c r="A539" s="20"/>
      <c r="B539" s="22"/>
    </row>
    <row r="540" spans="1:2">
      <c r="A540" s="20"/>
      <c r="B540" s="22"/>
    </row>
    <row r="541" spans="1:2">
      <c r="A541" s="20"/>
      <c r="B541" s="22"/>
    </row>
    <row r="542" spans="1:2">
      <c r="A542" s="20"/>
      <c r="B542" s="22"/>
    </row>
    <row r="543" spans="1:2">
      <c r="A543" s="20"/>
      <c r="B543" s="22"/>
    </row>
    <row r="544" spans="1:2">
      <c r="A544" s="20"/>
      <c r="B544" s="22"/>
    </row>
    <row r="545" spans="1:2">
      <c r="A545" s="20"/>
      <c r="B545" s="22"/>
    </row>
    <row r="546" spans="1:2">
      <c r="A546" s="20"/>
      <c r="B546" s="22"/>
    </row>
    <row r="547" spans="1:2">
      <c r="A547" s="20"/>
      <c r="B547" s="22"/>
    </row>
    <row r="548" spans="1:2">
      <c r="A548" s="20"/>
      <c r="B548" s="22"/>
    </row>
    <row r="549" spans="1:2">
      <c r="A549" s="20"/>
      <c r="B549" s="22"/>
    </row>
    <row r="550" spans="1:2">
      <c r="A550" s="20"/>
      <c r="B550" s="22"/>
    </row>
    <row r="551" spans="1:2">
      <c r="A551" s="20"/>
      <c r="B551" s="22"/>
    </row>
    <row r="552" spans="1:2">
      <c r="A552" s="20"/>
      <c r="B552" s="22"/>
    </row>
    <row r="553" spans="1:2">
      <c r="A553" s="20"/>
      <c r="B553" s="22"/>
    </row>
    <row r="554" spans="1:2">
      <c r="A554" s="20"/>
      <c r="B554" s="22"/>
    </row>
    <row r="555" spans="1:2">
      <c r="A555" s="20"/>
      <c r="B555" s="22"/>
    </row>
    <row r="556" spans="1:2">
      <c r="A556" s="20"/>
      <c r="B556" s="22"/>
    </row>
    <row r="557" spans="1:2">
      <c r="A557" s="20"/>
      <c r="B557" s="22"/>
    </row>
    <row r="558" spans="1:2">
      <c r="A558" s="20"/>
      <c r="B558" s="22"/>
    </row>
    <row r="559" spans="1:2">
      <c r="A559" s="20"/>
      <c r="B559" s="22"/>
    </row>
    <row r="560" spans="1:2">
      <c r="A560" s="20"/>
      <c r="B560" s="22"/>
    </row>
    <row r="561" spans="1:2">
      <c r="A561" s="20"/>
      <c r="B561" s="22"/>
    </row>
    <row r="562" spans="1:2">
      <c r="A562" s="20"/>
      <c r="B562" s="22"/>
    </row>
    <row r="563" spans="1:2">
      <c r="A563" s="20"/>
      <c r="B563" s="22"/>
    </row>
    <row r="564" spans="1:2">
      <c r="A564" s="20"/>
      <c r="B564" s="22"/>
    </row>
    <row r="565" spans="1:2">
      <c r="A565" s="20"/>
      <c r="B565" s="22"/>
    </row>
    <row r="566" spans="1:2">
      <c r="A566" s="20"/>
      <c r="B566" s="22"/>
    </row>
    <row r="567" spans="1:2">
      <c r="A567" s="20"/>
      <c r="B567" s="22"/>
    </row>
    <row r="568" spans="1:2">
      <c r="A568" s="20"/>
      <c r="B568" s="22"/>
    </row>
    <row r="569" spans="1:2">
      <c r="A569" s="20"/>
      <c r="B569" s="22"/>
    </row>
    <row r="570" spans="1:2">
      <c r="A570" s="20"/>
      <c r="B570" s="22"/>
    </row>
    <row r="571" spans="1:2">
      <c r="A571" s="20"/>
      <c r="B571" s="22"/>
    </row>
    <row r="572" spans="1:2">
      <c r="A572" s="20"/>
      <c r="B572" s="22"/>
    </row>
    <row r="573" spans="1:2">
      <c r="A573" s="20"/>
      <c r="B573" s="22"/>
    </row>
    <row r="574" spans="1:2">
      <c r="A574" s="20"/>
      <c r="B574" s="22"/>
    </row>
    <row r="575" spans="1:2">
      <c r="A575" s="20"/>
      <c r="B575" s="22"/>
    </row>
    <row r="576" spans="1:2">
      <c r="A576" s="20"/>
      <c r="B576" s="22"/>
    </row>
    <row r="577" spans="1:2">
      <c r="A577" s="20"/>
      <c r="B577" s="22"/>
    </row>
    <row r="578" spans="1:2">
      <c r="A578" s="20"/>
      <c r="B578" s="22"/>
    </row>
    <row r="579" spans="1:2">
      <c r="A579" s="20"/>
      <c r="B579" s="22"/>
    </row>
    <row r="580" spans="1:2">
      <c r="A580" s="20"/>
      <c r="B580" s="22"/>
    </row>
    <row r="581" spans="1:2">
      <c r="A581" s="20"/>
      <c r="B581" s="22"/>
    </row>
    <row r="582" spans="1:2">
      <c r="A582" s="20"/>
      <c r="B582" s="22"/>
    </row>
    <row r="583" spans="1:2">
      <c r="A583" s="20"/>
      <c r="B583" s="22"/>
    </row>
    <row r="584" spans="1:2">
      <c r="A584" s="20"/>
      <c r="B584" s="22"/>
    </row>
    <row r="585" spans="1:2">
      <c r="A585" s="20"/>
      <c r="B585" s="22"/>
    </row>
    <row r="586" spans="1:2">
      <c r="A586" s="20"/>
      <c r="B586" s="22"/>
    </row>
    <row r="587" spans="1:2">
      <c r="A587" s="20"/>
      <c r="B587" s="22"/>
    </row>
    <row r="588" spans="1:2">
      <c r="A588" s="20"/>
      <c r="B588" s="22"/>
    </row>
    <row r="589" spans="1:2">
      <c r="A589" s="20"/>
      <c r="B589" s="22"/>
    </row>
    <row r="590" spans="1:2">
      <c r="A590" s="20"/>
      <c r="B590" s="22"/>
    </row>
    <row r="591" spans="1:2">
      <c r="A591" s="20"/>
      <c r="B591" s="22"/>
    </row>
    <row r="592" spans="1:2">
      <c r="A592" s="20"/>
      <c r="B592" s="22"/>
    </row>
    <row r="593" spans="1:2">
      <c r="A593" s="20"/>
      <c r="B593" s="22"/>
    </row>
    <row r="594" spans="1:2">
      <c r="A594" s="20"/>
      <c r="B594" s="22"/>
    </row>
    <row r="595" spans="1:2">
      <c r="A595" s="20"/>
      <c r="B595" s="22"/>
    </row>
    <row r="596" spans="1:2">
      <c r="A596" s="20"/>
      <c r="B596" s="22"/>
    </row>
    <row r="597" spans="1:2">
      <c r="A597" s="20"/>
      <c r="B597" s="22"/>
    </row>
    <row r="598" spans="1:2">
      <c r="A598" s="20"/>
      <c r="B598" s="22"/>
    </row>
    <row r="599" spans="1:2">
      <c r="A599" s="20"/>
      <c r="B599" s="22"/>
    </row>
    <row r="600" spans="1:2">
      <c r="A600" s="20"/>
      <c r="B600" s="22"/>
    </row>
    <row r="601" spans="1:2">
      <c r="A601" s="20"/>
      <c r="B601" s="22"/>
    </row>
    <row r="602" spans="1:2">
      <c r="A602" s="20"/>
      <c r="B602" s="22"/>
    </row>
    <row r="603" spans="1:2">
      <c r="A603" s="20"/>
      <c r="B603" s="22"/>
    </row>
    <row r="604" spans="1:2">
      <c r="A604" s="20"/>
      <c r="B604" s="22"/>
    </row>
    <row r="605" spans="1:2">
      <c r="A605" s="20"/>
      <c r="B605" s="22"/>
    </row>
    <row r="606" spans="1:2">
      <c r="A606" s="20"/>
      <c r="B606" s="22"/>
    </row>
    <row r="607" spans="1:2">
      <c r="A607" s="20"/>
      <c r="B607" s="22"/>
    </row>
    <row r="608" spans="1:2">
      <c r="A608" s="20"/>
      <c r="B608" s="22"/>
    </row>
    <row r="609" spans="1:2">
      <c r="A609" s="20"/>
      <c r="B609" s="22"/>
    </row>
    <row r="610" spans="1:2">
      <c r="A610" s="20"/>
      <c r="B610" s="22"/>
    </row>
    <row r="611" spans="1:2">
      <c r="A611" s="20"/>
      <c r="B611" s="22"/>
    </row>
    <row r="612" spans="1:2">
      <c r="A612" s="20"/>
      <c r="B612" s="22"/>
    </row>
    <row r="613" spans="1:2">
      <c r="A613" s="20"/>
      <c r="B613" s="22"/>
    </row>
    <row r="614" spans="1:2">
      <c r="A614" s="20"/>
      <c r="B614" s="22"/>
    </row>
    <row r="615" spans="1:2">
      <c r="A615" s="20"/>
      <c r="B615" s="22"/>
    </row>
    <row r="616" spans="1:2">
      <c r="A616" s="20"/>
      <c r="B616" s="22"/>
    </row>
    <row r="617" spans="1:2">
      <c r="A617" s="20"/>
      <c r="B617" s="22"/>
    </row>
    <row r="618" spans="1:2">
      <c r="A618" s="20"/>
      <c r="B618" s="22"/>
    </row>
    <row r="619" spans="1:2">
      <c r="A619" s="20"/>
      <c r="B619" s="22"/>
    </row>
    <row r="620" spans="1:2">
      <c r="A620" s="20"/>
      <c r="B620" s="22"/>
    </row>
    <row r="621" spans="1:2">
      <c r="A621" s="20"/>
      <c r="B621" s="22"/>
    </row>
    <row r="622" spans="1:2">
      <c r="A622" s="20"/>
      <c r="B622" s="22"/>
    </row>
    <row r="623" spans="1:2">
      <c r="A623" s="20"/>
      <c r="B623" s="22"/>
    </row>
    <row r="624" spans="1:2">
      <c r="A624" s="20"/>
      <c r="B624" s="22"/>
    </row>
    <row r="625" spans="1:2">
      <c r="A625" s="20"/>
      <c r="B625" s="22"/>
    </row>
    <row r="626" spans="1:2">
      <c r="A626" s="20"/>
      <c r="B626" s="22"/>
    </row>
    <row r="627" spans="1:2">
      <c r="A627" s="20"/>
      <c r="B627" s="22"/>
    </row>
    <row r="628" spans="1:2">
      <c r="A628" s="20"/>
      <c r="B628" s="22"/>
    </row>
    <row r="629" spans="1:2">
      <c r="A629" s="20"/>
      <c r="B629" s="22"/>
    </row>
    <row r="630" spans="1:2">
      <c r="A630" s="20"/>
      <c r="B630" s="22"/>
    </row>
    <row r="631" spans="1:2">
      <c r="A631" s="20"/>
      <c r="B631" s="22"/>
    </row>
    <row r="632" spans="1:2">
      <c r="A632" s="20"/>
      <c r="B632" s="22"/>
    </row>
    <row r="633" spans="1:2">
      <c r="A633" s="20"/>
      <c r="B633" s="22"/>
    </row>
    <row r="634" spans="1:2">
      <c r="A634" s="20"/>
      <c r="B634" s="22"/>
    </row>
    <row r="635" spans="1:2">
      <c r="A635" s="20"/>
      <c r="B635" s="22"/>
    </row>
    <row r="636" spans="1:2">
      <c r="A636" s="20"/>
      <c r="B636" s="22"/>
    </row>
    <row r="637" spans="1:2">
      <c r="A637" s="20"/>
      <c r="B637" s="22"/>
    </row>
    <row r="638" spans="1:2">
      <c r="A638" s="20"/>
      <c r="B638" s="22"/>
    </row>
    <row r="639" spans="1:2">
      <c r="A639" s="20"/>
      <c r="B639" s="22"/>
    </row>
    <row r="640" spans="1:2">
      <c r="A640" s="20"/>
      <c r="B640" s="22"/>
    </row>
    <row r="641" spans="1:2">
      <c r="A641" s="20"/>
      <c r="B641" s="22"/>
    </row>
    <row r="642" spans="1:2">
      <c r="A642" s="20"/>
      <c r="B642" s="22"/>
    </row>
    <row r="643" spans="1:2">
      <c r="A643" s="20"/>
      <c r="B643" s="22"/>
    </row>
    <row r="644" spans="1:2">
      <c r="A644" s="20"/>
      <c r="B644" s="22"/>
    </row>
    <row r="645" spans="1:2">
      <c r="A645" s="20"/>
      <c r="B645" s="22"/>
    </row>
    <row r="646" spans="1:2">
      <c r="A646" s="20"/>
      <c r="B646" s="22"/>
    </row>
    <row r="647" spans="1:2">
      <c r="A647" s="20"/>
      <c r="B647" s="22"/>
    </row>
    <row r="648" spans="1:2">
      <c r="A648" s="20"/>
      <c r="B648" s="22"/>
    </row>
    <row r="649" spans="1:2">
      <c r="A649" s="20"/>
      <c r="B649" s="22"/>
    </row>
    <row r="650" spans="1:2">
      <c r="A650" s="20"/>
      <c r="B650" s="22"/>
    </row>
    <row r="651" spans="1:2">
      <c r="A651" s="20"/>
      <c r="B651" s="22"/>
    </row>
    <row r="652" spans="1:2">
      <c r="A652" s="20"/>
      <c r="B652" s="22"/>
    </row>
    <row r="653" spans="1:2">
      <c r="A653" s="20"/>
      <c r="B653" s="22"/>
    </row>
    <row r="654" spans="1:2">
      <c r="A654" s="20"/>
      <c r="B654" s="22"/>
    </row>
    <row r="655" spans="1:2">
      <c r="A655" s="20"/>
      <c r="B655" s="22"/>
    </row>
    <row r="656" spans="1:2">
      <c r="A656" s="20"/>
      <c r="B656" s="22"/>
    </row>
    <row r="657" spans="1:2">
      <c r="A657" s="20"/>
      <c r="B657" s="22"/>
    </row>
    <row r="658" spans="1:2">
      <c r="A658" s="20"/>
      <c r="B658" s="22"/>
    </row>
    <row r="659" spans="1:2">
      <c r="A659" s="20"/>
      <c r="B659" s="22"/>
    </row>
    <row r="660" spans="1:2">
      <c r="A660" s="20"/>
      <c r="B660" s="22"/>
    </row>
    <row r="661" spans="1:2">
      <c r="A661" s="20"/>
      <c r="B661" s="22"/>
    </row>
    <row r="662" spans="1:2">
      <c r="A662" s="20"/>
      <c r="B662" s="22"/>
    </row>
    <row r="663" spans="1:2">
      <c r="A663" s="20"/>
      <c r="B663" s="22"/>
    </row>
    <row r="664" spans="1:2">
      <c r="A664" s="20"/>
      <c r="B664" s="22"/>
    </row>
    <row r="665" spans="1:2">
      <c r="A665" s="20"/>
      <c r="B665" s="22"/>
    </row>
    <row r="666" spans="1:2">
      <c r="A666" s="20"/>
      <c r="B666" s="22"/>
    </row>
    <row r="667" spans="1:2">
      <c r="A667" s="20"/>
      <c r="B667" s="22"/>
    </row>
    <row r="668" spans="1:2">
      <c r="A668" s="20"/>
      <c r="B668" s="22"/>
    </row>
    <row r="669" spans="1:2">
      <c r="A669" s="20"/>
      <c r="B669" s="22"/>
    </row>
    <row r="670" spans="1:2">
      <c r="A670" s="20"/>
      <c r="B670" s="22"/>
    </row>
    <row r="671" spans="1:2">
      <c r="A671" s="20"/>
      <c r="B671" s="22"/>
    </row>
    <row r="672" spans="1:2">
      <c r="A672" s="20"/>
      <c r="B672" s="22"/>
    </row>
    <row r="673" spans="1:2">
      <c r="A673" s="20"/>
      <c r="B673" s="22"/>
    </row>
    <row r="674" spans="1:2">
      <c r="A674" s="20"/>
      <c r="B674" s="22"/>
    </row>
    <row r="675" spans="1:2">
      <c r="A675" s="20"/>
      <c r="B675" s="22"/>
    </row>
    <row r="676" spans="1:2">
      <c r="A676" s="20"/>
      <c r="B676" s="22"/>
    </row>
    <row r="677" spans="1:2">
      <c r="A677" s="20"/>
      <c r="B677" s="22"/>
    </row>
    <row r="678" spans="1:2">
      <c r="A678" s="20"/>
      <c r="B678" s="22"/>
    </row>
    <row r="679" spans="1:2">
      <c r="A679" s="20"/>
      <c r="B679" s="22"/>
    </row>
    <row r="680" spans="1:2">
      <c r="A680" s="20"/>
      <c r="B680" s="22"/>
    </row>
    <row r="681" spans="1:2">
      <c r="A681" s="20"/>
      <c r="B681" s="22"/>
    </row>
    <row r="682" spans="1:2">
      <c r="A682" s="20"/>
      <c r="B682" s="22"/>
    </row>
    <row r="683" spans="1:2">
      <c r="A683" s="20"/>
      <c r="B683" s="22"/>
    </row>
    <row r="684" spans="1:2">
      <c r="A684" s="20"/>
      <c r="B684" s="22"/>
    </row>
    <row r="685" spans="1:2">
      <c r="A685" s="20"/>
      <c r="B685" s="22"/>
    </row>
    <row r="686" spans="1:2">
      <c r="A686" s="20"/>
      <c r="B686" s="22"/>
    </row>
    <row r="687" spans="1:2">
      <c r="A687" s="20"/>
      <c r="B687" s="22"/>
    </row>
    <row r="688" spans="1:2">
      <c r="A688" s="20"/>
      <c r="B688" s="22"/>
    </row>
    <row r="689" spans="1:2">
      <c r="A689" s="20"/>
      <c r="B689" s="22"/>
    </row>
    <row r="690" spans="1:2">
      <c r="A690" s="20"/>
      <c r="B690" s="22"/>
    </row>
    <row r="691" spans="1:2">
      <c r="A691" s="20"/>
      <c r="B691" s="22"/>
    </row>
    <row r="692" spans="1:2">
      <c r="A692" s="20"/>
      <c r="B692" s="22"/>
    </row>
    <row r="693" spans="1:2">
      <c r="A693" s="20"/>
      <c r="B693" s="22"/>
    </row>
    <row r="694" spans="1:2">
      <c r="A694" s="20"/>
      <c r="B694" s="22"/>
    </row>
    <row r="695" spans="1:2">
      <c r="A695" s="20"/>
      <c r="B695" s="22"/>
    </row>
    <row r="696" spans="1:2">
      <c r="A696" s="20"/>
      <c r="B696" s="22"/>
    </row>
    <row r="697" spans="1:2">
      <c r="A697" s="20"/>
      <c r="B697" s="22"/>
    </row>
    <row r="698" spans="1:2">
      <c r="A698" s="20"/>
      <c r="B698" s="22"/>
    </row>
    <row r="699" spans="1:2">
      <c r="A699" s="20"/>
      <c r="B699" s="22"/>
    </row>
    <row r="700" spans="1:2">
      <c r="A700" s="20"/>
      <c r="B700" s="22"/>
    </row>
    <row r="701" spans="1:2">
      <c r="A701" s="20"/>
      <c r="B701" s="22"/>
    </row>
    <row r="702" spans="1:2">
      <c r="A702" s="20"/>
      <c r="B702" s="22"/>
    </row>
    <row r="703" spans="1:2">
      <c r="A703" s="20"/>
      <c r="B703" s="22"/>
    </row>
    <row r="704" spans="1:2">
      <c r="A704" s="20"/>
      <c r="B704" s="22"/>
    </row>
    <row r="705" spans="1:2">
      <c r="A705" s="20"/>
      <c r="B705" s="22"/>
    </row>
    <row r="706" spans="1:2">
      <c r="A706" s="20"/>
      <c r="B706" s="22"/>
    </row>
    <row r="707" spans="1:2">
      <c r="A707" s="20"/>
      <c r="B707" s="22"/>
    </row>
    <row r="708" spans="1:2">
      <c r="A708" s="20"/>
      <c r="B708" s="22"/>
    </row>
    <row r="709" spans="1:2">
      <c r="A709" s="20"/>
      <c r="B709" s="22"/>
    </row>
    <row r="710" spans="1:2">
      <c r="A710" s="20"/>
      <c r="B710" s="22"/>
    </row>
    <row r="711" spans="1:2">
      <c r="A711" s="20"/>
      <c r="B711" s="22"/>
    </row>
    <row r="712" spans="1:2">
      <c r="A712" s="20"/>
      <c r="B712" s="22"/>
    </row>
    <row r="713" spans="1:2">
      <c r="A713" s="20"/>
      <c r="B713" s="22"/>
    </row>
    <row r="714" spans="1:2">
      <c r="A714" s="20"/>
      <c r="B714" s="22"/>
    </row>
    <row r="715" spans="1:2">
      <c r="A715" s="20"/>
      <c r="B715" s="22"/>
    </row>
    <row r="716" spans="1:2">
      <c r="A716" s="20"/>
      <c r="B716" s="22"/>
    </row>
    <row r="717" spans="1:2">
      <c r="A717" s="20"/>
      <c r="B717" s="22"/>
    </row>
    <row r="718" spans="1:2">
      <c r="A718" s="20"/>
      <c r="B718" s="22"/>
    </row>
    <row r="719" spans="1:2">
      <c r="A719" s="20"/>
      <c r="B719" s="22"/>
    </row>
    <row r="720" spans="1:2">
      <c r="A720" s="20"/>
      <c r="B720" s="22"/>
    </row>
    <row r="721" spans="1:2">
      <c r="A721" s="20"/>
      <c r="B721" s="22"/>
    </row>
    <row r="722" spans="1:2">
      <c r="A722" s="20"/>
      <c r="B722" s="22"/>
    </row>
    <row r="723" spans="1:2">
      <c r="A723" s="20"/>
      <c r="B723" s="22"/>
    </row>
    <row r="724" spans="1:2">
      <c r="A724" s="20"/>
      <c r="B724" s="22"/>
    </row>
    <row r="725" spans="1:2">
      <c r="A725" s="20"/>
      <c r="B725" s="22"/>
    </row>
    <row r="726" spans="1:2">
      <c r="A726" s="20"/>
      <c r="B726" s="22"/>
    </row>
    <row r="727" spans="1:2">
      <c r="A727" s="20"/>
      <c r="B727" s="22"/>
    </row>
    <row r="728" spans="1:2">
      <c r="A728" s="20"/>
      <c r="B728" s="22"/>
    </row>
    <row r="729" spans="1:2">
      <c r="A729" s="20"/>
      <c r="B729" s="22"/>
    </row>
    <row r="730" spans="1:2">
      <c r="A730" s="20"/>
      <c r="B730" s="22"/>
    </row>
    <row r="731" spans="1:2">
      <c r="A731" s="20"/>
      <c r="B731" s="22"/>
    </row>
    <row r="732" spans="1:2">
      <c r="A732" s="20"/>
      <c r="B732" s="22"/>
    </row>
    <row r="733" spans="1:2">
      <c r="A733" s="20"/>
      <c r="B733" s="22"/>
    </row>
    <row r="734" spans="1:2">
      <c r="A734" s="20"/>
      <c r="B734" s="22"/>
    </row>
    <row r="735" spans="1:2">
      <c r="A735" s="20"/>
      <c r="B735" s="22"/>
    </row>
    <row r="736" spans="1:2">
      <c r="A736" s="20"/>
      <c r="B736" s="22"/>
    </row>
    <row r="737" spans="1:2">
      <c r="A737" s="20"/>
      <c r="B737" s="22"/>
    </row>
    <row r="738" spans="1:2">
      <c r="A738" s="20"/>
      <c r="B738" s="22"/>
    </row>
    <row r="739" spans="1:2">
      <c r="A739" s="20"/>
      <c r="B739" s="22"/>
    </row>
    <row r="740" spans="1:2">
      <c r="A740" s="20"/>
      <c r="B740" s="22"/>
    </row>
    <row r="741" spans="1:2">
      <c r="A741" s="20"/>
      <c r="B741" s="22"/>
    </row>
    <row r="742" spans="1:2">
      <c r="A742" s="20"/>
      <c r="B742" s="22"/>
    </row>
    <row r="743" spans="1:2">
      <c r="A743" s="20"/>
      <c r="B743" s="22"/>
    </row>
    <row r="744" spans="1:2">
      <c r="A744" s="20"/>
      <c r="B744" s="22"/>
    </row>
    <row r="745" spans="1:2">
      <c r="A745" s="20"/>
      <c r="B745" s="22"/>
    </row>
    <row r="746" spans="1:2">
      <c r="A746" s="20"/>
      <c r="B746" s="22"/>
    </row>
    <row r="747" spans="1:2">
      <c r="A747" s="20"/>
      <c r="B747" s="22"/>
    </row>
    <row r="748" spans="1:2">
      <c r="A748" s="20"/>
      <c r="B748" s="22"/>
    </row>
    <row r="749" spans="1:2">
      <c r="A749" s="20"/>
      <c r="B749" s="22"/>
    </row>
    <row r="750" spans="1:2">
      <c r="A750" s="20"/>
      <c r="B750" s="22"/>
    </row>
    <row r="751" spans="1:2">
      <c r="A751" s="20"/>
      <c r="B751" s="22"/>
    </row>
    <row r="752" spans="1:2">
      <c r="A752" s="20"/>
      <c r="B752" s="22"/>
    </row>
    <row r="753" spans="1:2">
      <c r="A753" s="20"/>
      <c r="B753" s="22"/>
    </row>
    <row r="754" spans="1:2">
      <c r="A754" s="20"/>
      <c r="B754" s="22"/>
    </row>
    <row r="755" spans="1:2">
      <c r="A755" s="20"/>
      <c r="B755" s="22"/>
    </row>
    <row r="756" spans="1:2">
      <c r="A756" s="20"/>
      <c r="B756" s="22"/>
    </row>
    <row r="757" spans="1:2">
      <c r="A757" s="20"/>
      <c r="B757" s="22"/>
    </row>
    <row r="758" spans="1:2">
      <c r="A758" s="20"/>
      <c r="B758" s="22"/>
    </row>
    <row r="759" spans="1:2">
      <c r="A759" s="20"/>
      <c r="B759" s="22"/>
    </row>
    <row r="760" spans="1:2">
      <c r="A760" s="20"/>
      <c r="B760" s="22"/>
    </row>
    <row r="761" spans="1:2">
      <c r="A761" s="20"/>
      <c r="B761" s="22"/>
    </row>
    <row r="762" spans="1:2">
      <c r="A762" s="20"/>
      <c r="B762" s="22"/>
    </row>
    <row r="763" spans="1:2">
      <c r="A763" s="20"/>
      <c r="B763" s="22"/>
    </row>
    <row r="764" spans="1:2">
      <c r="A764" s="20"/>
      <c r="B764" s="22"/>
    </row>
    <row r="765" spans="1:2">
      <c r="A765" s="20"/>
      <c r="B765" s="22"/>
    </row>
    <row r="766" spans="1:2">
      <c r="A766" s="20"/>
      <c r="B766" s="22"/>
    </row>
    <row r="767" spans="1:2">
      <c r="A767" s="20"/>
      <c r="B767" s="22"/>
    </row>
    <row r="768" spans="1:2">
      <c r="A768" s="20"/>
      <c r="B768" s="22"/>
    </row>
    <row r="769" spans="1:2">
      <c r="A769" s="20"/>
      <c r="B769" s="22"/>
    </row>
    <row r="770" spans="1:2">
      <c r="A770" s="20"/>
      <c r="B770" s="22"/>
    </row>
    <row r="771" spans="1:2">
      <c r="A771" s="20"/>
      <c r="B771" s="22"/>
    </row>
    <row r="772" spans="1:2">
      <c r="A772" s="20"/>
      <c r="B772" s="22"/>
    </row>
    <row r="773" spans="1:2">
      <c r="A773" s="20"/>
      <c r="B773" s="22"/>
    </row>
    <row r="774" spans="1:2">
      <c r="A774" s="20"/>
      <c r="B774" s="22"/>
    </row>
    <row r="775" spans="1:2">
      <c r="A775" s="20"/>
      <c r="B775" s="22"/>
    </row>
    <row r="776" spans="1:2">
      <c r="A776" s="20"/>
      <c r="B776" s="22"/>
    </row>
    <row r="777" spans="1:2">
      <c r="A777" s="20"/>
      <c r="B777" s="22"/>
    </row>
    <row r="778" spans="1:2">
      <c r="A778" s="20"/>
      <c r="B778" s="22"/>
    </row>
    <row r="779" spans="1:2">
      <c r="A779" s="20"/>
      <c r="B779" s="22"/>
    </row>
    <row r="780" spans="1:2">
      <c r="A780" s="20"/>
      <c r="B780" s="22"/>
    </row>
    <row r="781" spans="1:2">
      <c r="A781" s="20"/>
      <c r="B781" s="22"/>
    </row>
    <row r="782" spans="1:2">
      <c r="A782" s="20"/>
      <c r="B782" s="22"/>
    </row>
    <row r="783" spans="1:2">
      <c r="A783" s="20"/>
      <c r="B783" s="22"/>
    </row>
    <row r="784" spans="1:2">
      <c r="A784" s="20"/>
      <c r="B784" s="22"/>
    </row>
    <row r="785" spans="1:2">
      <c r="A785" s="20"/>
      <c r="B785" s="22"/>
    </row>
    <row r="786" spans="1:2">
      <c r="A786" s="20"/>
      <c r="B786" s="22"/>
    </row>
    <row r="787" spans="1:2">
      <c r="A787" s="20"/>
      <c r="B787" s="22"/>
    </row>
    <row r="788" spans="1:2">
      <c r="A788" s="20"/>
      <c r="B788" s="22"/>
    </row>
    <row r="789" spans="1:2">
      <c r="A789" s="20"/>
      <c r="B789" s="22"/>
    </row>
    <row r="790" spans="1:2">
      <c r="A790" s="20"/>
      <c r="B790" s="22"/>
    </row>
    <row r="791" spans="1:2">
      <c r="A791" s="20"/>
      <c r="B791" s="22"/>
    </row>
    <row r="792" spans="1:2">
      <c r="A792" s="20"/>
      <c r="B792" s="22"/>
    </row>
    <row r="793" spans="1:2">
      <c r="A793" s="20"/>
      <c r="B793" s="22"/>
    </row>
    <row r="794" spans="1:2">
      <c r="A794" s="20"/>
      <c r="B794" s="22"/>
    </row>
    <row r="795" spans="1:2">
      <c r="A795" s="20"/>
      <c r="B795" s="22"/>
    </row>
    <row r="796" spans="1:2">
      <c r="A796" s="20"/>
      <c r="B796" s="22"/>
    </row>
    <row r="797" spans="1:2">
      <c r="A797" s="20"/>
      <c r="B797" s="22"/>
    </row>
    <row r="798" spans="1:2">
      <c r="A798" s="20"/>
      <c r="B798" s="22"/>
    </row>
    <row r="799" spans="1:2">
      <c r="A799" s="20"/>
      <c r="B799" s="22"/>
    </row>
    <row r="800" spans="1:2">
      <c r="A800" s="20"/>
      <c r="B800" s="22"/>
    </row>
    <row r="801" spans="1:2">
      <c r="A801" s="20"/>
      <c r="B801" s="22"/>
    </row>
    <row r="802" spans="1:2">
      <c r="A802" s="20"/>
      <c r="B802" s="22"/>
    </row>
    <row r="803" spans="1:2">
      <c r="A803" s="20"/>
      <c r="B803" s="22"/>
    </row>
    <row r="804" spans="1:2">
      <c r="A804" s="20"/>
      <c r="B804" s="22"/>
    </row>
    <row r="805" spans="1:2">
      <c r="A805" s="20"/>
      <c r="B805" s="22"/>
    </row>
    <row r="806" spans="1:2">
      <c r="A806" s="20"/>
      <c r="B806" s="22"/>
    </row>
    <row r="807" spans="1:2">
      <c r="A807" s="20"/>
      <c r="B807" s="22"/>
    </row>
    <row r="808" spans="1:2">
      <c r="A808" s="20"/>
      <c r="B808" s="22"/>
    </row>
    <row r="809" spans="1:2">
      <c r="A809" s="20"/>
      <c r="B809" s="22"/>
    </row>
    <row r="810" spans="1:2">
      <c r="A810" s="20"/>
      <c r="B810" s="22"/>
    </row>
    <row r="811" spans="1:2">
      <c r="A811" s="20"/>
      <c r="B811" s="22"/>
    </row>
    <row r="812" spans="1:2">
      <c r="A812" s="20"/>
      <c r="B812" s="22"/>
    </row>
    <row r="813" spans="1:2">
      <c r="A813" s="20"/>
      <c r="B813" s="22"/>
    </row>
    <row r="814" spans="1:2">
      <c r="A814" s="20"/>
      <c r="B814" s="22"/>
    </row>
    <row r="815" spans="1:2">
      <c r="A815" s="20"/>
      <c r="B815" s="22"/>
    </row>
    <row r="816" spans="1:2">
      <c r="A816" s="20"/>
      <c r="B816" s="22"/>
    </row>
    <row r="817" spans="1:2">
      <c r="A817" s="20"/>
      <c r="B817" s="22"/>
    </row>
    <row r="818" spans="1:2">
      <c r="A818" s="20"/>
      <c r="B818" s="22"/>
    </row>
    <row r="819" spans="1:2">
      <c r="A819" s="20"/>
      <c r="B819" s="22"/>
    </row>
    <row r="820" spans="1:2">
      <c r="A820" s="20"/>
      <c r="B820" s="22"/>
    </row>
    <row r="821" spans="1:2">
      <c r="A821" s="20"/>
      <c r="B821" s="22"/>
    </row>
    <row r="822" spans="1:2">
      <c r="A822" s="20"/>
      <c r="B822" s="22"/>
    </row>
    <row r="823" spans="1:2">
      <c r="A823" s="20"/>
      <c r="B823" s="22"/>
    </row>
    <row r="824" spans="1:2">
      <c r="A824" s="20"/>
      <c r="B824" s="22"/>
    </row>
    <row r="825" spans="1:2">
      <c r="A825" s="20"/>
      <c r="B825" s="22"/>
    </row>
    <row r="826" spans="1:2">
      <c r="A826" s="20"/>
      <c r="B826" s="22"/>
    </row>
    <row r="827" spans="1:2">
      <c r="A827" s="20"/>
      <c r="B827" s="22"/>
    </row>
    <row r="828" spans="1:2">
      <c r="A828" s="20"/>
      <c r="B828" s="22"/>
    </row>
    <row r="829" spans="1:2">
      <c r="A829" s="20"/>
      <c r="B829" s="22"/>
    </row>
    <row r="830" spans="1:2">
      <c r="A830" s="20"/>
      <c r="B830" s="22"/>
    </row>
    <row r="831" spans="1:2">
      <c r="A831" s="20"/>
      <c r="B831" s="22"/>
    </row>
    <row r="832" spans="1:2">
      <c r="A832" s="20"/>
      <c r="B832" s="22"/>
    </row>
    <row r="833" spans="1:2">
      <c r="A833" s="20"/>
      <c r="B833" s="22"/>
    </row>
    <row r="834" spans="1:2">
      <c r="A834" s="20"/>
      <c r="B834" s="22"/>
    </row>
    <row r="835" spans="1:2">
      <c r="A835" s="20"/>
      <c r="B835" s="22"/>
    </row>
    <row r="836" spans="1:2">
      <c r="A836" s="20"/>
      <c r="B836" s="22"/>
    </row>
    <row r="837" spans="1:2">
      <c r="A837" s="20"/>
      <c r="B837" s="22"/>
    </row>
    <row r="838" spans="1:2">
      <c r="A838" s="20"/>
      <c r="B838" s="22"/>
    </row>
    <row r="839" spans="1:2">
      <c r="A839" s="20"/>
      <c r="B839" s="22"/>
    </row>
    <row r="840" spans="1:2">
      <c r="A840" s="20"/>
      <c r="B840" s="22"/>
    </row>
    <row r="841" spans="1:2">
      <c r="A841" s="20"/>
      <c r="B841" s="22"/>
    </row>
    <row r="842" spans="1:2">
      <c r="A842" s="20"/>
      <c r="B842" s="22"/>
    </row>
    <row r="843" spans="1:2">
      <c r="A843" s="20"/>
      <c r="B843" s="22"/>
    </row>
    <row r="844" spans="1:2">
      <c r="A844" s="20"/>
      <c r="B844" s="22"/>
    </row>
    <row r="845" spans="1:2">
      <c r="A845" s="20"/>
      <c r="B845" s="22"/>
    </row>
    <row r="846" spans="1:2">
      <c r="A846" s="20"/>
      <c r="B846" s="22"/>
    </row>
    <row r="847" spans="1:2">
      <c r="A847" s="20"/>
      <c r="B847" s="22"/>
    </row>
    <row r="848" spans="1:2">
      <c r="A848" s="20"/>
      <c r="B848" s="22"/>
    </row>
    <row r="849" spans="1:2">
      <c r="A849" s="20"/>
      <c r="B849" s="22"/>
    </row>
    <row r="850" spans="1:2">
      <c r="A850" s="20"/>
      <c r="B850" s="22"/>
    </row>
    <row r="851" spans="1:2">
      <c r="A851" s="20"/>
      <c r="B851" s="22"/>
    </row>
    <row r="852" spans="1:2">
      <c r="A852" s="20"/>
      <c r="B852" s="22"/>
    </row>
    <row r="853" spans="1:2">
      <c r="A853" s="20"/>
      <c r="B853" s="22"/>
    </row>
    <row r="854" spans="1:2">
      <c r="A854" s="20"/>
      <c r="B854" s="22"/>
    </row>
    <row r="855" spans="1:2">
      <c r="A855" s="20"/>
      <c r="B855" s="22"/>
    </row>
    <row r="856" spans="1:2">
      <c r="A856" s="20"/>
      <c r="B856" s="22"/>
    </row>
    <row r="857" spans="1:2">
      <c r="A857" s="20"/>
      <c r="B857" s="22"/>
    </row>
    <row r="858" spans="1:2">
      <c r="A858" s="20"/>
      <c r="B858" s="22"/>
    </row>
    <row r="859" spans="1:2">
      <c r="A859" s="20"/>
      <c r="B859" s="22"/>
    </row>
    <row r="860" spans="1:2">
      <c r="A860" s="20"/>
      <c r="B860" s="22"/>
    </row>
    <row r="861" spans="1:2">
      <c r="A861" s="20"/>
      <c r="B861" s="22"/>
    </row>
    <row r="862" spans="1:2">
      <c r="A862" s="20"/>
      <c r="B862" s="22"/>
    </row>
    <row r="863" spans="1:2">
      <c r="A863" s="20"/>
      <c r="B863" s="22"/>
    </row>
    <row r="864" spans="1:2">
      <c r="A864" s="20"/>
      <c r="B864" s="22"/>
    </row>
    <row r="865" spans="1:2">
      <c r="A865" s="20"/>
      <c r="B865" s="22"/>
    </row>
    <row r="866" spans="1:2">
      <c r="A866" s="20"/>
      <c r="B866" s="22"/>
    </row>
    <row r="867" spans="1:2">
      <c r="A867" s="20"/>
      <c r="B867" s="22"/>
    </row>
    <row r="868" spans="1:2">
      <c r="A868" s="20"/>
      <c r="B868" s="22"/>
    </row>
    <row r="869" spans="1:2">
      <c r="A869" s="20"/>
      <c r="B869" s="22"/>
    </row>
    <row r="870" spans="1:2">
      <c r="A870" s="20"/>
      <c r="B870" s="22"/>
    </row>
    <row r="871" spans="1:2">
      <c r="A871" s="20"/>
      <c r="B871" s="22"/>
    </row>
    <row r="872" spans="1:2">
      <c r="A872" s="20"/>
      <c r="B872" s="22"/>
    </row>
    <row r="873" spans="1:2">
      <c r="A873" s="20"/>
      <c r="B873" s="22"/>
    </row>
    <row r="874" spans="1:2">
      <c r="A874" s="20"/>
      <c r="B874" s="22"/>
    </row>
    <row r="875" spans="1:2">
      <c r="A875" s="20"/>
      <c r="B875" s="22"/>
    </row>
    <row r="876" spans="1:2">
      <c r="A876" s="20"/>
      <c r="B876" s="22"/>
    </row>
    <row r="877" spans="1:2">
      <c r="A877" s="20"/>
      <c r="B877" s="22"/>
    </row>
    <row r="878" spans="1:2">
      <c r="A878" s="20"/>
      <c r="B878" s="22"/>
    </row>
    <row r="879" spans="1:2">
      <c r="A879" s="20"/>
      <c r="B879" s="22"/>
    </row>
    <row r="880" spans="1:2">
      <c r="A880" s="20"/>
      <c r="B880" s="22"/>
    </row>
    <row r="881" spans="1:2">
      <c r="A881" s="20"/>
      <c r="B881" s="22"/>
    </row>
    <row r="882" spans="1:2">
      <c r="A882" s="20"/>
      <c r="B882" s="22"/>
    </row>
    <row r="883" spans="1:2">
      <c r="A883" s="20"/>
      <c r="B883" s="22"/>
    </row>
    <row r="884" spans="1:2">
      <c r="A884" s="20"/>
      <c r="B884" s="22"/>
    </row>
    <row r="885" spans="1:2">
      <c r="A885" s="20"/>
      <c r="B885" s="22"/>
    </row>
    <row r="886" spans="1:2">
      <c r="A886" s="20"/>
      <c r="B886" s="22"/>
    </row>
    <row r="887" spans="1:2">
      <c r="A887" s="20"/>
      <c r="B887" s="22"/>
    </row>
    <row r="888" spans="1:2">
      <c r="A888" s="20"/>
      <c r="B888" s="22"/>
    </row>
    <row r="889" spans="1:2">
      <c r="A889" s="20"/>
      <c r="B889" s="22"/>
    </row>
    <row r="890" spans="1:2">
      <c r="A890" s="20"/>
      <c r="B890" s="22"/>
    </row>
    <row r="891" spans="1:2">
      <c r="A891" s="20"/>
      <c r="B891" s="22"/>
    </row>
    <row r="892" spans="1:2">
      <c r="A892" s="20"/>
      <c r="B892" s="22"/>
    </row>
    <row r="893" spans="1:2">
      <c r="A893" s="20"/>
      <c r="B893" s="22"/>
    </row>
    <row r="894" spans="1:2">
      <c r="A894" s="20"/>
      <c r="B894" s="22"/>
    </row>
    <row r="895" spans="1:2">
      <c r="A895" s="20"/>
      <c r="B895" s="22"/>
    </row>
    <row r="896" spans="1:2">
      <c r="A896" s="20"/>
      <c r="B896" s="22"/>
    </row>
    <row r="897" spans="1:2">
      <c r="A897" s="20"/>
      <c r="B897" s="22"/>
    </row>
    <row r="898" spans="1:2">
      <c r="A898" s="20"/>
      <c r="B898" s="22"/>
    </row>
    <row r="899" spans="1:2">
      <c r="A899" s="20"/>
      <c r="B899" s="22"/>
    </row>
    <row r="900" spans="1:2">
      <c r="A900" s="20"/>
      <c r="B900" s="22"/>
    </row>
    <row r="901" spans="1:2">
      <c r="A901" s="20"/>
      <c r="B901" s="22"/>
    </row>
    <row r="902" spans="1:2">
      <c r="A902" s="20"/>
      <c r="B902" s="22"/>
    </row>
    <row r="903" spans="1:2">
      <c r="A903" s="20"/>
      <c r="B903" s="22"/>
    </row>
    <row r="904" spans="1:2">
      <c r="A904" s="20"/>
      <c r="B904" s="22"/>
    </row>
    <row r="905" spans="1:2">
      <c r="A905" s="20"/>
      <c r="B905" s="22"/>
    </row>
    <row r="906" spans="1:2">
      <c r="A906" s="20"/>
      <c r="B906" s="22"/>
    </row>
    <row r="907" spans="1:2">
      <c r="A907" s="20"/>
      <c r="B907" s="22"/>
    </row>
    <row r="908" spans="1:2">
      <c r="A908" s="20"/>
      <c r="B908" s="22"/>
    </row>
    <row r="909" spans="1:2">
      <c r="A909" s="20"/>
      <c r="B909" s="22"/>
    </row>
    <row r="910" spans="1:2">
      <c r="A910" s="20"/>
      <c r="B910" s="22"/>
    </row>
    <row r="911" spans="1:2">
      <c r="A911" s="20"/>
      <c r="B911" s="22"/>
    </row>
    <row r="912" spans="1:2">
      <c r="A912" s="20"/>
      <c r="B912" s="22"/>
    </row>
    <row r="913" spans="1:2">
      <c r="A913" s="20"/>
      <c r="B913" s="22"/>
    </row>
    <row r="914" spans="1:2">
      <c r="A914" s="20"/>
      <c r="B914" s="22"/>
    </row>
    <row r="915" spans="1:2">
      <c r="A915" s="20"/>
      <c r="B915" s="22"/>
    </row>
    <row r="916" spans="1:2">
      <c r="A916" s="20"/>
      <c r="B916" s="22"/>
    </row>
    <row r="917" spans="1:2">
      <c r="A917" s="20"/>
      <c r="B917" s="22"/>
    </row>
    <row r="918" spans="1:2">
      <c r="A918" s="20"/>
      <c r="B918" s="22"/>
    </row>
    <row r="919" spans="1:2">
      <c r="A919" s="20"/>
      <c r="B919" s="22"/>
    </row>
    <row r="920" spans="1:2">
      <c r="A920" s="20"/>
      <c r="B920" s="22"/>
    </row>
    <row r="921" spans="1:2">
      <c r="A921" s="20"/>
      <c r="B921" s="22"/>
    </row>
    <row r="922" spans="1:2">
      <c r="A922" s="20"/>
      <c r="B922" s="22"/>
    </row>
    <row r="923" spans="1:2">
      <c r="A923" s="20"/>
      <c r="B923" s="22"/>
    </row>
    <row r="924" spans="1:2">
      <c r="A924" s="20"/>
      <c r="B924" s="22"/>
    </row>
    <row r="925" spans="1:2">
      <c r="A925" s="20"/>
      <c r="B925" s="22"/>
    </row>
    <row r="926" spans="1:2">
      <c r="A926" s="20"/>
      <c r="B926" s="22"/>
    </row>
    <row r="927" spans="1:2">
      <c r="A927" s="20"/>
      <c r="B927" s="22"/>
    </row>
    <row r="928" spans="1:2">
      <c r="A928" s="20"/>
      <c r="B928" s="22"/>
    </row>
    <row r="929" spans="1:2">
      <c r="A929" s="20"/>
      <c r="B929" s="22"/>
    </row>
    <row r="930" spans="1:2">
      <c r="A930" s="20"/>
      <c r="B930" s="22"/>
    </row>
    <row r="931" spans="1:2">
      <c r="A931" s="20"/>
      <c r="B931" s="22"/>
    </row>
    <row r="932" spans="1:2">
      <c r="A932" s="20"/>
      <c r="B932" s="22"/>
    </row>
    <row r="933" spans="1:2">
      <c r="A933" s="20"/>
      <c r="B933" s="22"/>
    </row>
    <row r="934" spans="1:2">
      <c r="A934" s="20"/>
      <c r="B934" s="22"/>
    </row>
    <row r="935" spans="1:2">
      <c r="A935" s="20"/>
      <c r="B935" s="22"/>
    </row>
    <row r="936" spans="1:2">
      <c r="A936" s="20"/>
      <c r="B936" s="22"/>
    </row>
    <row r="937" spans="1:2">
      <c r="A937" s="20"/>
      <c r="B937" s="22"/>
    </row>
    <row r="938" spans="1:2">
      <c r="A938" s="20"/>
      <c r="B938" s="22"/>
    </row>
    <row r="939" spans="1:2">
      <c r="A939" s="20"/>
      <c r="B939" s="22"/>
    </row>
    <row r="940" spans="1:2">
      <c r="A940" s="20"/>
      <c r="B940" s="22"/>
    </row>
    <row r="941" spans="1:2">
      <c r="A941" s="20"/>
      <c r="B941" s="22"/>
    </row>
    <row r="942" spans="1:2">
      <c r="A942" s="20"/>
      <c r="B942" s="22"/>
    </row>
    <row r="943" spans="1:2">
      <c r="A943" s="20"/>
      <c r="B943" s="22"/>
    </row>
    <row r="944" spans="1:2">
      <c r="A944" s="20"/>
      <c r="B944" s="22"/>
    </row>
    <row r="945" spans="1:2">
      <c r="A945" s="20"/>
      <c r="B945" s="22"/>
    </row>
    <row r="946" spans="1:2">
      <c r="A946" s="20"/>
      <c r="B946" s="22"/>
    </row>
    <row r="947" spans="1:2">
      <c r="A947" s="20"/>
      <c r="B947" s="22"/>
    </row>
    <row r="948" spans="1:2">
      <c r="A948" s="20"/>
      <c r="B948" s="22"/>
    </row>
    <row r="949" spans="1:2">
      <c r="A949" s="20"/>
      <c r="B949" s="22"/>
    </row>
    <row r="950" spans="1:2">
      <c r="A950" s="20"/>
      <c r="B950" s="22"/>
    </row>
    <row r="951" spans="1:2">
      <c r="A951" s="20"/>
      <c r="B951" s="22"/>
    </row>
    <row r="952" spans="1:2">
      <c r="A952" s="20"/>
      <c r="B952" s="22"/>
    </row>
    <row r="953" spans="1:2">
      <c r="A953" s="20"/>
      <c r="B953" s="22"/>
    </row>
    <row r="954" spans="1:2">
      <c r="A954" s="20"/>
      <c r="B954" s="22"/>
    </row>
    <row r="955" spans="1:2">
      <c r="A955" s="20"/>
      <c r="B955" s="22"/>
    </row>
    <row r="956" spans="1:2">
      <c r="A956" s="20"/>
      <c r="B956" s="22"/>
    </row>
    <row r="957" spans="1:2">
      <c r="A957" s="20"/>
      <c r="B957" s="22"/>
    </row>
    <row r="958" spans="1:2">
      <c r="A958" s="20"/>
      <c r="B958" s="22"/>
    </row>
    <row r="959" spans="1:2">
      <c r="A959" s="20"/>
      <c r="B959" s="22"/>
    </row>
    <row r="960" spans="1:2">
      <c r="A960" s="20"/>
      <c r="B960" s="22"/>
    </row>
    <row r="961" spans="1:2">
      <c r="A961" s="20"/>
      <c r="B961" s="22"/>
    </row>
    <row r="962" spans="1:2">
      <c r="A962" s="20"/>
      <c r="B962" s="22"/>
    </row>
    <row r="963" spans="1:2">
      <c r="A963" s="20"/>
      <c r="B963" s="22"/>
    </row>
    <row r="964" spans="1:2">
      <c r="A964" s="20"/>
      <c r="B964" s="22"/>
    </row>
    <row r="965" spans="1:2">
      <c r="A965" s="20"/>
      <c r="B965" s="22"/>
    </row>
    <row r="966" spans="1:2">
      <c r="A966" s="20"/>
      <c r="B966" s="22"/>
    </row>
    <row r="967" spans="1:2">
      <c r="A967" s="20"/>
      <c r="B967" s="22"/>
    </row>
    <row r="968" spans="1:2">
      <c r="A968" s="20"/>
      <c r="B968" s="22"/>
    </row>
    <row r="969" spans="1:2">
      <c r="A969" s="20"/>
      <c r="B969" s="22"/>
    </row>
    <row r="970" spans="1:2">
      <c r="A970" s="20"/>
      <c r="B970" s="22"/>
    </row>
    <row r="971" spans="1:2">
      <c r="A971" s="20"/>
      <c r="B971" s="22"/>
    </row>
    <row r="972" spans="1:2">
      <c r="A972" s="20"/>
      <c r="B972" s="22"/>
    </row>
    <row r="973" spans="1:2">
      <c r="A973" s="20"/>
      <c r="B973" s="22"/>
    </row>
    <row r="974" spans="1:2">
      <c r="A974" s="20"/>
      <c r="B974" s="22"/>
    </row>
    <row r="975" spans="1:2">
      <c r="A975" s="20"/>
      <c r="B975" s="22"/>
    </row>
    <row r="976" spans="1:2">
      <c r="A976" s="20"/>
      <c r="B976" s="22"/>
    </row>
    <row r="977" spans="1:2">
      <c r="A977" s="20"/>
      <c r="B977" s="22"/>
    </row>
    <row r="978" spans="1:2">
      <c r="A978" s="20"/>
      <c r="B978" s="22"/>
    </row>
    <row r="979" spans="1:2">
      <c r="A979" s="20"/>
      <c r="B979" s="22"/>
    </row>
    <row r="980" spans="1:2">
      <c r="A980" s="20"/>
      <c r="B980" s="22"/>
    </row>
    <row r="981" spans="1:2">
      <c r="A981" s="20"/>
      <c r="B981" s="22"/>
    </row>
    <row r="982" spans="1:2">
      <c r="A982" s="20"/>
      <c r="B982" s="22"/>
    </row>
    <row r="983" spans="1:2">
      <c r="A983" s="20"/>
      <c r="B983" s="22"/>
    </row>
    <row r="984" spans="1:2">
      <c r="A984" s="20"/>
      <c r="B984" s="22"/>
    </row>
    <row r="985" spans="1:2">
      <c r="A985" s="20"/>
      <c r="B985" s="22"/>
    </row>
    <row r="986" spans="1:2">
      <c r="A986" s="20"/>
      <c r="B986" s="22"/>
    </row>
    <row r="987" spans="1:2">
      <c r="A987" s="20"/>
      <c r="B987" s="22"/>
    </row>
    <row r="988" spans="1:2">
      <c r="A988" s="20"/>
      <c r="B988" s="22"/>
    </row>
    <row r="989" spans="1:2">
      <c r="A989" s="20"/>
      <c r="B989" s="22"/>
    </row>
    <row r="990" spans="1:2">
      <c r="A990" s="20"/>
      <c r="B990" s="22"/>
    </row>
    <row r="991" spans="1:2">
      <c r="A991" s="20"/>
      <c r="B991" s="22"/>
    </row>
    <row r="992" spans="1:2">
      <c r="A992" s="20"/>
      <c r="B992" s="22"/>
    </row>
    <row r="993" spans="1:2">
      <c r="A993" s="20"/>
      <c r="B993" s="22"/>
    </row>
    <row r="994" spans="1:2">
      <c r="A994" s="20"/>
      <c r="B994" s="22"/>
    </row>
    <row r="995" spans="1:2">
      <c r="A995" s="20"/>
      <c r="B995" s="22"/>
    </row>
    <row r="996" spans="1:2">
      <c r="A996" s="20"/>
      <c r="B996" s="22"/>
    </row>
    <row r="997" spans="1:2">
      <c r="A997" s="20"/>
      <c r="B997" s="22"/>
    </row>
    <row r="998" spans="1:2">
      <c r="A998" s="20"/>
      <c r="B998" s="22"/>
    </row>
    <row r="999" spans="1:2">
      <c r="A999" s="20"/>
      <c r="B999" s="22"/>
    </row>
    <row r="1000" spans="1:2">
      <c r="A1000" s="20"/>
      <c r="B1000" s="22"/>
    </row>
    <row r="1001" spans="1:2">
      <c r="A1001" s="20"/>
      <c r="B1001" s="22"/>
    </row>
    <row r="1002" spans="1:2">
      <c r="A1002" s="20"/>
      <c r="B1002" s="22"/>
    </row>
    <row r="1003" spans="1:2">
      <c r="A1003" s="20"/>
      <c r="B1003" s="22"/>
    </row>
    <row r="1004" spans="1:2">
      <c r="A1004" s="20"/>
      <c r="B1004" s="22"/>
    </row>
    <row r="1005" spans="1:2">
      <c r="A1005" s="20"/>
      <c r="B1005" s="22"/>
    </row>
    <row r="1006" spans="1:2">
      <c r="A1006" s="20"/>
      <c r="B1006" s="22"/>
    </row>
    <row r="1007" spans="1:2">
      <c r="A1007" s="20"/>
      <c r="B1007" s="22"/>
    </row>
    <row r="1008" spans="1:2">
      <c r="A1008" s="20"/>
      <c r="B1008" s="22"/>
    </row>
    <row r="1009" spans="1:2">
      <c r="A1009" s="20"/>
      <c r="B1009" s="22"/>
    </row>
    <row r="1010" spans="1:2">
      <c r="A1010" s="20"/>
      <c r="B1010" s="22"/>
    </row>
    <row r="1011" spans="1:2">
      <c r="A1011" s="20"/>
      <c r="B1011" s="22"/>
    </row>
    <row r="1012" spans="1:2">
      <c r="A1012" s="20"/>
      <c r="B1012" s="22"/>
    </row>
    <row r="1013" spans="1:2">
      <c r="A1013" s="20"/>
      <c r="B1013" s="22"/>
    </row>
    <row r="1014" spans="1:2">
      <c r="A1014" s="20"/>
      <c r="B1014" s="22"/>
    </row>
    <row r="1015" spans="1:2">
      <c r="A1015" s="20"/>
      <c r="B1015" s="22"/>
    </row>
    <row r="1016" spans="1:2">
      <c r="A1016" s="20"/>
      <c r="B1016" s="22"/>
    </row>
    <row r="1017" spans="1:2">
      <c r="A1017" s="20"/>
      <c r="B1017" s="22"/>
    </row>
    <row r="1018" spans="1:2">
      <c r="A1018" s="20"/>
      <c r="B1018" s="22"/>
    </row>
    <row r="1019" spans="1:2">
      <c r="A1019" s="20"/>
      <c r="B1019" s="22"/>
    </row>
    <row r="1020" spans="1:2">
      <c r="A1020" s="20"/>
      <c r="B1020" s="22"/>
    </row>
    <row r="1021" spans="1:2">
      <c r="A1021" s="20"/>
      <c r="B1021" s="22"/>
    </row>
    <row r="1022" spans="1:2">
      <c r="A1022" s="20"/>
      <c r="B1022" s="22"/>
    </row>
    <row r="1023" spans="1:2">
      <c r="A1023" s="20"/>
      <c r="B1023" s="22"/>
    </row>
    <row r="1024" spans="1:2">
      <c r="A1024" s="20"/>
      <c r="B1024" s="22"/>
    </row>
    <row r="1025" spans="1:2">
      <c r="A1025" s="20"/>
      <c r="B1025" s="22"/>
    </row>
    <row r="1026" spans="1:2">
      <c r="A1026" s="20"/>
      <c r="B1026" s="22"/>
    </row>
    <row r="1027" spans="1:2">
      <c r="A1027" s="20"/>
      <c r="B1027" s="22"/>
    </row>
    <row r="1028" spans="1:2">
      <c r="A1028" s="20"/>
      <c r="B1028" s="22"/>
    </row>
    <row r="1029" spans="1:2">
      <c r="A1029" s="20"/>
      <c r="B1029" s="22"/>
    </row>
    <row r="1030" spans="1:2">
      <c r="A1030" s="20"/>
      <c r="B1030" s="22"/>
    </row>
    <row r="1031" spans="1:2">
      <c r="A1031" s="20"/>
      <c r="B1031" s="22"/>
    </row>
    <row r="1032" spans="1:2">
      <c r="A1032" s="20"/>
      <c r="B1032" s="22"/>
    </row>
    <row r="1033" spans="1:2">
      <c r="A1033" s="20"/>
      <c r="B1033" s="22"/>
    </row>
    <row r="1034" spans="1:2">
      <c r="A1034" s="20"/>
      <c r="B1034" s="22"/>
    </row>
    <row r="1035" spans="1:2">
      <c r="A1035" s="20"/>
      <c r="B1035" s="22"/>
    </row>
    <row r="1036" spans="1:2">
      <c r="A1036" s="20"/>
      <c r="B1036" s="22"/>
    </row>
    <row r="1037" spans="1:2">
      <c r="A1037" s="20"/>
      <c r="B1037" s="22"/>
    </row>
    <row r="1038" spans="1:2">
      <c r="A1038" s="20"/>
      <c r="B1038" s="22"/>
    </row>
    <row r="1039" spans="1:2">
      <c r="A1039" s="20"/>
      <c r="B1039" s="22"/>
    </row>
    <row r="1040" spans="1:2">
      <c r="A1040" s="20"/>
      <c r="B1040" s="22"/>
    </row>
    <row r="1041" spans="1:2">
      <c r="A1041" s="20"/>
      <c r="B1041" s="22"/>
    </row>
    <row r="1042" spans="1:2">
      <c r="A1042" s="20"/>
      <c r="B1042" s="22"/>
    </row>
    <row r="1043" spans="1:2">
      <c r="A1043" s="20"/>
      <c r="B1043" s="22"/>
    </row>
    <row r="1044" spans="1:2">
      <c r="A1044" s="20"/>
      <c r="B1044" s="22"/>
    </row>
    <row r="1045" spans="1:2">
      <c r="A1045" s="20"/>
      <c r="B1045" s="22"/>
    </row>
    <row r="1046" spans="1:2">
      <c r="A1046" s="20"/>
      <c r="B1046" s="22"/>
    </row>
    <row r="1047" spans="1:2">
      <c r="A1047" s="20"/>
      <c r="B1047" s="22"/>
    </row>
    <row r="1048" spans="1:2">
      <c r="A1048" s="20"/>
      <c r="B1048" s="22"/>
    </row>
    <row r="1049" spans="1:2">
      <c r="A1049" s="20"/>
      <c r="B1049" s="22"/>
    </row>
    <row r="1050" spans="1:2">
      <c r="A1050" s="20"/>
      <c r="B1050" s="22"/>
    </row>
    <row r="1051" spans="1:2">
      <c r="A1051" s="20"/>
      <c r="B1051" s="22"/>
    </row>
    <row r="1052" spans="1:2">
      <c r="A1052" s="20"/>
      <c r="B1052" s="22"/>
    </row>
    <row r="1053" spans="1:2">
      <c r="A1053" s="20"/>
      <c r="B1053" s="22"/>
    </row>
    <row r="1054" spans="1:2">
      <c r="A1054" s="20"/>
      <c r="B1054" s="22"/>
    </row>
    <row r="1055" spans="1:2">
      <c r="A1055" s="20"/>
      <c r="B1055" s="22"/>
    </row>
    <row r="1056" spans="1:2">
      <c r="A1056" s="20"/>
      <c r="B1056" s="22"/>
    </row>
    <row r="1057" spans="1:2">
      <c r="A1057" s="20"/>
      <c r="B1057" s="22"/>
    </row>
    <row r="1058" spans="1:2">
      <c r="A1058" s="20"/>
      <c r="B1058" s="22"/>
    </row>
    <row r="1059" spans="1:2">
      <c r="A1059" s="20"/>
      <c r="B1059" s="22"/>
    </row>
    <row r="1060" spans="1:2">
      <c r="A1060" s="20"/>
      <c r="B1060" s="22"/>
    </row>
    <row r="1061" spans="1:2">
      <c r="A1061" s="20"/>
      <c r="B1061" s="22"/>
    </row>
    <row r="1062" spans="1:2">
      <c r="A1062" s="20"/>
      <c r="B1062" s="22"/>
    </row>
    <row r="1063" spans="1:2">
      <c r="A1063" s="20"/>
      <c r="B1063" s="22"/>
    </row>
    <row r="1064" spans="1:2">
      <c r="A1064" s="20"/>
      <c r="B1064" s="22"/>
    </row>
    <row r="1065" spans="1:2">
      <c r="A1065" s="20"/>
      <c r="B1065" s="22"/>
    </row>
    <row r="1066" spans="1:2">
      <c r="A1066" s="20"/>
      <c r="B1066" s="22"/>
    </row>
    <row r="1067" spans="1:2">
      <c r="A1067" s="20"/>
      <c r="B1067" s="22"/>
    </row>
    <row r="1068" spans="1:2">
      <c r="A1068" s="20"/>
      <c r="B1068" s="22"/>
    </row>
    <row r="1069" spans="1:2">
      <c r="A1069" s="20"/>
      <c r="B1069" s="22"/>
    </row>
    <row r="1070" spans="1:2">
      <c r="A1070" s="20"/>
      <c r="B1070" s="22"/>
    </row>
    <row r="1071" spans="1:2">
      <c r="A1071" s="20"/>
      <c r="B1071" s="22"/>
    </row>
    <row r="1072" spans="1:2">
      <c r="A1072" s="20"/>
      <c r="B1072" s="22"/>
    </row>
    <row r="1073" spans="1:2">
      <c r="A1073" s="20"/>
      <c r="B1073" s="22"/>
    </row>
    <row r="1074" spans="1:2">
      <c r="A1074" s="20"/>
      <c r="B1074" s="22"/>
    </row>
    <row r="1075" spans="1:2">
      <c r="A1075" s="20"/>
      <c r="B1075" s="22"/>
    </row>
    <row r="1076" spans="1:2">
      <c r="A1076" s="20"/>
      <c r="B1076" s="22"/>
    </row>
    <row r="1077" spans="1:2">
      <c r="A1077" s="20"/>
      <c r="B1077" s="22"/>
    </row>
    <row r="1078" spans="1:2">
      <c r="A1078" s="20"/>
      <c r="B1078" s="22"/>
    </row>
    <row r="1079" spans="1:2">
      <c r="A1079" s="20"/>
      <c r="B1079" s="22"/>
    </row>
    <row r="1080" spans="1:2">
      <c r="A1080" s="20"/>
      <c r="B1080" s="22"/>
    </row>
    <row r="1081" spans="1:2">
      <c r="A1081" s="20"/>
      <c r="B1081" s="22"/>
    </row>
    <row r="1082" spans="1:2">
      <c r="A1082" s="20"/>
      <c r="B1082" s="22"/>
    </row>
    <row r="1083" spans="1:2">
      <c r="A1083" s="20"/>
      <c r="B1083" s="22"/>
    </row>
    <row r="1084" spans="1:2">
      <c r="A1084" s="20"/>
      <c r="B1084" s="22"/>
    </row>
    <row r="1085" spans="1:2">
      <c r="A1085" s="20"/>
      <c r="B1085" s="22"/>
    </row>
    <row r="1086" spans="1:2">
      <c r="A1086" s="20"/>
      <c r="B1086" s="22"/>
    </row>
    <row r="1087" spans="1:2">
      <c r="A1087" s="20"/>
      <c r="B1087" s="22"/>
    </row>
    <row r="1088" spans="1:2">
      <c r="A1088" s="20"/>
      <c r="B1088" s="22"/>
    </row>
    <row r="1089" spans="1:2">
      <c r="A1089" s="20"/>
      <c r="B1089" s="22"/>
    </row>
    <row r="1090" spans="1:2">
      <c r="A1090" s="20"/>
      <c r="B1090" s="22"/>
    </row>
    <row r="1091" spans="1:2">
      <c r="A1091" s="20"/>
      <c r="B1091" s="22"/>
    </row>
    <row r="1092" spans="1:2">
      <c r="A1092" s="20"/>
      <c r="B1092" s="22"/>
    </row>
    <row r="1093" spans="1:2">
      <c r="A1093" s="20"/>
      <c r="B1093" s="22"/>
    </row>
    <row r="1094" spans="1:2">
      <c r="A1094" s="20"/>
      <c r="B1094" s="22"/>
    </row>
    <row r="1095" spans="1:2">
      <c r="A1095" s="20"/>
      <c r="B1095" s="22"/>
    </row>
    <row r="1096" spans="1:2">
      <c r="A1096" s="20"/>
      <c r="B1096" s="22"/>
    </row>
    <row r="1097" spans="1:2">
      <c r="A1097" s="20"/>
      <c r="B1097" s="22"/>
    </row>
    <row r="1098" spans="1:2">
      <c r="A1098" s="20"/>
      <c r="B1098" s="22"/>
    </row>
    <row r="1099" spans="1:2">
      <c r="A1099" s="20"/>
      <c r="B1099" s="22"/>
    </row>
    <row r="1100" spans="1:2">
      <c r="A1100" s="20"/>
      <c r="B1100" s="22"/>
    </row>
    <row r="1101" spans="1:2">
      <c r="A1101" s="20"/>
      <c r="B1101" s="22"/>
    </row>
    <row r="1102" spans="1:2">
      <c r="A1102" s="20"/>
      <c r="B1102" s="22"/>
    </row>
    <row r="1103" spans="1:2">
      <c r="A1103" s="20"/>
      <c r="B1103" s="22"/>
    </row>
    <row r="1104" spans="1:2">
      <c r="A1104" s="20"/>
      <c r="B1104" s="22"/>
    </row>
    <row r="1105" spans="1:2">
      <c r="A1105" s="20"/>
      <c r="B1105" s="22"/>
    </row>
    <row r="1106" spans="1:2">
      <c r="A1106" s="20"/>
      <c r="B1106" s="22"/>
    </row>
    <row r="1107" spans="1:2">
      <c r="A1107" s="20"/>
      <c r="B1107" s="22"/>
    </row>
    <row r="1108" spans="1:2">
      <c r="A1108" s="20"/>
      <c r="B1108" s="22"/>
    </row>
    <row r="1109" spans="1:2">
      <c r="A1109" s="20"/>
      <c r="B1109" s="22"/>
    </row>
    <row r="1110" spans="1:2">
      <c r="A1110" s="20"/>
      <c r="B1110" s="22"/>
    </row>
    <row r="1111" spans="1:2">
      <c r="A1111" s="20"/>
      <c r="B1111" s="22"/>
    </row>
    <row r="1112" spans="1:2">
      <c r="A1112" s="20"/>
      <c r="B1112" s="22"/>
    </row>
    <row r="1113" spans="1:2">
      <c r="A1113" s="20"/>
      <c r="B1113" s="22"/>
    </row>
    <row r="1114" spans="1:2">
      <c r="A1114" s="20"/>
      <c r="B1114" s="22"/>
    </row>
    <row r="1115" spans="1:2">
      <c r="A1115" s="20"/>
      <c r="B1115" s="22"/>
    </row>
    <row r="1116" spans="1:2">
      <c r="A1116" s="20"/>
      <c r="B1116" s="22"/>
    </row>
    <row r="1117" spans="1:2">
      <c r="A1117" s="20"/>
      <c r="B1117" s="22"/>
    </row>
    <row r="1118" spans="1:2">
      <c r="A1118" s="20"/>
      <c r="B1118" s="22"/>
    </row>
    <row r="1119" spans="1:2">
      <c r="A1119" s="20"/>
      <c r="B1119" s="22"/>
    </row>
    <row r="1120" spans="1:2">
      <c r="A1120" s="20"/>
      <c r="B1120" s="22"/>
    </row>
    <row r="1121" spans="1:2">
      <c r="A1121" s="20"/>
      <c r="B1121" s="22"/>
    </row>
    <row r="1122" spans="1:2">
      <c r="A1122" s="20"/>
      <c r="B1122" s="22"/>
    </row>
    <row r="1123" spans="1:2">
      <c r="A1123" s="20"/>
      <c r="B1123" s="22"/>
    </row>
    <row r="1124" spans="1:2">
      <c r="A1124" s="20"/>
      <c r="B1124" s="22"/>
    </row>
    <row r="1125" spans="1:2">
      <c r="A1125" s="20"/>
      <c r="B1125" s="22"/>
    </row>
    <row r="1126" spans="1:2">
      <c r="A1126" s="20"/>
      <c r="B1126" s="22"/>
    </row>
    <row r="1127" spans="1:2">
      <c r="A1127" s="20"/>
      <c r="B1127" s="22"/>
    </row>
    <row r="1128" spans="1:2">
      <c r="A1128" s="20"/>
      <c r="B1128" s="22"/>
    </row>
    <row r="1129" spans="1:2">
      <c r="A1129" s="20"/>
      <c r="B1129" s="22"/>
    </row>
    <row r="1130" spans="1:2">
      <c r="A1130" s="20"/>
      <c r="B1130" s="22"/>
    </row>
    <row r="1131" spans="1:2">
      <c r="A1131" s="20"/>
      <c r="B1131" s="22"/>
    </row>
    <row r="1132" spans="1:2">
      <c r="A1132" s="20"/>
      <c r="B1132" s="22"/>
    </row>
    <row r="1133" spans="1:2">
      <c r="A1133" s="20"/>
      <c r="B1133" s="22"/>
    </row>
    <row r="1134" spans="1:2">
      <c r="A1134" s="20"/>
      <c r="B1134" s="22"/>
    </row>
    <row r="1135" spans="1:2">
      <c r="A1135" s="20"/>
      <c r="B1135" s="22"/>
    </row>
    <row r="1136" spans="1:2">
      <c r="A1136" s="20"/>
      <c r="B1136" s="22"/>
    </row>
    <row r="1137" spans="1:2">
      <c r="A1137" s="20"/>
      <c r="B1137" s="22"/>
    </row>
    <row r="1138" spans="1:2">
      <c r="A1138" s="20"/>
      <c r="B1138" s="22"/>
    </row>
    <row r="1139" spans="1:2">
      <c r="A1139" s="20"/>
      <c r="B1139" s="22"/>
    </row>
    <row r="1140" spans="1:2">
      <c r="A1140" s="20"/>
      <c r="B1140" s="22"/>
    </row>
    <row r="1141" spans="1:2">
      <c r="A1141" s="20"/>
      <c r="B1141" s="22"/>
    </row>
    <row r="1142" spans="1:2">
      <c r="A1142" s="20"/>
      <c r="B1142" s="22"/>
    </row>
    <row r="1143" spans="1:2">
      <c r="A1143" s="20"/>
      <c r="B1143" s="22"/>
    </row>
    <row r="1144" spans="1:2">
      <c r="A1144" s="20"/>
      <c r="B1144" s="22"/>
    </row>
    <row r="1145" spans="1:2">
      <c r="A1145" s="20"/>
      <c r="B1145" s="22"/>
    </row>
    <row r="1146" spans="1:2">
      <c r="A1146" s="20"/>
      <c r="B1146" s="22"/>
    </row>
    <row r="1147" spans="1:2">
      <c r="A1147" s="20"/>
      <c r="B1147" s="22"/>
    </row>
    <row r="1148" spans="1:2">
      <c r="A1148" s="20"/>
      <c r="B1148" s="22"/>
    </row>
    <row r="1149" spans="1:2">
      <c r="A1149" s="20"/>
      <c r="B1149" s="22"/>
    </row>
    <row r="1150" spans="1:2">
      <c r="A1150" s="20"/>
      <c r="B1150" s="22"/>
    </row>
    <row r="1151" spans="1:2">
      <c r="A1151" s="20"/>
      <c r="B1151" s="22"/>
    </row>
    <row r="1152" spans="1:2">
      <c r="A1152" s="20"/>
      <c r="B1152" s="22"/>
    </row>
    <row r="1153" spans="1:2">
      <c r="A1153" s="20"/>
      <c r="B1153" s="22"/>
    </row>
    <row r="1154" spans="1:2">
      <c r="A1154" s="20"/>
      <c r="B1154" s="22"/>
    </row>
    <row r="1155" spans="1:2">
      <c r="A1155" s="20"/>
      <c r="B1155" s="22"/>
    </row>
    <row r="1156" spans="1:2">
      <c r="A1156" s="20"/>
      <c r="B1156" s="22"/>
    </row>
    <row r="1157" spans="1:2">
      <c r="A1157" s="20"/>
      <c r="B1157" s="22"/>
    </row>
    <row r="1158" spans="1:2">
      <c r="A1158" s="20"/>
      <c r="B1158" s="22"/>
    </row>
    <row r="1159" spans="1:2">
      <c r="A1159" s="20"/>
      <c r="B1159" s="22"/>
    </row>
    <row r="1160" spans="1:2">
      <c r="A1160" s="20"/>
      <c r="B1160" s="22"/>
    </row>
    <row r="1161" spans="1:2">
      <c r="A1161" s="20"/>
      <c r="B1161" s="22"/>
    </row>
    <row r="1162" spans="1:2">
      <c r="A1162" s="20"/>
      <c r="B1162" s="22"/>
    </row>
    <row r="1163" spans="1:2">
      <c r="A1163" s="20"/>
      <c r="B1163" s="22"/>
    </row>
    <row r="1164" spans="1:2">
      <c r="A1164" s="20"/>
      <c r="B1164" s="22"/>
    </row>
    <row r="1165" spans="1:2">
      <c r="A1165" s="20"/>
      <c r="B1165" s="22"/>
    </row>
    <row r="1166" spans="1:2">
      <c r="A1166" s="20"/>
      <c r="B1166" s="22"/>
    </row>
    <row r="1167" spans="1:2">
      <c r="A1167" s="20"/>
      <c r="B1167" s="22"/>
    </row>
    <row r="1168" spans="1:2">
      <c r="A1168" s="20"/>
      <c r="B1168" s="22"/>
    </row>
    <row r="1169" spans="1:2">
      <c r="A1169" s="20"/>
      <c r="B1169" s="22"/>
    </row>
    <row r="1170" spans="1:2">
      <c r="A1170" s="20"/>
      <c r="B1170" s="22"/>
    </row>
    <row r="1171" spans="1:2">
      <c r="A1171" s="20"/>
      <c r="B1171" s="22"/>
    </row>
    <row r="1172" spans="1:2">
      <c r="A1172" s="20"/>
      <c r="B1172" s="22"/>
    </row>
    <row r="1173" spans="1:2">
      <c r="A1173" s="20"/>
      <c r="B1173" s="22"/>
    </row>
    <row r="1174" spans="1:2">
      <c r="A1174" s="20"/>
      <c r="B1174" s="22"/>
    </row>
    <row r="1175" spans="1:2">
      <c r="A1175" s="20"/>
      <c r="B1175" s="22"/>
    </row>
    <row r="1176" spans="1:2">
      <c r="A1176" s="20"/>
      <c r="B1176" s="22"/>
    </row>
    <row r="1177" spans="1:2">
      <c r="A1177" s="20"/>
      <c r="B1177" s="22"/>
    </row>
    <row r="1178" spans="1:2">
      <c r="A1178" s="20"/>
      <c r="B1178" s="22"/>
    </row>
    <row r="1179" spans="1:2">
      <c r="A1179" s="20"/>
      <c r="B1179" s="22"/>
    </row>
    <row r="1180" spans="1:2">
      <c r="A1180" s="20"/>
      <c r="B1180" s="22"/>
    </row>
    <row r="1181" spans="1:2">
      <c r="A1181" s="20"/>
      <c r="B1181" s="22"/>
    </row>
    <row r="1182" spans="1:2">
      <c r="A1182" s="20"/>
      <c r="B1182" s="22"/>
    </row>
    <row r="1183" spans="1:2">
      <c r="A1183" s="20"/>
      <c r="B1183" s="22"/>
    </row>
    <row r="1184" spans="1:2">
      <c r="A1184" s="20"/>
      <c r="B1184" s="22"/>
    </row>
    <row r="1185" spans="1:2">
      <c r="A1185" s="20"/>
      <c r="B1185" s="22"/>
    </row>
    <row r="1186" spans="1:2">
      <c r="A1186" s="20"/>
      <c r="B1186" s="22"/>
    </row>
    <row r="1187" spans="1:2">
      <c r="A1187" s="20"/>
      <c r="B1187" s="22"/>
    </row>
    <row r="1188" spans="1:2">
      <c r="A1188" s="20"/>
      <c r="B1188" s="22"/>
    </row>
    <row r="1189" spans="1:2">
      <c r="A1189" s="20"/>
      <c r="B1189" s="22"/>
    </row>
    <row r="1190" spans="1:2">
      <c r="A1190" s="20"/>
      <c r="B1190" s="22"/>
    </row>
    <row r="1191" spans="1:2">
      <c r="A1191" s="20"/>
      <c r="B1191" s="22"/>
    </row>
    <row r="1192" spans="1:2">
      <c r="A1192" s="20"/>
      <c r="B1192" s="22"/>
    </row>
    <row r="1193" spans="1:2">
      <c r="A1193" s="20"/>
      <c r="B1193" s="22"/>
    </row>
    <row r="1194" spans="1:2">
      <c r="A1194" s="20"/>
      <c r="B1194" s="22"/>
    </row>
    <row r="1195" spans="1:2">
      <c r="A1195" s="20"/>
      <c r="B1195" s="22"/>
    </row>
    <row r="1196" spans="1:2">
      <c r="A1196" s="20"/>
      <c r="B1196" s="22"/>
    </row>
    <row r="1197" spans="1:2">
      <c r="A1197" s="20"/>
      <c r="B1197" s="22"/>
    </row>
    <row r="1198" spans="1:2">
      <c r="A1198" s="20"/>
      <c r="B1198" s="22"/>
    </row>
    <row r="1199" spans="1:2">
      <c r="A1199" s="20"/>
      <c r="B1199" s="22"/>
    </row>
    <row r="1200" spans="1:2">
      <c r="A1200" s="20"/>
      <c r="B1200" s="22"/>
    </row>
    <row r="1201" spans="1:2">
      <c r="A1201" s="20"/>
      <c r="B1201" s="22"/>
    </row>
    <row r="1202" spans="1:2">
      <c r="A1202" s="20"/>
      <c r="B1202" s="22"/>
    </row>
    <row r="1203" spans="1:2">
      <c r="A1203" s="20"/>
      <c r="B1203" s="22"/>
    </row>
    <row r="1204" spans="1:2">
      <c r="A1204" s="20"/>
      <c r="B1204" s="22"/>
    </row>
    <row r="1205" spans="1:2">
      <c r="A1205" s="20"/>
      <c r="B1205" s="22"/>
    </row>
    <row r="1206" spans="1:2">
      <c r="A1206" s="20"/>
      <c r="B1206" s="22"/>
    </row>
    <row r="1207" spans="1:2">
      <c r="A1207" s="20"/>
      <c r="B1207" s="22"/>
    </row>
    <row r="1208" spans="1:2">
      <c r="A1208" s="20"/>
      <c r="B1208" s="22"/>
    </row>
    <row r="1209" spans="1:2">
      <c r="A1209" s="20"/>
      <c r="B1209" s="22"/>
    </row>
    <row r="1210" spans="1:2">
      <c r="A1210" s="20"/>
      <c r="B1210" s="22"/>
    </row>
    <row r="1211" spans="1:2">
      <c r="A1211" s="20"/>
      <c r="B1211" s="22"/>
    </row>
    <row r="1212" spans="1:2">
      <c r="A1212" s="20"/>
      <c r="B1212" s="22"/>
    </row>
    <row r="1213" spans="1:2">
      <c r="A1213" s="20"/>
      <c r="B1213" s="22"/>
    </row>
    <row r="1214" spans="1:2">
      <c r="A1214" s="20"/>
      <c r="B1214" s="22"/>
    </row>
    <row r="1215" spans="1:2">
      <c r="A1215" s="20"/>
      <c r="B1215" s="22"/>
    </row>
    <row r="1216" spans="1:2">
      <c r="A1216" s="20"/>
      <c r="B1216" s="22"/>
    </row>
    <row r="1217" spans="1:2">
      <c r="A1217" s="20"/>
      <c r="B1217" s="22"/>
    </row>
    <row r="1218" spans="1:2">
      <c r="A1218" s="20"/>
      <c r="B1218" s="22"/>
    </row>
    <row r="1219" spans="1:2">
      <c r="A1219" s="20"/>
      <c r="B1219" s="22"/>
    </row>
    <row r="1220" spans="1:2">
      <c r="A1220" s="20"/>
      <c r="B1220" s="22"/>
    </row>
    <row r="1221" spans="1:2">
      <c r="A1221" s="20"/>
      <c r="B1221" s="22"/>
    </row>
    <row r="1222" spans="1:2">
      <c r="A1222" s="20"/>
      <c r="B1222" s="22"/>
    </row>
    <row r="1223" spans="1:2">
      <c r="A1223" s="20"/>
      <c r="B1223" s="22"/>
    </row>
    <row r="1224" spans="1:2">
      <c r="A1224" s="20"/>
      <c r="B1224" s="22"/>
    </row>
    <row r="1225" spans="1:2">
      <c r="A1225" s="20"/>
      <c r="B1225" s="22"/>
    </row>
    <row r="1226" spans="1:2">
      <c r="A1226" s="20"/>
      <c r="B1226" s="22"/>
    </row>
    <row r="1227" spans="1:2">
      <c r="A1227" s="20"/>
      <c r="B1227" s="22"/>
    </row>
    <row r="1228" spans="1:2">
      <c r="A1228" s="20"/>
      <c r="B1228" s="22"/>
    </row>
    <row r="1229" spans="1:2">
      <c r="A1229" s="20"/>
      <c r="B1229" s="22"/>
    </row>
    <row r="1230" spans="1:2">
      <c r="A1230" s="20"/>
      <c r="B1230" s="22"/>
    </row>
    <row r="1231" spans="1:2">
      <c r="A1231" s="20"/>
      <c r="B1231" s="22"/>
    </row>
    <row r="1232" spans="1:2">
      <c r="A1232" s="20"/>
      <c r="B1232" s="22"/>
    </row>
    <row r="1233" spans="1:2">
      <c r="A1233" s="20"/>
      <c r="B1233" s="22"/>
    </row>
    <row r="1234" spans="1:2">
      <c r="A1234" s="20"/>
      <c r="B1234" s="22"/>
    </row>
    <row r="1235" spans="1:2">
      <c r="A1235" s="20"/>
      <c r="B1235" s="22"/>
    </row>
    <row r="1236" spans="1:2">
      <c r="A1236" s="20"/>
      <c r="B1236" s="22"/>
    </row>
    <row r="1237" spans="1:2">
      <c r="A1237" s="20"/>
      <c r="B1237" s="22"/>
    </row>
    <row r="1238" spans="1:2">
      <c r="A1238" s="20"/>
      <c r="B1238" s="22"/>
    </row>
    <row r="1239" spans="1:2">
      <c r="A1239" s="20"/>
      <c r="B1239" s="22"/>
    </row>
    <row r="1240" spans="1:2">
      <c r="A1240" s="20"/>
      <c r="B1240" s="22"/>
    </row>
    <row r="1241" spans="1:2">
      <c r="A1241" s="20"/>
      <c r="B1241" s="22"/>
    </row>
    <row r="1242" spans="1:2">
      <c r="A1242" s="20"/>
      <c r="B1242" s="22"/>
    </row>
    <row r="1243" spans="1:2">
      <c r="A1243" s="20"/>
      <c r="B1243" s="22"/>
    </row>
    <row r="1244" spans="1:2">
      <c r="A1244" s="20"/>
      <c r="B1244" s="22"/>
    </row>
    <row r="1245" spans="1:2">
      <c r="A1245" s="20"/>
      <c r="B1245" s="22"/>
    </row>
    <row r="1246" spans="1:2">
      <c r="A1246" s="20"/>
      <c r="B1246" s="22"/>
    </row>
    <row r="1247" spans="1:2">
      <c r="A1247" s="20"/>
      <c r="B1247" s="22"/>
    </row>
    <row r="1248" spans="1:2">
      <c r="A1248" s="20"/>
      <c r="B1248" s="22"/>
    </row>
    <row r="1249" spans="1:2">
      <c r="A1249" s="20"/>
      <c r="B1249" s="22"/>
    </row>
    <row r="1250" spans="1:2">
      <c r="A1250" s="20"/>
      <c r="B1250" s="22"/>
    </row>
    <row r="1251" spans="1:2">
      <c r="A1251" s="20"/>
      <c r="B1251" s="22"/>
    </row>
    <row r="1252" spans="1:2">
      <c r="A1252" s="20"/>
      <c r="B1252" s="22"/>
    </row>
    <row r="1253" spans="1:2">
      <c r="A1253" s="20"/>
      <c r="B1253" s="22"/>
    </row>
    <row r="1254" spans="1:2">
      <c r="A1254" s="20"/>
      <c r="B1254" s="22"/>
    </row>
    <row r="1255" spans="1:2">
      <c r="A1255" s="20"/>
      <c r="B1255" s="22"/>
    </row>
    <row r="1256" spans="1:2">
      <c r="A1256" s="20"/>
      <c r="B1256" s="22"/>
    </row>
    <row r="1257" spans="1:2">
      <c r="A1257" s="20"/>
      <c r="B1257" s="22"/>
    </row>
    <row r="1258" spans="1:2">
      <c r="A1258" s="20"/>
      <c r="B1258" s="22"/>
    </row>
    <row r="1259" spans="1:2">
      <c r="A1259" s="20"/>
      <c r="B1259" s="22"/>
    </row>
    <row r="1260" spans="1:2">
      <c r="A1260" s="20"/>
      <c r="B1260" s="22"/>
    </row>
    <row r="1261" spans="1:2">
      <c r="A1261" s="20"/>
      <c r="B1261" s="22"/>
    </row>
    <row r="1262" spans="1:2">
      <c r="A1262" s="20"/>
      <c r="B1262" s="22"/>
    </row>
    <row r="1263" spans="1:2">
      <c r="A1263" s="20"/>
      <c r="B1263" s="22"/>
    </row>
    <row r="1264" spans="1:2">
      <c r="A1264" s="20"/>
      <c r="B1264" s="22"/>
    </row>
    <row r="1265" spans="1:2">
      <c r="A1265" s="20"/>
      <c r="B1265" s="22"/>
    </row>
    <row r="1266" spans="1:2">
      <c r="A1266" s="20"/>
      <c r="B1266" s="22"/>
    </row>
    <row r="1267" spans="1:2">
      <c r="A1267" s="20"/>
      <c r="B1267" s="22"/>
    </row>
    <row r="1268" spans="1:2">
      <c r="A1268" s="20"/>
      <c r="B1268" s="22"/>
    </row>
    <row r="1269" spans="1:2">
      <c r="A1269" s="20"/>
      <c r="B1269" s="22"/>
    </row>
    <row r="1270" spans="1:2">
      <c r="A1270" s="20"/>
      <c r="B1270" s="22"/>
    </row>
    <row r="1271" spans="1:2">
      <c r="A1271" s="20"/>
      <c r="B1271" s="22"/>
    </row>
    <row r="1272" spans="1:2">
      <c r="A1272" s="20"/>
      <c r="B1272" s="22"/>
    </row>
    <row r="1273" spans="1:2">
      <c r="A1273" s="20"/>
      <c r="B1273" s="22"/>
    </row>
    <row r="1274" spans="1:2">
      <c r="A1274" s="20"/>
      <c r="B1274" s="22"/>
    </row>
    <row r="1275" spans="1:2">
      <c r="A1275" s="20"/>
      <c r="B1275" s="22"/>
    </row>
    <row r="1276" spans="1:2">
      <c r="A1276" s="20"/>
      <c r="B1276" s="22"/>
    </row>
    <row r="1277" spans="1:2">
      <c r="A1277" s="20"/>
      <c r="B1277" s="22"/>
    </row>
    <row r="1278" spans="1:2">
      <c r="A1278" s="20"/>
      <c r="B1278" s="22"/>
    </row>
    <row r="1279" spans="1:2">
      <c r="A1279" s="20"/>
      <c r="B1279" s="22"/>
    </row>
    <row r="1280" spans="1:2">
      <c r="A1280" s="20"/>
      <c r="B1280" s="22"/>
    </row>
    <row r="1281" spans="1:2">
      <c r="A1281" s="20"/>
      <c r="B1281" s="22"/>
    </row>
    <row r="1282" spans="1:2">
      <c r="A1282" s="20"/>
      <c r="B1282" s="22"/>
    </row>
    <row r="1283" spans="1:2">
      <c r="A1283" s="20"/>
      <c r="B1283" s="22"/>
    </row>
    <row r="1284" spans="1:2">
      <c r="A1284" s="20"/>
      <c r="B1284" s="22"/>
    </row>
    <row r="1285" spans="1:2">
      <c r="A1285" s="20"/>
      <c r="B1285" s="22"/>
    </row>
    <row r="1286" spans="1:2">
      <c r="A1286" s="20"/>
      <c r="B1286" s="22"/>
    </row>
    <row r="1287" spans="1:2">
      <c r="A1287" s="20"/>
      <c r="B1287" s="22"/>
    </row>
    <row r="1288" spans="1:2">
      <c r="A1288" s="20"/>
      <c r="B1288" s="22"/>
    </row>
    <row r="1289" spans="1:2">
      <c r="A1289" s="20"/>
      <c r="B1289" s="22"/>
    </row>
    <row r="1290" spans="1:2">
      <c r="A1290" s="20"/>
      <c r="B1290" s="22"/>
    </row>
    <row r="1291" spans="1:2">
      <c r="A1291" s="20"/>
      <c r="B1291" s="22"/>
    </row>
    <row r="1292" spans="1:2">
      <c r="A1292" s="20"/>
      <c r="B1292" s="22"/>
    </row>
    <row r="1293" spans="1:2">
      <c r="A1293" s="20"/>
      <c r="B1293" s="22"/>
    </row>
    <row r="1294" spans="1:2">
      <c r="A1294" s="20"/>
      <c r="B1294" s="22"/>
    </row>
    <row r="1295" spans="1:2">
      <c r="A1295" s="20"/>
      <c r="B1295" s="22"/>
    </row>
    <row r="1296" spans="1:2">
      <c r="A1296" s="20"/>
      <c r="B1296" s="22"/>
    </row>
    <row r="1297" spans="1:2">
      <c r="A1297" s="20"/>
      <c r="B1297" s="22"/>
    </row>
    <row r="1298" spans="1:2">
      <c r="A1298" s="20"/>
      <c r="B1298" s="22"/>
    </row>
    <row r="1299" spans="1:2">
      <c r="A1299" s="20"/>
      <c r="B1299" s="22"/>
    </row>
    <row r="1300" spans="1:2">
      <c r="A1300" s="20"/>
      <c r="B1300" s="22"/>
    </row>
    <row r="1301" spans="1:2">
      <c r="A1301" s="20"/>
      <c r="B1301" s="22"/>
    </row>
    <row r="1302" spans="1:2">
      <c r="A1302" s="20"/>
      <c r="B1302" s="22"/>
    </row>
    <row r="1303" spans="1:2">
      <c r="A1303" s="20"/>
      <c r="B1303" s="22"/>
    </row>
    <row r="1304" spans="1:2">
      <c r="A1304" s="20"/>
      <c r="B1304" s="22"/>
    </row>
    <row r="1305" spans="1:2">
      <c r="A1305" s="20"/>
      <c r="B1305" s="22"/>
    </row>
    <row r="1306" spans="1:2">
      <c r="A1306" s="20"/>
      <c r="B1306" s="22"/>
    </row>
    <row r="1307" spans="1:2">
      <c r="A1307" s="20"/>
      <c r="B1307" s="22"/>
    </row>
    <row r="1308" spans="1:2">
      <c r="A1308" s="20"/>
      <c r="B1308" s="22"/>
    </row>
    <row r="1309" spans="1:2">
      <c r="A1309" s="20"/>
      <c r="B1309" s="22"/>
    </row>
    <row r="1310" spans="1:2">
      <c r="A1310" s="20"/>
      <c r="B1310" s="22"/>
    </row>
    <row r="1311" spans="1:2">
      <c r="A1311" s="20"/>
      <c r="B1311" s="22"/>
    </row>
    <row r="1312" spans="1:2">
      <c r="A1312" s="20"/>
      <c r="B1312" s="22"/>
    </row>
    <row r="1313" spans="1:2">
      <c r="A1313" s="20"/>
      <c r="B1313" s="22"/>
    </row>
    <row r="1314" spans="1:2">
      <c r="A1314" s="20"/>
      <c r="B1314" s="22"/>
    </row>
    <row r="1315" spans="1:2">
      <c r="A1315" s="20"/>
      <c r="B1315" s="22"/>
    </row>
    <row r="1316" spans="1:2">
      <c r="A1316" s="20"/>
      <c r="B1316" s="22"/>
    </row>
    <row r="1317" spans="1:2">
      <c r="A1317" s="20"/>
      <c r="B1317" s="22"/>
    </row>
    <row r="1318" spans="1:2">
      <c r="A1318" s="20"/>
      <c r="B1318" s="22"/>
    </row>
    <row r="1319" spans="1:2">
      <c r="A1319" s="20"/>
      <c r="B1319" s="22"/>
    </row>
    <row r="1320" spans="1:2">
      <c r="A1320" s="20"/>
      <c r="B1320" s="22"/>
    </row>
    <row r="1321" spans="1:2">
      <c r="A1321" s="20"/>
      <c r="B1321" s="22"/>
    </row>
    <row r="1322" spans="1:2">
      <c r="A1322" s="20"/>
      <c r="B1322" s="22"/>
    </row>
    <row r="1323" spans="1:2">
      <c r="A1323" s="20"/>
      <c r="B1323" s="22"/>
    </row>
    <row r="1324" spans="1:2">
      <c r="A1324" s="20"/>
      <c r="B1324" s="22"/>
    </row>
    <row r="1325" spans="1:2">
      <c r="A1325" s="20"/>
      <c r="B1325" s="22"/>
    </row>
    <row r="1326" spans="1:2">
      <c r="A1326" s="20"/>
      <c r="B1326" s="22"/>
    </row>
    <row r="1327" spans="1:2">
      <c r="A1327" s="20"/>
      <c r="B1327" s="22"/>
    </row>
    <row r="1328" spans="1:2">
      <c r="A1328" s="20"/>
      <c r="B1328" s="22"/>
    </row>
    <row r="1329" spans="1:2">
      <c r="A1329" s="20"/>
      <c r="B1329" s="22"/>
    </row>
    <row r="1330" spans="1:2">
      <c r="A1330" s="20"/>
      <c r="B1330" s="22"/>
    </row>
    <row r="1331" spans="1:2">
      <c r="A1331" s="20"/>
      <c r="B1331" s="22"/>
    </row>
    <row r="1332" spans="1:2">
      <c r="A1332" s="20"/>
      <c r="B1332" s="22"/>
    </row>
    <row r="1333" spans="1:2">
      <c r="A1333" s="20"/>
      <c r="B1333" s="22"/>
    </row>
    <row r="1334" spans="1:2">
      <c r="A1334" s="20"/>
      <c r="B1334" s="22"/>
    </row>
    <row r="1335" spans="1:2">
      <c r="A1335" s="20"/>
      <c r="B1335" s="22"/>
    </row>
    <row r="1336" spans="1:2">
      <c r="A1336" s="20"/>
      <c r="B1336" s="22"/>
    </row>
    <row r="1337" spans="1:2">
      <c r="A1337" s="20"/>
      <c r="B1337" s="22"/>
    </row>
    <row r="1338" spans="1:2">
      <c r="A1338" s="20"/>
      <c r="B1338" s="22"/>
    </row>
    <row r="1339" spans="1:2">
      <c r="A1339" s="20"/>
      <c r="B1339" s="22"/>
    </row>
    <row r="1340" spans="1:2">
      <c r="A1340" s="20"/>
      <c r="B1340" s="22"/>
    </row>
    <row r="1341" spans="1:2">
      <c r="A1341" s="20"/>
      <c r="B1341" s="22"/>
    </row>
    <row r="1342" spans="1:2">
      <c r="A1342" s="20"/>
      <c r="B1342" s="22"/>
    </row>
    <row r="1343" spans="1:2">
      <c r="A1343" s="20"/>
      <c r="B1343" s="22"/>
    </row>
    <row r="1344" spans="1:2">
      <c r="A1344" s="20"/>
      <c r="B1344" s="22"/>
    </row>
    <row r="1345" spans="1:2">
      <c r="A1345" s="20"/>
      <c r="B1345" s="22"/>
    </row>
    <row r="1346" spans="1:2">
      <c r="A1346" s="20"/>
      <c r="B1346" s="22"/>
    </row>
    <row r="1347" spans="1:2">
      <c r="A1347" s="20"/>
      <c r="B1347" s="22"/>
    </row>
    <row r="1348" spans="1:2">
      <c r="A1348" s="20"/>
      <c r="B1348" s="22"/>
    </row>
    <row r="1349" spans="1:2">
      <c r="A1349" s="20"/>
      <c r="B1349" s="22"/>
    </row>
    <row r="1350" spans="1:2">
      <c r="A1350" s="20"/>
      <c r="B1350" s="22"/>
    </row>
    <row r="1351" spans="1:2">
      <c r="A1351" s="20"/>
      <c r="B1351" s="22"/>
    </row>
    <row r="1352" spans="1:2">
      <c r="A1352" s="20"/>
      <c r="B1352" s="22"/>
    </row>
    <row r="1353" spans="1:2">
      <c r="A1353" s="20"/>
      <c r="B1353" s="22"/>
    </row>
    <row r="1354" spans="1:2">
      <c r="A1354" s="20"/>
      <c r="B1354" s="22"/>
    </row>
    <row r="1355" spans="1:2">
      <c r="A1355" s="20"/>
      <c r="B1355" s="22"/>
    </row>
    <row r="1356" spans="1:2">
      <c r="A1356" s="20"/>
      <c r="B1356" s="22"/>
    </row>
    <row r="1357" spans="1:2">
      <c r="A1357" s="20"/>
      <c r="B1357" s="22"/>
    </row>
    <row r="1358" spans="1:2">
      <c r="A1358" s="20"/>
      <c r="B1358" s="22"/>
    </row>
    <row r="1359" spans="1:2">
      <c r="A1359" s="20"/>
      <c r="B1359" s="22"/>
    </row>
    <row r="1360" spans="1:2">
      <c r="A1360" s="20"/>
      <c r="B1360" s="22"/>
    </row>
    <row r="1361" spans="1:2">
      <c r="A1361" s="20"/>
      <c r="B1361" s="22"/>
    </row>
    <row r="1362" spans="1:2">
      <c r="A1362" s="20"/>
      <c r="B1362" s="22"/>
    </row>
    <row r="1363" spans="1:2">
      <c r="A1363" s="20"/>
      <c r="B1363" s="22"/>
    </row>
    <row r="1364" spans="1:2">
      <c r="A1364" s="20"/>
      <c r="B1364" s="22"/>
    </row>
    <row r="1365" spans="1:2">
      <c r="A1365" s="20"/>
      <c r="B1365" s="22"/>
    </row>
    <row r="1366" spans="1:2">
      <c r="A1366" s="20"/>
      <c r="B1366" s="22"/>
    </row>
    <row r="1367" spans="1:2">
      <c r="A1367" s="20"/>
      <c r="B1367" s="22"/>
    </row>
    <row r="1368" spans="1:2">
      <c r="A1368" s="20"/>
      <c r="B1368" s="22"/>
    </row>
    <row r="1369" spans="1:2">
      <c r="A1369" s="20"/>
      <c r="B1369" s="22"/>
    </row>
    <row r="1370" spans="1:2">
      <c r="A1370" s="20"/>
      <c r="B1370" s="22"/>
    </row>
    <row r="1371" spans="1:2">
      <c r="A1371" s="20"/>
      <c r="B1371" s="22"/>
    </row>
    <row r="1372" spans="1:2">
      <c r="A1372" s="20"/>
      <c r="B1372" s="22"/>
    </row>
    <row r="1373" spans="1:2">
      <c r="A1373" s="20"/>
      <c r="B1373" s="22"/>
    </row>
    <row r="1374" spans="1:2">
      <c r="A1374" s="20"/>
      <c r="B1374" s="22"/>
    </row>
    <row r="1375" spans="1:2">
      <c r="A1375" s="20"/>
      <c r="B1375" s="22"/>
    </row>
    <row r="1376" spans="1:2">
      <c r="A1376" s="20"/>
      <c r="B1376" s="22"/>
    </row>
    <row r="1377" spans="1:2">
      <c r="A1377" s="20"/>
      <c r="B1377" s="22"/>
    </row>
    <row r="1378" spans="1:2">
      <c r="A1378" s="20"/>
      <c r="B1378" s="22"/>
    </row>
    <row r="1379" spans="1:2">
      <c r="A1379" s="20"/>
      <c r="B1379" s="22"/>
    </row>
    <row r="1380" spans="1:2">
      <c r="A1380" s="20"/>
      <c r="B1380" s="22"/>
    </row>
    <row r="1381" spans="1:2">
      <c r="A1381" s="20"/>
      <c r="B1381" s="22"/>
    </row>
    <row r="1382" spans="1:2">
      <c r="A1382" s="20"/>
      <c r="B1382" s="22"/>
    </row>
    <row r="1383" spans="1:2">
      <c r="A1383" s="20"/>
      <c r="B1383" s="22"/>
    </row>
    <row r="1384" spans="1:2">
      <c r="A1384" s="20"/>
      <c r="B1384" s="22"/>
    </row>
    <row r="1385" spans="1:2">
      <c r="A1385" s="20"/>
      <c r="B1385" s="22"/>
    </row>
    <row r="1386" spans="1:2">
      <c r="A1386" s="20"/>
      <c r="B1386" s="22"/>
    </row>
    <row r="1387" spans="1:2">
      <c r="A1387" s="20"/>
      <c r="B1387" s="22"/>
    </row>
    <row r="1388" spans="1:2">
      <c r="A1388" s="20"/>
      <c r="B1388" s="22"/>
    </row>
    <row r="1389" spans="1:2">
      <c r="A1389" s="20"/>
      <c r="B1389" s="22"/>
    </row>
    <row r="1390" spans="1:2">
      <c r="A1390" s="20"/>
      <c r="B1390" s="22"/>
    </row>
    <row r="1391" spans="1:2">
      <c r="A1391" s="20"/>
      <c r="B1391" s="22"/>
    </row>
    <row r="1392" spans="1:2">
      <c r="A1392" s="20"/>
      <c r="B1392" s="22"/>
    </row>
    <row r="1393" spans="1:2">
      <c r="A1393" s="20"/>
      <c r="B1393" s="22"/>
    </row>
    <row r="1394" spans="1:2">
      <c r="A1394" s="20"/>
      <c r="B1394" s="22"/>
    </row>
    <row r="1395" spans="1:2">
      <c r="A1395" s="20"/>
      <c r="B1395" s="22"/>
    </row>
    <row r="1396" spans="1:2">
      <c r="A1396" s="20"/>
      <c r="B1396" s="22"/>
    </row>
    <row r="1397" spans="1:2">
      <c r="A1397" s="20"/>
      <c r="B1397" s="22"/>
    </row>
    <row r="1398" spans="1:2">
      <c r="A1398" s="20"/>
      <c r="B1398" s="22"/>
    </row>
    <row r="1399" spans="1:2">
      <c r="A1399" s="20"/>
      <c r="B1399" s="22"/>
    </row>
    <row r="1400" spans="1:2">
      <c r="A1400" s="20"/>
      <c r="B1400" s="22"/>
    </row>
    <row r="1401" spans="1:2">
      <c r="A1401" s="20"/>
      <c r="B1401" s="22"/>
    </row>
    <row r="1402" spans="1:2">
      <c r="A1402" s="20"/>
      <c r="B1402" s="22"/>
    </row>
    <row r="1403" spans="1:2">
      <c r="A1403" s="20"/>
      <c r="B1403" s="22"/>
    </row>
    <row r="1404" spans="1:2">
      <c r="A1404" s="20"/>
      <c r="B1404" s="22"/>
    </row>
    <row r="1405" spans="1:2">
      <c r="A1405" s="20"/>
      <c r="B1405" s="22"/>
    </row>
    <row r="1406" spans="1:2">
      <c r="A1406" s="20"/>
      <c r="B1406" s="22"/>
    </row>
    <row r="1407" spans="1:2">
      <c r="A1407" s="20"/>
      <c r="B1407" s="22"/>
    </row>
    <row r="1408" spans="1:2">
      <c r="A1408" s="20"/>
      <c r="B1408" s="22"/>
    </row>
    <row r="1409" spans="1:2">
      <c r="A1409" s="20"/>
      <c r="B1409" s="22"/>
    </row>
    <row r="1410" spans="1:2">
      <c r="A1410" s="20"/>
      <c r="B1410" s="22"/>
    </row>
    <row r="1411" spans="1:2">
      <c r="A1411" s="20"/>
      <c r="B1411" s="22"/>
    </row>
    <row r="1412" spans="1:2">
      <c r="A1412" s="20"/>
      <c r="B1412" s="22"/>
    </row>
    <row r="1413" spans="1:2">
      <c r="A1413" s="20"/>
      <c r="B1413" s="22"/>
    </row>
    <row r="1414" spans="1:2">
      <c r="A1414" s="20"/>
      <c r="B1414" s="22"/>
    </row>
    <row r="1415" spans="1:2">
      <c r="A1415" s="20"/>
      <c r="B1415" s="22"/>
    </row>
    <row r="1416" spans="1:2">
      <c r="A1416" s="20"/>
      <c r="B1416" s="22"/>
    </row>
    <row r="1417" spans="1:2">
      <c r="A1417" s="20"/>
      <c r="B1417" s="22"/>
    </row>
    <row r="1418" spans="1:2">
      <c r="A1418" s="20"/>
      <c r="B1418" s="22"/>
    </row>
    <row r="1419" spans="1:2">
      <c r="A1419" s="20"/>
      <c r="B1419" s="22"/>
    </row>
    <row r="1420" spans="1:2">
      <c r="A1420" s="20"/>
      <c r="B1420" s="22"/>
    </row>
    <row r="1421" spans="1:2">
      <c r="A1421" s="20"/>
      <c r="B1421" s="22"/>
    </row>
    <row r="1422" spans="1:2">
      <c r="A1422" s="20"/>
      <c r="B1422" s="22"/>
    </row>
    <row r="1423" spans="1:2">
      <c r="A1423" s="20"/>
      <c r="B1423" s="22"/>
    </row>
    <row r="1424" spans="1:2">
      <c r="A1424" s="20"/>
      <c r="B1424" s="22"/>
    </row>
    <row r="1425" spans="1:2">
      <c r="A1425" s="20"/>
      <c r="B1425" s="22"/>
    </row>
    <row r="1426" spans="1:2">
      <c r="A1426" s="20"/>
      <c r="B1426" s="22"/>
    </row>
    <row r="1427" spans="1:2">
      <c r="A1427" s="20"/>
      <c r="B1427" s="22"/>
    </row>
    <row r="1428" spans="1:2">
      <c r="A1428" s="20"/>
      <c r="B1428" s="22"/>
    </row>
    <row r="1429" spans="1:2">
      <c r="A1429" s="20"/>
      <c r="B1429" s="22"/>
    </row>
    <row r="1430" spans="1:2">
      <c r="A1430" s="20"/>
      <c r="B1430" s="22"/>
    </row>
    <row r="1431" spans="1:2">
      <c r="A1431" s="20"/>
      <c r="B1431" s="22"/>
    </row>
    <row r="1432" spans="1:2">
      <c r="A1432" s="20"/>
      <c r="B1432" s="22"/>
    </row>
    <row r="1433" spans="1:2">
      <c r="A1433" s="20"/>
      <c r="B1433" s="22"/>
    </row>
    <row r="1434" spans="1:2">
      <c r="A1434" s="20"/>
      <c r="B1434" s="22"/>
    </row>
    <row r="1435" spans="1:2">
      <c r="A1435" s="20"/>
      <c r="B1435" s="22"/>
    </row>
    <row r="1436" spans="1:2">
      <c r="A1436" s="20"/>
      <c r="B1436" s="22"/>
    </row>
    <row r="1437" spans="1:2">
      <c r="A1437" s="20"/>
      <c r="B1437" s="22"/>
    </row>
    <row r="1438" spans="1:2">
      <c r="A1438" s="20"/>
      <c r="B1438" s="22"/>
    </row>
    <row r="1439" spans="1:2">
      <c r="A1439" s="20"/>
      <c r="B1439" s="22"/>
    </row>
    <row r="1440" spans="1:2">
      <c r="A1440" s="20"/>
      <c r="B1440" s="22"/>
    </row>
    <row r="1441" spans="1:2">
      <c r="A1441" s="20"/>
      <c r="B1441" s="22"/>
    </row>
    <row r="1442" spans="1:2">
      <c r="A1442" s="20"/>
      <c r="B1442" s="22"/>
    </row>
    <row r="1443" spans="1:2">
      <c r="A1443" s="20"/>
      <c r="B1443" s="22"/>
    </row>
    <row r="1444" spans="1:2">
      <c r="A1444" s="20"/>
      <c r="B1444" s="22"/>
    </row>
    <row r="1445" spans="1:2">
      <c r="A1445" s="20"/>
      <c r="B1445" s="22"/>
    </row>
    <row r="1446" spans="1:2">
      <c r="A1446" s="20"/>
      <c r="B1446" s="22"/>
    </row>
    <row r="1447" spans="1:2">
      <c r="A1447" s="20"/>
      <c r="B1447" s="22"/>
    </row>
    <row r="1448" spans="1:2">
      <c r="A1448" s="20"/>
      <c r="B1448" s="22"/>
    </row>
    <row r="1449" spans="1:2">
      <c r="A1449" s="20"/>
      <c r="B1449" s="22"/>
    </row>
    <row r="1450" spans="1:2">
      <c r="A1450" s="20"/>
      <c r="B1450" s="22"/>
    </row>
    <row r="1451" spans="1:2">
      <c r="A1451" s="20"/>
      <c r="B1451" s="22"/>
    </row>
    <row r="1452" spans="1:2">
      <c r="A1452" s="20"/>
      <c r="B1452" s="22"/>
    </row>
    <row r="1453" spans="1:2">
      <c r="A1453" s="20"/>
      <c r="B1453" s="22"/>
    </row>
    <row r="1454" spans="1:2">
      <c r="A1454" s="20"/>
      <c r="B1454" s="22"/>
    </row>
    <row r="1455" spans="1:2">
      <c r="A1455" s="20"/>
      <c r="B1455" s="22"/>
    </row>
    <row r="1456" spans="1:2">
      <c r="A1456" s="20"/>
      <c r="B1456" s="22"/>
    </row>
    <row r="1457" spans="1:2">
      <c r="A1457" s="20"/>
      <c r="B1457" s="22"/>
    </row>
    <row r="1458" spans="1:2">
      <c r="A1458" s="20"/>
      <c r="B1458" s="22"/>
    </row>
    <row r="1459" spans="1:2">
      <c r="A1459" s="20"/>
      <c r="B1459" s="22"/>
    </row>
    <row r="1460" spans="1:2">
      <c r="A1460" s="20"/>
      <c r="B1460" s="22"/>
    </row>
    <row r="1461" spans="1:2">
      <c r="A1461" s="20"/>
      <c r="B1461" s="22"/>
    </row>
    <row r="1462" spans="1:2">
      <c r="A1462" s="20"/>
      <c r="B1462" s="22"/>
    </row>
    <row r="1463" spans="1:2">
      <c r="A1463" s="20"/>
      <c r="B1463" s="22"/>
    </row>
    <row r="1464" spans="1:2">
      <c r="A1464" s="20"/>
      <c r="B1464" s="22"/>
    </row>
    <row r="1465" spans="1:2">
      <c r="A1465" s="20"/>
      <c r="B1465" s="22"/>
    </row>
    <row r="1466" spans="1:2">
      <c r="A1466" s="20"/>
      <c r="B1466" s="22"/>
    </row>
    <row r="1467" spans="1:2">
      <c r="A1467" s="20"/>
      <c r="B1467" s="22"/>
    </row>
    <row r="1468" spans="1:2">
      <c r="A1468" s="20"/>
      <c r="B1468" s="22"/>
    </row>
    <row r="1469" spans="1:2">
      <c r="A1469" s="20"/>
      <c r="B1469" s="22"/>
    </row>
    <row r="1470" spans="1:2">
      <c r="A1470" s="20"/>
      <c r="B1470" s="22"/>
    </row>
    <row r="1471" spans="1:2">
      <c r="A1471" s="20"/>
      <c r="B1471" s="22"/>
    </row>
    <row r="1472" spans="1:2">
      <c r="A1472" s="20"/>
      <c r="B1472" s="22"/>
    </row>
    <row r="1473" spans="1:2">
      <c r="A1473" s="20"/>
      <c r="B1473" s="22"/>
    </row>
    <row r="1474" spans="1:2">
      <c r="A1474" s="20"/>
      <c r="B1474" s="22"/>
    </row>
    <row r="1475" spans="1:2">
      <c r="A1475" s="20"/>
      <c r="B1475" s="22"/>
    </row>
    <row r="1476" spans="1:2">
      <c r="A1476" s="20"/>
      <c r="B1476" s="22"/>
    </row>
    <row r="1477" spans="1:2">
      <c r="A1477" s="20"/>
      <c r="B1477" s="22"/>
    </row>
    <row r="1478" spans="1:2">
      <c r="A1478" s="20"/>
      <c r="B1478" s="22"/>
    </row>
    <row r="1479" spans="1:2">
      <c r="A1479" s="20"/>
      <c r="B1479" s="22"/>
    </row>
    <row r="1480" spans="1:2">
      <c r="A1480" s="20"/>
      <c r="B1480" s="22"/>
    </row>
    <row r="1481" spans="1:2">
      <c r="A1481" s="20"/>
      <c r="B1481" s="22"/>
    </row>
    <row r="1482" spans="1:2">
      <c r="A1482" s="20"/>
      <c r="B1482" s="22"/>
    </row>
    <row r="1483" spans="1:2">
      <c r="A1483" s="20"/>
      <c r="B1483" s="22"/>
    </row>
    <row r="1484" spans="1:2">
      <c r="A1484" s="20"/>
      <c r="B1484" s="22"/>
    </row>
    <row r="1485" spans="1:2">
      <c r="A1485" s="20"/>
      <c r="B1485" s="22"/>
    </row>
    <row r="1486" spans="1:2">
      <c r="A1486" s="20"/>
      <c r="B1486" s="22"/>
    </row>
    <row r="1487" spans="1:2">
      <c r="A1487" s="20"/>
      <c r="B1487" s="22"/>
    </row>
    <row r="1488" spans="1:2">
      <c r="A1488" s="20"/>
      <c r="B1488" s="22"/>
    </row>
    <row r="1489" spans="1:2">
      <c r="A1489" s="20"/>
      <c r="B1489" s="22"/>
    </row>
    <row r="1490" spans="1:2">
      <c r="A1490" s="20"/>
      <c r="B1490" s="22"/>
    </row>
    <row r="1491" spans="1:2">
      <c r="A1491" s="20"/>
      <c r="B1491" s="22"/>
    </row>
    <row r="1492" spans="1:2">
      <c r="A1492" s="20"/>
      <c r="B1492" s="22"/>
    </row>
    <row r="1493" spans="1:2">
      <c r="A1493" s="20"/>
      <c r="B1493" s="22"/>
    </row>
    <row r="1494" spans="1:2">
      <c r="A1494" s="20"/>
      <c r="B1494" s="22"/>
    </row>
    <row r="1495" spans="1:2">
      <c r="A1495" s="20"/>
      <c r="B1495" s="22"/>
    </row>
    <row r="1496" spans="1:2">
      <c r="A1496" s="20"/>
      <c r="B1496" s="22"/>
    </row>
    <row r="1497" spans="1:2">
      <c r="A1497" s="20"/>
      <c r="B1497" s="22"/>
    </row>
    <row r="1498" spans="1:2">
      <c r="A1498" s="20"/>
      <c r="B1498" s="22"/>
    </row>
    <row r="1499" spans="1:2">
      <c r="A1499" s="20"/>
      <c r="B1499" s="22"/>
    </row>
    <row r="1500" spans="1:2">
      <c r="A1500" s="20"/>
      <c r="B1500" s="22"/>
    </row>
    <row r="1501" spans="1:2">
      <c r="A1501" s="20"/>
      <c r="B1501" s="22"/>
    </row>
    <row r="1502" spans="1:2">
      <c r="A1502" s="20"/>
      <c r="B1502" s="22"/>
    </row>
    <row r="1503" spans="1:2">
      <c r="A1503" s="20"/>
      <c r="B1503" s="22"/>
    </row>
    <row r="1504" spans="1:2">
      <c r="A1504" s="20"/>
      <c r="B1504" s="22"/>
    </row>
    <row r="1505" spans="1:2">
      <c r="A1505" s="20"/>
      <c r="B1505" s="22"/>
    </row>
    <row r="1506" spans="1:2">
      <c r="A1506" s="20"/>
      <c r="B1506" s="22"/>
    </row>
    <row r="1507" spans="1:2">
      <c r="A1507" s="20"/>
      <c r="B1507" s="22"/>
    </row>
    <row r="1508" spans="1:2">
      <c r="A1508" s="20"/>
      <c r="B1508" s="22"/>
    </row>
    <row r="1509" spans="1:2">
      <c r="A1509" s="20"/>
      <c r="B1509" s="22"/>
    </row>
    <row r="1510" spans="1:2">
      <c r="A1510" s="20"/>
      <c r="B1510" s="22"/>
    </row>
    <row r="1511" spans="1:2">
      <c r="A1511" s="20"/>
      <c r="B1511" s="22"/>
    </row>
    <row r="1512" spans="1:2">
      <c r="A1512" s="20"/>
      <c r="B1512" s="22"/>
    </row>
    <row r="1513" spans="1:2">
      <c r="A1513" s="20"/>
      <c r="B1513" s="22"/>
    </row>
    <row r="1514" spans="1:2">
      <c r="A1514" s="20"/>
      <c r="B1514" s="22"/>
    </row>
    <row r="1515" spans="1:2">
      <c r="A1515" s="20"/>
      <c r="B1515" s="22"/>
    </row>
    <row r="1516" spans="1:2">
      <c r="A1516" s="20"/>
      <c r="B1516" s="22"/>
    </row>
    <row r="1517" spans="1:2">
      <c r="A1517" s="20"/>
      <c r="B1517" s="22"/>
    </row>
    <row r="1518" spans="1:2">
      <c r="A1518" s="20"/>
      <c r="B1518" s="22"/>
    </row>
    <row r="1519" spans="1:2">
      <c r="A1519" s="20"/>
      <c r="B1519" s="22"/>
    </row>
    <row r="1520" spans="1:2">
      <c r="A1520" s="20"/>
      <c r="B1520" s="22"/>
    </row>
    <row r="1521" spans="1:2">
      <c r="A1521" s="20"/>
      <c r="B1521" s="22"/>
    </row>
    <row r="1522" spans="1:2">
      <c r="A1522" s="20"/>
      <c r="B1522" s="22"/>
    </row>
    <row r="1523" spans="1:2">
      <c r="A1523" s="20"/>
      <c r="B1523" s="22"/>
    </row>
    <row r="1524" spans="1:2">
      <c r="A1524" s="20"/>
      <c r="B1524" s="22"/>
    </row>
    <row r="1525" spans="1:2">
      <c r="A1525" s="20"/>
      <c r="B1525" s="22"/>
    </row>
    <row r="1526" spans="1:2">
      <c r="A1526" s="20"/>
      <c r="B1526" s="22"/>
    </row>
    <row r="1527" spans="1:2">
      <c r="A1527" s="20"/>
      <c r="B1527" s="22"/>
    </row>
    <row r="1528" spans="1:2">
      <c r="A1528" s="20"/>
      <c r="B1528" s="22"/>
    </row>
    <row r="1529" spans="1:2">
      <c r="A1529" s="20"/>
      <c r="B1529" s="22"/>
    </row>
    <row r="1530" spans="1:2">
      <c r="A1530" s="20"/>
      <c r="B1530" s="22"/>
    </row>
    <row r="1531" spans="1:2">
      <c r="A1531" s="20"/>
      <c r="B1531" s="22"/>
    </row>
    <row r="1532" spans="1:2">
      <c r="A1532" s="20"/>
      <c r="B1532" s="22"/>
    </row>
    <row r="1533" spans="1:2">
      <c r="A1533" s="20"/>
      <c r="B1533" s="22"/>
    </row>
    <row r="1534" spans="1:2">
      <c r="A1534" s="20"/>
      <c r="B1534" s="22"/>
    </row>
    <row r="1535" spans="1:2">
      <c r="A1535" s="20"/>
      <c r="B1535" s="22"/>
    </row>
    <row r="1536" spans="1:2">
      <c r="A1536" s="20"/>
      <c r="B1536" s="22"/>
    </row>
    <row r="1537" spans="1:2">
      <c r="A1537" s="20"/>
      <c r="B1537" s="22"/>
    </row>
    <row r="1538" spans="1:2">
      <c r="A1538" s="20"/>
      <c r="B1538" s="22"/>
    </row>
    <row r="1539" spans="1:2">
      <c r="A1539" s="20"/>
      <c r="B1539" s="22"/>
    </row>
    <row r="1540" spans="1:2">
      <c r="A1540" s="20"/>
      <c r="B1540" s="22"/>
    </row>
    <row r="1541" spans="1:2">
      <c r="A1541" s="20"/>
      <c r="B1541" s="22"/>
    </row>
    <row r="1542" spans="1:2">
      <c r="A1542" s="20"/>
      <c r="B1542" s="22"/>
    </row>
    <row r="1543" spans="1:2">
      <c r="A1543" s="20"/>
      <c r="B1543" s="22"/>
    </row>
    <row r="1544" spans="1:2">
      <c r="A1544" s="20"/>
      <c r="B1544" s="22"/>
    </row>
    <row r="1545" spans="1:2">
      <c r="A1545" s="20"/>
      <c r="B1545" s="22"/>
    </row>
    <row r="1546" spans="1:2">
      <c r="A1546" s="20"/>
      <c r="B1546" s="22"/>
    </row>
    <row r="1547" spans="1:2">
      <c r="A1547" s="20"/>
      <c r="B1547" s="22"/>
    </row>
    <row r="1548" spans="1:2">
      <c r="A1548" s="20"/>
      <c r="B1548" s="22"/>
    </row>
    <row r="1549" spans="1:2">
      <c r="A1549" s="20"/>
      <c r="B1549" s="22"/>
    </row>
    <row r="1550" spans="1:2">
      <c r="A1550" s="20"/>
      <c r="B1550" s="22"/>
    </row>
    <row r="1551" spans="1:2">
      <c r="A1551" s="20"/>
      <c r="B1551" s="22"/>
    </row>
    <row r="1552" spans="1:2">
      <c r="A1552" s="20"/>
      <c r="B1552" s="22"/>
    </row>
    <row r="1553" spans="1:2">
      <c r="A1553" s="20"/>
      <c r="B1553" s="22"/>
    </row>
    <row r="1554" spans="1:2">
      <c r="A1554" s="20"/>
      <c r="B1554" s="22"/>
    </row>
    <row r="1555" spans="1:2">
      <c r="A1555" s="20"/>
      <c r="B1555" s="22"/>
    </row>
    <row r="1556" spans="1:2">
      <c r="A1556" s="20"/>
      <c r="B1556" s="22"/>
    </row>
    <row r="1557" spans="1:2">
      <c r="A1557" s="20"/>
      <c r="B1557" s="22"/>
    </row>
    <row r="1558" spans="1:2">
      <c r="A1558" s="20"/>
      <c r="B1558" s="22"/>
    </row>
    <row r="1559" spans="1:2">
      <c r="A1559" s="20"/>
      <c r="B1559" s="22"/>
    </row>
    <row r="1560" spans="1:2">
      <c r="A1560" s="20"/>
      <c r="B1560" s="22"/>
    </row>
    <row r="1561" spans="1:2">
      <c r="A1561" s="20"/>
      <c r="B1561" s="22"/>
    </row>
    <row r="1562" spans="1:2">
      <c r="A1562" s="20"/>
      <c r="B1562" s="22"/>
    </row>
    <row r="1563" spans="1:2">
      <c r="A1563" s="20"/>
      <c r="B1563" s="22"/>
    </row>
    <row r="1564" spans="1:2">
      <c r="A1564" s="20"/>
      <c r="B1564" s="22"/>
    </row>
    <row r="1565" spans="1:2">
      <c r="A1565" s="20"/>
      <c r="B1565" s="22"/>
    </row>
    <row r="1566" spans="1:2">
      <c r="A1566" s="20"/>
      <c r="B1566" s="22"/>
    </row>
    <row r="1567" spans="1:2">
      <c r="A1567" s="20"/>
      <c r="B1567" s="22"/>
    </row>
    <row r="1568" spans="1:2">
      <c r="A1568" s="20"/>
      <c r="B1568" s="22"/>
    </row>
    <row r="1569" spans="1:2">
      <c r="A1569" s="20"/>
      <c r="B1569" s="22"/>
    </row>
    <row r="1570" spans="1:2">
      <c r="A1570" s="20"/>
      <c r="B1570" s="22"/>
    </row>
    <row r="1571" spans="1:2">
      <c r="A1571" s="20"/>
      <c r="B1571" s="22"/>
    </row>
    <row r="1572" spans="1:2">
      <c r="A1572" s="20"/>
      <c r="B1572" s="22"/>
    </row>
    <row r="1573" spans="1:2">
      <c r="A1573" s="20"/>
      <c r="B1573" s="22"/>
    </row>
    <row r="1574" spans="1:2">
      <c r="A1574" s="20"/>
      <c r="B1574" s="22"/>
    </row>
    <row r="1575" spans="1:2">
      <c r="A1575" s="20"/>
      <c r="B1575" s="22"/>
    </row>
    <row r="1576" spans="1:2">
      <c r="A1576" s="20"/>
      <c r="B1576" s="22"/>
    </row>
    <row r="1577" spans="1:2">
      <c r="A1577" s="20"/>
      <c r="B1577" s="22"/>
    </row>
    <row r="1578" spans="1:2">
      <c r="A1578" s="20"/>
      <c r="B1578" s="22"/>
    </row>
    <row r="1579" spans="1:2">
      <c r="A1579" s="20"/>
      <c r="B1579" s="22"/>
    </row>
    <row r="1580" spans="1:2">
      <c r="A1580" s="20"/>
      <c r="B1580" s="22"/>
    </row>
    <row r="1581" spans="1:2">
      <c r="A1581" s="20"/>
      <c r="B1581" s="22"/>
    </row>
    <row r="1582" spans="1:2">
      <c r="A1582" s="20"/>
      <c r="B1582" s="22"/>
    </row>
    <row r="1583" spans="1:2">
      <c r="A1583" s="20"/>
      <c r="B1583" s="22"/>
    </row>
    <row r="1584" spans="1:2">
      <c r="A1584" s="20"/>
      <c r="B1584" s="22"/>
    </row>
    <row r="1585" spans="1:2">
      <c r="A1585" s="20"/>
      <c r="B1585" s="22"/>
    </row>
    <row r="1586" spans="1:2">
      <c r="A1586" s="20"/>
      <c r="B1586" s="22"/>
    </row>
    <row r="1587" spans="1:2">
      <c r="A1587" s="20"/>
      <c r="B1587" s="22"/>
    </row>
    <row r="1588" spans="1:2">
      <c r="A1588" s="20"/>
      <c r="B1588" s="22"/>
    </row>
    <row r="1589" spans="1:2">
      <c r="A1589" s="20"/>
      <c r="B1589" s="22"/>
    </row>
    <row r="1590" spans="1:2">
      <c r="A1590" s="20"/>
      <c r="B1590" s="22"/>
    </row>
    <row r="1591" spans="1:2">
      <c r="A1591" s="20"/>
      <c r="B1591" s="22"/>
    </row>
    <row r="1592" spans="1:2">
      <c r="A1592" s="20"/>
      <c r="B1592" s="22"/>
    </row>
    <row r="1593" spans="1:2">
      <c r="A1593" s="20"/>
      <c r="B1593" s="22"/>
    </row>
    <row r="1594" spans="1:2">
      <c r="A1594" s="20"/>
      <c r="B1594" s="22"/>
    </row>
    <row r="1595" spans="1:2">
      <c r="A1595" s="20"/>
      <c r="B1595" s="22"/>
    </row>
    <row r="1596" spans="1:2">
      <c r="A1596" s="20"/>
      <c r="B1596" s="22"/>
    </row>
    <row r="1597" spans="1:2">
      <c r="A1597" s="20"/>
      <c r="B1597" s="22"/>
    </row>
    <row r="1598" spans="1:2">
      <c r="A1598" s="20"/>
      <c r="B1598" s="22"/>
    </row>
    <row r="1599" spans="1:2">
      <c r="A1599" s="20"/>
      <c r="B1599" s="22"/>
    </row>
    <row r="1600" spans="1:2">
      <c r="A1600" s="20"/>
      <c r="B1600" s="22"/>
    </row>
    <row r="1601" spans="1:2">
      <c r="A1601" s="20"/>
      <c r="B1601" s="22"/>
    </row>
    <row r="1602" spans="1:2">
      <c r="A1602" s="20"/>
      <c r="B1602" s="22"/>
    </row>
    <row r="1603" spans="1:2">
      <c r="A1603" s="20"/>
      <c r="B1603" s="22"/>
    </row>
    <row r="1604" spans="1:2">
      <c r="A1604" s="20"/>
      <c r="B1604" s="22"/>
    </row>
    <row r="1605" spans="1:2">
      <c r="A1605" s="20"/>
      <c r="B1605" s="22"/>
    </row>
    <row r="1606" spans="1:2">
      <c r="A1606" s="20"/>
      <c r="B1606" s="22"/>
    </row>
    <row r="1607" spans="1:2">
      <c r="A1607" s="20"/>
      <c r="B1607" s="22"/>
    </row>
    <row r="1608" spans="1:2">
      <c r="A1608" s="20"/>
      <c r="B1608" s="22"/>
    </row>
    <row r="1609" spans="1:2">
      <c r="A1609" s="20"/>
      <c r="B1609" s="22"/>
    </row>
    <row r="1610" spans="1:2">
      <c r="A1610" s="20"/>
      <c r="B1610" s="22"/>
    </row>
    <row r="1611" spans="1:2">
      <c r="A1611" s="20"/>
      <c r="B1611" s="22"/>
    </row>
    <row r="1612" spans="1:2">
      <c r="A1612" s="20"/>
      <c r="B1612" s="22"/>
    </row>
    <row r="1613" spans="1:2">
      <c r="A1613" s="20"/>
      <c r="B1613" s="22"/>
    </row>
    <row r="1614" spans="1:2">
      <c r="A1614" s="20"/>
      <c r="B1614" s="22"/>
    </row>
    <row r="1615" spans="1:2">
      <c r="A1615" s="20"/>
      <c r="B1615" s="22"/>
    </row>
    <row r="1616" spans="1:2">
      <c r="A1616" s="20"/>
      <c r="B1616" s="22"/>
    </row>
    <row r="1617" spans="1:2">
      <c r="A1617" s="20"/>
      <c r="B1617" s="22"/>
    </row>
    <row r="1618" spans="1:2">
      <c r="A1618" s="20"/>
      <c r="B1618" s="22"/>
    </row>
    <row r="1619" spans="1:2">
      <c r="A1619" s="20"/>
      <c r="B1619" s="22"/>
    </row>
    <row r="1620" spans="1:2">
      <c r="A1620" s="20"/>
      <c r="B1620" s="22"/>
    </row>
    <row r="1621" spans="1:2">
      <c r="A1621" s="20"/>
      <c r="B1621" s="22"/>
    </row>
    <row r="1622" spans="1:2">
      <c r="A1622" s="20"/>
      <c r="B1622" s="22"/>
    </row>
    <row r="1623" spans="1:2">
      <c r="A1623" s="20"/>
      <c r="B1623" s="22"/>
    </row>
    <row r="1624" spans="1:2">
      <c r="A1624" s="20"/>
      <c r="B1624" s="22"/>
    </row>
    <row r="1625" spans="1:2">
      <c r="A1625" s="20"/>
      <c r="B1625" s="22"/>
    </row>
    <row r="1626" spans="1:2">
      <c r="A1626" s="20"/>
      <c r="B1626" s="22"/>
    </row>
    <row r="1627" spans="1:2">
      <c r="A1627" s="20"/>
      <c r="B1627" s="22"/>
    </row>
    <row r="1628" spans="1:2">
      <c r="A1628" s="20"/>
      <c r="B1628" s="22"/>
    </row>
    <row r="1629" spans="1:2">
      <c r="A1629" s="20"/>
      <c r="B1629" s="22"/>
    </row>
    <row r="1630" spans="1:2">
      <c r="A1630" s="20"/>
      <c r="B1630" s="22"/>
    </row>
    <row r="1631" spans="1:2">
      <c r="A1631" s="20"/>
      <c r="B1631" s="22"/>
    </row>
    <row r="1632" spans="1:2">
      <c r="A1632" s="20"/>
      <c r="B1632" s="22"/>
    </row>
    <row r="1633" spans="1:2">
      <c r="A1633" s="20"/>
      <c r="B1633" s="22"/>
    </row>
    <row r="1634" spans="1:2">
      <c r="A1634" s="20"/>
      <c r="B1634" s="22"/>
    </row>
    <row r="1635" spans="1:2">
      <c r="A1635" s="20"/>
      <c r="B1635" s="22"/>
    </row>
    <row r="1636" spans="1:2">
      <c r="A1636" s="20"/>
      <c r="B1636" s="22"/>
    </row>
    <row r="1637" spans="1:2">
      <c r="A1637" s="20"/>
      <c r="B1637" s="22"/>
    </row>
    <row r="1638" spans="1:2">
      <c r="A1638" s="20"/>
      <c r="B1638" s="22"/>
    </row>
    <row r="1639" spans="1:2">
      <c r="A1639" s="20"/>
      <c r="B1639" s="22"/>
    </row>
    <row r="1640" spans="1:2">
      <c r="A1640" s="20"/>
      <c r="B1640" s="22"/>
    </row>
    <row r="1641" spans="1:2">
      <c r="A1641" s="20"/>
      <c r="B1641" s="22"/>
    </row>
    <row r="1642" spans="1:2">
      <c r="A1642" s="20"/>
      <c r="B1642" s="22"/>
    </row>
    <row r="1643" spans="1:2">
      <c r="A1643" s="20"/>
      <c r="B1643" s="22"/>
    </row>
    <row r="1644" spans="1:2">
      <c r="A1644" s="20"/>
      <c r="B1644" s="22"/>
    </row>
    <row r="1645" spans="1:2">
      <c r="A1645" s="20"/>
      <c r="B1645" s="22"/>
    </row>
    <row r="1646" spans="1:2">
      <c r="A1646" s="20"/>
      <c r="B1646" s="22"/>
    </row>
    <row r="1647" spans="1:2">
      <c r="A1647" s="20"/>
      <c r="B1647" s="22"/>
    </row>
    <row r="1648" spans="1:2">
      <c r="A1648" s="20"/>
      <c r="B1648" s="22"/>
    </row>
    <row r="1649" spans="1:2">
      <c r="A1649" s="20"/>
      <c r="B1649" s="22"/>
    </row>
    <row r="1650" spans="1:2">
      <c r="A1650" s="20"/>
      <c r="B1650" s="22"/>
    </row>
    <row r="1651" spans="1:2">
      <c r="A1651" s="20"/>
      <c r="B1651" s="22"/>
    </row>
    <row r="1652" spans="1:2">
      <c r="A1652" s="20"/>
      <c r="B1652" s="22"/>
    </row>
    <row r="1653" spans="1:2">
      <c r="A1653" s="20"/>
      <c r="B1653" s="22"/>
    </row>
    <row r="1654" spans="1:2">
      <c r="A1654" s="20"/>
      <c r="B1654" s="22"/>
    </row>
    <row r="1655" spans="1:2">
      <c r="A1655" s="20"/>
      <c r="B1655" s="22"/>
    </row>
    <row r="1656" spans="1:2">
      <c r="A1656" s="20"/>
      <c r="B1656" s="22"/>
    </row>
    <row r="1657" spans="1:2">
      <c r="A1657" s="20"/>
      <c r="B1657" s="22"/>
    </row>
    <row r="1658" spans="1:2">
      <c r="A1658" s="20"/>
      <c r="B1658" s="22"/>
    </row>
    <row r="1659" spans="1:2">
      <c r="A1659" s="20"/>
      <c r="B1659" s="22"/>
    </row>
    <row r="1660" spans="1:2">
      <c r="A1660" s="20"/>
      <c r="B1660" s="22"/>
    </row>
    <row r="1661" spans="1:2">
      <c r="A1661" s="20"/>
      <c r="B1661" s="22"/>
    </row>
    <row r="1662" spans="1:2">
      <c r="A1662" s="20"/>
      <c r="B1662" s="22"/>
    </row>
    <row r="1663" spans="1:2">
      <c r="A1663" s="20"/>
      <c r="B1663" s="22"/>
    </row>
    <row r="1664" spans="1:2">
      <c r="A1664" s="20"/>
      <c r="B1664" s="22"/>
    </row>
    <row r="1665" spans="1:2">
      <c r="A1665" s="20"/>
      <c r="B1665" s="22"/>
    </row>
    <row r="1666" spans="1:2">
      <c r="A1666" s="20"/>
      <c r="B1666" s="22"/>
    </row>
    <row r="1667" spans="1:2">
      <c r="A1667" s="20"/>
      <c r="B1667" s="22"/>
    </row>
    <row r="1668" spans="1:2">
      <c r="A1668" s="20"/>
      <c r="B1668" s="22"/>
    </row>
    <row r="1669" spans="1:2">
      <c r="A1669" s="20"/>
      <c r="B1669" s="22"/>
    </row>
    <row r="1670" spans="1:2">
      <c r="A1670" s="20"/>
      <c r="B1670" s="22"/>
    </row>
    <row r="1671" spans="1:2">
      <c r="A1671" s="20"/>
      <c r="B1671" s="22"/>
    </row>
    <row r="1672" spans="1:2">
      <c r="A1672" s="20"/>
      <c r="B1672" s="22"/>
    </row>
    <row r="1673" spans="1:2">
      <c r="A1673" s="20"/>
      <c r="B1673" s="22"/>
    </row>
    <row r="1674" spans="1:2">
      <c r="A1674" s="20"/>
      <c r="B1674" s="22"/>
    </row>
    <row r="1675" spans="1:2">
      <c r="A1675" s="20"/>
      <c r="B1675" s="22"/>
    </row>
    <row r="1676" spans="1:2">
      <c r="A1676" s="20"/>
      <c r="B1676" s="22"/>
    </row>
    <row r="1677" spans="1:2">
      <c r="A1677" s="20"/>
      <c r="B1677" s="22"/>
    </row>
    <row r="1678" spans="1:2">
      <c r="A1678" s="20"/>
      <c r="B1678" s="22"/>
    </row>
    <row r="1679" spans="1:2">
      <c r="A1679" s="20"/>
      <c r="B1679" s="22"/>
    </row>
    <row r="1680" spans="1:2">
      <c r="A1680" s="20"/>
      <c r="B1680" s="22"/>
    </row>
    <row r="1681" spans="1:2">
      <c r="A1681" s="20"/>
      <c r="B1681" s="22"/>
    </row>
    <row r="1682" spans="1:2">
      <c r="A1682" s="20"/>
      <c r="B1682" s="22"/>
    </row>
    <row r="1683" spans="1:2">
      <c r="A1683" s="20"/>
      <c r="B1683" s="22"/>
    </row>
    <row r="1684" spans="1:2">
      <c r="A1684" s="20"/>
      <c r="B1684" s="22"/>
    </row>
    <row r="1685" spans="1:2">
      <c r="A1685" s="20"/>
      <c r="B1685" s="22"/>
    </row>
    <row r="1686" spans="1:2">
      <c r="A1686" s="20"/>
      <c r="B1686" s="22"/>
    </row>
    <row r="1687" spans="1:2">
      <c r="A1687" s="20"/>
      <c r="B1687" s="22"/>
    </row>
    <row r="1688" spans="1:2">
      <c r="A1688" s="20"/>
      <c r="B1688" s="22"/>
    </row>
    <row r="1689" spans="1:2">
      <c r="A1689" s="20"/>
      <c r="B1689" s="22"/>
    </row>
    <row r="1690" spans="1:2">
      <c r="A1690" s="20"/>
      <c r="B1690" s="22"/>
    </row>
    <row r="1691" spans="1:2">
      <c r="A1691" s="20"/>
      <c r="B1691" s="22"/>
    </row>
    <row r="1692" spans="1:2">
      <c r="A1692" s="20"/>
      <c r="B1692" s="22"/>
    </row>
    <row r="1693" spans="1:2">
      <c r="A1693" s="20"/>
      <c r="B1693" s="22"/>
    </row>
    <row r="1694" spans="1:2">
      <c r="A1694" s="20"/>
      <c r="B1694" s="22"/>
    </row>
    <row r="1695" spans="1:2">
      <c r="A1695" s="20"/>
      <c r="B1695" s="22"/>
    </row>
    <row r="1696" spans="1:2">
      <c r="A1696" s="20"/>
      <c r="B1696" s="22"/>
    </row>
    <row r="1697" spans="1:2">
      <c r="A1697" s="20"/>
      <c r="B1697" s="22"/>
    </row>
    <row r="1698" spans="1:2">
      <c r="A1698" s="20"/>
      <c r="B1698" s="22"/>
    </row>
    <row r="1699" spans="1:2">
      <c r="A1699" s="20"/>
      <c r="B1699" s="22"/>
    </row>
    <row r="1700" spans="1:2">
      <c r="A1700" s="20"/>
      <c r="B1700" s="22"/>
    </row>
    <row r="1701" spans="1:2">
      <c r="A1701" s="20"/>
      <c r="B1701" s="22"/>
    </row>
    <row r="1702" spans="1:2">
      <c r="A1702" s="20"/>
      <c r="B1702" s="22"/>
    </row>
    <row r="1703" spans="1:2">
      <c r="A1703" s="20"/>
      <c r="B1703" s="22"/>
    </row>
    <row r="1704" spans="1:2">
      <c r="A1704" s="20"/>
      <c r="B1704" s="22"/>
    </row>
    <row r="1705" spans="1:2">
      <c r="A1705" s="20"/>
      <c r="B1705" s="22"/>
    </row>
    <row r="1706" spans="1:2">
      <c r="A1706" s="20"/>
      <c r="B1706" s="22"/>
    </row>
    <row r="1707" spans="1:2">
      <c r="A1707" s="20"/>
      <c r="B1707" s="22"/>
    </row>
    <row r="1708" spans="1:2">
      <c r="A1708" s="20"/>
      <c r="B1708" s="22"/>
    </row>
    <row r="1709" spans="1:2">
      <c r="A1709" s="20"/>
      <c r="B1709" s="22"/>
    </row>
    <row r="1710" spans="1:2">
      <c r="A1710" s="20"/>
      <c r="B1710" s="22"/>
    </row>
    <row r="1711" spans="1:2">
      <c r="A1711" s="20"/>
      <c r="B1711" s="22"/>
    </row>
    <row r="1712" spans="1:2">
      <c r="A1712" s="20"/>
      <c r="B1712" s="22"/>
    </row>
    <row r="1713" spans="1:2">
      <c r="A1713" s="20"/>
      <c r="B1713" s="22"/>
    </row>
    <row r="1714" spans="1:2">
      <c r="A1714" s="20"/>
      <c r="B1714" s="22"/>
    </row>
    <row r="1715" spans="1:2">
      <c r="A1715" s="20"/>
      <c r="B1715" s="22"/>
    </row>
    <row r="1716" spans="1:2">
      <c r="A1716" s="20"/>
      <c r="B1716" s="22"/>
    </row>
    <row r="1717" spans="1:2">
      <c r="A1717" s="20"/>
      <c r="B1717" s="22"/>
    </row>
    <row r="1718" spans="1:2">
      <c r="A1718" s="20"/>
      <c r="B1718" s="22"/>
    </row>
    <row r="1719" spans="1:2">
      <c r="A1719" s="20"/>
      <c r="B1719" s="22"/>
    </row>
    <row r="1720" spans="1:2">
      <c r="A1720" s="20"/>
      <c r="B1720" s="22"/>
    </row>
    <row r="1721" spans="1:2">
      <c r="A1721" s="20"/>
      <c r="B1721" s="22"/>
    </row>
    <row r="1722" spans="1:2">
      <c r="A1722" s="20"/>
      <c r="B1722" s="22"/>
    </row>
    <row r="1723" spans="1:2">
      <c r="A1723" s="20"/>
      <c r="B1723" s="22"/>
    </row>
    <row r="1724" spans="1:2">
      <c r="A1724" s="20"/>
      <c r="B1724" s="22"/>
    </row>
    <row r="1725" spans="1:2">
      <c r="A1725" s="20"/>
      <c r="B1725" s="22"/>
    </row>
    <row r="1726" spans="1:2">
      <c r="A1726" s="20"/>
      <c r="B1726" s="22"/>
    </row>
    <row r="1727" spans="1:2">
      <c r="A1727" s="20"/>
      <c r="B1727" s="22"/>
    </row>
    <row r="1728" spans="1:2">
      <c r="A1728" s="20"/>
      <c r="B1728" s="22"/>
    </row>
    <row r="1729" spans="1:2">
      <c r="A1729" s="20"/>
      <c r="B1729" s="22"/>
    </row>
    <row r="1730" spans="1:2">
      <c r="A1730" s="20"/>
      <c r="B1730" s="22"/>
    </row>
    <row r="1731" spans="1:2">
      <c r="A1731" s="20"/>
      <c r="B1731" s="22"/>
    </row>
    <row r="1732" spans="1:2">
      <c r="A1732" s="20"/>
      <c r="B1732" s="22"/>
    </row>
    <row r="1733" spans="1:2">
      <c r="A1733" s="20"/>
      <c r="B1733" s="22"/>
    </row>
    <row r="1734" spans="1:2">
      <c r="A1734" s="20"/>
      <c r="B1734" s="22"/>
    </row>
    <row r="1735" spans="1:2">
      <c r="A1735" s="20"/>
      <c r="B1735" s="22"/>
    </row>
    <row r="1736" spans="1:2">
      <c r="A1736" s="20"/>
      <c r="B1736" s="22"/>
    </row>
    <row r="1737" spans="1:2">
      <c r="A1737" s="20"/>
      <c r="B1737" s="22"/>
    </row>
    <row r="1738" spans="1:2">
      <c r="A1738" s="20"/>
      <c r="B1738" s="22"/>
    </row>
    <row r="1739" spans="1:2">
      <c r="A1739" s="20"/>
      <c r="B1739" s="22"/>
    </row>
    <row r="1740" spans="1:2">
      <c r="A1740" s="20"/>
      <c r="B1740" s="22"/>
    </row>
    <row r="1741" spans="1:2">
      <c r="A1741" s="20"/>
      <c r="B1741" s="22"/>
    </row>
    <row r="1742" spans="1:2">
      <c r="A1742" s="20"/>
      <c r="B1742" s="22"/>
    </row>
    <row r="1743" spans="1:2">
      <c r="A1743" s="20"/>
      <c r="B1743" s="22"/>
    </row>
    <row r="1744" spans="1:2">
      <c r="A1744" s="20"/>
      <c r="B1744" s="22"/>
    </row>
    <row r="1745" spans="1:2">
      <c r="A1745" s="20"/>
      <c r="B1745" s="22"/>
    </row>
    <row r="1746" spans="1:2">
      <c r="A1746" s="20"/>
      <c r="B1746" s="22"/>
    </row>
    <row r="1747" spans="1:2">
      <c r="A1747" s="20"/>
      <c r="B1747" s="22"/>
    </row>
    <row r="1748" spans="1:2">
      <c r="A1748" s="20"/>
      <c r="B1748" s="22"/>
    </row>
    <row r="1749" spans="1:2">
      <c r="A1749" s="20"/>
      <c r="B1749" s="22"/>
    </row>
    <row r="1750" spans="1:2">
      <c r="A1750" s="20"/>
      <c r="B1750" s="22"/>
    </row>
    <row r="1751" spans="1:2">
      <c r="A1751" s="20"/>
      <c r="B1751" s="22"/>
    </row>
    <row r="1752" spans="1:2">
      <c r="A1752" s="20"/>
      <c r="B1752" s="22"/>
    </row>
    <row r="1753" spans="1:2">
      <c r="A1753" s="20"/>
      <c r="B1753" s="22"/>
    </row>
    <row r="1754" spans="1:2">
      <c r="A1754" s="20"/>
      <c r="B1754" s="22"/>
    </row>
    <row r="1755" spans="1:2">
      <c r="A1755" s="20"/>
      <c r="B1755" s="22"/>
    </row>
    <row r="1756" spans="1:2">
      <c r="A1756" s="20"/>
      <c r="B1756" s="22"/>
    </row>
    <row r="1757" spans="1:2">
      <c r="A1757" s="20"/>
      <c r="B1757" s="22"/>
    </row>
    <row r="1758" spans="1:2">
      <c r="A1758" s="20"/>
      <c r="B1758" s="22"/>
    </row>
    <row r="1759" spans="1:2">
      <c r="A1759" s="20"/>
      <c r="B1759" s="22"/>
    </row>
    <row r="1760" spans="1:2">
      <c r="A1760" s="20"/>
      <c r="B1760" s="22"/>
    </row>
    <row r="1761" spans="1:2">
      <c r="A1761" s="20"/>
      <c r="B1761" s="22"/>
    </row>
    <row r="1762" spans="1:2">
      <c r="A1762" s="20"/>
      <c r="B1762" s="22"/>
    </row>
    <row r="1763" spans="1:2">
      <c r="A1763" s="20"/>
      <c r="B1763" s="22"/>
    </row>
    <row r="1764" spans="1:2">
      <c r="A1764" s="20"/>
      <c r="B1764" s="22"/>
    </row>
    <row r="1765" spans="1:2">
      <c r="A1765" s="20"/>
      <c r="B1765" s="22"/>
    </row>
    <row r="1766" spans="1:2">
      <c r="A1766" s="20"/>
      <c r="B1766" s="22"/>
    </row>
    <row r="1767" spans="1:2">
      <c r="A1767" s="20"/>
      <c r="B1767" s="22"/>
    </row>
    <row r="1768" spans="1:2">
      <c r="A1768" s="20"/>
      <c r="B1768" s="22"/>
    </row>
    <row r="1769" spans="1:2">
      <c r="A1769" s="20"/>
      <c r="B1769" s="22"/>
    </row>
    <row r="1770" spans="1:2">
      <c r="A1770" s="20"/>
      <c r="B1770" s="22"/>
    </row>
    <row r="1771" spans="1:2">
      <c r="A1771" s="20"/>
      <c r="B1771" s="22"/>
    </row>
    <row r="1772" spans="1:2">
      <c r="A1772" s="20"/>
      <c r="B1772" s="22"/>
    </row>
    <row r="1773" spans="1:2">
      <c r="A1773" s="20"/>
      <c r="B1773" s="22"/>
    </row>
    <row r="1774" spans="1:2">
      <c r="A1774" s="20"/>
      <c r="B1774" s="22"/>
    </row>
    <row r="1775" spans="1:2">
      <c r="A1775" s="20"/>
      <c r="B1775" s="22"/>
    </row>
    <row r="1776" spans="1:2">
      <c r="A1776" s="20"/>
      <c r="B1776" s="22"/>
    </row>
    <row r="1777" spans="1:2">
      <c r="A1777" s="20"/>
      <c r="B1777" s="22"/>
    </row>
    <row r="1778" spans="1:2">
      <c r="A1778" s="20"/>
      <c r="B1778" s="22"/>
    </row>
    <row r="1779" spans="1:2">
      <c r="A1779" s="20"/>
      <c r="B1779" s="22"/>
    </row>
    <row r="1780" spans="1:2">
      <c r="A1780" s="20"/>
      <c r="B1780" s="22"/>
    </row>
    <row r="1781" spans="1:2">
      <c r="A1781" s="20"/>
      <c r="B1781" s="22"/>
    </row>
    <row r="1782" spans="1:2">
      <c r="A1782" s="20"/>
      <c r="B1782" s="22"/>
    </row>
    <row r="1783" spans="1:2">
      <c r="A1783" s="20"/>
      <c r="B1783" s="22"/>
    </row>
    <row r="1784" spans="1:2">
      <c r="A1784" s="20"/>
      <c r="B1784" s="22"/>
    </row>
    <row r="1785" spans="1:2">
      <c r="A1785" s="20"/>
      <c r="B1785" s="22"/>
    </row>
    <row r="1786" spans="1:2">
      <c r="A1786" s="20"/>
      <c r="B1786" s="22"/>
    </row>
    <row r="1787" spans="1:2">
      <c r="A1787" s="20"/>
      <c r="B1787" s="22"/>
    </row>
    <row r="1788" spans="1:2">
      <c r="A1788" s="20"/>
      <c r="B1788" s="22"/>
    </row>
    <row r="1789" spans="1:2">
      <c r="A1789" s="20"/>
      <c r="B1789" s="22"/>
    </row>
    <row r="1790" spans="1:2">
      <c r="A1790" s="20"/>
      <c r="B1790" s="22"/>
    </row>
    <row r="1791" spans="1:2">
      <c r="A1791" s="20"/>
      <c r="B1791" s="22"/>
    </row>
    <row r="1792" spans="1:2">
      <c r="A1792" s="20"/>
      <c r="B1792" s="22"/>
    </row>
    <row r="1793" spans="1:2">
      <c r="A1793" s="20"/>
      <c r="B1793" s="22"/>
    </row>
    <row r="1794" spans="1:2">
      <c r="A1794" s="20"/>
      <c r="B1794" s="22"/>
    </row>
    <row r="1795" spans="1:2">
      <c r="A1795" s="20"/>
      <c r="B1795" s="22"/>
    </row>
    <row r="1796" spans="1:2">
      <c r="A1796" s="20"/>
      <c r="B1796" s="22"/>
    </row>
    <row r="1797" spans="1:2">
      <c r="A1797" s="20"/>
      <c r="B1797" s="22"/>
    </row>
    <row r="1798" spans="1:2">
      <c r="A1798" s="20"/>
      <c r="B1798" s="22"/>
    </row>
    <row r="1799" spans="1:2">
      <c r="A1799" s="20"/>
      <c r="B1799" s="22"/>
    </row>
    <row r="1800" spans="1:2">
      <c r="A1800" s="20"/>
      <c r="B1800" s="22"/>
    </row>
    <row r="1801" spans="1:2">
      <c r="A1801" s="20"/>
      <c r="B1801" s="22"/>
    </row>
    <row r="1802" spans="1:2">
      <c r="A1802" s="20"/>
      <c r="B1802" s="22"/>
    </row>
    <row r="1803" spans="1:2">
      <c r="A1803" s="20"/>
      <c r="B1803" s="22"/>
    </row>
    <row r="1804" spans="1:2">
      <c r="A1804" s="20"/>
      <c r="B1804" s="22"/>
    </row>
    <row r="1805" spans="1:2">
      <c r="A1805" s="20"/>
      <c r="B1805" s="22"/>
    </row>
    <row r="1806" spans="1:2">
      <c r="A1806" s="20"/>
      <c r="B1806" s="22"/>
    </row>
    <row r="1807" spans="1:2">
      <c r="A1807" s="20"/>
      <c r="B1807" s="22"/>
    </row>
    <row r="1808" spans="1:2">
      <c r="A1808" s="20"/>
      <c r="B1808" s="22"/>
    </row>
    <row r="1809" spans="1:2">
      <c r="A1809" s="20"/>
      <c r="B1809" s="22"/>
    </row>
    <row r="1810" spans="1:2">
      <c r="A1810" s="20"/>
      <c r="B1810" s="22"/>
    </row>
    <row r="1811" spans="1:2">
      <c r="A1811" s="20"/>
      <c r="B1811" s="22"/>
    </row>
    <row r="1812" spans="1:2">
      <c r="A1812" s="20"/>
      <c r="B1812" s="22"/>
    </row>
    <row r="1813" spans="1:2">
      <c r="A1813" s="20"/>
      <c r="B1813" s="22"/>
    </row>
    <row r="1814" spans="1:2">
      <c r="A1814" s="20"/>
      <c r="B1814" s="22"/>
    </row>
    <row r="1815" spans="1:2">
      <c r="A1815" s="20"/>
      <c r="B1815" s="22"/>
    </row>
    <row r="1816" spans="1:2">
      <c r="A1816" s="20"/>
      <c r="B1816" s="22"/>
    </row>
    <row r="1817" spans="1:2">
      <c r="A1817" s="20"/>
      <c r="B1817" s="22"/>
    </row>
    <row r="1818" spans="1:2">
      <c r="A1818" s="20"/>
      <c r="B1818" s="22"/>
    </row>
    <row r="1819" spans="1:2">
      <c r="A1819" s="20"/>
      <c r="B1819" s="22"/>
    </row>
    <row r="1820" spans="1:2">
      <c r="A1820" s="20"/>
      <c r="B1820" s="22"/>
    </row>
    <row r="1821" spans="1:2">
      <c r="A1821" s="20"/>
      <c r="B1821" s="22"/>
    </row>
    <row r="1822" spans="1:2">
      <c r="A1822" s="20"/>
      <c r="B1822" s="22"/>
    </row>
    <row r="1823" spans="1:2">
      <c r="A1823" s="20"/>
      <c r="B1823" s="22"/>
    </row>
    <row r="1824" spans="1:2">
      <c r="A1824" s="20"/>
      <c r="B1824" s="22"/>
    </row>
    <row r="1825" spans="1:2">
      <c r="A1825" s="20"/>
      <c r="B1825" s="22"/>
    </row>
    <row r="1826" spans="1:2">
      <c r="A1826" s="20"/>
      <c r="B1826" s="22"/>
    </row>
    <row r="1827" spans="1:2">
      <c r="A1827" s="20"/>
      <c r="B1827" s="22"/>
    </row>
    <row r="1828" spans="1:2">
      <c r="A1828" s="20"/>
      <c r="B1828" s="22"/>
    </row>
    <row r="1829" spans="1:2">
      <c r="A1829" s="20"/>
      <c r="B1829" s="22"/>
    </row>
    <row r="1830" spans="1:2">
      <c r="A1830" s="20"/>
      <c r="B1830" s="22"/>
    </row>
    <row r="1831" spans="1:2">
      <c r="A1831" s="20"/>
      <c r="B1831" s="22"/>
    </row>
    <row r="1832" spans="1:2">
      <c r="A1832" s="20"/>
      <c r="B1832" s="22"/>
    </row>
    <row r="1833" spans="1:2">
      <c r="A1833" s="20"/>
      <c r="B1833" s="22"/>
    </row>
    <row r="1834" spans="1:2">
      <c r="A1834" s="20"/>
      <c r="B1834" s="22"/>
    </row>
    <row r="1835" spans="1:2">
      <c r="A1835" s="20"/>
      <c r="B1835" s="22"/>
    </row>
    <row r="1836" spans="1:2">
      <c r="A1836" s="20"/>
      <c r="B1836" s="22"/>
    </row>
    <row r="1837" spans="1:2">
      <c r="A1837" s="20"/>
      <c r="B1837" s="22"/>
    </row>
    <row r="1838" spans="1:2">
      <c r="A1838" s="20"/>
      <c r="B1838" s="22"/>
    </row>
    <row r="1839" spans="1:2">
      <c r="A1839" s="20"/>
      <c r="B1839" s="22"/>
    </row>
    <row r="1840" spans="1:2">
      <c r="A1840" s="20"/>
      <c r="B1840" s="22"/>
    </row>
    <row r="1841" spans="1:2">
      <c r="A1841" s="20"/>
      <c r="B1841" s="22"/>
    </row>
    <row r="1842" spans="1:2">
      <c r="A1842" s="20"/>
      <c r="B1842" s="22"/>
    </row>
    <row r="1843" spans="1:2">
      <c r="A1843" s="20"/>
      <c r="B1843" s="22"/>
    </row>
    <row r="1844" spans="1:2">
      <c r="A1844" s="20"/>
      <c r="B1844" s="22"/>
    </row>
    <row r="1845" spans="1:2">
      <c r="A1845" s="20"/>
      <c r="B1845" s="22"/>
    </row>
    <row r="1846" spans="1:2">
      <c r="A1846" s="20"/>
      <c r="B1846" s="22"/>
    </row>
    <row r="1847" spans="1:2">
      <c r="A1847" s="20"/>
      <c r="B1847" s="22"/>
    </row>
    <row r="1848" spans="1:2">
      <c r="A1848" s="20"/>
      <c r="B1848" s="22"/>
    </row>
    <row r="1849" spans="1:2">
      <c r="A1849" s="20"/>
      <c r="B1849" s="22"/>
    </row>
    <row r="1850" spans="1:2">
      <c r="A1850" s="20"/>
      <c r="B1850" s="22"/>
    </row>
    <row r="1851" spans="1:2">
      <c r="A1851" s="20"/>
      <c r="B1851" s="22"/>
    </row>
    <row r="1852" spans="1:2">
      <c r="A1852" s="20"/>
      <c r="B1852" s="22"/>
    </row>
    <row r="1853" spans="1:2">
      <c r="A1853" s="20"/>
      <c r="B1853" s="22"/>
    </row>
    <row r="1854" spans="1:2">
      <c r="A1854" s="20"/>
      <c r="B1854" s="22"/>
    </row>
    <row r="1855" spans="1:2">
      <c r="A1855" s="20"/>
      <c r="B1855" s="22"/>
    </row>
    <row r="1856" spans="1:2">
      <c r="A1856" s="20"/>
      <c r="B1856" s="22"/>
    </row>
    <row r="1857" spans="1:2">
      <c r="A1857" s="20"/>
      <c r="B1857" s="22"/>
    </row>
    <row r="1858" spans="1:2">
      <c r="A1858" s="20"/>
      <c r="B1858" s="22"/>
    </row>
    <row r="1859" spans="1:2">
      <c r="A1859" s="20"/>
      <c r="B1859" s="22"/>
    </row>
    <row r="1860" spans="1:2">
      <c r="A1860" s="20"/>
      <c r="B1860" s="22"/>
    </row>
    <row r="1861" spans="1:2">
      <c r="A1861" s="20"/>
      <c r="B1861" s="22"/>
    </row>
    <row r="1862" spans="1:2">
      <c r="A1862" s="20"/>
      <c r="B1862" s="22"/>
    </row>
    <row r="1863" spans="1:2">
      <c r="A1863" s="20"/>
      <c r="B1863" s="22"/>
    </row>
    <row r="1864" spans="1:2">
      <c r="A1864" s="20"/>
      <c r="B1864" s="22"/>
    </row>
    <row r="1865" spans="1:2">
      <c r="A1865" s="20"/>
      <c r="B1865" s="22"/>
    </row>
    <row r="1866" spans="1:2">
      <c r="A1866" s="20"/>
      <c r="B1866" s="22"/>
    </row>
    <row r="1867" spans="1:2">
      <c r="A1867" s="20"/>
      <c r="B1867" s="22"/>
    </row>
    <row r="1868" spans="1:2">
      <c r="A1868" s="20"/>
      <c r="B1868" s="22"/>
    </row>
    <row r="1869" spans="1:2">
      <c r="A1869" s="20"/>
      <c r="B1869" s="22"/>
    </row>
    <row r="1870" spans="1:2">
      <c r="A1870" s="20"/>
      <c r="B1870" s="22"/>
    </row>
    <row r="1871" spans="1:2">
      <c r="A1871" s="20"/>
      <c r="B1871" s="22"/>
    </row>
    <row r="1872" spans="1:2">
      <c r="A1872" s="20"/>
      <c r="B1872" s="22"/>
    </row>
    <row r="1873" spans="1:2">
      <c r="A1873" s="20"/>
      <c r="B1873" s="22"/>
    </row>
    <row r="1874" spans="1:2">
      <c r="A1874" s="20"/>
      <c r="B1874" s="22"/>
    </row>
    <row r="1875" spans="1:2">
      <c r="A1875" s="20"/>
      <c r="B1875" s="22"/>
    </row>
    <row r="1876" spans="1:2">
      <c r="A1876" s="20"/>
      <c r="B1876" s="22"/>
    </row>
    <row r="1877" spans="1:2">
      <c r="A1877" s="20"/>
      <c r="B1877" s="22"/>
    </row>
    <row r="1878" spans="1:2">
      <c r="A1878" s="20"/>
      <c r="B1878" s="22"/>
    </row>
    <row r="1879" spans="1:2">
      <c r="A1879" s="20"/>
      <c r="B1879" s="22"/>
    </row>
    <row r="1880" spans="1:2">
      <c r="A1880" s="20"/>
      <c r="B1880" s="22"/>
    </row>
    <row r="1881" spans="1:2">
      <c r="A1881" s="20"/>
      <c r="B1881" s="22"/>
    </row>
    <row r="1882" spans="1:2">
      <c r="A1882" s="20"/>
      <c r="B1882" s="22"/>
    </row>
    <row r="1883" spans="1:2">
      <c r="A1883" s="20"/>
      <c r="B1883" s="22"/>
    </row>
    <row r="1884" spans="1:2">
      <c r="A1884" s="20"/>
      <c r="B1884" s="22"/>
    </row>
    <row r="1885" spans="1:2">
      <c r="A1885" s="20"/>
      <c r="B1885" s="22"/>
    </row>
    <row r="1886" spans="1:2">
      <c r="A1886" s="20"/>
      <c r="B1886" s="22"/>
    </row>
    <row r="1887" spans="1:2">
      <c r="A1887" s="20"/>
      <c r="B1887" s="22"/>
    </row>
    <row r="1888" spans="1:2">
      <c r="A1888" s="20"/>
      <c r="B1888" s="22"/>
    </row>
    <row r="1889" spans="1:2">
      <c r="A1889" s="20"/>
      <c r="B1889" s="22"/>
    </row>
    <row r="1890" spans="1:2">
      <c r="A1890" s="20"/>
      <c r="B1890" s="22"/>
    </row>
    <row r="1891" spans="1:2">
      <c r="A1891" s="20"/>
      <c r="B1891" s="22"/>
    </row>
    <row r="1892" spans="1:2">
      <c r="A1892" s="20"/>
      <c r="B1892" s="22"/>
    </row>
    <row r="1893" spans="1:2">
      <c r="A1893" s="20"/>
      <c r="B1893" s="22"/>
    </row>
    <row r="1894" spans="1:2">
      <c r="A1894" s="20"/>
      <c r="B1894" s="22"/>
    </row>
    <row r="1895" spans="1:2">
      <c r="A1895" s="20"/>
      <c r="B1895" s="22"/>
    </row>
    <row r="1896" spans="1:2">
      <c r="A1896" s="20"/>
      <c r="B1896" s="22"/>
    </row>
    <row r="1897" spans="1:2">
      <c r="A1897" s="20"/>
      <c r="B1897" s="22"/>
    </row>
    <row r="1898" spans="1:2">
      <c r="A1898" s="20"/>
      <c r="B1898" s="22"/>
    </row>
    <row r="1899" spans="1:2">
      <c r="A1899" s="20"/>
      <c r="B1899" s="22"/>
    </row>
    <row r="1900" spans="1:2">
      <c r="A1900" s="20"/>
      <c r="B1900" s="22"/>
    </row>
    <row r="1901" spans="1:2">
      <c r="A1901" s="20"/>
      <c r="B1901" s="22"/>
    </row>
    <row r="1902" spans="1:2">
      <c r="A1902" s="20"/>
      <c r="B1902" s="22"/>
    </row>
    <row r="1903" spans="1:2">
      <c r="A1903" s="20"/>
      <c r="B1903" s="22"/>
    </row>
    <row r="1904" spans="1:2">
      <c r="A1904" s="20"/>
      <c r="B1904" s="22"/>
    </row>
    <row r="1905" spans="1:2">
      <c r="A1905" s="20"/>
      <c r="B1905" s="22"/>
    </row>
    <row r="1906" spans="1:2">
      <c r="A1906" s="20"/>
      <c r="B1906" s="22"/>
    </row>
    <row r="1907" spans="1:2">
      <c r="A1907" s="20"/>
      <c r="B1907" s="22"/>
    </row>
    <row r="1908" spans="1:2">
      <c r="A1908" s="20"/>
      <c r="B1908" s="22"/>
    </row>
    <row r="1909" spans="1:2">
      <c r="A1909" s="20"/>
      <c r="B1909" s="22"/>
    </row>
    <row r="1910" spans="1:2">
      <c r="A1910" s="20"/>
      <c r="B1910" s="22"/>
    </row>
    <row r="1911" spans="1:2">
      <c r="A1911" s="20"/>
      <c r="B1911" s="22"/>
    </row>
    <row r="1912" spans="1:2">
      <c r="A1912" s="20"/>
      <c r="B1912" s="22"/>
    </row>
    <row r="1913" spans="1:2">
      <c r="A1913" s="20"/>
      <c r="B1913" s="22"/>
    </row>
    <row r="1914" spans="1:2">
      <c r="A1914" s="20"/>
      <c r="B1914" s="22"/>
    </row>
    <row r="1915" spans="1:2">
      <c r="A1915" s="20"/>
      <c r="B1915" s="22"/>
    </row>
    <row r="1916" spans="1:2">
      <c r="A1916" s="20"/>
      <c r="B1916" s="22"/>
    </row>
    <row r="1917" spans="1:2">
      <c r="A1917" s="20"/>
      <c r="B1917" s="22"/>
    </row>
    <row r="1918" spans="1:2">
      <c r="A1918" s="20"/>
      <c r="B1918" s="22"/>
    </row>
    <row r="1919" spans="1:2">
      <c r="A1919" s="20"/>
      <c r="B1919" s="22"/>
    </row>
    <row r="1920" spans="1:2">
      <c r="A1920" s="20"/>
      <c r="B1920" s="22"/>
    </row>
    <row r="1921" spans="1:2">
      <c r="A1921" s="20"/>
      <c r="B1921" s="22"/>
    </row>
    <row r="1922" spans="1:2">
      <c r="A1922" s="20"/>
      <c r="B1922" s="22"/>
    </row>
    <row r="1923" spans="1:2">
      <c r="A1923" s="20"/>
      <c r="B1923" s="22"/>
    </row>
    <row r="1924" spans="1:2">
      <c r="A1924" s="20"/>
      <c r="B1924" s="22"/>
    </row>
    <row r="1925" spans="1:2">
      <c r="A1925" s="20"/>
      <c r="B1925" s="22"/>
    </row>
    <row r="1926" spans="1:2">
      <c r="A1926" s="20"/>
      <c r="B1926" s="22"/>
    </row>
    <row r="1927" spans="1:2">
      <c r="A1927" s="20"/>
      <c r="B1927" s="22"/>
    </row>
    <row r="1928" spans="1:2">
      <c r="A1928" s="20"/>
      <c r="B1928" s="22"/>
    </row>
    <row r="1929" spans="1:2">
      <c r="A1929" s="20"/>
      <c r="B1929" s="22"/>
    </row>
    <row r="1930" spans="1:2">
      <c r="A1930" s="20"/>
      <c r="B1930" s="22"/>
    </row>
    <row r="1931" spans="1:2">
      <c r="A1931" s="20"/>
      <c r="B1931" s="22"/>
    </row>
    <row r="1932" spans="1:2">
      <c r="A1932" s="20"/>
      <c r="B1932" s="22"/>
    </row>
    <row r="1933" spans="1:2">
      <c r="A1933" s="20"/>
      <c r="B1933" s="22"/>
    </row>
    <row r="1934" spans="1:2">
      <c r="A1934" s="20"/>
      <c r="B1934" s="22"/>
    </row>
    <row r="1935" spans="1:2">
      <c r="A1935" s="20"/>
      <c r="B1935" s="22"/>
    </row>
    <row r="1936" spans="1:2">
      <c r="A1936" s="20"/>
      <c r="B1936" s="22"/>
    </row>
    <row r="1937" spans="1:2">
      <c r="A1937" s="20"/>
      <c r="B1937" s="22"/>
    </row>
    <row r="1938" spans="1:2">
      <c r="A1938" s="20"/>
      <c r="B1938" s="22"/>
    </row>
    <row r="1939" spans="1:2">
      <c r="A1939" s="20"/>
      <c r="B1939" s="22"/>
    </row>
    <row r="1940" spans="1:2">
      <c r="A1940" s="20"/>
      <c r="B1940" s="22"/>
    </row>
    <row r="1941" spans="1:2">
      <c r="A1941" s="20"/>
      <c r="B1941" s="22"/>
    </row>
    <row r="1942" spans="1:2">
      <c r="A1942" s="20"/>
      <c r="B1942" s="22"/>
    </row>
    <row r="1943" spans="1:2">
      <c r="A1943" s="20"/>
      <c r="B1943" s="22"/>
    </row>
    <row r="1944" spans="1:2">
      <c r="A1944" s="20"/>
      <c r="B1944" s="22"/>
    </row>
    <row r="1945" spans="1:2">
      <c r="A1945" s="20"/>
      <c r="B1945" s="22"/>
    </row>
    <row r="1946" spans="1:2">
      <c r="A1946" s="20"/>
      <c r="B1946" s="22"/>
    </row>
    <row r="1947" spans="1:2">
      <c r="A1947" s="20"/>
      <c r="B1947" s="22"/>
    </row>
    <row r="1948" spans="1:2">
      <c r="A1948" s="20"/>
      <c r="B1948" s="22"/>
    </row>
    <row r="1949" spans="1:2">
      <c r="A1949" s="20"/>
      <c r="B1949" s="22"/>
    </row>
    <row r="1950" spans="1:2">
      <c r="A1950" s="20"/>
      <c r="B1950" s="22"/>
    </row>
    <row r="1951" spans="1:2">
      <c r="A1951" s="20"/>
      <c r="B1951" s="22"/>
    </row>
    <row r="1952" spans="1:2">
      <c r="A1952" s="20"/>
      <c r="B1952" s="22"/>
    </row>
    <row r="1953" spans="1:2">
      <c r="A1953" s="20"/>
      <c r="B1953" s="22"/>
    </row>
    <row r="1954" spans="1:2">
      <c r="A1954" s="20"/>
      <c r="B1954" s="22"/>
    </row>
    <row r="1955" spans="1:2">
      <c r="A1955" s="20"/>
      <c r="B1955" s="22"/>
    </row>
    <row r="1956" spans="1:2">
      <c r="A1956" s="20"/>
      <c r="B1956" s="22"/>
    </row>
    <row r="1957" spans="1:2">
      <c r="A1957" s="20"/>
      <c r="B1957" s="22"/>
    </row>
    <row r="1958" spans="1:2">
      <c r="A1958" s="20"/>
      <c r="B1958" s="22"/>
    </row>
    <row r="1959" spans="1:2">
      <c r="A1959" s="20"/>
      <c r="B1959" s="22"/>
    </row>
    <row r="1960" spans="1:2">
      <c r="A1960" s="20"/>
      <c r="B1960" s="22"/>
    </row>
    <row r="1961" spans="1:2">
      <c r="A1961" s="20"/>
      <c r="B1961" s="22"/>
    </row>
    <row r="1962" spans="1:2">
      <c r="A1962" s="20"/>
      <c r="B1962" s="22"/>
    </row>
    <row r="1963" spans="1:2">
      <c r="A1963" s="20"/>
      <c r="B1963" s="22"/>
    </row>
    <row r="1964" spans="1:2">
      <c r="A1964" s="20"/>
      <c r="B1964" s="22"/>
    </row>
    <row r="1965" spans="1:2">
      <c r="A1965" s="20"/>
      <c r="B1965" s="22"/>
    </row>
    <row r="1966" spans="1:2">
      <c r="A1966" s="20"/>
      <c r="B1966" s="22"/>
    </row>
    <row r="1967" spans="1:2">
      <c r="A1967" s="20"/>
      <c r="B1967" s="22"/>
    </row>
    <row r="1968" spans="1:2">
      <c r="A1968" s="20"/>
      <c r="B1968" s="22"/>
    </row>
    <row r="1969" spans="1:2">
      <c r="A1969" s="20"/>
      <c r="B1969" s="22"/>
    </row>
    <row r="1970" spans="1:2">
      <c r="A1970" s="20"/>
      <c r="B1970" s="22"/>
    </row>
    <row r="1971" spans="1:2">
      <c r="A1971" s="20"/>
      <c r="B1971" s="22"/>
    </row>
    <row r="1972" spans="1:2">
      <c r="A1972" s="20"/>
      <c r="B1972" s="22"/>
    </row>
    <row r="1973" spans="1:2">
      <c r="A1973" s="20"/>
      <c r="B1973" s="22"/>
    </row>
    <row r="1974" spans="1:2">
      <c r="A1974" s="20"/>
      <c r="B1974" s="22"/>
    </row>
    <row r="1975" spans="1:2">
      <c r="A1975" s="20"/>
      <c r="B1975" s="22"/>
    </row>
    <row r="1976" spans="1:2">
      <c r="A1976" s="20"/>
      <c r="B1976" s="22"/>
    </row>
    <row r="1977" spans="1:2">
      <c r="A1977" s="20"/>
      <c r="B1977" s="22"/>
    </row>
    <row r="1978" spans="1:2">
      <c r="A1978" s="20"/>
      <c r="B1978" s="22"/>
    </row>
    <row r="1979" spans="1:2">
      <c r="A1979" s="20"/>
      <c r="B1979" s="22"/>
    </row>
    <row r="1980" spans="1:2">
      <c r="A1980" s="20"/>
      <c r="B1980" s="22"/>
    </row>
    <row r="1981" spans="1:2">
      <c r="A1981" s="20"/>
      <c r="B1981" s="22"/>
    </row>
    <row r="1982" spans="1:2">
      <c r="A1982" s="20"/>
      <c r="B1982" s="22"/>
    </row>
    <row r="1983" spans="1:2">
      <c r="A1983" s="20"/>
      <c r="B1983" s="22"/>
    </row>
    <row r="1984" spans="1:2">
      <c r="A1984" s="20"/>
      <c r="B1984" s="22"/>
    </row>
    <row r="1985" spans="1:2">
      <c r="A1985" s="20"/>
      <c r="B1985" s="22"/>
    </row>
    <row r="1986" spans="1:2">
      <c r="A1986" s="20"/>
      <c r="B1986" s="22"/>
    </row>
    <row r="1987" spans="1:2">
      <c r="A1987" s="20"/>
      <c r="B1987" s="22"/>
    </row>
    <row r="1988" spans="1:2">
      <c r="A1988" s="20"/>
      <c r="B1988" s="22"/>
    </row>
    <row r="1989" spans="1:2">
      <c r="A1989" s="20"/>
      <c r="B1989" s="22"/>
    </row>
    <row r="1990" spans="1:2">
      <c r="A1990" s="20"/>
      <c r="B1990" s="22"/>
    </row>
    <row r="1991" spans="1:2">
      <c r="A1991" s="20"/>
      <c r="B1991" s="22"/>
    </row>
    <row r="1992" spans="1:2">
      <c r="A1992" s="20"/>
      <c r="B1992" s="22"/>
    </row>
    <row r="1993" spans="1:2">
      <c r="A1993" s="20"/>
      <c r="B1993" s="22"/>
    </row>
    <row r="1994" spans="1:2">
      <c r="A1994" s="20"/>
      <c r="B1994" s="22"/>
    </row>
    <row r="1995" spans="1:2">
      <c r="A1995" s="20"/>
      <c r="B1995" s="22"/>
    </row>
    <row r="1996" spans="1:2">
      <c r="A1996" s="20"/>
      <c r="B1996" s="22"/>
    </row>
    <row r="1997" spans="1:2">
      <c r="A1997" s="20"/>
      <c r="B1997" s="22"/>
    </row>
    <row r="1998" spans="1:2">
      <c r="A1998" s="20"/>
      <c r="B1998" s="22"/>
    </row>
    <row r="1999" spans="1:2">
      <c r="A1999" s="20"/>
      <c r="B1999" s="22"/>
    </row>
    <row r="2000" spans="1:2">
      <c r="A2000" s="20"/>
      <c r="B2000" s="22"/>
    </row>
    <row r="2001" spans="1:2">
      <c r="A2001" s="20"/>
      <c r="B2001" s="22"/>
    </row>
    <row r="2002" spans="1:2">
      <c r="A2002" s="20"/>
      <c r="B2002" s="22"/>
    </row>
    <row r="2003" spans="1:2">
      <c r="A2003" s="20"/>
      <c r="B2003" s="22"/>
    </row>
    <row r="2004" spans="1:2">
      <c r="A2004" s="20"/>
      <c r="B2004" s="22"/>
    </row>
    <row r="2005" spans="1:2">
      <c r="A2005" s="20"/>
      <c r="B2005" s="22"/>
    </row>
    <row r="2006" spans="1:2">
      <c r="A2006" s="20"/>
      <c r="B2006" s="22"/>
    </row>
    <row r="2007" spans="1:2">
      <c r="A2007" s="20"/>
      <c r="B2007" s="22"/>
    </row>
    <row r="2008" spans="1:2">
      <c r="A2008" s="20"/>
      <c r="B2008" s="22"/>
    </row>
    <row r="2009" spans="1:2">
      <c r="A2009" s="20"/>
      <c r="B2009" s="22"/>
    </row>
    <row r="2010" spans="1:2">
      <c r="A2010" s="20"/>
      <c r="B2010" s="22"/>
    </row>
    <row r="2011" spans="1:2">
      <c r="A2011" s="20"/>
      <c r="B2011" s="22"/>
    </row>
    <row r="2012" spans="1:2">
      <c r="A2012" s="20"/>
      <c r="B2012" s="22"/>
    </row>
    <row r="2013" spans="1:2">
      <c r="A2013" s="20"/>
      <c r="B2013" s="22"/>
    </row>
    <row r="2014" spans="1:2">
      <c r="A2014" s="20"/>
      <c r="B2014" s="22"/>
    </row>
    <row r="2015" spans="1:2">
      <c r="A2015" s="20"/>
      <c r="B2015" s="22"/>
    </row>
    <row r="2016" spans="1:2">
      <c r="A2016" s="20"/>
      <c r="B2016" s="22"/>
    </row>
    <row r="2017" spans="1:2">
      <c r="A2017" s="20"/>
      <c r="B2017" s="22"/>
    </row>
    <row r="2018" spans="1:2">
      <c r="A2018" s="20"/>
      <c r="B2018" s="22"/>
    </row>
    <row r="2019" spans="1:2">
      <c r="A2019" s="20"/>
      <c r="B2019" s="22"/>
    </row>
    <row r="2020" spans="1:2">
      <c r="A2020" s="20"/>
      <c r="B2020" s="22"/>
    </row>
    <row r="2021" spans="1:2">
      <c r="A2021" s="20"/>
      <c r="B2021" s="22"/>
    </row>
    <row r="2022" spans="1:2">
      <c r="A2022" s="20"/>
      <c r="B2022" s="22"/>
    </row>
    <row r="2023" spans="1:2">
      <c r="A2023" s="20"/>
      <c r="B2023" s="22"/>
    </row>
    <row r="2024" spans="1:2">
      <c r="A2024" s="20"/>
      <c r="B2024" s="22"/>
    </row>
    <row r="2025" spans="1:2">
      <c r="A2025" s="20"/>
      <c r="B2025" s="22"/>
    </row>
    <row r="2026" spans="1:2">
      <c r="A2026" s="20"/>
      <c r="B2026" s="22"/>
    </row>
    <row r="2027" spans="1:2">
      <c r="A2027" s="20"/>
      <c r="B2027" s="22"/>
    </row>
    <row r="2028" spans="1:2">
      <c r="A2028" s="20"/>
      <c r="B2028" s="22"/>
    </row>
    <row r="2029" spans="1:2">
      <c r="A2029" s="20"/>
      <c r="B2029" s="22"/>
    </row>
    <row r="2030" spans="1:2">
      <c r="A2030" s="20"/>
      <c r="B2030" s="22"/>
    </row>
    <row r="2031" spans="1:2">
      <c r="A2031" s="20"/>
      <c r="B2031" s="22"/>
    </row>
    <row r="2032" spans="1:2">
      <c r="A2032" s="20"/>
      <c r="B2032" s="22"/>
    </row>
    <row r="2033" spans="1:2">
      <c r="A2033" s="20"/>
      <c r="B2033" s="22"/>
    </row>
    <row r="2034" spans="1:2">
      <c r="A2034" s="20"/>
      <c r="B2034" s="22"/>
    </row>
    <row r="2035" spans="1:2">
      <c r="A2035" s="20"/>
      <c r="B2035" s="22"/>
    </row>
    <row r="2036" spans="1:2">
      <c r="A2036" s="20"/>
      <c r="B2036" s="22"/>
    </row>
    <row r="2037" spans="1:2">
      <c r="A2037" s="20"/>
      <c r="B2037" s="22"/>
    </row>
    <row r="2038" spans="1:2">
      <c r="A2038" s="20"/>
      <c r="B2038" s="22"/>
    </row>
    <row r="2039" spans="1:2">
      <c r="A2039" s="20"/>
      <c r="B2039" s="22"/>
    </row>
    <row r="2040" spans="1:2">
      <c r="A2040" s="20"/>
      <c r="B2040" s="22"/>
    </row>
    <row r="2041" spans="1:2">
      <c r="A2041" s="20"/>
      <c r="B2041" s="22"/>
    </row>
    <row r="2042" spans="1:2">
      <c r="A2042" s="20"/>
      <c r="B2042" s="22"/>
    </row>
    <row r="2043" spans="1:2">
      <c r="A2043" s="20"/>
      <c r="B2043" s="22"/>
    </row>
    <row r="2044" spans="1:2">
      <c r="A2044" s="20"/>
      <c r="B2044" s="22"/>
    </row>
    <row r="2045" spans="1:2">
      <c r="A2045" s="20"/>
      <c r="B2045" s="22"/>
    </row>
    <row r="2046" spans="1:2">
      <c r="A2046" s="20"/>
      <c r="B2046" s="22"/>
    </row>
    <row r="2047" spans="1:2">
      <c r="A2047" s="20"/>
      <c r="B2047" s="22"/>
    </row>
    <row r="2048" spans="1:2">
      <c r="A2048" s="20"/>
      <c r="B2048" s="22"/>
    </row>
    <row r="2049" spans="1:2">
      <c r="A2049" s="20"/>
      <c r="B2049" s="22"/>
    </row>
    <row r="2050" spans="1:2">
      <c r="A2050" s="20"/>
      <c r="B2050" s="22"/>
    </row>
    <row r="2051" spans="1:2">
      <c r="A2051" s="20"/>
      <c r="B2051" s="22"/>
    </row>
    <row r="2052" spans="1:2">
      <c r="A2052" s="20"/>
      <c r="B2052" s="22"/>
    </row>
    <row r="2053" spans="1:2">
      <c r="A2053" s="20"/>
      <c r="B2053" s="22"/>
    </row>
    <row r="2054" spans="1:2">
      <c r="A2054" s="20"/>
      <c r="B2054" s="22"/>
    </row>
    <row r="2055" spans="1:2">
      <c r="A2055" s="20"/>
      <c r="B2055" s="22"/>
    </row>
    <row r="2056" spans="1:2">
      <c r="A2056" s="20"/>
      <c r="B2056" s="22"/>
    </row>
    <row r="2057" spans="1:2">
      <c r="A2057" s="20"/>
      <c r="B2057" s="22"/>
    </row>
    <row r="2058" spans="1:2">
      <c r="A2058" s="20"/>
      <c r="B2058" s="22"/>
    </row>
    <row r="2059" spans="1:2">
      <c r="A2059" s="20"/>
      <c r="B2059" s="22"/>
    </row>
    <row r="2060" spans="1:2">
      <c r="A2060" s="20"/>
      <c r="B2060" s="22"/>
    </row>
    <row r="2061" spans="1:2">
      <c r="A2061" s="20"/>
      <c r="B2061" s="22"/>
    </row>
    <row r="2062" spans="1:2">
      <c r="A2062" s="20"/>
      <c r="B2062" s="22"/>
    </row>
    <row r="2063" spans="1:2">
      <c r="A2063" s="20"/>
      <c r="B2063" s="22"/>
    </row>
    <row r="2064" spans="1:2">
      <c r="A2064" s="20"/>
      <c r="B2064" s="22"/>
    </row>
    <row r="2065" spans="1:2">
      <c r="A2065" s="20"/>
      <c r="B2065" s="22"/>
    </row>
    <row r="2066" spans="1:2">
      <c r="A2066" s="20"/>
      <c r="B2066" s="22"/>
    </row>
    <row r="2067" spans="1:2">
      <c r="A2067" s="20"/>
      <c r="B2067" s="22"/>
    </row>
    <row r="2068" spans="1:2">
      <c r="A2068" s="20"/>
      <c r="B2068" s="22"/>
    </row>
    <row r="2069" spans="1:2">
      <c r="A2069" s="20"/>
      <c r="B2069" s="22"/>
    </row>
    <row r="2070" spans="1:2">
      <c r="A2070" s="20"/>
      <c r="B2070" s="22"/>
    </row>
    <row r="2071" spans="1:2">
      <c r="A2071" s="20"/>
      <c r="B2071" s="22"/>
    </row>
    <row r="2072" spans="1:2">
      <c r="A2072" s="20"/>
      <c r="B2072" s="22"/>
    </row>
    <row r="2073" spans="1:2">
      <c r="A2073" s="20"/>
      <c r="B2073" s="22"/>
    </row>
    <row r="2074" spans="1:2">
      <c r="A2074" s="20"/>
      <c r="B2074" s="22"/>
    </row>
    <row r="2075" spans="1:2">
      <c r="A2075" s="20"/>
      <c r="B2075" s="22"/>
    </row>
    <row r="2076" spans="1:2">
      <c r="A2076" s="20"/>
      <c r="B2076" s="22"/>
    </row>
    <row r="2077" spans="1:2">
      <c r="A2077" s="20"/>
      <c r="B2077" s="22"/>
    </row>
    <row r="2078" spans="1:2">
      <c r="A2078" s="20"/>
      <c r="B2078" s="22"/>
    </row>
    <row r="2079" spans="1:2">
      <c r="A2079" s="20"/>
      <c r="B2079" s="22"/>
    </row>
    <row r="2080" spans="1:2">
      <c r="A2080" s="20"/>
      <c r="B2080" s="22"/>
    </row>
    <row r="2081" spans="1:2">
      <c r="A2081" s="20"/>
      <c r="B2081" s="22"/>
    </row>
    <row r="2082" spans="1:2">
      <c r="A2082" s="20"/>
      <c r="B2082" s="22"/>
    </row>
    <row r="2083" spans="1:2">
      <c r="A2083" s="20"/>
      <c r="B2083" s="22"/>
    </row>
    <row r="2084" spans="1:2">
      <c r="A2084" s="20"/>
      <c r="B2084" s="22"/>
    </row>
    <row r="2085" spans="1:2">
      <c r="A2085" s="20"/>
      <c r="B2085" s="22"/>
    </row>
    <row r="2086" spans="1:2">
      <c r="A2086" s="20"/>
      <c r="B2086" s="22"/>
    </row>
    <row r="2087" spans="1:2">
      <c r="A2087" s="20"/>
      <c r="B2087" s="22"/>
    </row>
    <row r="2088" spans="1:2">
      <c r="A2088" s="20"/>
      <c r="B2088" s="22"/>
    </row>
    <row r="2089" spans="1:2">
      <c r="A2089" s="20"/>
      <c r="B2089" s="22"/>
    </row>
    <row r="2090" spans="1:2">
      <c r="A2090" s="20"/>
      <c r="B2090" s="22"/>
    </row>
    <row r="2091" spans="1:2">
      <c r="A2091" s="20"/>
      <c r="B2091" s="22"/>
    </row>
    <row r="2092" spans="1:2">
      <c r="A2092" s="20"/>
      <c r="B2092" s="22"/>
    </row>
    <row r="2093" spans="1:2">
      <c r="A2093" s="20"/>
      <c r="B2093" s="22"/>
    </row>
    <row r="2094" spans="1:2">
      <c r="A2094" s="20"/>
      <c r="B2094" s="22"/>
    </row>
    <row r="2095" spans="1:2">
      <c r="A2095" s="20"/>
      <c r="B2095" s="22"/>
    </row>
    <row r="2096" spans="1:2">
      <c r="A2096" s="20"/>
      <c r="B2096" s="22"/>
    </row>
    <row r="2097" spans="1:2">
      <c r="A2097" s="20"/>
      <c r="B2097" s="22"/>
    </row>
    <row r="2098" spans="1:2">
      <c r="A2098" s="20"/>
      <c r="B2098" s="22"/>
    </row>
    <row r="2099" spans="1:2">
      <c r="A2099" s="20"/>
      <c r="B2099" s="22"/>
    </row>
    <row r="2100" spans="1:2">
      <c r="A2100" s="20"/>
      <c r="B2100" s="22"/>
    </row>
    <row r="2101" spans="1:2">
      <c r="A2101" s="20"/>
      <c r="B2101" s="22"/>
    </row>
    <row r="2102" spans="1:2">
      <c r="A2102" s="20"/>
      <c r="B2102" s="22"/>
    </row>
    <row r="2103" spans="1:2">
      <c r="A2103" s="20"/>
      <c r="B2103" s="22"/>
    </row>
    <row r="2104" spans="1:2">
      <c r="A2104" s="20"/>
      <c r="B2104" s="22"/>
    </row>
    <row r="2105" spans="1:2">
      <c r="A2105" s="20"/>
      <c r="B2105" s="22"/>
    </row>
    <row r="2106" spans="1:2">
      <c r="A2106" s="20"/>
      <c r="B2106" s="22"/>
    </row>
    <row r="2107" spans="1:2">
      <c r="A2107" s="20"/>
      <c r="B2107" s="22"/>
    </row>
    <row r="2108" spans="1:2">
      <c r="A2108" s="20"/>
      <c r="B2108" s="22"/>
    </row>
    <row r="2109" spans="1:2">
      <c r="A2109" s="20"/>
      <c r="B2109" s="22"/>
    </row>
    <row r="2110" spans="1:2">
      <c r="A2110" s="20"/>
      <c r="B2110" s="22"/>
    </row>
    <row r="2111" spans="1:2">
      <c r="A2111" s="20"/>
      <c r="B2111" s="22"/>
    </row>
    <row r="2112" spans="1:2">
      <c r="A2112" s="20"/>
      <c r="B2112" s="22"/>
    </row>
    <row r="2113" spans="1:2">
      <c r="A2113" s="20"/>
      <c r="B2113" s="22"/>
    </row>
    <row r="2114" spans="1:2">
      <c r="A2114" s="20"/>
      <c r="B2114" s="22"/>
    </row>
    <row r="2115" spans="1:2">
      <c r="A2115" s="20"/>
      <c r="B2115" s="22"/>
    </row>
    <row r="2116" spans="1:2">
      <c r="A2116" s="20"/>
      <c r="B2116" s="22"/>
    </row>
    <row r="2117" spans="1:2">
      <c r="A2117" s="20"/>
      <c r="B2117" s="22"/>
    </row>
    <row r="2118" spans="1:2">
      <c r="A2118" s="20"/>
      <c r="B2118" s="22"/>
    </row>
    <row r="2119" spans="1:2">
      <c r="A2119" s="20"/>
      <c r="B2119" s="22"/>
    </row>
    <row r="2120" spans="1:2">
      <c r="A2120" s="20"/>
      <c r="B2120" s="22"/>
    </row>
    <row r="2121" spans="1:2">
      <c r="A2121" s="20"/>
      <c r="B2121" s="22"/>
    </row>
    <row r="2122" spans="1:2">
      <c r="A2122" s="20"/>
      <c r="B2122" s="22"/>
    </row>
    <row r="2123" spans="1:2">
      <c r="A2123" s="20"/>
      <c r="B2123" s="22"/>
    </row>
    <row r="2124" spans="1:2">
      <c r="A2124" s="20"/>
      <c r="B2124" s="22"/>
    </row>
    <row r="2125" spans="1:2">
      <c r="A2125" s="20"/>
      <c r="B2125" s="22"/>
    </row>
    <row r="2126" spans="1:2">
      <c r="A2126" s="20"/>
      <c r="B2126" s="22"/>
    </row>
    <row r="2127" spans="1:2">
      <c r="A2127" s="20"/>
      <c r="B2127" s="22"/>
    </row>
    <row r="2128" spans="1:2">
      <c r="A2128" s="20"/>
      <c r="B2128" s="22"/>
    </row>
    <row r="2129" spans="1:2">
      <c r="A2129" s="20"/>
      <c r="B2129" s="22"/>
    </row>
    <row r="2130" spans="1:2">
      <c r="A2130" s="20"/>
      <c r="B2130" s="22"/>
    </row>
    <row r="2131" spans="1:2">
      <c r="A2131" s="20"/>
      <c r="B2131" s="22"/>
    </row>
    <row r="2132" spans="1:2">
      <c r="A2132" s="20"/>
      <c r="B2132" s="22"/>
    </row>
    <row r="2133" spans="1:2">
      <c r="A2133" s="20"/>
      <c r="B2133" s="22"/>
    </row>
    <row r="2134" spans="1:2">
      <c r="A2134" s="20"/>
      <c r="B2134" s="22"/>
    </row>
    <row r="2135" spans="1:2">
      <c r="A2135" s="20"/>
      <c r="B2135" s="22"/>
    </row>
    <row r="2136" spans="1:2">
      <c r="A2136" s="20"/>
      <c r="B2136" s="22"/>
    </row>
    <row r="2137" spans="1:2">
      <c r="A2137" s="20"/>
      <c r="B2137" s="22"/>
    </row>
    <row r="2138" spans="1:2">
      <c r="A2138" s="20"/>
      <c r="B2138" s="22"/>
    </row>
    <row r="2139" spans="1:2">
      <c r="A2139" s="20"/>
      <c r="B2139" s="22"/>
    </row>
    <row r="2140" spans="1:2">
      <c r="A2140" s="20"/>
      <c r="B2140" s="22"/>
    </row>
    <row r="2141" spans="1:2">
      <c r="A2141" s="20"/>
      <c r="B2141" s="22"/>
    </row>
    <row r="2142" spans="1:2">
      <c r="A2142" s="20"/>
      <c r="B2142" s="22"/>
    </row>
    <row r="2143" spans="1:2">
      <c r="A2143" s="20"/>
      <c r="B2143" s="22"/>
    </row>
    <row r="2144" spans="1:2">
      <c r="A2144" s="20"/>
      <c r="B2144" s="22"/>
    </row>
    <row r="2145" spans="1:2">
      <c r="A2145" s="20"/>
      <c r="B2145" s="22"/>
    </row>
    <row r="2146" spans="1:2">
      <c r="A2146" s="20"/>
      <c r="B2146" s="22"/>
    </row>
    <row r="2147" spans="1:2">
      <c r="A2147" s="20"/>
      <c r="B2147" s="22"/>
    </row>
    <row r="2148" spans="1:2">
      <c r="A2148" s="20"/>
      <c r="B2148" s="22"/>
    </row>
    <row r="2149" spans="1:2">
      <c r="A2149" s="20"/>
      <c r="B2149" s="22"/>
    </row>
    <row r="2150" spans="1:2">
      <c r="A2150" s="20"/>
      <c r="B2150" s="22"/>
    </row>
    <row r="2151" spans="1:2">
      <c r="A2151" s="20"/>
      <c r="B2151" s="22"/>
    </row>
    <row r="2152" spans="1:2">
      <c r="A2152" s="20"/>
      <c r="B2152" s="22"/>
    </row>
    <row r="2153" spans="1:2">
      <c r="A2153" s="20"/>
      <c r="B2153" s="22"/>
    </row>
    <row r="2154" spans="1:2">
      <c r="A2154" s="20"/>
      <c r="B2154" s="22"/>
    </row>
    <row r="2155" spans="1:2">
      <c r="A2155" s="20"/>
      <c r="B2155" s="22"/>
    </row>
    <row r="2156" spans="1:2">
      <c r="A2156" s="20"/>
      <c r="B2156" s="22"/>
    </row>
    <row r="2157" spans="1:2">
      <c r="A2157" s="20"/>
      <c r="B2157" s="22"/>
    </row>
    <row r="2158" spans="1:2">
      <c r="A2158" s="20"/>
      <c r="B2158" s="22"/>
    </row>
    <row r="2159" spans="1:2">
      <c r="A2159" s="20"/>
      <c r="B2159" s="22"/>
    </row>
    <row r="2160" spans="1:2">
      <c r="A2160" s="20"/>
      <c r="B2160" s="22"/>
    </row>
    <row r="2161" spans="1:2">
      <c r="A2161" s="20"/>
      <c r="B2161" s="22"/>
    </row>
    <row r="2162" spans="1:2">
      <c r="A2162" s="20"/>
      <c r="B2162" s="22"/>
    </row>
    <row r="2163" spans="1:2">
      <c r="A2163" s="20"/>
      <c r="B2163" s="22"/>
    </row>
    <row r="2164" spans="1:2">
      <c r="A2164" s="20"/>
      <c r="B2164" s="22"/>
    </row>
    <row r="2165" spans="1:2">
      <c r="A2165" s="20"/>
      <c r="B2165" s="22"/>
    </row>
    <row r="2166" spans="1:2">
      <c r="A2166" s="20"/>
      <c r="B2166" s="22"/>
    </row>
    <row r="2167" spans="1:2">
      <c r="A2167" s="20"/>
      <c r="B2167" s="22"/>
    </row>
    <row r="2168" spans="1:2">
      <c r="A2168" s="20"/>
      <c r="B2168" s="22"/>
    </row>
    <row r="2169" spans="1:2">
      <c r="A2169" s="20"/>
      <c r="B2169" s="22"/>
    </row>
    <row r="2170" spans="1:2">
      <c r="A2170" s="20"/>
      <c r="B2170" s="22"/>
    </row>
    <row r="2171" spans="1:2">
      <c r="A2171" s="20"/>
      <c r="B2171" s="22"/>
    </row>
    <row r="2172" spans="1:2">
      <c r="A2172" s="20"/>
      <c r="B2172" s="22"/>
    </row>
    <row r="2173" spans="1:2">
      <c r="A2173" s="20"/>
      <c r="B2173" s="22"/>
    </row>
    <row r="2174" spans="1:2">
      <c r="A2174" s="20"/>
      <c r="B2174" s="22"/>
    </row>
    <row r="2175" spans="1:2">
      <c r="A2175" s="20"/>
      <c r="B2175" s="22"/>
    </row>
    <row r="2176" spans="1:2">
      <c r="A2176" s="20"/>
      <c r="B2176" s="22"/>
    </row>
    <row r="2177" spans="1:2">
      <c r="A2177" s="20"/>
      <c r="B2177" s="22"/>
    </row>
    <row r="2178" spans="1:2">
      <c r="A2178" s="20"/>
      <c r="B2178" s="22"/>
    </row>
    <row r="2179" spans="1:2">
      <c r="A2179" s="20"/>
      <c r="B2179" s="22"/>
    </row>
    <row r="2180" spans="1:2">
      <c r="A2180" s="20"/>
      <c r="B2180" s="22"/>
    </row>
    <row r="2181" spans="1:2">
      <c r="A2181" s="20"/>
      <c r="B2181" s="22"/>
    </row>
    <row r="2182" spans="1:2">
      <c r="A2182" s="20"/>
      <c r="B2182" s="22"/>
    </row>
    <row r="2183" spans="1:2">
      <c r="A2183" s="20"/>
      <c r="B2183" s="22"/>
    </row>
    <row r="2184" spans="1:2">
      <c r="A2184" s="20"/>
      <c r="B2184" s="22"/>
    </row>
    <row r="2185" spans="1:2">
      <c r="A2185" s="20"/>
      <c r="B2185" s="22"/>
    </row>
    <row r="2186" spans="1:2">
      <c r="A2186" s="20"/>
      <c r="B2186" s="22"/>
    </row>
    <row r="2187" spans="1:2">
      <c r="A2187" s="20"/>
      <c r="B2187" s="22"/>
    </row>
    <row r="2188" spans="1:2">
      <c r="A2188" s="20"/>
      <c r="B2188" s="22"/>
    </row>
    <row r="2189" spans="1:2">
      <c r="A2189" s="20"/>
      <c r="B2189" s="22"/>
    </row>
    <row r="2190" spans="1:2">
      <c r="A2190" s="20"/>
      <c r="B2190" s="22"/>
    </row>
    <row r="2191" spans="1:2">
      <c r="A2191" s="20"/>
      <c r="B2191" s="22"/>
    </row>
    <row r="2192" spans="1:2">
      <c r="A2192" s="20"/>
      <c r="B2192" s="22"/>
    </row>
    <row r="2193" spans="1:2">
      <c r="A2193" s="20"/>
      <c r="B2193" s="22"/>
    </row>
    <row r="2194" spans="1:2">
      <c r="A2194" s="20"/>
      <c r="B2194" s="22"/>
    </row>
    <row r="2195" spans="1:2">
      <c r="A2195" s="20"/>
      <c r="B2195" s="22"/>
    </row>
    <row r="2196" spans="1:2">
      <c r="A2196" s="20"/>
      <c r="B2196" s="22"/>
    </row>
    <row r="2197" spans="1:2">
      <c r="A2197" s="20"/>
      <c r="B2197" s="22"/>
    </row>
    <row r="2198" spans="1:2">
      <c r="A2198" s="20"/>
      <c r="B2198" s="22"/>
    </row>
    <row r="2199" spans="1:2">
      <c r="A2199" s="20"/>
      <c r="B2199" s="22"/>
    </row>
    <row r="2200" spans="1:2">
      <c r="A2200" s="20"/>
      <c r="B2200" s="22"/>
    </row>
    <row r="2201" spans="1:2">
      <c r="A2201" s="20"/>
      <c r="B2201" s="22"/>
    </row>
    <row r="2202" spans="1:2">
      <c r="A2202" s="20"/>
      <c r="B2202" s="22"/>
    </row>
    <row r="2203" spans="1:2">
      <c r="A2203" s="20"/>
      <c r="B2203" s="22"/>
    </row>
    <row r="2204" spans="1:2">
      <c r="A2204" s="20"/>
      <c r="B2204" s="22"/>
    </row>
    <row r="2205" spans="1:2">
      <c r="A2205" s="20"/>
      <c r="B2205" s="22"/>
    </row>
    <row r="2206" spans="1:2">
      <c r="A2206" s="20"/>
      <c r="B2206" s="22"/>
    </row>
    <row r="2207" spans="1:2">
      <c r="A2207" s="20"/>
      <c r="B2207" s="22"/>
    </row>
    <row r="2208" spans="1:2">
      <c r="A2208" s="20"/>
      <c r="B2208" s="22"/>
    </row>
    <row r="2209" spans="1:2">
      <c r="A2209" s="20"/>
      <c r="B2209" s="22"/>
    </row>
    <row r="2210" spans="1:2">
      <c r="A2210" s="20"/>
      <c r="B2210" s="22"/>
    </row>
    <row r="2211" spans="1:2">
      <c r="A2211" s="20"/>
      <c r="B2211" s="22"/>
    </row>
    <row r="2212" spans="1:2">
      <c r="A2212" s="20"/>
      <c r="B2212" s="22"/>
    </row>
    <row r="2213" spans="1:2">
      <c r="A2213" s="20"/>
      <c r="B2213" s="22"/>
    </row>
    <row r="2214" spans="1:2">
      <c r="A2214" s="20"/>
      <c r="B2214" s="22"/>
    </row>
    <row r="2215" spans="1:2">
      <c r="A2215" s="20"/>
      <c r="B2215" s="22"/>
    </row>
    <row r="2216" spans="1:2">
      <c r="A2216" s="20"/>
      <c r="B2216" s="22"/>
    </row>
    <row r="2217" spans="1:2">
      <c r="A2217" s="20"/>
      <c r="B2217" s="22"/>
    </row>
    <row r="2218" spans="1:2">
      <c r="A2218" s="20"/>
      <c r="B2218" s="22"/>
    </row>
    <row r="2219" spans="1:2">
      <c r="A2219" s="20"/>
      <c r="B2219" s="22"/>
    </row>
    <row r="2220" spans="1:2">
      <c r="A2220" s="20"/>
      <c r="B2220" s="22"/>
    </row>
    <row r="2221" spans="1:2">
      <c r="A2221" s="20"/>
      <c r="B2221" s="22"/>
    </row>
    <row r="2222" spans="1:2">
      <c r="A2222" s="20"/>
      <c r="B2222" s="22"/>
    </row>
    <row r="2223" spans="1:2">
      <c r="A2223" s="20"/>
      <c r="B2223" s="22"/>
    </row>
    <row r="2224" spans="1:2">
      <c r="A2224" s="20"/>
      <c r="B2224" s="22"/>
    </row>
    <row r="2225" spans="1:2">
      <c r="A2225" s="20"/>
      <c r="B2225" s="22"/>
    </row>
    <row r="2226" spans="1:2">
      <c r="A2226" s="20"/>
      <c r="B2226" s="22"/>
    </row>
    <row r="2227" spans="1:2">
      <c r="A2227" s="20"/>
      <c r="B2227" s="22"/>
    </row>
    <row r="2228" spans="1:2">
      <c r="A2228" s="20"/>
      <c r="B2228" s="22"/>
    </row>
    <row r="2229" spans="1:2">
      <c r="A2229" s="20"/>
      <c r="B2229" s="22"/>
    </row>
    <row r="2230" spans="1:2">
      <c r="A2230" s="20"/>
      <c r="B2230" s="22"/>
    </row>
    <row r="2231" spans="1:2">
      <c r="A2231" s="20"/>
      <c r="B2231" s="22"/>
    </row>
    <row r="2232" spans="1:2">
      <c r="A2232" s="20"/>
      <c r="B2232" s="22"/>
    </row>
    <row r="2233" spans="1:2">
      <c r="A2233" s="20"/>
      <c r="B2233" s="22"/>
    </row>
    <row r="2234" spans="1:2">
      <c r="A2234" s="20"/>
      <c r="B2234" s="22"/>
    </row>
    <row r="2235" spans="1:2">
      <c r="A2235" s="20"/>
      <c r="B2235" s="22"/>
    </row>
    <row r="2236" spans="1:2">
      <c r="A2236" s="20"/>
      <c r="B2236" s="22"/>
    </row>
    <row r="2237" spans="1:2">
      <c r="A2237" s="20"/>
      <c r="B2237" s="22"/>
    </row>
    <row r="2238" spans="1:2">
      <c r="A2238" s="20"/>
      <c r="B2238" s="22"/>
    </row>
    <row r="2239" spans="1:2">
      <c r="A2239" s="20"/>
      <c r="B2239" s="22"/>
    </row>
    <row r="2240" spans="1:2">
      <c r="A2240" s="20"/>
      <c r="B2240" s="22"/>
    </row>
    <row r="2241" spans="1:2">
      <c r="A2241" s="20"/>
      <c r="B2241" s="22"/>
    </row>
    <row r="2242" spans="1:2">
      <c r="A2242" s="20"/>
      <c r="B2242" s="22"/>
    </row>
    <row r="2243" spans="1:2">
      <c r="A2243" s="20"/>
      <c r="B2243" s="22"/>
    </row>
    <row r="2244" spans="1:2">
      <c r="A2244" s="20"/>
      <c r="B2244" s="22"/>
    </row>
    <row r="2245" spans="1:2">
      <c r="A2245" s="20"/>
      <c r="B2245" s="22"/>
    </row>
    <row r="2246" spans="1:2">
      <c r="A2246" s="20"/>
      <c r="B2246" s="22"/>
    </row>
    <row r="2247" spans="1:2">
      <c r="A2247" s="20"/>
      <c r="B2247" s="22"/>
    </row>
    <row r="2248" spans="1:2">
      <c r="A2248" s="20"/>
      <c r="B2248" s="22"/>
    </row>
    <row r="2249" spans="1:2">
      <c r="A2249" s="20"/>
      <c r="B2249" s="22"/>
    </row>
    <row r="2250" spans="1:2">
      <c r="A2250" s="20"/>
      <c r="B2250" s="22"/>
    </row>
    <row r="2251" spans="1:2">
      <c r="A2251" s="20"/>
      <c r="B2251" s="22"/>
    </row>
    <row r="2252" spans="1:2">
      <c r="A2252" s="20"/>
      <c r="B2252" s="22"/>
    </row>
    <row r="2253" spans="1:2">
      <c r="A2253" s="20"/>
      <c r="B2253" s="22"/>
    </row>
    <row r="2254" spans="1:2">
      <c r="A2254" s="20"/>
      <c r="B2254" s="22"/>
    </row>
    <row r="2255" spans="1:2">
      <c r="A2255" s="20"/>
      <c r="B2255" s="22"/>
    </row>
    <row r="2256" spans="1:2">
      <c r="A2256" s="20"/>
      <c r="B2256" s="22"/>
    </row>
    <row r="2257" spans="1:2">
      <c r="A2257" s="20"/>
      <c r="B2257" s="22"/>
    </row>
    <row r="2258" spans="1:2">
      <c r="A2258" s="20"/>
      <c r="B2258" s="22"/>
    </row>
    <row r="2259" spans="1:2">
      <c r="A2259" s="20"/>
      <c r="B2259" s="22"/>
    </row>
    <row r="2260" spans="1:2">
      <c r="A2260" s="20"/>
      <c r="B2260" s="22"/>
    </row>
    <row r="2261" spans="1:2">
      <c r="A2261" s="20"/>
      <c r="B2261" s="22"/>
    </row>
    <row r="2262" spans="1:2">
      <c r="A2262" s="20"/>
      <c r="B2262" s="22"/>
    </row>
    <row r="2263" spans="1:2">
      <c r="A2263" s="20"/>
      <c r="B2263" s="22"/>
    </row>
    <row r="2264" spans="1:2">
      <c r="A2264" s="20"/>
      <c r="B2264" s="22"/>
    </row>
    <row r="2265" spans="1:2">
      <c r="A2265" s="20"/>
      <c r="B2265" s="22"/>
    </row>
    <row r="2266" spans="1:2">
      <c r="A2266" s="20"/>
      <c r="B2266" s="22"/>
    </row>
    <row r="2267" spans="1:2">
      <c r="A2267" s="20"/>
      <c r="B2267" s="22"/>
    </row>
    <row r="2268" spans="1:2">
      <c r="A2268" s="20"/>
      <c r="B2268" s="22"/>
    </row>
    <row r="2269" spans="1:2">
      <c r="A2269" s="20"/>
      <c r="B2269" s="22"/>
    </row>
    <row r="2270" spans="1:2">
      <c r="A2270" s="20"/>
      <c r="B2270" s="22"/>
    </row>
    <row r="2271" spans="1:2">
      <c r="A2271" s="20"/>
      <c r="B2271" s="22"/>
    </row>
    <row r="2272" spans="1:2">
      <c r="A2272" s="20"/>
      <c r="B2272" s="22"/>
    </row>
    <row r="2273" spans="1:2">
      <c r="A2273" s="20"/>
      <c r="B2273" s="22"/>
    </row>
    <row r="2274" spans="1:2">
      <c r="A2274" s="20"/>
      <c r="B2274" s="22"/>
    </row>
    <row r="2275" spans="1:2">
      <c r="A2275" s="20"/>
      <c r="B2275" s="22"/>
    </row>
    <row r="2276" spans="1:2">
      <c r="A2276" s="20"/>
      <c r="B2276" s="22"/>
    </row>
    <row r="2277" spans="1:2">
      <c r="A2277" s="20"/>
      <c r="B2277" s="22"/>
    </row>
    <row r="2278" spans="1:2">
      <c r="A2278" s="20"/>
      <c r="B2278" s="22"/>
    </row>
    <row r="2279" spans="1:2">
      <c r="A2279" s="20"/>
      <c r="B2279" s="22"/>
    </row>
    <row r="2280" spans="1:2">
      <c r="A2280" s="20"/>
      <c r="B2280" s="22"/>
    </row>
    <row r="2281" spans="1:2">
      <c r="A2281" s="20"/>
      <c r="B2281" s="22"/>
    </row>
    <row r="2282" spans="1:2">
      <c r="A2282" s="20"/>
      <c r="B2282" s="22"/>
    </row>
    <row r="2283" spans="1:2">
      <c r="A2283" s="20"/>
      <c r="B2283" s="22"/>
    </row>
    <row r="2284" spans="1:2">
      <c r="A2284" s="20"/>
      <c r="B2284" s="22"/>
    </row>
    <row r="2285" spans="1:2">
      <c r="A2285" s="20"/>
      <c r="B2285" s="22"/>
    </row>
    <row r="2286" spans="1:2">
      <c r="A2286" s="20"/>
      <c r="B2286" s="22"/>
    </row>
    <row r="2287" spans="1:2">
      <c r="A2287" s="20"/>
      <c r="B2287" s="22"/>
    </row>
    <row r="2288" spans="1:2">
      <c r="A2288" s="20"/>
      <c r="B2288" s="22"/>
    </row>
    <row r="2289" spans="1:2">
      <c r="A2289" s="20"/>
      <c r="B2289" s="22"/>
    </row>
    <row r="2290" spans="1:2">
      <c r="A2290" s="20"/>
      <c r="B2290" s="22"/>
    </row>
    <row r="2291" spans="1:2">
      <c r="A2291" s="20"/>
      <c r="B2291" s="22"/>
    </row>
    <row r="2292" spans="1:2">
      <c r="A2292" s="20"/>
      <c r="B2292" s="22"/>
    </row>
    <row r="2293" spans="1:2">
      <c r="A2293" s="20"/>
      <c r="B2293" s="22"/>
    </row>
    <row r="2294" spans="1:2">
      <c r="A2294" s="20"/>
      <c r="B2294" s="22"/>
    </row>
    <row r="2295" spans="1:2">
      <c r="A2295" s="20"/>
      <c r="B2295" s="22"/>
    </row>
    <row r="2296" spans="1:2">
      <c r="A2296" s="20"/>
      <c r="B2296" s="22"/>
    </row>
    <row r="2297" spans="1:2">
      <c r="A2297" s="20"/>
      <c r="B2297" s="22"/>
    </row>
    <row r="2298" spans="1:2">
      <c r="A2298" s="20"/>
      <c r="B2298" s="22"/>
    </row>
    <row r="2299" spans="1:2">
      <c r="A2299" s="20"/>
      <c r="B2299" s="22"/>
    </row>
    <row r="2300" spans="1:2">
      <c r="A2300" s="20"/>
      <c r="B2300" s="22"/>
    </row>
    <row r="2301" spans="1:2">
      <c r="A2301" s="20"/>
      <c r="B2301" s="22"/>
    </row>
    <row r="2302" spans="1:2">
      <c r="A2302" s="20"/>
      <c r="B2302" s="22"/>
    </row>
    <row r="2303" spans="1:2">
      <c r="A2303" s="20"/>
      <c r="B2303" s="22"/>
    </row>
    <row r="2304" spans="1:2">
      <c r="A2304" s="20"/>
      <c r="B2304" s="22"/>
    </row>
    <row r="2305" spans="1:2">
      <c r="A2305" s="20"/>
      <c r="B2305" s="22"/>
    </row>
    <row r="2306" spans="1:2">
      <c r="A2306" s="20"/>
      <c r="B2306" s="22"/>
    </row>
    <row r="2307" spans="1:2">
      <c r="A2307" s="20"/>
      <c r="B2307" s="22"/>
    </row>
    <row r="2308" spans="1:2">
      <c r="A2308" s="20"/>
      <c r="B2308" s="22"/>
    </row>
    <row r="2309" spans="1:2">
      <c r="A2309" s="20"/>
      <c r="B2309" s="22"/>
    </row>
    <row r="2310" spans="1:2">
      <c r="A2310" s="20"/>
      <c r="B2310" s="22"/>
    </row>
    <row r="2311" spans="1:2">
      <c r="A2311" s="20"/>
      <c r="B2311" s="22"/>
    </row>
    <row r="2312" spans="1:2">
      <c r="A2312" s="20"/>
      <c r="B2312" s="22"/>
    </row>
    <row r="2313" spans="1:2">
      <c r="A2313" s="20"/>
      <c r="B2313" s="22"/>
    </row>
    <row r="2314" spans="1:2">
      <c r="A2314" s="20"/>
      <c r="B2314" s="22"/>
    </row>
    <row r="2315" spans="1:2">
      <c r="A2315" s="20"/>
      <c r="B2315" s="22"/>
    </row>
    <row r="2316" spans="1:2">
      <c r="A2316" s="20"/>
      <c r="B2316" s="22"/>
    </row>
    <row r="2317" spans="1:2">
      <c r="A2317" s="20"/>
      <c r="B2317" s="22"/>
    </row>
    <row r="2318" spans="1:2">
      <c r="A2318" s="20"/>
      <c r="B2318" s="22"/>
    </row>
    <row r="2319" spans="1:2">
      <c r="A2319" s="20"/>
      <c r="B2319" s="22"/>
    </row>
    <row r="2320" spans="1:2">
      <c r="A2320" s="20"/>
      <c r="B2320" s="22"/>
    </row>
    <row r="2321" spans="1:2">
      <c r="A2321" s="20"/>
      <c r="B2321" s="22"/>
    </row>
    <row r="2322" spans="1:2">
      <c r="A2322" s="20"/>
      <c r="B2322" s="22"/>
    </row>
    <row r="2323" spans="1:2">
      <c r="A2323" s="20"/>
      <c r="B2323" s="22"/>
    </row>
    <row r="2324" spans="1:2">
      <c r="A2324" s="20"/>
      <c r="B2324" s="22"/>
    </row>
    <row r="2325" spans="1:2">
      <c r="A2325" s="20"/>
      <c r="B2325" s="22"/>
    </row>
    <row r="2326" spans="1:2">
      <c r="A2326" s="20"/>
      <c r="B2326" s="22"/>
    </row>
    <row r="2327" spans="1:2">
      <c r="A2327" s="20"/>
      <c r="B2327" s="22"/>
    </row>
    <row r="2328" spans="1:2">
      <c r="A2328" s="20"/>
      <c r="B2328" s="22"/>
    </row>
    <row r="2329" spans="1:2">
      <c r="A2329" s="20"/>
      <c r="B2329" s="22"/>
    </row>
    <row r="2330" spans="1:2">
      <c r="A2330" s="20"/>
      <c r="B2330" s="22"/>
    </row>
    <row r="2331" spans="1:2">
      <c r="A2331" s="20"/>
      <c r="B2331" s="22"/>
    </row>
    <row r="2332" spans="1:2">
      <c r="A2332" s="20"/>
      <c r="B2332" s="22"/>
    </row>
    <row r="2333" spans="1:2">
      <c r="A2333" s="20"/>
      <c r="B2333" s="22"/>
    </row>
    <row r="2334" spans="1:2">
      <c r="A2334" s="20"/>
      <c r="B2334" s="22"/>
    </row>
    <row r="2335" spans="1:2">
      <c r="A2335" s="20"/>
      <c r="B2335" s="22"/>
    </row>
    <row r="2336" spans="1:2">
      <c r="A2336" s="20"/>
      <c r="B2336" s="22"/>
    </row>
    <row r="2337" spans="1:2">
      <c r="A2337" s="20"/>
      <c r="B2337" s="22"/>
    </row>
    <row r="2338" spans="1:2">
      <c r="A2338" s="20"/>
      <c r="B2338" s="22"/>
    </row>
    <row r="2339" spans="1:2">
      <c r="A2339" s="20"/>
      <c r="B2339" s="22"/>
    </row>
    <row r="2340" spans="1:2">
      <c r="A2340" s="20"/>
      <c r="B2340" s="22"/>
    </row>
    <row r="2341" spans="1:2">
      <c r="A2341" s="20"/>
      <c r="B2341" s="22"/>
    </row>
    <row r="2342" spans="1:2">
      <c r="A2342" s="20"/>
      <c r="B2342" s="22"/>
    </row>
    <row r="2343" spans="1:2">
      <c r="A2343" s="20"/>
      <c r="B2343" s="22"/>
    </row>
    <row r="2344" spans="1:2">
      <c r="A2344" s="20"/>
      <c r="B2344" s="22"/>
    </row>
    <row r="2345" spans="1:2">
      <c r="A2345" s="20"/>
      <c r="B2345" s="22"/>
    </row>
    <row r="2346" spans="1:2">
      <c r="A2346" s="20"/>
      <c r="B2346" s="22"/>
    </row>
    <row r="2347" spans="1:2">
      <c r="A2347" s="20"/>
      <c r="B2347" s="22"/>
    </row>
    <row r="2348" spans="1:2">
      <c r="A2348" s="20"/>
      <c r="B2348" s="22"/>
    </row>
    <row r="2349" spans="1:2">
      <c r="A2349" s="20"/>
      <c r="B2349" s="22"/>
    </row>
    <row r="2350" spans="1:2">
      <c r="A2350" s="20"/>
      <c r="B2350" s="22"/>
    </row>
    <row r="2351" spans="1:2">
      <c r="A2351" s="20"/>
      <c r="B2351" s="22"/>
    </row>
    <row r="2352" spans="1:2">
      <c r="A2352" s="20"/>
      <c r="B2352" s="22"/>
    </row>
    <row r="2353" spans="1:2">
      <c r="A2353" s="20"/>
      <c r="B2353" s="22"/>
    </row>
    <row r="2354" spans="1:2">
      <c r="A2354" s="20"/>
      <c r="B2354" s="22"/>
    </row>
    <row r="2355" spans="1:2">
      <c r="A2355" s="20"/>
      <c r="B2355" s="22"/>
    </row>
    <row r="2356" spans="1:2">
      <c r="A2356" s="20"/>
      <c r="B2356" s="22"/>
    </row>
    <row r="2357" spans="1:2">
      <c r="A2357" s="20"/>
      <c r="B2357" s="22"/>
    </row>
    <row r="2358" spans="1:2">
      <c r="A2358" s="20"/>
      <c r="B2358" s="22"/>
    </row>
    <row r="2359" spans="1:2">
      <c r="A2359" s="20"/>
      <c r="B2359" s="22"/>
    </row>
    <row r="2360" spans="1:2">
      <c r="A2360" s="20"/>
      <c r="B2360" s="22"/>
    </row>
    <row r="2361" spans="1:2">
      <c r="A2361" s="20"/>
      <c r="B2361" s="22"/>
    </row>
    <row r="2362" spans="1:2">
      <c r="A2362" s="20"/>
      <c r="B2362" s="22"/>
    </row>
    <row r="2363" spans="1:2">
      <c r="A2363" s="20"/>
      <c r="B2363" s="22"/>
    </row>
    <row r="2364" spans="1:2">
      <c r="A2364" s="20"/>
      <c r="B2364" s="22"/>
    </row>
    <row r="2365" spans="1:2">
      <c r="A2365" s="20"/>
      <c r="B2365" s="22"/>
    </row>
    <row r="2366" spans="1:2">
      <c r="A2366" s="20"/>
      <c r="B2366" s="22"/>
    </row>
    <row r="2367" spans="1:2">
      <c r="A2367" s="20"/>
      <c r="B2367" s="22"/>
    </row>
    <row r="2368" spans="1:2">
      <c r="A2368" s="20"/>
      <c r="B2368" s="22"/>
    </row>
    <row r="2369" spans="1:2">
      <c r="A2369" s="20"/>
      <c r="B2369" s="22"/>
    </row>
    <row r="2370" spans="1:2">
      <c r="A2370" s="20"/>
      <c r="B2370" s="22"/>
    </row>
    <row r="2371" spans="1:2">
      <c r="A2371" s="20"/>
      <c r="B2371" s="22"/>
    </row>
    <row r="2372" spans="1:2">
      <c r="A2372" s="20"/>
      <c r="B2372" s="22"/>
    </row>
    <row r="2373" spans="1:2">
      <c r="A2373" s="20"/>
      <c r="B2373" s="22"/>
    </row>
    <row r="2374" spans="1:2">
      <c r="A2374" s="20"/>
      <c r="B2374" s="22"/>
    </row>
    <row r="2375" spans="1:2">
      <c r="A2375" s="20"/>
      <c r="B2375" s="22"/>
    </row>
    <row r="2376" spans="1:2">
      <c r="A2376" s="20"/>
      <c r="B2376" s="22"/>
    </row>
    <row r="2377" spans="1:2">
      <c r="A2377" s="20"/>
      <c r="B2377" s="22"/>
    </row>
    <row r="2378" spans="1:2">
      <c r="A2378" s="20"/>
      <c r="B2378" s="22"/>
    </row>
    <row r="2379" spans="1:2">
      <c r="A2379" s="20"/>
      <c r="B2379" s="22"/>
    </row>
    <row r="2380" spans="1:2">
      <c r="A2380" s="20"/>
      <c r="B2380" s="22"/>
    </row>
    <row r="2381" spans="1:2">
      <c r="A2381" s="20"/>
      <c r="B2381" s="22"/>
    </row>
    <row r="2382" spans="1:2">
      <c r="A2382" s="20"/>
      <c r="B2382" s="22"/>
    </row>
    <row r="2383" spans="1:2">
      <c r="A2383" s="20"/>
      <c r="B2383" s="22"/>
    </row>
    <row r="2384" spans="1:2">
      <c r="A2384" s="20"/>
      <c r="B2384" s="22"/>
    </row>
    <row r="2385" spans="1:2">
      <c r="A2385" s="20"/>
      <c r="B2385" s="22"/>
    </row>
    <row r="2386" spans="1:2">
      <c r="A2386" s="20"/>
      <c r="B2386" s="22"/>
    </row>
    <row r="2387" spans="1:2">
      <c r="A2387" s="20"/>
      <c r="B2387" s="22"/>
    </row>
    <row r="2388" spans="1:2">
      <c r="A2388" s="20"/>
      <c r="B2388" s="22"/>
    </row>
    <row r="2389" spans="1:2">
      <c r="A2389" s="20"/>
      <c r="B2389" s="22"/>
    </row>
    <row r="2390" spans="1:2">
      <c r="A2390" s="20"/>
      <c r="B2390" s="22"/>
    </row>
    <row r="2391" spans="1:2">
      <c r="A2391" s="20"/>
      <c r="B2391" s="22"/>
    </row>
    <row r="2392" spans="1:2">
      <c r="A2392" s="20"/>
      <c r="B2392" s="22"/>
    </row>
    <row r="2393" spans="1:2">
      <c r="A2393" s="20"/>
      <c r="B2393" s="22"/>
    </row>
    <row r="2394" spans="1:2">
      <c r="A2394" s="20"/>
      <c r="B2394" s="22"/>
    </row>
    <row r="2395" spans="1:2">
      <c r="A2395" s="20"/>
      <c r="B2395" s="22"/>
    </row>
    <row r="2396" spans="1:2">
      <c r="A2396" s="20"/>
      <c r="B2396" s="22"/>
    </row>
    <row r="2397" spans="1:2">
      <c r="A2397" s="20"/>
      <c r="B2397" s="22"/>
    </row>
    <row r="2398" spans="1:2">
      <c r="A2398" s="20"/>
      <c r="B2398" s="22"/>
    </row>
    <row r="2399" spans="1:2">
      <c r="A2399" s="20"/>
      <c r="B2399" s="22"/>
    </row>
    <row r="2400" spans="1:2">
      <c r="A2400" s="20"/>
      <c r="B2400" s="22"/>
    </row>
    <row r="2401" spans="1:2">
      <c r="A2401" s="20"/>
      <c r="B2401" s="22"/>
    </row>
    <row r="2402" spans="1:2">
      <c r="A2402" s="20"/>
      <c r="B2402" s="22"/>
    </row>
    <row r="2403" spans="1:2">
      <c r="A2403" s="20"/>
      <c r="B2403" s="22"/>
    </row>
    <row r="2404" spans="1:2">
      <c r="A2404" s="20"/>
      <c r="B2404" s="22"/>
    </row>
    <row r="2405" spans="1:2">
      <c r="A2405" s="20"/>
      <c r="B2405" s="22"/>
    </row>
    <row r="2406" spans="1:2">
      <c r="A2406" s="20"/>
      <c r="B2406" s="22"/>
    </row>
    <row r="2407" spans="1:2">
      <c r="A2407" s="20"/>
      <c r="B2407" s="22"/>
    </row>
    <row r="2408" spans="1:2">
      <c r="A2408" s="20"/>
      <c r="B2408" s="22"/>
    </row>
    <row r="2409" spans="1:2">
      <c r="A2409" s="20"/>
      <c r="B2409" s="22"/>
    </row>
    <row r="2410" spans="1:2">
      <c r="A2410" s="20"/>
      <c r="B2410" s="22"/>
    </row>
    <row r="2411" spans="1:2">
      <c r="A2411" s="20"/>
      <c r="B2411" s="22"/>
    </row>
    <row r="2412" spans="1:2">
      <c r="A2412" s="20"/>
      <c r="B2412" s="22"/>
    </row>
    <row r="2413" spans="1:2">
      <c r="A2413" s="20"/>
      <c r="B2413" s="22"/>
    </row>
    <row r="2414" spans="1:2">
      <c r="A2414" s="20"/>
      <c r="B2414" s="22"/>
    </row>
    <row r="2415" spans="1:2">
      <c r="A2415" s="20"/>
      <c r="B2415" s="22"/>
    </row>
    <row r="2416" spans="1:2">
      <c r="A2416" s="20"/>
      <c r="B2416" s="22"/>
    </row>
    <row r="2417" spans="1:2">
      <c r="A2417" s="20"/>
      <c r="B2417" s="22"/>
    </row>
    <row r="2418" spans="1:2">
      <c r="A2418" s="20"/>
      <c r="B2418" s="22"/>
    </row>
    <row r="2419" spans="1:2">
      <c r="A2419" s="20"/>
      <c r="B2419" s="22"/>
    </row>
    <row r="2420" spans="1:2">
      <c r="A2420" s="20"/>
      <c r="B2420" s="22"/>
    </row>
    <row r="2421" spans="1:2">
      <c r="A2421" s="20"/>
      <c r="B2421" s="22"/>
    </row>
    <row r="2422" spans="1:2">
      <c r="A2422" s="20"/>
      <c r="B2422" s="22"/>
    </row>
    <row r="2423" spans="1:2">
      <c r="A2423" s="20"/>
      <c r="B2423" s="22"/>
    </row>
    <row r="2424" spans="1:2">
      <c r="A2424" s="20"/>
      <c r="B2424" s="22"/>
    </row>
    <row r="2425" spans="1:2">
      <c r="A2425" s="20"/>
      <c r="B2425" s="22"/>
    </row>
    <row r="2426" spans="1:2">
      <c r="A2426" s="20"/>
      <c r="B2426" s="22"/>
    </row>
    <row r="2427" spans="1:2">
      <c r="A2427" s="20"/>
      <c r="B2427" s="22"/>
    </row>
    <row r="2428" spans="1:2">
      <c r="A2428" s="20"/>
      <c r="B2428" s="22"/>
    </row>
    <row r="2429" spans="1:2">
      <c r="A2429" s="20"/>
      <c r="B2429" s="22"/>
    </row>
    <row r="2430" spans="1:2">
      <c r="A2430" s="20"/>
      <c r="B2430" s="22"/>
    </row>
    <row r="2431" spans="1:2">
      <c r="A2431" s="20"/>
      <c r="B2431" s="22"/>
    </row>
    <row r="2432" spans="1:2">
      <c r="A2432" s="20"/>
      <c r="B2432" s="22"/>
    </row>
    <row r="2433" spans="1:2">
      <c r="A2433" s="20"/>
      <c r="B2433" s="22"/>
    </row>
    <row r="2434" spans="1:2">
      <c r="A2434" s="20"/>
      <c r="B2434" s="22"/>
    </row>
    <row r="2435" spans="1:2">
      <c r="A2435" s="20"/>
      <c r="B2435" s="22"/>
    </row>
    <row r="2436" spans="1:2">
      <c r="A2436" s="20"/>
      <c r="B2436" s="22"/>
    </row>
    <row r="2437" spans="1:2">
      <c r="A2437" s="20"/>
      <c r="B2437" s="22"/>
    </row>
    <row r="2438" spans="1:2">
      <c r="A2438" s="20"/>
      <c r="B2438" s="22"/>
    </row>
    <row r="2439" spans="1:2">
      <c r="A2439" s="20"/>
      <c r="B2439" s="22"/>
    </row>
    <row r="2440" spans="1:2">
      <c r="A2440" s="20"/>
      <c r="B2440" s="22"/>
    </row>
    <row r="2441" spans="1:2">
      <c r="A2441" s="20"/>
      <c r="B2441" s="22"/>
    </row>
    <row r="2442" spans="1:2">
      <c r="A2442" s="20"/>
      <c r="B2442" s="22"/>
    </row>
    <row r="2443" spans="1:2">
      <c r="A2443" s="20"/>
      <c r="B2443" s="22"/>
    </row>
    <row r="2444" spans="1:2">
      <c r="A2444" s="20"/>
      <c r="B2444" s="22"/>
    </row>
    <row r="2445" spans="1:2">
      <c r="A2445" s="20"/>
      <c r="B2445" s="22"/>
    </row>
    <row r="2446" spans="1:2">
      <c r="A2446" s="20"/>
      <c r="B2446" s="22"/>
    </row>
    <row r="2447" spans="1:2">
      <c r="A2447" s="20"/>
      <c r="B2447" s="22"/>
    </row>
    <row r="2448" spans="1:2">
      <c r="A2448" s="20"/>
      <c r="B2448" s="22"/>
    </row>
    <row r="2449" spans="1:2">
      <c r="A2449" s="20"/>
      <c r="B2449" s="22"/>
    </row>
    <row r="2450" spans="1:2">
      <c r="A2450" s="20"/>
      <c r="B2450" s="22"/>
    </row>
    <row r="2451" spans="1:2">
      <c r="A2451" s="20"/>
      <c r="B2451" s="22"/>
    </row>
    <row r="2452" spans="1:2">
      <c r="A2452" s="20"/>
      <c r="B2452" s="22"/>
    </row>
    <row r="2453" spans="1:2">
      <c r="A2453" s="20"/>
      <c r="B2453" s="22"/>
    </row>
    <row r="2454" spans="1:2">
      <c r="A2454" s="20"/>
      <c r="B2454" s="22"/>
    </row>
    <row r="2455" spans="1:2">
      <c r="A2455" s="20"/>
      <c r="B2455" s="22"/>
    </row>
    <row r="2456" spans="1:2">
      <c r="A2456" s="20"/>
      <c r="B2456" s="22"/>
    </row>
    <row r="2457" spans="1:2">
      <c r="A2457" s="20"/>
      <c r="B2457" s="22"/>
    </row>
    <row r="2458" spans="1:2">
      <c r="A2458" s="20"/>
      <c r="B2458" s="22"/>
    </row>
    <row r="2459" spans="1:2">
      <c r="A2459" s="20"/>
      <c r="B2459" s="22"/>
    </row>
    <row r="2460" spans="1:2">
      <c r="A2460" s="20"/>
      <c r="B2460" s="22"/>
    </row>
    <row r="2461" spans="1:2">
      <c r="A2461" s="20"/>
      <c r="B2461" s="22"/>
    </row>
    <row r="2462" spans="1:2">
      <c r="A2462" s="20"/>
      <c r="B2462" s="22"/>
    </row>
    <row r="2463" spans="1:2">
      <c r="A2463" s="20"/>
      <c r="B2463" s="22"/>
    </row>
    <row r="2464" spans="1:2">
      <c r="A2464" s="20"/>
      <c r="B2464" s="22"/>
    </row>
    <row r="2465" spans="1:2">
      <c r="A2465" s="20"/>
      <c r="B2465" s="22"/>
    </row>
    <row r="2466" spans="1:2">
      <c r="A2466" s="20"/>
      <c r="B2466" s="22"/>
    </row>
    <row r="2467" spans="1:2">
      <c r="A2467" s="20"/>
      <c r="B2467" s="22"/>
    </row>
    <row r="2468" spans="1:2">
      <c r="A2468" s="20"/>
      <c r="B2468" s="22"/>
    </row>
    <row r="2469" spans="1:2">
      <c r="A2469" s="20"/>
      <c r="B2469" s="22"/>
    </row>
    <row r="2470" spans="1:2">
      <c r="A2470" s="20"/>
      <c r="B2470" s="22"/>
    </row>
    <row r="2471" spans="1:2">
      <c r="A2471" s="20"/>
      <c r="B2471" s="22"/>
    </row>
    <row r="2472" spans="1:2">
      <c r="A2472" s="20"/>
      <c r="B2472" s="22"/>
    </row>
    <row r="2473" spans="1:2">
      <c r="A2473" s="20"/>
      <c r="B2473" s="22"/>
    </row>
    <row r="2474" spans="1:2">
      <c r="A2474" s="20"/>
      <c r="B2474" s="22"/>
    </row>
    <row r="2475" spans="1:2">
      <c r="A2475" s="20"/>
      <c r="B2475" s="22"/>
    </row>
    <row r="2476" spans="1:2">
      <c r="A2476" s="20"/>
      <c r="B2476" s="22"/>
    </row>
    <row r="2477" spans="1:2">
      <c r="A2477" s="20"/>
      <c r="B2477" s="22"/>
    </row>
    <row r="2478" spans="1:2">
      <c r="A2478" s="20"/>
      <c r="B2478" s="22"/>
    </row>
    <row r="2479" spans="1:2">
      <c r="A2479" s="20"/>
      <c r="B2479" s="22"/>
    </row>
    <row r="2480" spans="1:2">
      <c r="A2480" s="20"/>
      <c r="B2480" s="22"/>
    </row>
    <row r="2481" spans="1:2">
      <c r="A2481" s="20"/>
      <c r="B2481" s="22"/>
    </row>
    <row r="2482" spans="1:2">
      <c r="A2482" s="20"/>
      <c r="B2482" s="22"/>
    </row>
    <row r="2483" spans="1:2">
      <c r="A2483" s="20"/>
      <c r="B2483" s="22"/>
    </row>
    <row r="2484" spans="1:2">
      <c r="A2484" s="20"/>
      <c r="B2484" s="22"/>
    </row>
    <row r="2485" spans="1:2">
      <c r="A2485" s="20"/>
      <c r="B2485" s="22"/>
    </row>
    <row r="2486" spans="1:2">
      <c r="A2486" s="20"/>
      <c r="B2486" s="22"/>
    </row>
    <row r="2487" spans="1:2">
      <c r="A2487" s="20"/>
      <c r="B2487" s="22"/>
    </row>
    <row r="2488" spans="1:2">
      <c r="A2488" s="20"/>
      <c r="B2488" s="22"/>
    </row>
    <row r="2489" spans="1:2">
      <c r="A2489" s="20"/>
      <c r="B2489" s="22"/>
    </row>
    <row r="2490" spans="1:2">
      <c r="A2490" s="20"/>
      <c r="B2490" s="22"/>
    </row>
    <row r="2491" spans="1:2">
      <c r="A2491" s="20"/>
      <c r="B2491" s="22"/>
    </row>
    <row r="2492" spans="1:2">
      <c r="A2492" s="20"/>
      <c r="B2492" s="22"/>
    </row>
    <row r="2493" spans="1:2">
      <c r="A2493" s="20"/>
      <c r="B2493" s="22"/>
    </row>
    <row r="2494" spans="1:2">
      <c r="A2494" s="20"/>
      <c r="B2494" s="22"/>
    </row>
    <row r="2495" spans="1:2">
      <c r="A2495" s="20"/>
      <c r="B2495" s="22"/>
    </row>
    <row r="2496" spans="1:2">
      <c r="A2496" s="20"/>
      <c r="B2496" s="22"/>
    </row>
    <row r="2497" spans="1:2">
      <c r="A2497" s="20"/>
      <c r="B2497" s="22"/>
    </row>
    <row r="2498" spans="1:2">
      <c r="A2498" s="20"/>
      <c r="B2498" s="22"/>
    </row>
    <row r="2499" spans="1:2">
      <c r="A2499" s="20"/>
      <c r="B2499" s="22"/>
    </row>
    <row r="2500" spans="1:2">
      <c r="A2500" s="20"/>
      <c r="B2500" s="22"/>
    </row>
    <row r="2501" spans="1:2">
      <c r="A2501" s="20"/>
      <c r="B2501" s="22"/>
    </row>
    <row r="2502" spans="1:2">
      <c r="A2502" s="20"/>
      <c r="B2502" s="22"/>
    </row>
    <row r="2503" spans="1:2">
      <c r="A2503" s="20"/>
      <c r="B2503" s="22"/>
    </row>
    <row r="2504" spans="1:2">
      <c r="A2504" s="20"/>
      <c r="B2504" s="22"/>
    </row>
    <row r="2505" spans="1:2">
      <c r="A2505" s="20"/>
      <c r="B2505" s="22"/>
    </row>
    <row r="2506" spans="1:2">
      <c r="A2506" s="20"/>
      <c r="B2506" s="22"/>
    </row>
    <row r="2507" spans="1:2">
      <c r="A2507" s="20"/>
      <c r="B2507" s="22"/>
    </row>
    <row r="2508" spans="1:2">
      <c r="A2508" s="20"/>
      <c r="B2508" s="22"/>
    </row>
    <row r="2509" spans="1:2">
      <c r="A2509" s="20"/>
      <c r="B2509" s="22"/>
    </row>
    <row r="2510" spans="1:2">
      <c r="A2510" s="20"/>
      <c r="B2510" s="22"/>
    </row>
    <row r="2511" spans="1:2">
      <c r="A2511" s="20"/>
      <c r="B2511" s="22"/>
    </row>
    <row r="2512" spans="1:2">
      <c r="A2512" s="20"/>
      <c r="B2512" s="22"/>
    </row>
    <row r="2513" spans="1:2">
      <c r="A2513" s="20"/>
      <c r="B2513" s="22"/>
    </row>
    <row r="2514" spans="1:2">
      <c r="A2514" s="20"/>
      <c r="B2514" s="22"/>
    </row>
    <row r="2515" spans="1:2">
      <c r="A2515" s="20"/>
      <c r="B2515" s="22"/>
    </row>
    <row r="2516" spans="1:2">
      <c r="A2516" s="20"/>
      <c r="B2516" s="22"/>
    </row>
    <row r="2517" spans="1:2">
      <c r="A2517" s="20"/>
      <c r="B2517" s="22"/>
    </row>
    <row r="2518" spans="1:2">
      <c r="A2518" s="20"/>
      <c r="B2518" s="22"/>
    </row>
    <row r="2519" spans="1:2">
      <c r="A2519" s="20"/>
      <c r="B2519" s="22"/>
    </row>
    <row r="2520" spans="1:2">
      <c r="A2520" s="20"/>
      <c r="B2520" s="22"/>
    </row>
    <row r="2521" spans="1:2">
      <c r="A2521" s="20"/>
      <c r="B2521" s="22"/>
    </row>
    <row r="2522" spans="1:2">
      <c r="A2522" s="20"/>
      <c r="B2522" s="22"/>
    </row>
    <row r="2523" spans="1:2">
      <c r="A2523" s="20"/>
      <c r="B2523" s="22"/>
    </row>
    <row r="2524" spans="1:2">
      <c r="A2524" s="20"/>
      <c r="B2524" s="22"/>
    </row>
    <row r="2525" spans="1:2">
      <c r="A2525" s="20"/>
      <c r="B2525" s="22"/>
    </row>
    <row r="2526" spans="1:2">
      <c r="A2526" s="20"/>
      <c r="B2526" s="22"/>
    </row>
    <row r="2527" spans="1:2">
      <c r="A2527" s="20"/>
      <c r="B2527" s="22"/>
    </row>
    <row r="2528" spans="1:2">
      <c r="A2528" s="20"/>
      <c r="B2528" s="22"/>
    </row>
    <row r="2529" spans="1:2">
      <c r="A2529" s="20"/>
      <c r="B2529" s="22"/>
    </row>
    <row r="2530" spans="1:2">
      <c r="A2530" s="20"/>
      <c r="B2530" s="22"/>
    </row>
    <row r="2531" spans="1:2">
      <c r="A2531" s="20"/>
      <c r="B2531" s="22"/>
    </row>
    <row r="2532" spans="1:2">
      <c r="A2532" s="20"/>
      <c r="B2532" s="22"/>
    </row>
    <row r="2533" spans="1:2">
      <c r="A2533" s="20"/>
      <c r="B2533" s="22"/>
    </row>
    <row r="2534" spans="1:2">
      <c r="A2534" s="20"/>
      <c r="B2534" s="22"/>
    </row>
    <row r="2535" spans="1:2">
      <c r="A2535" s="20"/>
      <c r="B2535" s="22"/>
    </row>
    <row r="2536" spans="1:2">
      <c r="A2536" s="20"/>
      <c r="B2536" s="22"/>
    </row>
    <row r="2537" spans="1:2">
      <c r="A2537" s="20"/>
      <c r="B2537" s="22"/>
    </row>
    <row r="2538" spans="1:2">
      <c r="A2538" s="20"/>
      <c r="B2538" s="22"/>
    </row>
    <row r="2539" spans="1:2">
      <c r="A2539" s="20"/>
      <c r="B2539" s="22"/>
    </row>
    <row r="2540" spans="1:2">
      <c r="A2540" s="20"/>
      <c r="B2540" s="22"/>
    </row>
    <row r="2541" spans="1:2">
      <c r="A2541" s="20"/>
      <c r="B2541" s="22"/>
    </row>
    <row r="2542" spans="1:2">
      <c r="A2542" s="20"/>
      <c r="B2542" s="22"/>
    </row>
    <row r="2543" spans="1:2">
      <c r="A2543" s="20"/>
      <c r="B2543" s="22"/>
    </row>
    <row r="2544" spans="1:2">
      <c r="A2544" s="20"/>
      <c r="B2544" s="22"/>
    </row>
    <row r="2545" spans="1:2">
      <c r="A2545" s="20"/>
      <c r="B2545" s="22"/>
    </row>
    <row r="2546" spans="1:2">
      <c r="A2546" s="20"/>
      <c r="B2546" s="22"/>
    </row>
    <row r="2547" spans="1:2">
      <c r="A2547" s="20"/>
      <c r="B2547" s="22"/>
    </row>
    <row r="2548" spans="1:2">
      <c r="A2548" s="20"/>
      <c r="B2548" s="22"/>
    </row>
    <row r="2549" spans="1:2">
      <c r="A2549" s="20"/>
      <c r="B2549" s="22"/>
    </row>
    <row r="2550" spans="1:2">
      <c r="A2550" s="20"/>
      <c r="B2550" s="22"/>
    </row>
    <row r="2551" spans="1:2">
      <c r="A2551" s="20"/>
      <c r="B2551" s="22"/>
    </row>
    <row r="2552" spans="1:2">
      <c r="A2552" s="20"/>
      <c r="B2552" s="22"/>
    </row>
    <row r="2553" spans="1:2">
      <c r="A2553" s="20"/>
      <c r="B2553" s="22"/>
    </row>
    <row r="2554" spans="1:2">
      <c r="A2554" s="20"/>
      <c r="B2554" s="22"/>
    </row>
    <row r="2555" spans="1:2">
      <c r="A2555" s="20"/>
      <c r="B2555" s="22"/>
    </row>
    <row r="2556" spans="1:2">
      <c r="A2556" s="20"/>
      <c r="B2556" s="22"/>
    </row>
    <row r="2557" spans="1:2">
      <c r="A2557" s="20"/>
      <c r="B2557" s="22"/>
    </row>
    <row r="2558" spans="1:2">
      <c r="A2558" s="20"/>
      <c r="B2558" s="22"/>
    </row>
    <row r="2559" spans="1:2">
      <c r="A2559" s="20"/>
      <c r="B2559" s="22"/>
    </row>
    <row r="2560" spans="1:2">
      <c r="A2560" s="20"/>
      <c r="B2560" s="22"/>
    </row>
    <row r="2561" spans="1:2">
      <c r="A2561" s="20"/>
      <c r="B2561" s="22"/>
    </row>
    <row r="2562" spans="1:2">
      <c r="A2562" s="20"/>
      <c r="B2562" s="22"/>
    </row>
    <row r="2563" spans="1:2">
      <c r="A2563" s="20"/>
      <c r="B2563" s="22"/>
    </row>
    <row r="2564" spans="1:2">
      <c r="A2564" s="20"/>
      <c r="B2564" s="22"/>
    </row>
    <row r="2565" spans="1:2">
      <c r="A2565" s="20"/>
      <c r="B2565" s="22"/>
    </row>
    <row r="2566" spans="1:2">
      <c r="A2566" s="20"/>
      <c r="B2566" s="22"/>
    </row>
    <row r="2567" spans="1:2">
      <c r="A2567" s="20"/>
      <c r="B2567" s="22"/>
    </row>
    <row r="2568" spans="1:2">
      <c r="A2568" s="20"/>
      <c r="B2568" s="22"/>
    </row>
    <row r="2569" spans="1:2">
      <c r="A2569" s="20"/>
      <c r="B2569" s="22"/>
    </row>
    <row r="2570" spans="1:2">
      <c r="A2570" s="20"/>
      <c r="B2570" s="22"/>
    </row>
    <row r="2571" spans="1:2">
      <c r="A2571" s="20"/>
      <c r="B2571" s="22"/>
    </row>
    <row r="2572" spans="1:2">
      <c r="A2572" s="20"/>
      <c r="B2572" s="22"/>
    </row>
    <row r="2573" spans="1:2">
      <c r="A2573" s="20"/>
      <c r="B2573" s="22"/>
    </row>
    <row r="2574" spans="1:2">
      <c r="A2574" s="20"/>
      <c r="B2574" s="22"/>
    </row>
    <row r="2575" spans="1:2">
      <c r="A2575" s="20"/>
      <c r="B2575" s="22"/>
    </row>
    <row r="2576" spans="1:2">
      <c r="A2576" s="20"/>
      <c r="B2576" s="22"/>
    </row>
    <row r="2577" spans="1:2">
      <c r="A2577" s="20"/>
      <c r="B2577" s="22"/>
    </row>
    <row r="2578" spans="1:2">
      <c r="A2578" s="20"/>
      <c r="B2578" s="22"/>
    </row>
    <row r="2579" spans="1:2">
      <c r="A2579" s="20"/>
      <c r="B2579" s="22"/>
    </row>
    <row r="2580" spans="1:2">
      <c r="A2580" s="20"/>
      <c r="B2580" s="22"/>
    </row>
    <row r="2581" spans="1:2">
      <c r="A2581" s="20"/>
      <c r="B2581" s="22"/>
    </row>
    <row r="2582" spans="1:2">
      <c r="A2582" s="20"/>
      <c r="B2582" s="22"/>
    </row>
    <row r="2583" spans="1:2">
      <c r="A2583" s="20"/>
      <c r="B2583" s="22"/>
    </row>
    <row r="2584" spans="1:2">
      <c r="A2584" s="20"/>
      <c r="B2584" s="22"/>
    </row>
    <row r="2585" spans="1:2">
      <c r="A2585" s="20"/>
      <c r="B2585" s="22"/>
    </row>
    <row r="2586" spans="1:2">
      <c r="A2586" s="20"/>
      <c r="B2586" s="22"/>
    </row>
    <row r="2587" spans="1:2">
      <c r="A2587" s="20"/>
      <c r="B2587" s="22"/>
    </row>
    <row r="2588" spans="1:2">
      <c r="A2588" s="20"/>
      <c r="B2588" s="22"/>
    </row>
    <row r="2589" spans="1:2">
      <c r="A2589" s="20"/>
      <c r="B2589" s="22"/>
    </row>
    <row r="2590" spans="1:2">
      <c r="A2590" s="20"/>
      <c r="B2590" s="22"/>
    </row>
    <row r="2591" spans="1:2">
      <c r="A2591" s="20"/>
      <c r="B2591" s="22"/>
    </row>
    <row r="2592" spans="1:2">
      <c r="A2592" s="20"/>
      <c r="B2592" s="22"/>
    </row>
    <row r="2593" spans="1:2">
      <c r="A2593" s="20"/>
      <c r="B2593" s="22"/>
    </row>
    <row r="2594" spans="1:2">
      <c r="A2594" s="20"/>
      <c r="B2594" s="22"/>
    </row>
    <row r="2595" spans="1:2">
      <c r="A2595" s="20"/>
      <c r="B2595" s="22"/>
    </row>
    <row r="2596" spans="1:2">
      <c r="A2596" s="20"/>
      <c r="B2596" s="22"/>
    </row>
    <row r="2597" spans="1:2">
      <c r="A2597" s="20"/>
      <c r="B2597" s="22"/>
    </row>
    <row r="2598" spans="1:2">
      <c r="A2598" s="20"/>
      <c r="B2598" s="22"/>
    </row>
    <row r="2599" spans="1:2">
      <c r="A2599" s="20"/>
      <c r="B2599" s="22"/>
    </row>
    <row r="2600" spans="1:2">
      <c r="A2600" s="20"/>
      <c r="B2600" s="22"/>
    </row>
    <row r="2601" spans="1:2">
      <c r="A2601" s="20"/>
      <c r="B2601" s="22"/>
    </row>
    <row r="2602" spans="1:2">
      <c r="A2602" s="20"/>
      <c r="B2602" s="22"/>
    </row>
    <row r="2603" spans="1:2">
      <c r="A2603" s="20"/>
      <c r="B2603" s="22"/>
    </row>
    <row r="2604" spans="1:2">
      <c r="A2604" s="20"/>
      <c r="B2604" s="22"/>
    </row>
    <row r="2605" spans="1:2">
      <c r="A2605" s="20"/>
      <c r="B2605" s="22"/>
    </row>
    <row r="2606" spans="1:2">
      <c r="A2606" s="20"/>
      <c r="B2606" s="22"/>
    </row>
    <row r="2607" spans="1:2">
      <c r="A2607" s="20"/>
      <c r="B2607" s="22"/>
    </row>
    <row r="2608" spans="1:2">
      <c r="A2608" s="20"/>
      <c r="B2608" s="22"/>
    </row>
    <row r="2609" spans="1:2">
      <c r="A2609" s="20"/>
      <c r="B2609" s="22"/>
    </row>
    <row r="2610" spans="1:2">
      <c r="A2610" s="20"/>
      <c r="B2610" s="22"/>
    </row>
    <row r="2611" spans="1:2">
      <c r="A2611" s="20"/>
      <c r="B2611" s="22"/>
    </row>
    <row r="2612" spans="1:2">
      <c r="A2612" s="20"/>
      <c r="B2612" s="22"/>
    </row>
    <row r="2613" spans="1:2">
      <c r="A2613" s="20"/>
      <c r="B2613" s="22"/>
    </row>
    <row r="2614" spans="1:2">
      <c r="A2614" s="20"/>
      <c r="B2614" s="22"/>
    </row>
    <row r="2615" spans="1:2">
      <c r="A2615" s="20"/>
      <c r="B2615" s="22"/>
    </row>
    <row r="2616" spans="1:2">
      <c r="A2616" s="20"/>
      <c r="B2616" s="22"/>
    </row>
    <row r="2617" spans="1:2">
      <c r="A2617" s="20"/>
      <c r="B2617" s="22"/>
    </row>
    <row r="2618" spans="1:2">
      <c r="A2618" s="20"/>
      <c r="B2618" s="22"/>
    </row>
    <row r="2619" spans="1:2">
      <c r="A2619" s="20"/>
      <c r="B2619" s="22"/>
    </row>
    <row r="2620" spans="1:2">
      <c r="A2620" s="20"/>
      <c r="B2620" s="22"/>
    </row>
    <row r="2621" spans="1:2">
      <c r="A2621" s="20"/>
      <c r="B2621" s="22"/>
    </row>
    <row r="2622" spans="1:2">
      <c r="A2622" s="20"/>
      <c r="B2622" s="22"/>
    </row>
    <row r="2623" spans="1:2">
      <c r="A2623" s="20"/>
      <c r="B2623" s="22"/>
    </row>
    <row r="2624" spans="1:2">
      <c r="A2624" s="20"/>
      <c r="B2624" s="22"/>
    </row>
    <row r="2625" spans="1:2">
      <c r="A2625" s="20"/>
      <c r="B2625" s="22"/>
    </row>
    <row r="2626" spans="1:2">
      <c r="A2626" s="20"/>
      <c r="B2626" s="22"/>
    </row>
    <row r="2627" spans="1:2">
      <c r="A2627" s="20"/>
      <c r="B2627" s="22"/>
    </row>
    <row r="2628" spans="1:2">
      <c r="A2628" s="20"/>
      <c r="B2628" s="22"/>
    </row>
    <row r="2629" spans="1:2">
      <c r="A2629" s="20"/>
      <c r="B2629" s="22"/>
    </row>
    <row r="2630" spans="1:2">
      <c r="A2630" s="20"/>
      <c r="B2630" s="22"/>
    </row>
    <row r="2631" spans="1:2">
      <c r="A2631" s="20"/>
      <c r="B2631" s="22"/>
    </row>
    <row r="2632" spans="1:2">
      <c r="A2632" s="20"/>
      <c r="B2632" s="22"/>
    </row>
    <row r="2633" spans="1:2">
      <c r="A2633" s="20"/>
      <c r="B2633" s="22"/>
    </row>
    <row r="2634" spans="1:2">
      <c r="A2634" s="20"/>
      <c r="B2634" s="22"/>
    </row>
    <row r="2635" spans="1:2">
      <c r="A2635" s="20"/>
      <c r="B2635" s="22"/>
    </row>
    <row r="2636" spans="1:2">
      <c r="A2636" s="20"/>
      <c r="B2636" s="22"/>
    </row>
    <row r="2637" spans="1:2">
      <c r="A2637" s="20"/>
      <c r="B2637" s="22"/>
    </row>
    <row r="2638" spans="1:2">
      <c r="A2638" s="20"/>
      <c r="B2638" s="22"/>
    </row>
    <row r="2639" spans="1:2">
      <c r="A2639" s="20"/>
      <c r="B2639" s="22"/>
    </row>
    <row r="2640" spans="1:2">
      <c r="A2640" s="20"/>
      <c r="B2640" s="22"/>
    </row>
    <row r="2641" spans="1:2">
      <c r="A2641" s="20"/>
      <c r="B2641" s="22"/>
    </row>
    <row r="2642" spans="1:2">
      <c r="A2642" s="20"/>
      <c r="B2642" s="22"/>
    </row>
    <row r="2643" spans="1:2">
      <c r="A2643" s="20"/>
      <c r="B2643" s="22"/>
    </row>
    <row r="2644" spans="1:2">
      <c r="A2644" s="20"/>
      <c r="B2644" s="22"/>
    </row>
    <row r="2645" spans="1:2">
      <c r="A2645" s="20"/>
      <c r="B2645" s="22"/>
    </row>
    <row r="2646" spans="1:2">
      <c r="A2646" s="20"/>
      <c r="B2646" s="22"/>
    </row>
    <row r="2647" spans="1:2">
      <c r="A2647" s="20"/>
      <c r="B2647" s="22"/>
    </row>
    <row r="2648" spans="1:2">
      <c r="A2648" s="20"/>
      <c r="B2648" s="22"/>
    </row>
    <row r="2649" spans="1:2">
      <c r="A2649" s="20"/>
      <c r="B2649" s="22"/>
    </row>
    <row r="2650" spans="1:2">
      <c r="A2650" s="20"/>
      <c r="B2650" s="22"/>
    </row>
    <row r="2651" spans="1:2">
      <c r="A2651" s="20"/>
      <c r="B2651" s="22"/>
    </row>
    <row r="2652" spans="1:2">
      <c r="A2652" s="20"/>
      <c r="B2652" s="22"/>
    </row>
    <row r="2653" spans="1:2">
      <c r="A2653" s="20"/>
      <c r="B2653" s="22"/>
    </row>
    <row r="2654" spans="1:2">
      <c r="A2654" s="20"/>
      <c r="B2654" s="22"/>
    </row>
    <row r="2655" spans="1:2">
      <c r="A2655" s="20"/>
      <c r="B2655" s="22"/>
    </row>
    <row r="2656" spans="1:2">
      <c r="A2656" s="20"/>
      <c r="B2656" s="22"/>
    </row>
    <row r="2657" spans="1:2">
      <c r="A2657" s="20"/>
      <c r="B2657" s="22"/>
    </row>
    <row r="2658" spans="1:2">
      <c r="A2658" s="20"/>
      <c r="B2658" s="22"/>
    </row>
    <row r="2659" spans="1:2">
      <c r="A2659" s="20"/>
      <c r="B2659" s="22"/>
    </row>
    <row r="2660" spans="1:2">
      <c r="A2660" s="20"/>
      <c r="B2660" s="22"/>
    </row>
    <row r="2661" spans="1:2">
      <c r="A2661" s="20"/>
      <c r="B2661" s="22"/>
    </row>
    <row r="2662" spans="1:2">
      <c r="A2662" s="20"/>
      <c r="B2662" s="22"/>
    </row>
    <row r="2663" spans="1:2">
      <c r="A2663" s="20"/>
      <c r="B2663" s="22"/>
    </row>
    <row r="2664" spans="1:2">
      <c r="A2664" s="20"/>
      <c r="B2664" s="22"/>
    </row>
    <row r="2665" spans="1:2">
      <c r="A2665" s="20"/>
      <c r="B2665" s="22"/>
    </row>
    <row r="2666" spans="1:2">
      <c r="A2666" s="20"/>
      <c r="B2666" s="22"/>
    </row>
    <row r="2667" spans="1:2">
      <c r="A2667" s="20"/>
      <c r="B2667" s="22"/>
    </row>
    <row r="2668" spans="1:2">
      <c r="A2668" s="20"/>
      <c r="B2668" s="22"/>
    </row>
    <row r="2669" spans="1:2">
      <c r="A2669" s="20"/>
      <c r="B2669" s="22"/>
    </row>
    <row r="2670" spans="1:2">
      <c r="A2670" s="20"/>
      <c r="B2670" s="22"/>
    </row>
    <row r="2671" spans="1:2">
      <c r="A2671" s="20"/>
      <c r="B2671" s="22"/>
    </row>
    <row r="2672" spans="1:2">
      <c r="A2672" s="20"/>
      <c r="B2672" s="22"/>
    </row>
    <row r="2673" spans="1:2">
      <c r="A2673" s="20"/>
      <c r="B2673" s="22"/>
    </row>
    <row r="2674" spans="1:2">
      <c r="A2674" s="20"/>
      <c r="B2674" s="22"/>
    </row>
    <row r="2675" spans="1:2">
      <c r="A2675" s="20"/>
      <c r="B2675" s="22"/>
    </row>
    <row r="2676" spans="1:2">
      <c r="A2676" s="20"/>
      <c r="B2676" s="22"/>
    </row>
    <row r="2677" spans="1:2">
      <c r="A2677" s="20"/>
      <c r="B2677" s="22"/>
    </row>
    <row r="2678" spans="1:2">
      <c r="A2678" s="20"/>
      <c r="B2678" s="22"/>
    </row>
    <row r="2679" spans="1:2">
      <c r="A2679" s="20"/>
      <c r="B2679" s="22"/>
    </row>
    <row r="2680" spans="1:2">
      <c r="A2680" s="20"/>
      <c r="B2680" s="22"/>
    </row>
    <row r="2681" spans="1:2">
      <c r="A2681" s="20"/>
      <c r="B2681" s="22"/>
    </row>
    <row r="2682" spans="1:2">
      <c r="A2682" s="20"/>
      <c r="B2682" s="22"/>
    </row>
    <row r="2683" spans="1:2">
      <c r="A2683" s="20"/>
      <c r="B2683" s="22"/>
    </row>
    <row r="2684" spans="1:2">
      <c r="A2684" s="20"/>
      <c r="B2684" s="22"/>
    </row>
    <row r="2685" spans="1:2">
      <c r="A2685" s="20"/>
      <c r="B2685" s="22"/>
    </row>
    <row r="2686" spans="1:2">
      <c r="A2686" s="20"/>
      <c r="B2686" s="22"/>
    </row>
    <row r="2687" spans="1:2">
      <c r="A2687" s="20"/>
      <c r="B2687" s="22"/>
    </row>
    <row r="2688" spans="1:2">
      <c r="A2688" s="20"/>
      <c r="B2688" s="22"/>
    </row>
    <row r="2689" spans="1:2">
      <c r="A2689" s="20"/>
      <c r="B2689" s="22"/>
    </row>
    <row r="2690" spans="1:2">
      <c r="A2690" s="20"/>
      <c r="B2690" s="22"/>
    </row>
    <row r="2691" spans="1:2">
      <c r="A2691" s="20"/>
      <c r="B2691" s="22"/>
    </row>
    <row r="2692" spans="1:2">
      <c r="A2692" s="20"/>
      <c r="B2692" s="22"/>
    </row>
    <row r="2693" spans="1:2">
      <c r="A2693" s="20"/>
      <c r="B2693" s="22"/>
    </row>
    <row r="2694" spans="1:2">
      <c r="A2694" s="20"/>
      <c r="B2694" s="22"/>
    </row>
    <row r="2695" spans="1:2">
      <c r="A2695" s="20"/>
      <c r="B2695" s="22"/>
    </row>
    <row r="2696" spans="1:2">
      <c r="A2696" s="20"/>
      <c r="B2696" s="22"/>
    </row>
    <row r="2697" spans="1:2">
      <c r="A2697" s="20"/>
      <c r="B2697" s="22"/>
    </row>
    <row r="2698" spans="1:2">
      <c r="A2698" s="20"/>
      <c r="B2698" s="22"/>
    </row>
    <row r="2699" spans="1:2">
      <c r="A2699" s="20"/>
      <c r="B2699" s="22"/>
    </row>
    <row r="2700" spans="1:2">
      <c r="A2700" s="20"/>
      <c r="B2700" s="22"/>
    </row>
    <row r="2701" spans="1:2">
      <c r="A2701" s="20"/>
      <c r="B2701" s="22"/>
    </row>
    <row r="2702" spans="1:2">
      <c r="A2702" s="20"/>
      <c r="B2702" s="22"/>
    </row>
    <row r="2703" spans="1:2">
      <c r="A2703" s="20"/>
      <c r="B2703" s="22"/>
    </row>
    <row r="2704" spans="1:2">
      <c r="A2704" s="20"/>
      <c r="B2704" s="22"/>
    </row>
    <row r="2705" spans="1:2">
      <c r="A2705" s="20"/>
      <c r="B2705" s="22"/>
    </row>
    <row r="2706" spans="1:2">
      <c r="A2706" s="20"/>
      <c r="B2706" s="22"/>
    </row>
    <row r="2707" spans="1:2">
      <c r="A2707" s="20"/>
      <c r="B2707" s="22"/>
    </row>
    <row r="2708" spans="1:2">
      <c r="A2708" s="20"/>
      <c r="B2708" s="22"/>
    </row>
    <row r="2709" spans="1:2">
      <c r="A2709" s="20"/>
      <c r="B2709" s="22"/>
    </row>
    <row r="2710" spans="1:2">
      <c r="A2710" s="20"/>
      <c r="B2710" s="22"/>
    </row>
    <row r="2711" spans="1:2">
      <c r="A2711" s="20"/>
      <c r="B2711" s="22"/>
    </row>
    <row r="2712" spans="1:2">
      <c r="A2712" s="20"/>
      <c r="B2712" s="22"/>
    </row>
    <row r="2713" spans="1:2">
      <c r="A2713" s="20"/>
      <c r="B2713" s="22"/>
    </row>
    <row r="2714" spans="1:2">
      <c r="A2714" s="20"/>
      <c r="B2714" s="22"/>
    </row>
    <row r="2715" spans="1:2">
      <c r="A2715" s="20"/>
      <c r="B2715" s="22"/>
    </row>
    <row r="2716" spans="1:2">
      <c r="A2716" s="20"/>
      <c r="B2716" s="22"/>
    </row>
    <row r="2717" spans="1:2">
      <c r="A2717" s="20"/>
      <c r="B2717" s="22"/>
    </row>
    <row r="2718" spans="1:2">
      <c r="A2718" s="20"/>
      <c r="B2718" s="22"/>
    </row>
    <row r="2719" spans="1:2">
      <c r="A2719" s="20"/>
      <c r="B2719" s="22"/>
    </row>
    <row r="2720" spans="1:2">
      <c r="A2720" s="20"/>
      <c r="B2720" s="22"/>
    </row>
    <row r="2721" spans="1:2">
      <c r="A2721" s="20"/>
      <c r="B2721" s="22"/>
    </row>
    <row r="2722" spans="1:2">
      <c r="A2722" s="20"/>
      <c r="B2722" s="22"/>
    </row>
    <row r="2723" spans="1:2">
      <c r="A2723" s="20"/>
      <c r="B2723" s="22"/>
    </row>
    <row r="2724" spans="1:2">
      <c r="A2724" s="20"/>
      <c r="B2724" s="22"/>
    </row>
    <row r="2725" spans="1:2">
      <c r="A2725" s="20"/>
      <c r="B2725" s="22"/>
    </row>
    <row r="2726" spans="1:2">
      <c r="A2726" s="20"/>
      <c r="B2726" s="22"/>
    </row>
    <row r="2727" spans="1:2">
      <c r="A2727" s="20"/>
      <c r="B2727" s="22"/>
    </row>
    <row r="2728" spans="1:2">
      <c r="A2728" s="20"/>
      <c r="B2728" s="22"/>
    </row>
    <row r="2729" spans="1:2">
      <c r="A2729" s="20"/>
      <c r="B2729" s="22"/>
    </row>
    <row r="2730" spans="1:2">
      <c r="A2730" s="20"/>
      <c r="B2730" s="22"/>
    </row>
    <row r="2731" spans="1:2">
      <c r="A2731" s="20"/>
      <c r="B2731" s="22"/>
    </row>
    <row r="2732" spans="1:2">
      <c r="A2732" s="20"/>
      <c r="B2732" s="22"/>
    </row>
    <row r="2733" spans="1:2">
      <c r="A2733" s="20"/>
      <c r="B2733" s="22"/>
    </row>
    <row r="2734" spans="1:2">
      <c r="A2734" s="20"/>
      <c r="B2734" s="22"/>
    </row>
    <row r="2735" spans="1:2">
      <c r="A2735" s="20"/>
      <c r="B2735" s="22"/>
    </row>
    <row r="2736" spans="1:2">
      <c r="A2736" s="20"/>
      <c r="B2736" s="22"/>
    </row>
    <row r="2737" spans="1:2">
      <c r="A2737" s="20"/>
      <c r="B2737" s="22"/>
    </row>
    <row r="2738" spans="1:2">
      <c r="A2738" s="20"/>
      <c r="B2738" s="22"/>
    </row>
    <row r="2739" spans="1:2">
      <c r="A2739" s="20"/>
      <c r="B2739" s="22"/>
    </row>
    <row r="2740" spans="1:2">
      <c r="A2740" s="20"/>
      <c r="B2740" s="22"/>
    </row>
    <row r="2741" spans="1:2">
      <c r="A2741" s="20"/>
      <c r="B2741" s="22"/>
    </row>
    <row r="2742" spans="1:2">
      <c r="A2742" s="20"/>
      <c r="B2742" s="22"/>
    </row>
    <row r="2743" spans="1:2">
      <c r="A2743" s="20"/>
      <c r="B2743" s="22"/>
    </row>
    <row r="2744" spans="1:2">
      <c r="A2744" s="20"/>
      <c r="B2744" s="22"/>
    </row>
    <row r="2745" spans="1:2">
      <c r="A2745" s="20"/>
      <c r="B2745" s="22"/>
    </row>
    <row r="2746" spans="1:2">
      <c r="A2746" s="20"/>
      <c r="B2746" s="22"/>
    </row>
    <row r="2747" spans="1:2">
      <c r="A2747" s="20"/>
      <c r="B2747" s="22"/>
    </row>
    <row r="2748" spans="1:2">
      <c r="A2748" s="20"/>
      <c r="B2748" s="22"/>
    </row>
    <row r="2749" spans="1:2">
      <c r="A2749" s="20"/>
      <c r="B2749" s="22"/>
    </row>
    <row r="2750" spans="1:2">
      <c r="A2750" s="20"/>
      <c r="B2750" s="22"/>
    </row>
    <row r="2751" spans="1:2">
      <c r="A2751" s="20"/>
      <c r="B2751" s="22"/>
    </row>
    <row r="2752" spans="1:2">
      <c r="A2752" s="20"/>
      <c r="B2752" s="22"/>
    </row>
    <row r="2753" spans="1:2">
      <c r="A2753" s="20"/>
      <c r="B2753" s="22"/>
    </row>
    <row r="2754" spans="1:2">
      <c r="A2754" s="20"/>
      <c r="B2754" s="22"/>
    </row>
    <row r="2755" spans="1:2">
      <c r="A2755" s="20"/>
      <c r="B2755" s="22"/>
    </row>
    <row r="2756" spans="1:2">
      <c r="A2756" s="20"/>
      <c r="B2756" s="22"/>
    </row>
    <row r="2757" spans="1:2">
      <c r="A2757" s="20"/>
      <c r="B2757" s="22"/>
    </row>
    <row r="2758" spans="1:2">
      <c r="A2758" s="20"/>
      <c r="B2758" s="22"/>
    </row>
    <row r="2759" spans="1:2">
      <c r="A2759" s="20"/>
      <c r="B2759" s="22"/>
    </row>
    <row r="2760" spans="1:2">
      <c r="A2760" s="20"/>
      <c r="B2760" s="22"/>
    </row>
    <row r="2761" spans="1:2">
      <c r="A2761" s="20"/>
      <c r="B2761" s="22"/>
    </row>
    <row r="2762" spans="1:2">
      <c r="A2762" s="20"/>
      <c r="B2762" s="22"/>
    </row>
    <row r="2763" spans="1:2">
      <c r="A2763" s="20"/>
      <c r="B2763" s="22"/>
    </row>
    <row r="2764" spans="1:2">
      <c r="A2764" s="20"/>
      <c r="B2764" s="22"/>
    </row>
    <row r="2765" spans="1:2">
      <c r="A2765" s="20"/>
      <c r="B2765" s="22"/>
    </row>
    <row r="2766" spans="1:2">
      <c r="A2766" s="20"/>
      <c r="B2766" s="22"/>
    </row>
    <row r="2767" spans="1:2">
      <c r="A2767" s="20"/>
      <c r="B2767" s="22"/>
    </row>
    <row r="2768" spans="1:2">
      <c r="A2768" s="20"/>
      <c r="B2768" s="22"/>
    </row>
    <row r="2769" spans="1:2">
      <c r="A2769" s="20"/>
      <c r="B2769" s="22"/>
    </row>
    <row r="2770" spans="1:2">
      <c r="A2770" s="20"/>
      <c r="B2770" s="22"/>
    </row>
    <row r="2771" spans="1:2">
      <c r="A2771" s="20"/>
      <c r="B2771" s="22"/>
    </row>
    <row r="2772" spans="1:2">
      <c r="A2772" s="20"/>
      <c r="B2772" s="22"/>
    </row>
    <row r="2773" spans="1:2">
      <c r="A2773" s="20"/>
      <c r="B2773" s="22"/>
    </row>
    <row r="2774" spans="1:2">
      <c r="A2774" s="20"/>
      <c r="B2774" s="22"/>
    </row>
    <row r="2775" spans="1:2">
      <c r="A2775" s="20"/>
      <c r="B2775" s="22"/>
    </row>
    <row r="2776" spans="1:2">
      <c r="A2776" s="20"/>
      <c r="B2776" s="22"/>
    </row>
    <row r="2777" spans="1:2">
      <c r="A2777" s="20"/>
      <c r="B2777" s="22"/>
    </row>
    <row r="2778" spans="1:2">
      <c r="A2778" s="20"/>
      <c r="B2778" s="22"/>
    </row>
    <row r="2779" spans="1:2">
      <c r="A2779" s="20"/>
      <c r="B2779" s="22"/>
    </row>
    <row r="2780" spans="1:2">
      <c r="A2780" s="20"/>
      <c r="B2780" s="22"/>
    </row>
    <row r="2781" spans="1:2">
      <c r="A2781" s="20"/>
      <c r="B2781" s="22"/>
    </row>
    <row r="2782" spans="1:2">
      <c r="A2782" s="20"/>
      <c r="B2782" s="22"/>
    </row>
    <row r="2783" spans="1:2">
      <c r="A2783" s="20"/>
      <c r="B2783" s="22"/>
    </row>
    <row r="2784" spans="1:2">
      <c r="A2784" s="20"/>
      <c r="B2784" s="22"/>
    </row>
    <row r="2785" spans="1:2">
      <c r="A2785" s="20"/>
      <c r="B2785" s="22"/>
    </row>
    <row r="2786" spans="1:2">
      <c r="A2786" s="20"/>
      <c r="B2786" s="22"/>
    </row>
    <row r="2787" spans="1:2">
      <c r="A2787" s="20"/>
      <c r="B2787" s="22"/>
    </row>
    <row r="2788" spans="1:2">
      <c r="A2788" s="20"/>
      <c r="B2788" s="22"/>
    </row>
    <row r="2789" spans="1:2">
      <c r="A2789" s="20"/>
      <c r="B2789" s="22"/>
    </row>
    <row r="2790" spans="1:2">
      <c r="A2790" s="20"/>
      <c r="B2790" s="22"/>
    </row>
    <row r="2791" spans="1:2">
      <c r="A2791" s="20"/>
      <c r="B2791" s="22"/>
    </row>
    <row r="2792" spans="1:2">
      <c r="A2792" s="20"/>
      <c r="B2792" s="22"/>
    </row>
    <row r="2793" spans="1:2">
      <c r="A2793" s="20"/>
      <c r="B2793" s="22"/>
    </row>
    <row r="2794" spans="1:2">
      <c r="A2794" s="20"/>
      <c r="B2794" s="22"/>
    </row>
    <row r="2795" spans="1:2">
      <c r="A2795" s="20"/>
      <c r="B2795" s="22"/>
    </row>
    <row r="2796" spans="1:2">
      <c r="A2796" s="20"/>
      <c r="B2796" s="22"/>
    </row>
    <row r="2797" spans="1:2">
      <c r="A2797" s="20"/>
      <c r="B2797" s="22"/>
    </row>
    <row r="2798" spans="1:2">
      <c r="A2798" s="20"/>
      <c r="B2798" s="22"/>
    </row>
    <row r="2799" spans="1:2">
      <c r="A2799" s="20"/>
      <c r="B2799" s="22"/>
    </row>
    <row r="2800" spans="1:2">
      <c r="A2800" s="20"/>
      <c r="B2800" s="22"/>
    </row>
    <row r="2801" spans="1:2">
      <c r="A2801" s="20"/>
      <c r="B2801" s="22"/>
    </row>
    <row r="2802" spans="1:2">
      <c r="A2802" s="20"/>
      <c r="B2802" s="22"/>
    </row>
    <row r="2803" spans="1:2">
      <c r="A2803" s="20"/>
      <c r="B2803" s="22"/>
    </row>
    <row r="2804" spans="1:2">
      <c r="A2804" s="20"/>
      <c r="B2804" s="22"/>
    </row>
    <row r="2805" spans="1:2">
      <c r="A2805" s="20"/>
      <c r="B2805" s="22"/>
    </row>
    <row r="2806" spans="1:2">
      <c r="A2806" s="20"/>
      <c r="B2806" s="22"/>
    </row>
    <row r="2807" spans="1:2">
      <c r="A2807" s="20"/>
      <c r="B2807" s="22"/>
    </row>
    <row r="2808" spans="1:2">
      <c r="A2808" s="20"/>
      <c r="B2808" s="22"/>
    </row>
    <row r="2809" spans="1:2">
      <c r="A2809" s="20"/>
      <c r="B2809" s="22"/>
    </row>
    <row r="2810" spans="1:2">
      <c r="A2810" s="20"/>
      <c r="B2810" s="22"/>
    </row>
    <row r="2811" spans="1:2">
      <c r="A2811" s="20"/>
      <c r="B2811" s="22"/>
    </row>
    <row r="2812" spans="1:2">
      <c r="A2812" s="20"/>
      <c r="B2812" s="22"/>
    </row>
    <row r="2813" spans="1:2">
      <c r="A2813" s="20"/>
      <c r="B2813" s="22"/>
    </row>
    <row r="2814" spans="1:2">
      <c r="A2814" s="20"/>
      <c r="B2814" s="22"/>
    </row>
    <row r="2815" spans="1:2">
      <c r="A2815" s="20"/>
      <c r="B2815" s="22"/>
    </row>
    <row r="2816" spans="1:2">
      <c r="A2816" s="20"/>
      <c r="B2816" s="22"/>
    </row>
    <row r="2817" spans="1:2">
      <c r="A2817" s="20"/>
      <c r="B2817" s="22"/>
    </row>
    <row r="2818" spans="1:2">
      <c r="A2818" s="20"/>
      <c r="B2818" s="22"/>
    </row>
    <row r="2819" spans="1:2">
      <c r="A2819" s="20"/>
      <c r="B2819" s="22"/>
    </row>
    <row r="2820" spans="1:2">
      <c r="A2820" s="20"/>
      <c r="B2820" s="22"/>
    </row>
    <row r="2821" spans="1:2">
      <c r="A2821" s="20"/>
      <c r="B2821" s="22"/>
    </row>
    <row r="2822" spans="1:2">
      <c r="A2822" s="20"/>
      <c r="B2822" s="22"/>
    </row>
    <row r="2823" spans="1:2">
      <c r="A2823" s="20"/>
      <c r="B2823" s="22"/>
    </row>
    <row r="2824" spans="1:2">
      <c r="A2824" s="20"/>
      <c r="B2824" s="22"/>
    </row>
    <row r="2825" spans="1:2">
      <c r="A2825" s="20"/>
      <c r="B2825" s="22"/>
    </row>
    <row r="2826" spans="1:2">
      <c r="A2826" s="20"/>
      <c r="B2826" s="22"/>
    </row>
    <row r="2827" spans="1:2">
      <c r="A2827" s="20"/>
      <c r="B2827" s="22"/>
    </row>
    <row r="2828" spans="1:2">
      <c r="A2828" s="20"/>
      <c r="B2828" s="22"/>
    </row>
    <row r="2829" spans="1:2">
      <c r="A2829" s="20"/>
      <c r="B2829" s="22"/>
    </row>
    <row r="2830" spans="1:2">
      <c r="A2830" s="20"/>
      <c r="B2830" s="22"/>
    </row>
    <row r="2831" spans="1:2">
      <c r="A2831" s="20"/>
      <c r="B2831" s="22"/>
    </row>
    <row r="2832" spans="1:2">
      <c r="A2832" s="20"/>
      <c r="B2832" s="22"/>
    </row>
    <row r="2833" spans="1:2">
      <c r="A2833" s="20"/>
      <c r="B2833" s="22"/>
    </row>
    <row r="2834" spans="1:2">
      <c r="A2834" s="20"/>
      <c r="B2834" s="22"/>
    </row>
    <row r="2835" spans="1:2">
      <c r="A2835" s="20"/>
      <c r="B2835" s="22"/>
    </row>
    <row r="2836" spans="1:2">
      <c r="A2836" s="20"/>
      <c r="B2836" s="22"/>
    </row>
    <row r="2837" spans="1:2">
      <c r="A2837" s="20"/>
      <c r="B2837" s="22"/>
    </row>
    <row r="2838" spans="1:2">
      <c r="A2838" s="20"/>
      <c r="B2838" s="22"/>
    </row>
    <row r="2839" spans="1:2">
      <c r="A2839" s="20"/>
      <c r="B2839" s="22"/>
    </row>
    <row r="2840" spans="1:2">
      <c r="A2840" s="20"/>
      <c r="B2840" s="22"/>
    </row>
    <row r="2841" spans="1:2">
      <c r="A2841" s="20"/>
      <c r="B2841" s="22"/>
    </row>
    <row r="2842" spans="1:2">
      <c r="A2842" s="20"/>
      <c r="B2842" s="22"/>
    </row>
    <row r="2843" spans="1:2">
      <c r="A2843" s="20"/>
      <c r="B2843" s="22"/>
    </row>
    <row r="2844" spans="1:2">
      <c r="A2844" s="20"/>
      <c r="B2844" s="22"/>
    </row>
    <row r="2845" spans="1:2">
      <c r="A2845" s="20"/>
      <c r="B2845" s="22"/>
    </row>
    <row r="2846" spans="1:2">
      <c r="A2846" s="20"/>
      <c r="B2846" s="22"/>
    </row>
    <row r="2847" spans="1:2">
      <c r="A2847" s="20"/>
      <c r="B2847" s="22"/>
    </row>
    <row r="2848" spans="1:2">
      <c r="A2848" s="20"/>
      <c r="B2848" s="22"/>
    </row>
    <row r="2849" spans="1:2">
      <c r="A2849" s="20"/>
      <c r="B2849" s="22"/>
    </row>
    <row r="2850" spans="1:2">
      <c r="A2850" s="20"/>
      <c r="B2850" s="22"/>
    </row>
    <row r="2851" spans="1:2">
      <c r="A2851" s="20"/>
      <c r="B2851" s="22"/>
    </row>
    <row r="2852" spans="1:2">
      <c r="A2852" s="20"/>
      <c r="B2852" s="22"/>
    </row>
    <row r="2853" spans="1:2">
      <c r="A2853" s="20"/>
      <c r="B2853" s="22"/>
    </row>
    <row r="2854" spans="1:2">
      <c r="A2854" s="20"/>
      <c r="B2854" s="22"/>
    </row>
    <row r="2855" spans="1:2">
      <c r="A2855" s="20"/>
      <c r="B2855" s="22"/>
    </row>
    <row r="2856" spans="1:2">
      <c r="A2856" s="20"/>
      <c r="B2856" s="22"/>
    </row>
    <row r="2857" spans="1:2">
      <c r="A2857" s="20"/>
      <c r="B2857" s="22"/>
    </row>
    <row r="2858" spans="1:2">
      <c r="A2858" s="20"/>
      <c r="B2858" s="22"/>
    </row>
    <row r="2859" spans="1:2">
      <c r="A2859" s="20"/>
      <c r="B2859" s="22"/>
    </row>
    <row r="2860" spans="1:2">
      <c r="A2860" s="20"/>
      <c r="B2860" s="22"/>
    </row>
    <row r="2861" spans="1:2">
      <c r="A2861" s="20"/>
      <c r="B2861" s="22"/>
    </row>
    <row r="2862" spans="1:2">
      <c r="A2862" s="20"/>
      <c r="B2862" s="22"/>
    </row>
    <row r="2863" spans="1:2">
      <c r="A2863" s="20"/>
      <c r="B2863" s="22"/>
    </row>
    <row r="2864" spans="1:2">
      <c r="A2864" s="20"/>
      <c r="B2864" s="22"/>
    </row>
    <row r="2865" spans="1:2">
      <c r="A2865" s="20"/>
      <c r="B2865" s="22"/>
    </row>
    <row r="2866" spans="1:2">
      <c r="A2866" s="20"/>
      <c r="B2866" s="22"/>
    </row>
    <row r="2867" spans="1:2">
      <c r="A2867" s="20"/>
      <c r="B2867" s="22"/>
    </row>
    <row r="2868" spans="1:2">
      <c r="A2868" s="20"/>
      <c r="B2868" s="22"/>
    </row>
    <row r="2869" spans="1:2">
      <c r="A2869" s="20"/>
      <c r="B2869" s="22"/>
    </row>
    <row r="2870" spans="1:2">
      <c r="A2870" s="20"/>
      <c r="B2870" s="22"/>
    </row>
    <row r="2871" spans="1:2">
      <c r="A2871" s="20"/>
      <c r="B2871" s="22"/>
    </row>
    <row r="2872" spans="1:2">
      <c r="A2872" s="20"/>
      <c r="B2872" s="22"/>
    </row>
    <row r="2873" spans="1:2">
      <c r="A2873" s="20"/>
      <c r="B2873" s="22"/>
    </row>
    <row r="2874" spans="1:2">
      <c r="A2874" s="20"/>
      <c r="B2874" s="22"/>
    </row>
    <row r="2875" spans="1:2">
      <c r="A2875" s="20"/>
      <c r="B2875" s="22"/>
    </row>
    <row r="2876" spans="1:2">
      <c r="A2876" s="20"/>
      <c r="B2876" s="22"/>
    </row>
    <row r="2877" spans="1:2">
      <c r="A2877" s="20"/>
      <c r="B2877" s="22"/>
    </row>
    <row r="2878" spans="1:2">
      <c r="A2878" s="20"/>
      <c r="B2878" s="22"/>
    </row>
    <row r="2879" spans="1:2">
      <c r="A2879" s="20"/>
      <c r="B2879" s="22"/>
    </row>
    <row r="2880" spans="1:2">
      <c r="A2880" s="20"/>
      <c r="B2880" s="22"/>
    </row>
    <row r="2881" spans="1:2">
      <c r="A2881" s="20"/>
      <c r="B2881" s="22"/>
    </row>
    <row r="2882" spans="1:2">
      <c r="A2882" s="20"/>
      <c r="B2882" s="22"/>
    </row>
    <row r="2883" spans="1:2">
      <c r="A2883" s="20"/>
      <c r="B2883" s="22"/>
    </row>
    <row r="2884" spans="1:2">
      <c r="A2884" s="20"/>
      <c r="B2884" s="22"/>
    </row>
    <row r="2885" spans="1:2">
      <c r="A2885" s="20"/>
      <c r="B2885" s="22"/>
    </row>
    <row r="2886" spans="1:2">
      <c r="A2886" s="20"/>
      <c r="B2886" s="22"/>
    </row>
    <row r="2887" spans="1:2">
      <c r="A2887" s="20"/>
      <c r="B2887" s="22"/>
    </row>
    <row r="2888" spans="1:2">
      <c r="A2888" s="20"/>
      <c r="B2888" s="22"/>
    </row>
    <row r="2889" spans="1:2">
      <c r="A2889" s="20"/>
      <c r="B2889" s="22"/>
    </row>
    <row r="2890" spans="1:2">
      <c r="A2890" s="20"/>
      <c r="B2890" s="22"/>
    </row>
    <row r="2891" spans="1:2">
      <c r="A2891" s="20"/>
      <c r="B2891" s="22"/>
    </row>
    <row r="2892" spans="1:2">
      <c r="A2892" s="20"/>
      <c r="B2892" s="22"/>
    </row>
    <row r="2893" spans="1:2">
      <c r="A2893" s="20"/>
      <c r="B2893" s="22"/>
    </row>
    <row r="2894" spans="1:2">
      <c r="A2894" s="20"/>
      <c r="B2894" s="22"/>
    </row>
    <row r="2895" spans="1:2">
      <c r="A2895" s="20"/>
      <c r="B2895" s="22"/>
    </row>
    <row r="2896" spans="1:2">
      <c r="A2896" s="20"/>
      <c r="B2896" s="22"/>
    </row>
    <row r="2897" spans="1:2">
      <c r="A2897" s="20"/>
      <c r="B2897" s="22"/>
    </row>
    <row r="2898" spans="1:2">
      <c r="A2898" s="20"/>
      <c r="B2898" s="22"/>
    </row>
    <row r="2899" spans="1:2">
      <c r="A2899" s="20"/>
      <c r="B2899" s="22"/>
    </row>
    <row r="2900" spans="1:2">
      <c r="A2900" s="20"/>
      <c r="B2900" s="22"/>
    </row>
    <row r="2901" spans="1:2">
      <c r="A2901" s="20"/>
      <c r="B2901" s="22"/>
    </row>
    <row r="2902" spans="1:2">
      <c r="A2902" s="20"/>
      <c r="B2902" s="22"/>
    </row>
    <row r="2903" spans="1:2">
      <c r="A2903" s="20"/>
      <c r="B2903" s="22"/>
    </row>
    <row r="2904" spans="1:2">
      <c r="A2904" s="20"/>
      <c r="B2904" s="22"/>
    </row>
    <row r="2905" spans="1:2">
      <c r="A2905" s="20"/>
      <c r="B2905" s="22"/>
    </row>
    <row r="2906" spans="1:2">
      <c r="A2906" s="20"/>
      <c r="B2906" s="22"/>
    </row>
    <row r="2907" spans="1:2">
      <c r="A2907" s="20"/>
      <c r="B2907" s="22"/>
    </row>
    <row r="2908" spans="1:2">
      <c r="A2908" s="20"/>
      <c r="B2908" s="22"/>
    </row>
    <row r="2909" spans="1:2">
      <c r="A2909" s="20"/>
      <c r="B2909" s="22"/>
    </row>
    <row r="2910" spans="1:2">
      <c r="A2910" s="20"/>
      <c r="B2910" s="22"/>
    </row>
    <row r="2911" spans="1:2">
      <c r="A2911" s="20"/>
      <c r="B2911" s="22"/>
    </row>
    <row r="2912" spans="1:2">
      <c r="A2912" s="20"/>
      <c r="B2912" s="22"/>
    </row>
    <row r="2913" spans="1:2">
      <c r="A2913" s="20"/>
      <c r="B2913" s="22"/>
    </row>
    <row r="2914" spans="1:2">
      <c r="A2914" s="20"/>
      <c r="B2914" s="22"/>
    </row>
    <row r="2915" spans="1:2">
      <c r="A2915" s="20"/>
      <c r="B2915" s="22"/>
    </row>
    <row r="2916" spans="1:2">
      <c r="A2916" s="20"/>
      <c r="B2916" s="22"/>
    </row>
    <row r="2917" spans="1:2">
      <c r="A2917" s="20"/>
      <c r="B2917" s="22"/>
    </row>
    <row r="2918" spans="1:2">
      <c r="A2918" s="20"/>
      <c r="B2918" s="22"/>
    </row>
    <row r="2919" spans="1:2">
      <c r="A2919" s="20"/>
      <c r="B2919" s="22"/>
    </row>
    <row r="2920" spans="1:2">
      <c r="A2920" s="20"/>
      <c r="B2920" s="22"/>
    </row>
    <row r="2921" spans="1:2">
      <c r="A2921" s="20"/>
      <c r="B2921" s="22"/>
    </row>
    <row r="2922" spans="1:2">
      <c r="A2922" s="20"/>
      <c r="B2922" s="22"/>
    </row>
    <row r="2923" spans="1:2">
      <c r="A2923" s="20"/>
      <c r="B2923" s="22"/>
    </row>
    <row r="2924" spans="1:2">
      <c r="A2924" s="20"/>
      <c r="B2924" s="22"/>
    </row>
    <row r="2925" spans="1:2">
      <c r="A2925" s="20"/>
      <c r="B2925" s="22"/>
    </row>
    <row r="2926" spans="1:2">
      <c r="A2926" s="20"/>
      <c r="B2926" s="22"/>
    </row>
    <row r="2927" spans="1:2">
      <c r="A2927" s="20"/>
      <c r="B2927" s="22"/>
    </row>
    <row r="2928" spans="1:2">
      <c r="A2928" s="20"/>
      <c r="B2928" s="22"/>
    </row>
    <row r="2929" spans="1:2">
      <c r="A2929" s="20"/>
      <c r="B2929" s="22"/>
    </row>
    <row r="2930" spans="1:2">
      <c r="A2930" s="20"/>
      <c r="B2930" s="22"/>
    </row>
    <row r="2931" spans="1:2">
      <c r="A2931" s="20"/>
      <c r="B2931" s="22"/>
    </row>
    <row r="2932" spans="1:2">
      <c r="A2932" s="20"/>
      <c r="B2932" s="22"/>
    </row>
    <row r="2933" spans="1:2">
      <c r="A2933" s="20"/>
      <c r="B2933" s="22"/>
    </row>
    <row r="2934" spans="1:2">
      <c r="A2934" s="20"/>
      <c r="B2934" s="22"/>
    </row>
    <row r="2935" spans="1:2">
      <c r="A2935" s="20"/>
      <c r="B2935" s="22"/>
    </row>
    <row r="2936" spans="1:2">
      <c r="A2936" s="20"/>
      <c r="B2936" s="22"/>
    </row>
    <row r="2937" spans="1:2">
      <c r="A2937" s="20"/>
      <c r="B2937" s="22"/>
    </row>
    <row r="2938" spans="1:2">
      <c r="A2938" s="20"/>
      <c r="B2938" s="22"/>
    </row>
    <row r="2939" spans="1:2">
      <c r="A2939" s="20"/>
      <c r="B2939" s="22"/>
    </row>
    <row r="2940" spans="1:2">
      <c r="A2940" s="20"/>
      <c r="B2940" s="22"/>
    </row>
    <row r="2941" spans="1:2">
      <c r="A2941" s="20"/>
      <c r="B2941" s="22"/>
    </row>
    <row r="2942" spans="1:2">
      <c r="A2942" s="20"/>
      <c r="B2942" s="22"/>
    </row>
    <row r="2943" spans="1:2">
      <c r="A2943" s="20"/>
      <c r="B2943" s="22"/>
    </row>
    <row r="2944" spans="1:2">
      <c r="A2944" s="20"/>
      <c r="B2944" s="22"/>
    </row>
    <row r="2945" spans="1:2">
      <c r="A2945" s="20"/>
      <c r="B2945" s="22"/>
    </row>
    <row r="2946" spans="1:2">
      <c r="A2946" s="20"/>
      <c r="B2946" s="22"/>
    </row>
    <row r="2947" spans="1:2">
      <c r="A2947" s="20"/>
      <c r="B2947" s="22"/>
    </row>
    <row r="2948" spans="1:2">
      <c r="A2948" s="20"/>
      <c r="B2948" s="22"/>
    </row>
    <row r="2949" spans="1:2">
      <c r="A2949" s="20"/>
      <c r="B2949" s="22"/>
    </row>
    <row r="2950" spans="1:2">
      <c r="A2950" s="20"/>
      <c r="B2950" s="22"/>
    </row>
    <row r="2951" spans="1:2">
      <c r="A2951" s="20"/>
      <c r="B2951" s="22"/>
    </row>
    <row r="2952" spans="1:2">
      <c r="A2952" s="20"/>
      <c r="B2952" s="22"/>
    </row>
    <row r="2953" spans="1:2">
      <c r="A2953" s="20"/>
      <c r="B2953" s="22"/>
    </row>
    <row r="2954" spans="1:2">
      <c r="A2954" s="20"/>
      <c r="B2954" s="22"/>
    </row>
    <row r="2955" spans="1:2">
      <c r="A2955" s="20"/>
      <c r="B2955" s="22"/>
    </row>
    <row r="2956" spans="1:2">
      <c r="A2956" s="20"/>
      <c r="B2956" s="22"/>
    </row>
    <row r="2957" spans="1:2">
      <c r="A2957" s="20"/>
      <c r="B2957" s="22"/>
    </row>
    <row r="2958" spans="1:2">
      <c r="A2958" s="20"/>
      <c r="B2958" s="22"/>
    </row>
    <row r="2959" spans="1:2">
      <c r="A2959" s="20"/>
      <c r="B2959" s="22"/>
    </row>
    <row r="2960" spans="1:2">
      <c r="A2960" s="20"/>
      <c r="B2960" s="22"/>
    </row>
    <row r="2961" spans="1:2">
      <c r="A2961" s="20"/>
      <c r="B2961" s="22"/>
    </row>
    <row r="2962" spans="1:2">
      <c r="A2962" s="20"/>
      <c r="B2962" s="22"/>
    </row>
    <row r="2963" spans="1:2">
      <c r="A2963" s="20"/>
      <c r="B2963" s="22"/>
    </row>
    <row r="2964" spans="1:2">
      <c r="A2964" s="20"/>
      <c r="B2964" s="22"/>
    </row>
    <row r="2965" spans="1:2">
      <c r="A2965" s="20"/>
      <c r="B2965" s="22"/>
    </row>
    <row r="2966" spans="1:2">
      <c r="A2966" s="20"/>
      <c r="B2966" s="22"/>
    </row>
    <row r="2967" spans="1:2">
      <c r="A2967" s="20"/>
      <c r="B2967" s="22"/>
    </row>
    <row r="2968" spans="1:2">
      <c r="A2968" s="20"/>
      <c r="B2968" s="22"/>
    </row>
    <row r="2969" spans="1:2">
      <c r="A2969" s="20"/>
      <c r="B2969" s="22"/>
    </row>
    <row r="2970" spans="1:2">
      <c r="A2970" s="20"/>
      <c r="B2970" s="22"/>
    </row>
    <row r="2971" spans="1:2">
      <c r="A2971" s="20"/>
      <c r="B2971" s="22"/>
    </row>
    <row r="2972" spans="1:2">
      <c r="A2972" s="20"/>
      <c r="B2972" s="22"/>
    </row>
    <row r="2973" spans="1:2">
      <c r="A2973" s="20"/>
      <c r="B2973" s="22"/>
    </row>
    <row r="2974" spans="1:2">
      <c r="A2974" s="20"/>
      <c r="B2974" s="22"/>
    </row>
    <row r="2975" spans="1:2">
      <c r="A2975" s="20"/>
      <c r="B2975" s="22"/>
    </row>
    <row r="2976" spans="1:2">
      <c r="A2976" s="20"/>
      <c r="B2976" s="22"/>
    </row>
    <row r="2977" spans="1:2">
      <c r="A2977" s="20"/>
      <c r="B2977" s="22"/>
    </row>
    <row r="2978" spans="1:2">
      <c r="A2978" s="20"/>
      <c r="B2978" s="22"/>
    </row>
    <row r="2979" spans="1:2">
      <c r="A2979" s="20"/>
      <c r="B2979" s="22"/>
    </row>
    <row r="2980" spans="1:2">
      <c r="A2980" s="20"/>
      <c r="B2980" s="22"/>
    </row>
    <row r="2981" spans="1:2">
      <c r="A2981" s="20"/>
      <c r="B2981" s="22"/>
    </row>
    <row r="2982" spans="1:2">
      <c r="A2982" s="20"/>
      <c r="B2982" s="22"/>
    </row>
    <row r="2983" spans="1:2">
      <c r="A2983" s="20"/>
      <c r="B2983" s="22"/>
    </row>
    <row r="2984" spans="1:2">
      <c r="A2984" s="20"/>
      <c r="B2984" s="22"/>
    </row>
    <row r="2985" spans="1:2">
      <c r="A2985" s="20"/>
      <c r="B2985" s="22"/>
    </row>
    <row r="2986" spans="1:2">
      <c r="A2986" s="20"/>
      <c r="B2986" s="22"/>
    </row>
    <row r="2987" spans="1:2">
      <c r="A2987" s="20"/>
      <c r="B2987" s="22"/>
    </row>
    <row r="2988" spans="1:2">
      <c r="A2988" s="20"/>
      <c r="B2988" s="22"/>
    </row>
    <row r="2989" spans="1:2">
      <c r="A2989" s="20"/>
      <c r="B2989" s="22"/>
    </row>
    <row r="2990" spans="1:2">
      <c r="A2990" s="20"/>
      <c r="B2990" s="22"/>
    </row>
    <row r="2991" spans="1:2">
      <c r="A2991" s="20"/>
      <c r="B2991" s="22"/>
    </row>
    <row r="2992" spans="1:2">
      <c r="A2992" s="20"/>
      <c r="B2992" s="22"/>
    </row>
    <row r="2993" spans="1:2">
      <c r="A2993" s="20"/>
      <c r="B2993" s="22"/>
    </row>
    <row r="2994" spans="1:2">
      <c r="A2994" s="20"/>
      <c r="B2994" s="22"/>
    </row>
    <row r="2995" spans="1:2">
      <c r="A2995" s="20"/>
      <c r="B2995" s="22"/>
    </row>
    <row r="2996" spans="1:2">
      <c r="A2996" s="20"/>
      <c r="B2996" s="22"/>
    </row>
    <row r="2997" spans="1:2">
      <c r="A2997" s="20"/>
      <c r="B2997" s="22"/>
    </row>
    <row r="2998" spans="1:2">
      <c r="A2998" s="20"/>
      <c r="B2998" s="22"/>
    </row>
    <row r="2999" spans="1:2">
      <c r="A2999" s="20"/>
      <c r="B2999" s="22"/>
    </row>
    <row r="3000" spans="1:2">
      <c r="A3000" s="20"/>
      <c r="B3000" s="22"/>
    </row>
    <row r="3001" spans="1:2">
      <c r="A3001" s="20"/>
      <c r="B3001" s="22"/>
    </row>
    <row r="3002" spans="1:2">
      <c r="A3002" s="20"/>
      <c r="B3002" s="22"/>
    </row>
    <row r="3003" spans="1:2">
      <c r="A3003" s="20"/>
      <c r="B3003" s="22"/>
    </row>
    <row r="3004" spans="1:2">
      <c r="A3004" s="20"/>
      <c r="B3004" s="22"/>
    </row>
    <row r="3005" spans="1:2">
      <c r="A3005" s="20"/>
      <c r="B3005" s="22"/>
    </row>
    <row r="3006" spans="1:2">
      <c r="A3006" s="20"/>
      <c r="B3006" s="22"/>
    </row>
    <row r="3007" spans="1:2">
      <c r="A3007" s="20"/>
      <c r="B3007" s="22"/>
    </row>
    <row r="3008" spans="1:2">
      <c r="A3008" s="20"/>
      <c r="B3008" s="22"/>
    </row>
    <row r="3009" spans="1:2">
      <c r="A3009" s="20"/>
      <c r="B3009" s="22"/>
    </row>
    <row r="3010" spans="1:2">
      <c r="A3010" s="20"/>
      <c r="B3010" s="22"/>
    </row>
    <row r="3011" spans="1:2">
      <c r="A3011" s="20"/>
      <c r="B3011" s="22"/>
    </row>
    <row r="3012" spans="1:2">
      <c r="A3012" s="20"/>
      <c r="B3012" s="22"/>
    </row>
    <row r="3013" spans="1:2">
      <c r="A3013" s="20"/>
      <c r="B3013" s="22"/>
    </row>
    <row r="3014" spans="1:2">
      <c r="A3014" s="20"/>
      <c r="B3014" s="22"/>
    </row>
    <row r="3015" spans="1:2">
      <c r="A3015" s="20"/>
      <c r="B3015" s="22"/>
    </row>
    <row r="3016" spans="1:2">
      <c r="A3016" s="20"/>
      <c r="B3016" s="22"/>
    </row>
    <row r="3017" spans="1:2">
      <c r="A3017" s="20"/>
      <c r="B3017" s="22"/>
    </row>
    <row r="3018" spans="1:2">
      <c r="A3018" s="20"/>
      <c r="B3018" s="22"/>
    </row>
    <row r="3019" spans="1:2">
      <c r="A3019" s="20"/>
      <c r="B3019" s="22"/>
    </row>
    <row r="3020" spans="1:2">
      <c r="A3020" s="20"/>
      <c r="B3020" s="22"/>
    </row>
    <row r="3021" spans="1:2">
      <c r="A3021" s="20"/>
      <c r="B3021" s="22"/>
    </row>
    <row r="3022" spans="1:2">
      <c r="A3022" s="20"/>
      <c r="B3022" s="22"/>
    </row>
    <row r="3023" spans="1:2">
      <c r="A3023" s="20"/>
      <c r="B3023" s="22"/>
    </row>
    <row r="3024" spans="1:2">
      <c r="A3024" s="20"/>
      <c r="B3024" s="22"/>
    </row>
    <row r="3025" spans="1:2">
      <c r="A3025" s="20"/>
      <c r="B3025" s="22"/>
    </row>
    <row r="3026" spans="1:2">
      <c r="A3026" s="20"/>
      <c r="B3026" s="22"/>
    </row>
    <row r="3027" spans="1:2">
      <c r="A3027" s="20"/>
      <c r="B3027" s="22"/>
    </row>
    <row r="3028" spans="1:2">
      <c r="A3028" s="20"/>
      <c r="B3028" s="22"/>
    </row>
    <row r="3029" spans="1:2">
      <c r="A3029" s="20"/>
      <c r="B3029" s="22"/>
    </row>
    <row r="3030" spans="1:2">
      <c r="A3030" s="20"/>
      <c r="B3030" s="22"/>
    </row>
    <row r="3031" spans="1:2">
      <c r="A3031" s="20"/>
      <c r="B3031" s="22"/>
    </row>
    <row r="3032" spans="1:2">
      <c r="A3032" s="20"/>
      <c r="B3032" s="22"/>
    </row>
    <row r="3033" spans="1:2">
      <c r="A3033" s="20"/>
      <c r="B3033" s="22"/>
    </row>
    <row r="3034" spans="1:2">
      <c r="A3034" s="20"/>
      <c r="B3034" s="22"/>
    </row>
    <row r="3035" spans="1:2">
      <c r="A3035" s="20"/>
      <c r="B3035" s="22"/>
    </row>
    <row r="3036" spans="1:2">
      <c r="A3036" s="20"/>
      <c r="B3036" s="22"/>
    </row>
    <row r="3037" spans="1:2">
      <c r="A3037" s="20"/>
      <c r="B3037" s="22"/>
    </row>
    <row r="3038" spans="1:2">
      <c r="A3038" s="20"/>
      <c r="B3038" s="22"/>
    </row>
    <row r="3039" spans="1:2">
      <c r="A3039" s="20"/>
      <c r="B3039" s="22"/>
    </row>
    <row r="3040" spans="1:2">
      <c r="A3040" s="20"/>
      <c r="B3040" s="22"/>
    </row>
    <row r="3041" spans="1:2">
      <c r="A3041" s="20"/>
      <c r="B3041" s="22"/>
    </row>
    <row r="3042" spans="1:2">
      <c r="A3042" s="20"/>
      <c r="B3042" s="22"/>
    </row>
    <row r="3043" spans="1:2">
      <c r="A3043" s="20"/>
      <c r="B3043" s="22"/>
    </row>
    <row r="3044" spans="1:2">
      <c r="A3044" s="20"/>
      <c r="B3044" s="22"/>
    </row>
    <row r="3045" spans="1:2">
      <c r="A3045" s="20"/>
      <c r="B3045" s="22"/>
    </row>
    <row r="3046" spans="1:2">
      <c r="A3046" s="20"/>
      <c r="B3046" s="22"/>
    </row>
    <row r="3047" spans="1:2">
      <c r="A3047" s="20"/>
      <c r="B3047" s="22"/>
    </row>
    <row r="3048" spans="1:2">
      <c r="A3048" s="20"/>
      <c r="B3048" s="22"/>
    </row>
    <row r="3049" spans="1:2">
      <c r="A3049" s="20"/>
      <c r="B3049" s="22"/>
    </row>
    <row r="3050" spans="1:2">
      <c r="A3050" s="20"/>
      <c r="B3050" s="22"/>
    </row>
    <row r="3051" spans="1:2">
      <c r="A3051" s="20"/>
      <c r="B3051" s="22"/>
    </row>
    <row r="3052" spans="1:2">
      <c r="A3052" s="20"/>
      <c r="B3052" s="22"/>
    </row>
    <row r="3053" spans="1:2">
      <c r="A3053" s="20"/>
      <c r="B3053" s="22"/>
    </row>
    <row r="3054" spans="1:2">
      <c r="A3054" s="20"/>
      <c r="B3054" s="22"/>
    </row>
    <row r="3055" spans="1:2">
      <c r="A3055" s="20"/>
      <c r="B3055" s="22"/>
    </row>
    <row r="3056" spans="1:2">
      <c r="A3056" s="20"/>
      <c r="B3056" s="22"/>
    </row>
    <row r="3057" spans="1:2">
      <c r="A3057" s="20"/>
      <c r="B3057" s="22"/>
    </row>
    <row r="3058" spans="1:2">
      <c r="A3058" s="20"/>
      <c r="B3058" s="22"/>
    </row>
    <row r="3059" spans="1:2">
      <c r="A3059" s="20"/>
      <c r="B3059" s="22"/>
    </row>
    <row r="3060" spans="1:2">
      <c r="A3060" s="20"/>
      <c r="B3060" s="22"/>
    </row>
    <row r="3061" spans="1:2">
      <c r="A3061" s="20"/>
      <c r="B3061" s="22"/>
    </row>
    <row r="3062" spans="1:2">
      <c r="A3062" s="20"/>
      <c r="B3062" s="22"/>
    </row>
    <row r="3063" spans="1:2">
      <c r="A3063" s="20"/>
      <c r="B3063" s="22"/>
    </row>
    <row r="3064" spans="1:2">
      <c r="A3064" s="20"/>
      <c r="B3064" s="22"/>
    </row>
    <row r="3065" spans="1:2">
      <c r="A3065" s="20"/>
      <c r="B3065" s="22"/>
    </row>
    <row r="3066" spans="1:2">
      <c r="A3066" s="20"/>
      <c r="B3066" s="22"/>
    </row>
    <row r="3067" spans="1:2">
      <c r="A3067" s="20"/>
      <c r="B3067" s="22"/>
    </row>
    <row r="3068" spans="1:2">
      <c r="A3068" s="20"/>
      <c r="B3068" s="22"/>
    </row>
    <row r="3069" spans="1:2">
      <c r="A3069" s="20"/>
      <c r="B3069" s="22"/>
    </row>
    <row r="3070" spans="1:2">
      <c r="A3070" s="20"/>
      <c r="B3070" s="22"/>
    </row>
    <row r="3071" spans="1:2">
      <c r="A3071" s="20"/>
      <c r="B3071" s="22"/>
    </row>
    <row r="3072" spans="1:2">
      <c r="A3072" s="20"/>
      <c r="B3072" s="22"/>
    </row>
    <row r="3073" spans="1:2">
      <c r="A3073" s="20"/>
      <c r="B3073" s="22"/>
    </row>
    <row r="3074" spans="1:2">
      <c r="A3074" s="20"/>
      <c r="B3074" s="22"/>
    </row>
    <row r="3075" spans="1:2">
      <c r="A3075" s="20"/>
      <c r="B3075" s="22"/>
    </row>
    <row r="3076" spans="1:2">
      <c r="A3076" s="20"/>
      <c r="B3076" s="22"/>
    </row>
    <row r="3077" spans="1:2">
      <c r="A3077" s="20"/>
      <c r="B3077" s="22"/>
    </row>
    <row r="3078" spans="1:2">
      <c r="A3078" s="20"/>
      <c r="B3078" s="22"/>
    </row>
    <row r="3079" spans="1:2">
      <c r="A3079" s="20"/>
      <c r="B3079" s="22"/>
    </row>
    <row r="3080" spans="1:2">
      <c r="A3080" s="20"/>
      <c r="B3080" s="22"/>
    </row>
    <row r="3081" spans="1:2">
      <c r="A3081" s="20"/>
      <c r="B3081" s="22"/>
    </row>
    <row r="3082" spans="1:2">
      <c r="A3082" s="20"/>
      <c r="B3082" s="22"/>
    </row>
    <row r="3083" spans="1:2">
      <c r="A3083" s="20"/>
      <c r="B3083" s="22"/>
    </row>
    <row r="3084" spans="1:2">
      <c r="A3084" s="20"/>
      <c r="B3084" s="22"/>
    </row>
    <row r="3085" spans="1:2">
      <c r="A3085" s="20"/>
      <c r="B3085" s="22"/>
    </row>
    <row r="3086" spans="1:2">
      <c r="A3086" s="20"/>
      <c r="B3086" s="22"/>
    </row>
    <row r="3087" spans="1:2">
      <c r="A3087" s="20"/>
      <c r="B3087" s="22"/>
    </row>
    <row r="3088" spans="1:2">
      <c r="A3088" s="20"/>
      <c r="B3088" s="22"/>
    </row>
    <row r="3089" spans="1:2">
      <c r="A3089" s="20"/>
      <c r="B3089" s="22"/>
    </row>
    <row r="3090" spans="1:2">
      <c r="A3090" s="20"/>
      <c r="B3090" s="22"/>
    </row>
    <row r="3091" spans="1:2">
      <c r="A3091" s="20"/>
      <c r="B3091" s="22"/>
    </row>
    <row r="3092" spans="1:2">
      <c r="A3092" s="20"/>
      <c r="B3092" s="22"/>
    </row>
    <row r="3093" spans="1:2">
      <c r="A3093" s="20"/>
      <c r="B3093" s="22"/>
    </row>
    <row r="3094" spans="1:2">
      <c r="A3094" s="20"/>
      <c r="B3094" s="22"/>
    </row>
    <row r="3095" spans="1:2">
      <c r="A3095" s="20"/>
      <c r="B3095" s="22"/>
    </row>
    <row r="3096" spans="1:2">
      <c r="A3096" s="20"/>
      <c r="B3096" s="22"/>
    </row>
    <row r="3097" spans="1:2">
      <c r="A3097" s="20"/>
      <c r="B3097" s="22"/>
    </row>
    <row r="3098" spans="1:2">
      <c r="A3098" s="20"/>
      <c r="B3098" s="22"/>
    </row>
    <row r="3099" spans="1:2">
      <c r="A3099" s="20"/>
      <c r="B3099" s="22"/>
    </row>
    <row r="3100" spans="1:2">
      <c r="A3100" s="20"/>
      <c r="B3100" s="22"/>
    </row>
    <row r="3101" spans="1:2">
      <c r="A3101" s="20"/>
      <c r="B3101" s="22"/>
    </row>
    <row r="3102" spans="1:2">
      <c r="A3102" s="20"/>
      <c r="B3102" s="22"/>
    </row>
    <row r="3103" spans="1:2">
      <c r="A3103" s="20"/>
      <c r="B3103" s="22"/>
    </row>
    <row r="3104" spans="1:2">
      <c r="A3104" s="20"/>
      <c r="B3104" s="22"/>
    </row>
    <row r="3105" spans="1:2">
      <c r="A3105" s="20"/>
      <c r="B3105" s="22"/>
    </row>
    <row r="3106" spans="1:2">
      <c r="A3106" s="20"/>
      <c r="B3106" s="22"/>
    </row>
    <row r="3107" spans="1:2">
      <c r="A3107" s="20"/>
      <c r="B3107" s="22"/>
    </row>
    <row r="3108" spans="1:2">
      <c r="A3108" s="20"/>
      <c r="B3108" s="22"/>
    </row>
    <row r="3109" spans="1:2">
      <c r="A3109" s="20"/>
      <c r="B3109" s="22"/>
    </row>
    <row r="3110" spans="1:2">
      <c r="A3110" s="20"/>
      <c r="B3110" s="22"/>
    </row>
    <row r="3111" spans="1:2">
      <c r="A3111" s="20"/>
      <c r="B3111" s="22"/>
    </row>
    <row r="3112" spans="1:2">
      <c r="A3112" s="20"/>
      <c r="B3112" s="22"/>
    </row>
    <row r="3113" spans="1:2">
      <c r="A3113" s="20"/>
      <c r="B3113" s="22"/>
    </row>
    <row r="3114" spans="1:2">
      <c r="A3114" s="20"/>
      <c r="B3114" s="22"/>
    </row>
    <row r="3115" spans="1:2">
      <c r="A3115" s="20"/>
      <c r="B3115" s="22"/>
    </row>
    <row r="3116" spans="1:2">
      <c r="A3116" s="20"/>
      <c r="B3116" s="22"/>
    </row>
    <row r="3117" spans="1:2">
      <c r="A3117" s="20"/>
      <c r="B3117" s="22"/>
    </row>
    <row r="3118" spans="1:2">
      <c r="A3118" s="20"/>
      <c r="B3118" s="22"/>
    </row>
    <row r="3119" spans="1:2">
      <c r="A3119" s="20"/>
      <c r="B3119" s="22"/>
    </row>
    <row r="3120" spans="1:2">
      <c r="A3120" s="20"/>
      <c r="B3120" s="22"/>
    </row>
    <row r="3121" spans="1:2">
      <c r="A3121" s="20"/>
      <c r="B3121" s="22"/>
    </row>
    <row r="3122" spans="1:2">
      <c r="A3122" s="20"/>
      <c r="B3122" s="22"/>
    </row>
    <row r="3123" spans="1:2">
      <c r="A3123" s="20"/>
      <c r="B3123" s="22"/>
    </row>
    <row r="3124" spans="1:2">
      <c r="A3124" s="20"/>
      <c r="B3124" s="22"/>
    </row>
    <row r="3125" spans="1:2">
      <c r="A3125" s="20"/>
      <c r="B3125" s="22"/>
    </row>
    <row r="3126" spans="1:2">
      <c r="A3126" s="20"/>
      <c r="B3126" s="22"/>
    </row>
    <row r="3127" spans="1:2">
      <c r="A3127" s="20"/>
      <c r="B3127" s="22"/>
    </row>
    <row r="3128" spans="1:2">
      <c r="A3128" s="20"/>
      <c r="B3128" s="22"/>
    </row>
    <row r="3129" spans="1:2">
      <c r="A3129" s="20"/>
      <c r="B3129" s="22"/>
    </row>
    <row r="3130" spans="1:2">
      <c r="A3130" s="20"/>
      <c r="B3130" s="22"/>
    </row>
    <row r="3131" spans="1:2">
      <c r="A3131" s="20"/>
      <c r="B3131" s="22"/>
    </row>
    <row r="3132" spans="1:2">
      <c r="A3132" s="20"/>
      <c r="B3132" s="22"/>
    </row>
    <row r="3133" spans="1:2">
      <c r="A3133" s="20"/>
      <c r="B3133" s="22"/>
    </row>
    <row r="3134" spans="1:2">
      <c r="A3134" s="20"/>
      <c r="B3134" s="22"/>
    </row>
    <row r="3135" spans="1:2">
      <c r="A3135" s="20"/>
      <c r="B3135" s="22"/>
    </row>
    <row r="3136" spans="1:2">
      <c r="A3136" s="20"/>
      <c r="B3136" s="22"/>
    </row>
    <row r="3137" spans="1:2">
      <c r="A3137" s="20"/>
      <c r="B3137" s="22"/>
    </row>
    <row r="3138" spans="1:2">
      <c r="A3138" s="20"/>
      <c r="B3138" s="22"/>
    </row>
    <row r="3139" spans="1:2">
      <c r="A3139" s="20"/>
      <c r="B3139" s="22"/>
    </row>
    <row r="3140" spans="1:2">
      <c r="A3140" s="20"/>
      <c r="B3140" s="22"/>
    </row>
    <row r="3141" spans="1:2">
      <c r="A3141" s="20"/>
      <c r="B3141" s="22"/>
    </row>
    <row r="3142" spans="1:2">
      <c r="A3142" s="20"/>
      <c r="B3142" s="22"/>
    </row>
    <row r="3143" spans="1:2">
      <c r="A3143" s="20"/>
      <c r="B3143" s="22"/>
    </row>
    <row r="3144" spans="1:2">
      <c r="A3144" s="20"/>
      <c r="B3144" s="22"/>
    </row>
    <row r="3145" spans="1:2">
      <c r="A3145" s="20"/>
      <c r="B3145" s="22"/>
    </row>
    <row r="3146" spans="1:2">
      <c r="A3146" s="20"/>
      <c r="B3146" s="22"/>
    </row>
    <row r="3147" spans="1:2">
      <c r="A3147" s="20"/>
      <c r="B3147" s="22"/>
    </row>
    <row r="3148" spans="1:2">
      <c r="A3148" s="20"/>
      <c r="B3148" s="22"/>
    </row>
    <row r="3149" spans="1:2">
      <c r="A3149" s="20"/>
      <c r="B3149" s="22"/>
    </row>
    <row r="3150" spans="1:2">
      <c r="A3150" s="20"/>
      <c r="B3150" s="22"/>
    </row>
    <row r="3151" spans="1:2">
      <c r="A3151" s="20"/>
      <c r="B3151" s="22"/>
    </row>
    <row r="3152" spans="1:2">
      <c r="A3152" s="20"/>
      <c r="B3152" s="22"/>
    </row>
    <row r="3153" spans="1:2">
      <c r="A3153" s="20"/>
      <c r="B3153" s="22"/>
    </row>
    <row r="3154" spans="1:2">
      <c r="A3154" s="20"/>
      <c r="B3154" s="22"/>
    </row>
    <row r="3155" spans="1:2">
      <c r="A3155" s="20"/>
      <c r="B3155" s="22"/>
    </row>
    <row r="3156" spans="1:2">
      <c r="A3156" s="20"/>
      <c r="B3156" s="22"/>
    </row>
    <row r="3157" spans="1:2">
      <c r="A3157" s="20"/>
      <c r="B3157" s="22"/>
    </row>
    <row r="3158" spans="1:2">
      <c r="A3158" s="20"/>
      <c r="B3158" s="22"/>
    </row>
    <row r="3159" spans="1:2">
      <c r="A3159" s="20"/>
      <c r="B3159" s="22"/>
    </row>
    <row r="3160" spans="1:2">
      <c r="A3160" s="20"/>
      <c r="B3160" s="22"/>
    </row>
    <row r="3161" spans="1:2">
      <c r="A3161" s="20"/>
      <c r="B3161" s="22"/>
    </row>
    <row r="3162" spans="1:2">
      <c r="A3162" s="20"/>
      <c r="B3162" s="22"/>
    </row>
    <row r="3163" spans="1:2">
      <c r="A3163" s="20"/>
      <c r="B3163" s="22"/>
    </row>
    <row r="3164" spans="1:2">
      <c r="A3164" s="20"/>
      <c r="B3164" s="22"/>
    </row>
    <row r="3165" spans="1:2">
      <c r="A3165" s="20"/>
      <c r="B3165" s="22"/>
    </row>
    <row r="3166" spans="1:2">
      <c r="A3166" s="20"/>
      <c r="B3166" s="22"/>
    </row>
    <row r="3167" spans="1:2">
      <c r="A3167" s="20"/>
      <c r="B3167" s="22"/>
    </row>
    <row r="3168" spans="1:2">
      <c r="A3168" s="20"/>
      <c r="B3168" s="22"/>
    </row>
    <row r="3169" spans="1:2">
      <c r="A3169" s="20"/>
      <c r="B3169" s="22"/>
    </row>
    <row r="3170" spans="1:2">
      <c r="A3170" s="20"/>
      <c r="B3170" s="22"/>
    </row>
    <row r="3171" spans="1:2">
      <c r="A3171" s="20"/>
      <c r="B3171" s="22"/>
    </row>
    <row r="3172" spans="1:2">
      <c r="A3172" s="20"/>
      <c r="B3172" s="22"/>
    </row>
    <row r="3173" spans="1:2">
      <c r="A3173" s="20"/>
      <c r="B3173" s="22"/>
    </row>
    <row r="3174" spans="1:2">
      <c r="A3174" s="20"/>
      <c r="B3174" s="22"/>
    </row>
    <row r="3175" spans="1:2">
      <c r="A3175" s="20"/>
      <c r="B3175" s="22"/>
    </row>
    <row r="3176" spans="1:2">
      <c r="A3176" s="20"/>
      <c r="B3176" s="22"/>
    </row>
    <row r="3177" spans="1:2">
      <c r="A3177" s="20"/>
      <c r="B3177" s="22"/>
    </row>
    <row r="3178" spans="1:2">
      <c r="A3178" s="20"/>
      <c r="B3178" s="22"/>
    </row>
    <row r="3179" spans="1:2">
      <c r="A3179" s="20"/>
      <c r="B3179" s="22"/>
    </row>
    <row r="3180" spans="1:2">
      <c r="A3180" s="20"/>
      <c r="B3180" s="22"/>
    </row>
    <row r="3181" spans="1:2">
      <c r="A3181" s="20"/>
      <c r="B3181" s="22"/>
    </row>
    <row r="3182" spans="1:2">
      <c r="A3182" s="20"/>
      <c r="B3182" s="22"/>
    </row>
    <row r="3183" spans="1:2">
      <c r="A3183" s="20"/>
      <c r="B3183" s="22"/>
    </row>
    <row r="3184" spans="1:2">
      <c r="A3184" s="20"/>
      <c r="B3184" s="22"/>
    </row>
    <row r="3185" spans="1:2">
      <c r="A3185" s="20"/>
      <c r="B3185" s="22"/>
    </row>
    <row r="3186" spans="1:2">
      <c r="A3186" s="20"/>
      <c r="B3186" s="22"/>
    </row>
    <row r="3187" spans="1:2">
      <c r="A3187" s="20"/>
      <c r="B3187" s="22"/>
    </row>
    <row r="3188" spans="1:2">
      <c r="A3188" s="20"/>
      <c r="B3188" s="22"/>
    </row>
    <row r="3189" spans="1:2">
      <c r="A3189" s="20"/>
      <c r="B3189" s="22"/>
    </row>
    <row r="3190" spans="1:2">
      <c r="A3190" s="20"/>
      <c r="B3190" s="22"/>
    </row>
    <row r="3191" spans="1:2">
      <c r="A3191" s="20"/>
      <c r="B3191" s="22"/>
    </row>
    <row r="3192" spans="1:2">
      <c r="A3192" s="20"/>
      <c r="B3192" s="22"/>
    </row>
    <row r="3193" spans="1:2">
      <c r="A3193" s="20"/>
      <c r="B3193" s="22"/>
    </row>
    <row r="3194" spans="1:2">
      <c r="A3194" s="20"/>
      <c r="B3194" s="22"/>
    </row>
    <row r="3195" spans="1:2">
      <c r="A3195" s="20"/>
      <c r="B3195" s="22"/>
    </row>
    <row r="3196" spans="1:2">
      <c r="A3196" s="20"/>
      <c r="B3196" s="22"/>
    </row>
    <row r="3197" spans="1:2">
      <c r="A3197" s="20"/>
      <c r="B3197" s="22"/>
    </row>
    <row r="3198" spans="1:2">
      <c r="A3198" s="20"/>
      <c r="B3198" s="22"/>
    </row>
    <row r="3199" spans="1:2">
      <c r="A3199" s="20"/>
      <c r="B3199" s="22"/>
    </row>
    <row r="3200" spans="1:2">
      <c r="A3200" s="20"/>
      <c r="B3200" s="22"/>
    </row>
    <row r="3201" spans="1:2">
      <c r="A3201" s="20"/>
      <c r="B3201" s="22"/>
    </row>
    <row r="3202" spans="1:2">
      <c r="A3202" s="20"/>
      <c r="B3202" s="22"/>
    </row>
    <row r="3203" spans="1:2">
      <c r="A3203" s="20"/>
      <c r="B3203" s="22"/>
    </row>
    <row r="3204" spans="1:2">
      <c r="A3204" s="20"/>
      <c r="B3204" s="22"/>
    </row>
    <row r="3205" spans="1:2">
      <c r="A3205" s="20"/>
      <c r="B3205" s="22"/>
    </row>
    <row r="3206" spans="1:2">
      <c r="A3206" s="20"/>
      <c r="B3206" s="22"/>
    </row>
    <row r="3207" spans="1:2">
      <c r="A3207" s="20"/>
      <c r="B3207" s="22"/>
    </row>
    <row r="3208" spans="1:2">
      <c r="A3208" s="20"/>
      <c r="B3208" s="22"/>
    </row>
    <row r="3209" spans="1:2">
      <c r="A3209" s="20"/>
      <c r="B3209" s="22"/>
    </row>
    <row r="3210" spans="1:2">
      <c r="A3210" s="20"/>
      <c r="B3210" s="22"/>
    </row>
    <row r="3211" spans="1:2">
      <c r="A3211" s="20"/>
      <c r="B3211" s="22"/>
    </row>
    <row r="3212" spans="1:2">
      <c r="A3212" s="20"/>
      <c r="B3212" s="22"/>
    </row>
    <row r="3213" spans="1:2">
      <c r="A3213" s="20"/>
      <c r="B3213" s="22"/>
    </row>
    <row r="3214" spans="1:2">
      <c r="A3214" s="20"/>
      <c r="B3214" s="22"/>
    </row>
    <row r="3215" spans="1:2">
      <c r="A3215" s="20"/>
      <c r="B3215" s="22"/>
    </row>
    <row r="3216" spans="1:2">
      <c r="A3216" s="20"/>
      <c r="B3216" s="22"/>
    </row>
    <row r="3217" spans="1:2">
      <c r="A3217" s="20"/>
      <c r="B3217" s="22"/>
    </row>
    <row r="3218" spans="1:2">
      <c r="A3218" s="20"/>
      <c r="B3218" s="22"/>
    </row>
    <row r="3219" spans="1:2">
      <c r="A3219" s="20"/>
      <c r="B3219" s="22"/>
    </row>
    <row r="3220" spans="1:2">
      <c r="A3220" s="20"/>
      <c r="B3220" s="22"/>
    </row>
    <row r="3221" spans="1:2">
      <c r="A3221" s="20"/>
      <c r="B3221" s="22"/>
    </row>
    <row r="3222" spans="1:2">
      <c r="A3222" s="20"/>
      <c r="B3222" s="22"/>
    </row>
    <row r="3223" spans="1:2">
      <c r="A3223" s="20"/>
      <c r="B3223" s="22"/>
    </row>
    <row r="3224" spans="1:2">
      <c r="A3224" s="20"/>
      <c r="B3224" s="22"/>
    </row>
    <row r="3225" spans="1:2">
      <c r="A3225" s="20"/>
      <c r="B3225" s="22"/>
    </row>
    <row r="3226" spans="1:2">
      <c r="A3226" s="20"/>
      <c r="B3226" s="22"/>
    </row>
    <row r="3227" spans="1:2">
      <c r="A3227" s="20"/>
      <c r="B3227" s="22"/>
    </row>
    <row r="3228" spans="1:2">
      <c r="A3228" s="20"/>
      <c r="B3228" s="22"/>
    </row>
    <row r="3229" spans="1:2">
      <c r="A3229" s="20"/>
      <c r="B3229" s="22"/>
    </row>
    <row r="3230" spans="1:2">
      <c r="A3230" s="20"/>
      <c r="B3230" s="22"/>
    </row>
    <row r="3231" spans="1:2">
      <c r="A3231" s="20"/>
      <c r="B3231" s="22"/>
    </row>
    <row r="3232" spans="1:2">
      <c r="A3232" s="20"/>
      <c r="B3232" s="22"/>
    </row>
    <row r="3233" spans="1:2">
      <c r="A3233" s="20"/>
      <c r="B3233" s="22"/>
    </row>
    <row r="3234" spans="1:2">
      <c r="A3234" s="20"/>
      <c r="B3234" s="22"/>
    </row>
    <row r="3235" spans="1:2">
      <c r="A3235" s="20"/>
      <c r="B3235" s="22"/>
    </row>
    <row r="3236" spans="1:2">
      <c r="A3236" s="20"/>
      <c r="B3236" s="22"/>
    </row>
    <row r="3237" spans="1:2">
      <c r="A3237" s="20"/>
      <c r="B3237" s="22"/>
    </row>
    <row r="3238" spans="1:2">
      <c r="A3238" s="20"/>
      <c r="B3238" s="22"/>
    </row>
    <row r="3239" spans="1:2">
      <c r="A3239" s="20"/>
      <c r="B3239" s="22"/>
    </row>
    <row r="3240" spans="1:2">
      <c r="A3240" s="20"/>
      <c r="B3240" s="22"/>
    </row>
    <row r="3241" spans="1:2">
      <c r="A3241" s="20"/>
      <c r="B3241" s="22"/>
    </row>
    <row r="3242" spans="1:2">
      <c r="A3242" s="20"/>
      <c r="B3242" s="22"/>
    </row>
    <row r="3243" spans="1:2">
      <c r="A3243" s="20"/>
      <c r="B3243" s="22"/>
    </row>
    <row r="3244" spans="1:2">
      <c r="A3244" s="20"/>
      <c r="B3244" s="22"/>
    </row>
    <row r="3245" spans="1:2">
      <c r="A3245" s="20"/>
      <c r="B3245" s="22"/>
    </row>
    <row r="3246" spans="1:2">
      <c r="A3246" s="20"/>
      <c r="B3246" s="22"/>
    </row>
    <row r="3247" spans="1:2">
      <c r="A3247" s="20"/>
      <c r="B3247" s="22"/>
    </row>
    <row r="3248" spans="1:2">
      <c r="A3248" s="20"/>
      <c r="B3248" s="22"/>
    </row>
    <row r="3249" spans="1:2">
      <c r="A3249" s="20"/>
      <c r="B3249" s="22"/>
    </row>
    <row r="3250" spans="1:2">
      <c r="A3250" s="20"/>
      <c r="B3250" s="22"/>
    </row>
    <row r="3251" spans="1:2">
      <c r="A3251" s="20"/>
      <c r="B3251" s="22"/>
    </row>
    <row r="3252" spans="1:2">
      <c r="A3252" s="20"/>
      <c r="B3252" s="22"/>
    </row>
    <row r="3253" spans="1:2">
      <c r="A3253" s="20"/>
      <c r="B3253" s="22"/>
    </row>
    <row r="3254" spans="1:2">
      <c r="A3254" s="20"/>
      <c r="B3254" s="22"/>
    </row>
    <row r="3255" spans="1:2">
      <c r="A3255" s="20"/>
      <c r="B3255" s="22"/>
    </row>
    <row r="3256" spans="1:2">
      <c r="A3256" s="20"/>
      <c r="B3256" s="22"/>
    </row>
    <row r="3257" spans="1:2">
      <c r="A3257" s="20"/>
      <c r="B3257" s="22"/>
    </row>
    <row r="3258" spans="1:2">
      <c r="A3258" s="20"/>
      <c r="B3258" s="22"/>
    </row>
    <row r="3259" spans="1:2">
      <c r="A3259" s="20"/>
      <c r="B3259" s="22"/>
    </row>
    <row r="3260" spans="1:2">
      <c r="A3260" s="20"/>
      <c r="B3260" s="22"/>
    </row>
    <row r="3261" spans="1:2">
      <c r="A3261" s="20"/>
      <c r="B3261" s="22"/>
    </row>
    <row r="3262" spans="1:2">
      <c r="A3262" s="20"/>
      <c r="B3262" s="22"/>
    </row>
    <row r="3263" spans="1:2">
      <c r="A3263" s="20"/>
      <c r="B3263" s="22"/>
    </row>
    <row r="3264" spans="1:2">
      <c r="A3264" s="20"/>
      <c r="B3264" s="22"/>
    </row>
    <row r="3265" spans="1:2">
      <c r="A3265" s="20"/>
      <c r="B3265" s="22"/>
    </row>
    <row r="3266" spans="1:2">
      <c r="A3266" s="20"/>
      <c r="B3266" s="22"/>
    </row>
    <row r="3267" spans="1:2">
      <c r="A3267" s="20"/>
      <c r="B3267" s="22"/>
    </row>
    <row r="3268" spans="1:2">
      <c r="A3268" s="20"/>
      <c r="B3268" s="22"/>
    </row>
    <row r="3269" spans="1:2">
      <c r="A3269" s="20"/>
      <c r="B3269" s="22"/>
    </row>
    <row r="3270" spans="1:2">
      <c r="A3270" s="20"/>
      <c r="B3270" s="22"/>
    </row>
    <row r="3271" spans="1:2">
      <c r="A3271" s="20"/>
      <c r="B3271" s="22"/>
    </row>
    <row r="3272" spans="1:2">
      <c r="A3272" s="20"/>
      <c r="B3272" s="22"/>
    </row>
    <row r="3273" spans="1:2">
      <c r="A3273" s="20"/>
      <c r="B3273" s="22"/>
    </row>
    <row r="3274" spans="1:2">
      <c r="A3274" s="20"/>
      <c r="B3274" s="22"/>
    </row>
    <row r="3275" spans="1:2">
      <c r="A3275" s="20"/>
      <c r="B3275" s="22"/>
    </row>
    <row r="3276" spans="1:2">
      <c r="A3276" s="20"/>
      <c r="B3276" s="22"/>
    </row>
    <row r="3277" spans="1:2">
      <c r="A3277" s="20"/>
      <c r="B3277" s="22"/>
    </row>
    <row r="3278" spans="1:2">
      <c r="A3278" s="20"/>
      <c r="B3278" s="22"/>
    </row>
    <row r="3279" spans="1:2">
      <c r="A3279" s="20"/>
      <c r="B3279" s="22"/>
    </row>
    <row r="3280" spans="1:2">
      <c r="A3280" s="20"/>
      <c r="B3280" s="22"/>
    </row>
    <row r="3281" spans="1:2">
      <c r="A3281" s="20"/>
      <c r="B3281" s="22"/>
    </row>
    <row r="3282" spans="1:2">
      <c r="A3282" s="20"/>
      <c r="B3282" s="22"/>
    </row>
    <row r="3283" spans="1:2">
      <c r="A3283" s="20"/>
      <c r="B3283" s="22"/>
    </row>
    <row r="3284" spans="1:2">
      <c r="A3284" s="20"/>
      <c r="B3284" s="22"/>
    </row>
    <row r="3285" spans="1:2">
      <c r="A3285" s="20"/>
      <c r="B3285" s="22"/>
    </row>
    <row r="3286" spans="1:2">
      <c r="A3286" s="20"/>
      <c r="B3286" s="22"/>
    </row>
    <row r="3287" spans="1:2">
      <c r="A3287" s="20"/>
      <c r="B3287" s="22"/>
    </row>
    <row r="3288" spans="1:2">
      <c r="A3288" s="20"/>
      <c r="B3288" s="22"/>
    </row>
    <row r="3289" spans="1:2">
      <c r="A3289" s="20"/>
      <c r="B3289" s="22"/>
    </row>
    <row r="3290" spans="1:2">
      <c r="A3290" s="20"/>
      <c r="B3290" s="22"/>
    </row>
    <row r="3291" spans="1:2">
      <c r="A3291" s="20"/>
      <c r="B3291" s="22"/>
    </row>
    <row r="3292" spans="1:2">
      <c r="A3292" s="20"/>
      <c r="B3292" s="22"/>
    </row>
    <row r="3293" spans="1:2">
      <c r="A3293" s="20"/>
      <c r="B3293" s="22"/>
    </row>
    <row r="3294" spans="1:2">
      <c r="A3294" s="20"/>
      <c r="B3294" s="22"/>
    </row>
    <row r="3295" spans="1:2">
      <c r="A3295" s="20"/>
      <c r="B3295" s="22"/>
    </row>
    <row r="3296" spans="1:2">
      <c r="A3296" s="20"/>
      <c r="B3296" s="22"/>
    </row>
    <row r="3297" spans="1:2">
      <c r="A3297" s="20"/>
      <c r="B3297" s="22"/>
    </row>
    <row r="3298" spans="1:2">
      <c r="A3298" s="20"/>
      <c r="B3298" s="22"/>
    </row>
    <row r="3299" spans="1:2">
      <c r="A3299" s="20"/>
      <c r="B3299" s="22"/>
    </row>
    <row r="3300" spans="1:2">
      <c r="A3300" s="20"/>
      <c r="B3300" s="22"/>
    </row>
    <row r="3301" spans="1:2">
      <c r="A3301" s="20"/>
      <c r="B3301" s="22"/>
    </row>
    <row r="3302" spans="1:2">
      <c r="A3302" s="20"/>
      <c r="B3302" s="22"/>
    </row>
    <row r="3303" spans="1:2">
      <c r="A3303" s="20"/>
      <c r="B3303" s="22"/>
    </row>
    <row r="3304" spans="1:2">
      <c r="A3304" s="20"/>
      <c r="B3304" s="22"/>
    </row>
    <row r="3305" spans="1:2">
      <c r="A3305" s="20"/>
      <c r="B3305" s="22"/>
    </row>
    <row r="3306" spans="1:2">
      <c r="A3306" s="20"/>
      <c r="B3306" s="22"/>
    </row>
    <row r="3307" spans="1:2">
      <c r="A3307" s="20"/>
      <c r="B3307" s="22"/>
    </row>
    <row r="3308" spans="1:2">
      <c r="A3308" s="20"/>
      <c r="B3308" s="22"/>
    </row>
    <row r="3309" spans="1:2">
      <c r="A3309" s="20"/>
      <c r="B3309" s="22"/>
    </row>
    <row r="3310" spans="1:2">
      <c r="A3310" s="20"/>
      <c r="B3310" s="22"/>
    </row>
    <row r="3311" spans="1:2">
      <c r="A3311" s="20"/>
      <c r="B3311" s="22"/>
    </row>
    <row r="3312" spans="1:2">
      <c r="A3312" s="20"/>
      <c r="B3312" s="22"/>
    </row>
    <row r="3313" spans="1:2">
      <c r="A3313" s="20"/>
      <c r="B3313" s="22"/>
    </row>
    <row r="3314" spans="1:2">
      <c r="A3314" s="20"/>
      <c r="B3314" s="22"/>
    </row>
    <row r="3315" spans="1:2">
      <c r="A3315" s="20"/>
      <c r="B3315" s="22"/>
    </row>
    <row r="3316" spans="1:2">
      <c r="A3316" s="20"/>
      <c r="B3316" s="22"/>
    </row>
    <row r="3317" spans="1:2">
      <c r="A3317" s="20"/>
      <c r="B3317" s="22"/>
    </row>
    <row r="3318" spans="1:2">
      <c r="A3318" s="20"/>
      <c r="B3318" s="22"/>
    </row>
    <row r="3319" spans="1:2">
      <c r="A3319" s="20"/>
      <c r="B3319" s="22"/>
    </row>
    <row r="3320" spans="1:2">
      <c r="A3320" s="20"/>
      <c r="B3320" s="22"/>
    </row>
    <row r="3321" spans="1:2">
      <c r="A3321" s="20"/>
      <c r="B3321" s="22"/>
    </row>
    <row r="3322" spans="1:2">
      <c r="A3322" s="20"/>
      <c r="B3322" s="22"/>
    </row>
    <row r="3323" spans="1:2">
      <c r="A3323" s="20"/>
      <c r="B3323" s="22"/>
    </row>
    <row r="3324" spans="1:2">
      <c r="A3324" s="20"/>
      <c r="B3324" s="22"/>
    </row>
    <row r="3325" spans="1:2">
      <c r="A3325" s="20"/>
      <c r="B3325" s="22"/>
    </row>
    <row r="3326" spans="1:2">
      <c r="A3326" s="20"/>
      <c r="B3326" s="22"/>
    </row>
    <row r="3327" spans="1:2">
      <c r="A3327" s="20"/>
      <c r="B3327" s="22"/>
    </row>
    <row r="3328" spans="1:2">
      <c r="A3328" s="20"/>
      <c r="B3328" s="22"/>
    </row>
    <row r="3329" spans="1:2">
      <c r="A3329" s="20"/>
      <c r="B3329" s="22"/>
    </row>
    <row r="3330" spans="1:2">
      <c r="A3330" s="20"/>
      <c r="B3330" s="22"/>
    </row>
    <row r="3331" spans="1:2">
      <c r="A3331" s="20"/>
      <c r="B3331" s="22"/>
    </row>
    <row r="3332" spans="1:2">
      <c r="A3332" s="20"/>
      <c r="B3332" s="22"/>
    </row>
    <row r="3333" spans="1:2">
      <c r="A3333" s="20"/>
      <c r="B3333" s="22"/>
    </row>
    <row r="3334" spans="1:2">
      <c r="A3334" s="20"/>
      <c r="B3334" s="22"/>
    </row>
    <row r="3335" spans="1:2">
      <c r="A3335" s="20"/>
      <c r="B3335" s="22"/>
    </row>
    <row r="3336" spans="1:2">
      <c r="A3336" s="20"/>
      <c r="B3336" s="22"/>
    </row>
    <row r="3337" spans="1:2">
      <c r="A3337" s="20"/>
      <c r="B3337" s="22"/>
    </row>
    <row r="3338" spans="1:2">
      <c r="A3338" s="20"/>
      <c r="B3338" s="22"/>
    </row>
    <row r="3339" spans="1:2">
      <c r="A3339" s="20"/>
      <c r="B3339" s="22"/>
    </row>
    <row r="3340" spans="1:2">
      <c r="A3340" s="20"/>
      <c r="B3340" s="22"/>
    </row>
    <row r="3341" spans="1:2">
      <c r="A3341" s="20"/>
      <c r="B3341" s="22"/>
    </row>
    <row r="3342" spans="1:2">
      <c r="A3342" s="20"/>
      <c r="B3342" s="22"/>
    </row>
    <row r="3343" spans="1:2">
      <c r="A3343" s="20"/>
      <c r="B3343" s="22"/>
    </row>
    <row r="3344" spans="1:2">
      <c r="A3344" s="20"/>
      <c r="B3344" s="22"/>
    </row>
    <row r="3345" spans="1:2">
      <c r="A3345" s="20"/>
      <c r="B3345" s="22"/>
    </row>
    <row r="3346" spans="1:2">
      <c r="A3346" s="20"/>
      <c r="B3346" s="22"/>
    </row>
    <row r="3347" spans="1:2">
      <c r="A3347" s="20"/>
      <c r="B3347" s="22"/>
    </row>
    <row r="3348" spans="1:2">
      <c r="A3348" s="20"/>
      <c r="B3348" s="22"/>
    </row>
    <row r="3349" spans="1:2">
      <c r="A3349" s="20"/>
      <c r="B3349" s="22"/>
    </row>
    <row r="3350" spans="1:2">
      <c r="A3350" s="20"/>
      <c r="B3350" s="22"/>
    </row>
    <row r="3351" spans="1:2">
      <c r="A3351" s="20"/>
      <c r="B3351" s="22"/>
    </row>
    <row r="3352" spans="1:2">
      <c r="A3352" s="20"/>
      <c r="B3352" s="22"/>
    </row>
    <row r="3353" spans="1:2">
      <c r="A3353" s="20"/>
      <c r="B3353" s="22"/>
    </row>
    <row r="3354" spans="1:2">
      <c r="A3354" s="20"/>
      <c r="B3354" s="22"/>
    </row>
    <row r="3355" spans="1:2">
      <c r="A3355" s="20"/>
      <c r="B3355" s="22"/>
    </row>
    <row r="3356" spans="1:2">
      <c r="A3356" s="20"/>
      <c r="B3356" s="22"/>
    </row>
    <row r="3357" spans="1:2">
      <c r="A3357" s="20"/>
      <c r="B3357" s="22"/>
    </row>
    <row r="3358" spans="1:2">
      <c r="A3358" s="20"/>
      <c r="B3358" s="22"/>
    </row>
    <row r="3359" spans="1:2">
      <c r="A3359" s="20"/>
      <c r="B3359" s="22"/>
    </row>
    <row r="3360" spans="1:2">
      <c r="A3360" s="20"/>
      <c r="B3360" s="22"/>
    </row>
    <row r="3361" spans="1:2">
      <c r="A3361" s="20"/>
      <c r="B3361" s="22"/>
    </row>
    <row r="3362" spans="1:2">
      <c r="A3362" s="20"/>
      <c r="B3362" s="22"/>
    </row>
    <row r="3363" spans="1:2">
      <c r="A3363" s="20"/>
      <c r="B3363" s="22"/>
    </row>
    <row r="3364" spans="1:2">
      <c r="A3364" s="20"/>
      <c r="B3364" s="22"/>
    </row>
    <row r="3365" spans="1:2">
      <c r="A3365" s="20"/>
      <c r="B3365" s="22"/>
    </row>
    <row r="3366" spans="1:2">
      <c r="A3366" s="20"/>
      <c r="B3366" s="22"/>
    </row>
    <row r="3367" spans="1:2">
      <c r="A3367" s="20"/>
      <c r="B3367" s="22"/>
    </row>
    <row r="3368" spans="1:2">
      <c r="A3368" s="20"/>
      <c r="B3368" s="22"/>
    </row>
    <row r="3369" spans="1:2">
      <c r="A3369" s="20"/>
      <c r="B3369" s="22"/>
    </row>
    <row r="3370" spans="1:2">
      <c r="A3370" s="20"/>
      <c r="B3370" s="22"/>
    </row>
    <row r="3371" spans="1:2">
      <c r="A3371" s="20"/>
      <c r="B3371" s="22"/>
    </row>
    <row r="3372" spans="1:2">
      <c r="A3372" s="20"/>
      <c r="B3372" s="22"/>
    </row>
    <row r="3373" spans="1:2">
      <c r="A3373" s="20"/>
      <c r="B3373" s="22"/>
    </row>
    <row r="3374" spans="1:2">
      <c r="A3374" s="20"/>
      <c r="B3374" s="22"/>
    </row>
    <row r="3375" spans="1:2">
      <c r="A3375" s="20"/>
      <c r="B3375" s="22"/>
    </row>
    <row r="3376" spans="1:2">
      <c r="A3376" s="20"/>
      <c r="B3376" s="22"/>
    </row>
    <row r="3377" spans="1:2">
      <c r="A3377" s="20"/>
      <c r="B3377" s="22"/>
    </row>
    <row r="3378" spans="1:2">
      <c r="A3378" s="20"/>
      <c r="B3378" s="22"/>
    </row>
    <row r="3379" spans="1:2">
      <c r="A3379" s="20"/>
      <c r="B3379" s="22"/>
    </row>
    <row r="3380" spans="1:2">
      <c r="A3380" s="20"/>
      <c r="B3380" s="22"/>
    </row>
    <row r="3381" spans="1:2">
      <c r="A3381" s="20"/>
      <c r="B3381" s="22"/>
    </row>
    <row r="3382" spans="1:2">
      <c r="A3382" s="20"/>
      <c r="B3382" s="22"/>
    </row>
    <row r="3383" spans="1:2">
      <c r="A3383" s="20"/>
      <c r="B3383" s="22"/>
    </row>
    <row r="3384" spans="1:2">
      <c r="A3384" s="20"/>
      <c r="B3384" s="22"/>
    </row>
    <row r="3385" spans="1:2">
      <c r="A3385" s="20"/>
      <c r="B3385" s="22"/>
    </row>
    <row r="3386" spans="1:2">
      <c r="A3386" s="20"/>
      <c r="B3386" s="22"/>
    </row>
    <row r="3387" spans="1:2">
      <c r="A3387" s="20"/>
      <c r="B3387" s="22"/>
    </row>
    <row r="3388" spans="1:2">
      <c r="A3388" s="20"/>
      <c r="B3388" s="22"/>
    </row>
    <row r="3389" spans="1:2">
      <c r="A3389" s="20"/>
      <c r="B3389" s="22"/>
    </row>
    <row r="3390" spans="1:2">
      <c r="A3390" s="20"/>
      <c r="B3390" s="22"/>
    </row>
    <row r="3391" spans="1:2">
      <c r="A3391" s="20"/>
      <c r="B3391" s="22"/>
    </row>
    <row r="3392" spans="1:2">
      <c r="A3392" s="20"/>
      <c r="B3392" s="22"/>
    </row>
    <row r="3393" spans="1:2">
      <c r="A3393" s="20"/>
      <c r="B3393" s="22"/>
    </row>
    <row r="3394" spans="1:2">
      <c r="A3394" s="20"/>
      <c r="B3394" s="22"/>
    </row>
    <row r="3395" spans="1:2">
      <c r="A3395" s="20"/>
      <c r="B3395" s="22"/>
    </row>
    <row r="3396" spans="1:2">
      <c r="A3396" s="20"/>
      <c r="B3396" s="22"/>
    </row>
    <row r="3397" spans="1:2">
      <c r="A3397" s="20"/>
      <c r="B3397" s="22"/>
    </row>
    <row r="3398" spans="1:2">
      <c r="A3398" s="20"/>
      <c r="B3398" s="22"/>
    </row>
    <row r="3399" spans="1:2">
      <c r="A3399" s="20"/>
      <c r="B3399" s="22"/>
    </row>
    <row r="3400" spans="1:2">
      <c r="A3400" s="20"/>
      <c r="B3400" s="22"/>
    </row>
    <row r="3401" spans="1:2">
      <c r="A3401" s="20"/>
      <c r="B3401" s="22"/>
    </row>
    <row r="3402" spans="1:2">
      <c r="A3402" s="20"/>
      <c r="B3402" s="22"/>
    </row>
    <row r="3403" spans="1:2">
      <c r="A3403" s="20"/>
      <c r="B3403" s="22"/>
    </row>
    <row r="3404" spans="1:2">
      <c r="A3404" s="20"/>
      <c r="B3404" s="22"/>
    </row>
    <row r="3405" spans="1:2">
      <c r="A3405" s="20"/>
      <c r="B3405" s="22"/>
    </row>
    <row r="3406" spans="1:2">
      <c r="A3406" s="20"/>
      <c r="B3406" s="22"/>
    </row>
    <row r="3407" spans="1:2">
      <c r="A3407" s="20"/>
      <c r="B3407" s="22"/>
    </row>
    <row r="3408" spans="1:2">
      <c r="A3408" s="20"/>
      <c r="B3408" s="22"/>
    </row>
    <row r="3409" spans="1:2">
      <c r="A3409" s="20"/>
      <c r="B3409" s="22"/>
    </row>
    <row r="3410" spans="1:2">
      <c r="A3410" s="20"/>
      <c r="B3410" s="22"/>
    </row>
    <row r="3411" spans="1:2">
      <c r="A3411" s="20"/>
      <c r="B3411" s="22"/>
    </row>
    <row r="3412" spans="1:2">
      <c r="A3412" s="20"/>
      <c r="B3412" s="22"/>
    </row>
    <row r="3413" spans="1:2">
      <c r="A3413" s="20"/>
      <c r="B3413" s="22"/>
    </row>
    <row r="3414" spans="1:2">
      <c r="A3414" s="20"/>
      <c r="B3414" s="22"/>
    </row>
    <row r="3415" spans="1:2">
      <c r="A3415" s="20"/>
      <c r="B3415" s="22"/>
    </row>
    <row r="3416" spans="1:2">
      <c r="A3416" s="20"/>
      <c r="B3416" s="22"/>
    </row>
    <row r="3417" spans="1:2">
      <c r="A3417" s="20"/>
      <c r="B3417" s="22"/>
    </row>
    <row r="3418" spans="1:2">
      <c r="A3418" s="20"/>
      <c r="B3418" s="22"/>
    </row>
    <row r="3419" spans="1:2">
      <c r="A3419" s="20"/>
      <c r="B3419" s="22"/>
    </row>
    <row r="3420" spans="1:2">
      <c r="A3420" s="20"/>
      <c r="B3420" s="22"/>
    </row>
    <row r="3421" spans="1:2">
      <c r="A3421" s="20"/>
      <c r="B3421" s="22"/>
    </row>
    <row r="3422" spans="1:2">
      <c r="A3422" s="20"/>
      <c r="B3422" s="22"/>
    </row>
    <row r="3423" spans="1:2">
      <c r="A3423" s="20"/>
      <c r="B3423" s="22"/>
    </row>
    <row r="3424" spans="1:2">
      <c r="A3424" s="20"/>
      <c r="B3424" s="22"/>
    </row>
    <row r="3425" spans="1:2">
      <c r="A3425" s="20"/>
      <c r="B3425" s="22"/>
    </row>
    <row r="3426" spans="1:2">
      <c r="A3426" s="20"/>
      <c r="B3426" s="22"/>
    </row>
    <row r="3427" spans="1:2">
      <c r="A3427" s="20"/>
      <c r="B3427" s="22"/>
    </row>
    <row r="3428" spans="1:2">
      <c r="A3428" s="20"/>
      <c r="B3428" s="22"/>
    </row>
    <row r="3429" spans="1:2">
      <c r="A3429" s="20"/>
      <c r="B3429" s="22"/>
    </row>
    <row r="3430" spans="1:2">
      <c r="A3430" s="20"/>
      <c r="B3430" s="22"/>
    </row>
    <row r="3431" spans="1:2">
      <c r="A3431" s="20"/>
      <c r="B3431" s="22"/>
    </row>
    <row r="3432" spans="1:2">
      <c r="A3432" s="20"/>
      <c r="B3432" s="22"/>
    </row>
    <row r="3433" spans="1:2">
      <c r="A3433" s="20"/>
      <c r="B3433" s="22"/>
    </row>
    <row r="3434" spans="1:2">
      <c r="A3434" s="20"/>
      <c r="B3434" s="22"/>
    </row>
    <row r="3435" spans="1:2">
      <c r="A3435" s="20"/>
      <c r="B3435" s="22"/>
    </row>
    <row r="3436" spans="1:2">
      <c r="A3436" s="20"/>
      <c r="B3436" s="22"/>
    </row>
    <row r="3437" spans="1:2">
      <c r="A3437" s="20"/>
      <c r="B3437" s="22"/>
    </row>
    <row r="3438" spans="1:2">
      <c r="A3438" s="20"/>
      <c r="B3438" s="22"/>
    </row>
    <row r="3439" spans="1:2">
      <c r="A3439" s="20"/>
      <c r="B3439" s="22"/>
    </row>
    <row r="3440" spans="1:2">
      <c r="A3440" s="20"/>
      <c r="B3440" s="22"/>
    </row>
    <row r="3441" spans="1:2">
      <c r="A3441" s="20"/>
      <c r="B3441" s="22"/>
    </row>
    <row r="3442" spans="1:2">
      <c r="A3442" s="20"/>
      <c r="B3442" s="22"/>
    </row>
    <row r="3443" spans="1:2">
      <c r="A3443" s="20"/>
      <c r="B3443" s="22"/>
    </row>
    <row r="3444" spans="1:2">
      <c r="A3444" s="20"/>
      <c r="B3444" s="22"/>
    </row>
    <row r="3445" spans="1:2">
      <c r="A3445" s="20"/>
      <c r="B3445" s="22"/>
    </row>
    <row r="3446" spans="1:2">
      <c r="A3446" s="20"/>
      <c r="B3446" s="22"/>
    </row>
    <row r="3447" spans="1:2">
      <c r="A3447" s="20"/>
      <c r="B3447" s="22"/>
    </row>
    <row r="3448" spans="1:2">
      <c r="A3448" s="20"/>
      <c r="B3448" s="22"/>
    </row>
    <row r="3449" spans="1:2">
      <c r="A3449" s="20"/>
      <c r="B3449" s="22"/>
    </row>
    <row r="3450" spans="1:2">
      <c r="A3450" s="20"/>
      <c r="B3450" s="22"/>
    </row>
    <row r="3451" spans="1:2">
      <c r="A3451" s="20"/>
      <c r="B3451" s="22"/>
    </row>
    <row r="3452" spans="1:2">
      <c r="A3452" s="20"/>
      <c r="B3452" s="22"/>
    </row>
    <row r="3453" spans="1:2">
      <c r="A3453" s="20"/>
      <c r="B3453" s="22"/>
    </row>
    <row r="3454" spans="1:2">
      <c r="A3454" s="20"/>
      <c r="B3454" s="22"/>
    </row>
    <row r="3455" spans="1:2">
      <c r="A3455" s="20"/>
      <c r="B3455" s="22"/>
    </row>
    <row r="3456" spans="1:2">
      <c r="A3456" s="20"/>
      <c r="B3456" s="22"/>
    </row>
    <row r="3457" spans="1:2">
      <c r="A3457" s="20"/>
      <c r="B3457" s="22"/>
    </row>
    <row r="3458" spans="1:2">
      <c r="A3458" s="20"/>
      <c r="B3458" s="22"/>
    </row>
    <row r="3459" spans="1:2">
      <c r="A3459" s="20"/>
      <c r="B3459" s="22"/>
    </row>
    <row r="3460" spans="1:2">
      <c r="A3460" s="20"/>
      <c r="B3460" s="22"/>
    </row>
    <row r="3461" spans="1:2">
      <c r="A3461" s="20"/>
      <c r="B3461" s="22"/>
    </row>
    <row r="3462" spans="1:2">
      <c r="A3462" s="20"/>
      <c r="B3462" s="22"/>
    </row>
    <row r="3463" spans="1:2">
      <c r="A3463" s="20"/>
      <c r="B3463" s="22"/>
    </row>
    <row r="3464" spans="1:2">
      <c r="A3464" s="20"/>
      <c r="B3464" s="22"/>
    </row>
    <row r="3465" spans="1:2">
      <c r="A3465" s="20"/>
      <c r="B3465" s="22"/>
    </row>
    <row r="3466" spans="1:2">
      <c r="A3466" s="20"/>
      <c r="B3466" s="22"/>
    </row>
    <row r="3467" spans="1:2">
      <c r="A3467" s="20"/>
      <c r="B3467" s="22"/>
    </row>
    <row r="3468" spans="1:2">
      <c r="A3468" s="20"/>
      <c r="B3468" s="22"/>
    </row>
    <row r="3469" spans="1:2">
      <c r="A3469" s="20"/>
      <c r="B3469" s="22"/>
    </row>
    <row r="3470" spans="1:2">
      <c r="A3470" s="20"/>
      <c r="B3470" s="22"/>
    </row>
    <row r="3471" spans="1:2">
      <c r="A3471" s="20"/>
      <c r="B3471" s="22"/>
    </row>
    <row r="3472" spans="1:2">
      <c r="A3472" s="20"/>
      <c r="B3472" s="22"/>
    </row>
    <row r="3473" spans="1:2">
      <c r="A3473" s="20"/>
      <c r="B3473" s="22"/>
    </row>
    <row r="3474" spans="1:2">
      <c r="A3474" s="20"/>
      <c r="B3474" s="22"/>
    </row>
    <row r="3475" spans="1:2">
      <c r="A3475" s="20"/>
      <c r="B3475" s="22"/>
    </row>
    <row r="3476" spans="1:2">
      <c r="A3476" s="20"/>
      <c r="B3476" s="22"/>
    </row>
    <row r="3477" spans="1:2">
      <c r="A3477" s="20"/>
      <c r="B3477" s="22"/>
    </row>
    <row r="3478" spans="1:2">
      <c r="A3478" s="20"/>
      <c r="B3478" s="22"/>
    </row>
    <row r="3479" spans="1:2">
      <c r="A3479" s="20"/>
      <c r="B3479" s="22"/>
    </row>
    <row r="3480" spans="1:2">
      <c r="A3480" s="20"/>
      <c r="B3480" s="22"/>
    </row>
    <row r="3481" spans="1:2">
      <c r="A3481" s="20"/>
      <c r="B3481" s="22"/>
    </row>
    <row r="3482" spans="1:2">
      <c r="A3482" s="20"/>
      <c r="B3482" s="22"/>
    </row>
    <row r="3483" spans="1:2">
      <c r="A3483" s="20"/>
      <c r="B3483" s="22"/>
    </row>
    <row r="3484" spans="1:2">
      <c r="A3484" s="20"/>
      <c r="B3484" s="22"/>
    </row>
    <row r="3485" spans="1:2">
      <c r="A3485" s="20"/>
      <c r="B3485" s="22"/>
    </row>
    <row r="3486" spans="1:2">
      <c r="A3486" s="20"/>
      <c r="B3486" s="22"/>
    </row>
    <row r="3487" spans="1:2">
      <c r="A3487" s="20"/>
      <c r="B3487" s="22"/>
    </row>
    <row r="3488" spans="1:2">
      <c r="A3488" s="20"/>
      <c r="B3488" s="22"/>
    </row>
    <row r="3489" spans="1:2">
      <c r="A3489" s="20"/>
      <c r="B3489" s="22"/>
    </row>
    <row r="3490" spans="1:2">
      <c r="A3490" s="20"/>
      <c r="B3490" s="22"/>
    </row>
    <row r="3491" spans="1:2">
      <c r="A3491" s="20"/>
      <c r="B3491" s="22"/>
    </row>
    <row r="3492" spans="1:2">
      <c r="A3492" s="20"/>
      <c r="B3492" s="22"/>
    </row>
    <row r="3493" spans="1:2">
      <c r="A3493" s="20"/>
      <c r="B3493" s="22"/>
    </row>
    <row r="3494" spans="1:2">
      <c r="A3494" s="20"/>
      <c r="B3494" s="22"/>
    </row>
    <row r="3495" spans="1:2">
      <c r="A3495" s="20"/>
      <c r="B3495" s="22"/>
    </row>
    <row r="3496" spans="1:2">
      <c r="A3496" s="20"/>
      <c r="B3496" s="22"/>
    </row>
    <row r="3497" spans="1:2">
      <c r="A3497" s="20"/>
      <c r="B3497" s="22"/>
    </row>
    <row r="3498" spans="1:2">
      <c r="A3498" s="20"/>
      <c r="B3498" s="22"/>
    </row>
    <row r="3499" spans="1:2">
      <c r="A3499" s="20"/>
      <c r="B3499" s="22"/>
    </row>
    <row r="3500" spans="1:2">
      <c r="A3500" s="20"/>
      <c r="B3500" s="22"/>
    </row>
    <row r="3501" spans="1:2">
      <c r="A3501" s="20"/>
      <c r="B3501" s="22"/>
    </row>
    <row r="3502" spans="1:2">
      <c r="A3502" s="20"/>
      <c r="B3502" s="22"/>
    </row>
    <row r="3503" spans="1:2">
      <c r="A3503" s="20"/>
      <c r="B3503" s="22"/>
    </row>
    <row r="3504" spans="1:2">
      <c r="A3504" s="20"/>
      <c r="B3504" s="22"/>
    </row>
    <row r="3505" spans="1:2">
      <c r="A3505" s="20"/>
      <c r="B3505" s="22"/>
    </row>
    <row r="3506" spans="1:2">
      <c r="A3506" s="20"/>
      <c r="B3506" s="22"/>
    </row>
    <row r="3507" spans="1:2">
      <c r="A3507" s="20"/>
      <c r="B3507" s="22"/>
    </row>
    <row r="3508" spans="1:2">
      <c r="A3508" s="20"/>
      <c r="B3508" s="22"/>
    </row>
    <row r="3509" spans="1:2">
      <c r="A3509" s="20"/>
      <c r="B3509" s="22"/>
    </row>
    <row r="3510" spans="1:2">
      <c r="A3510" s="20"/>
      <c r="B3510" s="22"/>
    </row>
    <row r="3511" spans="1:2">
      <c r="A3511" s="20"/>
      <c r="B3511" s="22"/>
    </row>
    <row r="3512" spans="1:2">
      <c r="A3512" s="20"/>
      <c r="B3512" s="22"/>
    </row>
    <row r="3513" spans="1:2">
      <c r="A3513" s="20"/>
      <c r="B3513" s="22"/>
    </row>
    <row r="3514" spans="1:2">
      <c r="A3514" s="20"/>
      <c r="B3514" s="22"/>
    </row>
    <row r="3515" spans="1:2">
      <c r="A3515" s="20"/>
      <c r="B3515" s="22"/>
    </row>
    <row r="3516" spans="1:2">
      <c r="A3516" s="20"/>
      <c r="B3516" s="22"/>
    </row>
    <row r="3517" spans="1:2">
      <c r="A3517" s="20"/>
      <c r="B3517" s="22"/>
    </row>
    <row r="3518" spans="1:2">
      <c r="A3518" s="20"/>
      <c r="B3518" s="22"/>
    </row>
    <row r="3519" spans="1:2">
      <c r="A3519" s="20"/>
      <c r="B3519" s="22"/>
    </row>
    <row r="3520" spans="1:2">
      <c r="A3520" s="20"/>
      <c r="B3520" s="22"/>
    </row>
    <row r="3521" spans="1:2">
      <c r="A3521" s="20"/>
      <c r="B3521" s="22"/>
    </row>
    <row r="3522" spans="1:2">
      <c r="A3522" s="20"/>
      <c r="B3522" s="22"/>
    </row>
    <row r="3523" spans="1:2">
      <c r="A3523" s="20"/>
      <c r="B3523" s="22"/>
    </row>
    <row r="3524" spans="1:2">
      <c r="A3524" s="20"/>
      <c r="B3524" s="22"/>
    </row>
    <row r="3525" spans="1:2">
      <c r="A3525" s="20"/>
      <c r="B3525" s="22"/>
    </row>
    <row r="3526" spans="1:2">
      <c r="A3526" s="20"/>
      <c r="B3526" s="22"/>
    </row>
    <row r="3527" spans="1:2">
      <c r="A3527" s="20"/>
      <c r="B3527" s="22"/>
    </row>
    <row r="3528" spans="1:2">
      <c r="A3528" s="20"/>
      <c r="B3528" s="22"/>
    </row>
    <row r="3529" spans="1:2">
      <c r="A3529" s="20"/>
      <c r="B3529" s="22"/>
    </row>
    <row r="3530" spans="1:2">
      <c r="A3530" s="20"/>
      <c r="B3530" s="22"/>
    </row>
    <row r="3531" spans="1:2">
      <c r="A3531" s="20"/>
      <c r="B3531" s="22"/>
    </row>
    <row r="3532" spans="1:2">
      <c r="A3532" s="20"/>
      <c r="B3532" s="22"/>
    </row>
    <row r="3533" spans="1:2">
      <c r="A3533" s="20"/>
      <c r="B3533" s="22"/>
    </row>
    <row r="3534" spans="1:2">
      <c r="A3534" s="20"/>
      <c r="B3534" s="22"/>
    </row>
    <row r="3535" spans="1:2">
      <c r="A3535" s="20"/>
      <c r="B3535" s="22"/>
    </row>
    <row r="3536" spans="1:2">
      <c r="A3536" s="20"/>
      <c r="B3536" s="22"/>
    </row>
    <row r="3537" spans="1:2">
      <c r="A3537" s="20"/>
      <c r="B3537" s="22"/>
    </row>
    <row r="3538" spans="1:2">
      <c r="A3538" s="20"/>
      <c r="B3538" s="22"/>
    </row>
    <row r="3539" spans="1:2">
      <c r="A3539" s="20"/>
      <c r="B3539" s="22"/>
    </row>
    <row r="3540" spans="1:2">
      <c r="A3540" s="20"/>
      <c r="B3540" s="22"/>
    </row>
    <row r="3541" spans="1:2">
      <c r="A3541" s="20"/>
      <c r="B3541" s="22"/>
    </row>
    <row r="3542" spans="1:2">
      <c r="A3542" s="20"/>
      <c r="B3542" s="22"/>
    </row>
    <row r="3543" spans="1:2">
      <c r="A3543" s="20"/>
      <c r="B3543" s="22"/>
    </row>
    <row r="3544" spans="1:2">
      <c r="A3544" s="20"/>
      <c r="B3544" s="22"/>
    </row>
    <row r="3545" spans="1:2">
      <c r="A3545" s="20"/>
      <c r="B3545" s="22"/>
    </row>
    <row r="3546" spans="1:2">
      <c r="A3546" s="20"/>
      <c r="B3546" s="22"/>
    </row>
    <row r="3547" spans="1:2">
      <c r="A3547" s="20"/>
      <c r="B3547" s="22"/>
    </row>
    <row r="3548" spans="1:2">
      <c r="A3548" s="20"/>
      <c r="B3548" s="22"/>
    </row>
    <row r="3549" spans="1:2">
      <c r="A3549" s="20"/>
      <c r="B3549" s="22"/>
    </row>
    <row r="3550" spans="1:2">
      <c r="A3550" s="20"/>
      <c r="B3550" s="22"/>
    </row>
    <row r="3551" spans="1:2">
      <c r="A3551" s="20"/>
      <c r="B3551" s="22"/>
    </row>
    <row r="3552" spans="1:2">
      <c r="A3552" s="20"/>
      <c r="B3552" s="22"/>
    </row>
    <row r="3553" spans="1:2">
      <c r="A3553" s="20"/>
      <c r="B3553" s="22"/>
    </row>
    <row r="3554" spans="1:2">
      <c r="A3554" s="20"/>
      <c r="B3554" s="22"/>
    </row>
    <row r="3555" spans="1:2">
      <c r="A3555" s="20"/>
      <c r="B3555" s="22"/>
    </row>
    <row r="3556" spans="1:2">
      <c r="A3556" s="20"/>
      <c r="B3556" s="22"/>
    </row>
    <row r="3557" spans="1:2">
      <c r="A3557" s="20"/>
      <c r="B3557" s="22"/>
    </row>
    <row r="3558" spans="1:2">
      <c r="A3558" s="20"/>
      <c r="B3558" s="22"/>
    </row>
    <row r="3559" spans="1:2">
      <c r="A3559" s="20"/>
      <c r="B3559" s="22"/>
    </row>
    <row r="3560" spans="1:2">
      <c r="A3560" s="20"/>
      <c r="B3560" s="22"/>
    </row>
    <row r="3561" spans="1:2">
      <c r="A3561" s="20"/>
      <c r="B3561" s="22"/>
    </row>
    <row r="3562" spans="1:2">
      <c r="A3562" s="20"/>
      <c r="B3562" s="22"/>
    </row>
    <row r="3563" spans="1:2">
      <c r="A3563" s="20"/>
      <c r="B3563" s="22"/>
    </row>
    <row r="3564" spans="1:2">
      <c r="A3564" s="20"/>
      <c r="B3564" s="22"/>
    </row>
    <row r="3565" spans="1:2">
      <c r="A3565" s="20"/>
      <c r="B3565" s="22"/>
    </row>
    <row r="3566" spans="1:2">
      <c r="A3566" s="20"/>
      <c r="B3566" s="22"/>
    </row>
    <row r="3567" spans="1:2">
      <c r="A3567" s="20"/>
      <c r="B3567" s="22"/>
    </row>
    <row r="3568" spans="1:2">
      <c r="A3568" s="20"/>
      <c r="B3568" s="22"/>
    </row>
    <row r="3569" spans="1:2">
      <c r="A3569" s="20"/>
      <c r="B3569" s="22"/>
    </row>
    <row r="3570" spans="1:2">
      <c r="A3570" s="20"/>
      <c r="B3570" s="22"/>
    </row>
    <row r="3571" spans="1:2">
      <c r="A3571" s="20"/>
      <c r="B3571" s="22"/>
    </row>
    <row r="3572" spans="1:2">
      <c r="A3572" s="20"/>
      <c r="B3572" s="22"/>
    </row>
    <row r="3573" spans="1:2">
      <c r="A3573" s="20"/>
      <c r="B3573" s="22"/>
    </row>
    <row r="3574" spans="1:2">
      <c r="A3574" s="20"/>
      <c r="B3574" s="22"/>
    </row>
    <row r="3575" spans="1:2">
      <c r="A3575" s="20"/>
      <c r="B3575" s="22"/>
    </row>
    <row r="3576" spans="1:2">
      <c r="A3576" s="20"/>
      <c r="B3576" s="22"/>
    </row>
    <row r="3577" spans="1:2">
      <c r="A3577" s="20"/>
      <c r="B3577" s="22"/>
    </row>
    <row r="3578" spans="1:2">
      <c r="A3578" s="20"/>
      <c r="B3578" s="22"/>
    </row>
    <row r="3579" spans="1:2">
      <c r="A3579" s="20"/>
      <c r="B3579" s="22"/>
    </row>
    <row r="3580" spans="1:2">
      <c r="A3580" s="20"/>
      <c r="B3580" s="22"/>
    </row>
    <row r="3581" spans="1:2">
      <c r="A3581" s="20"/>
      <c r="B3581" s="22"/>
    </row>
    <row r="3582" spans="1:2">
      <c r="A3582" s="20"/>
      <c r="B3582" s="22"/>
    </row>
    <row r="3583" spans="1:2">
      <c r="A3583" s="20"/>
      <c r="B3583" s="22"/>
    </row>
    <row r="3584" spans="1:2">
      <c r="A3584" s="20"/>
      <c r="B3584" s="22"/>
    </row>
    <row r="3585" spans="1:2">
      <c r="A3585" s="20"/>
      <c r="B3585" s="22"/>
    </row>
    <row r="3586" spans="1:2">
      <c r="A3586" s="20"/>
      <c r="B3586" s="22"/>
    </row>
    <row r="3587" spans="1:2">
      <c r="A3587" s="20"/>
      <c r="B3587" s="22"/>
    </row>
    <row r="3588" spans="1:2">
      <c r="A3588" s="20"/>
      <c r="B3588" s="22"/>
    </row>
    <row r="3589" spans="1:2">
      <c r="A3589" s="20"/>
      <c r="B3589" s="22"/>
    </row>
    <row r="3590" spans="1:2">
      <c r="A3590" s="20"/>
      <c r="B3590" s="22"/>
    </row>
    <row r="3591" spans="1:2">
      <c r="A3591" s="20"/>
      <c r="B3591" s="22"/>
    </row>
    <row r="3592" spans="1:2">
      <c r="A3592" s="20"/>
      <c r="B3592" s="22"/>
    </row>
    <row r="3593" spans="1:2">
      <c r="A3593" s="20"/>
      <c r="B3593" s="22"/>
    </row>
    <row r="3594" spans="1:2">
      <c r="A3594" s="20"/>
      <c r="B3594" s="22"/>
    </row>
    <row r="3595" spans="1:2">
      <c r="A3595" s="20"/>
      <c r="B3595" s="22"/>
    </row>
    <row r="3596" spans="1:2">
      <c r="A3596" s="20"/>
      <c r="B3596" s="22"/>
    </row>
    <row r="3597" spans="1:2">
      <c r="A3597" s="20"/>
      <c r="B3597" s="22"/>
    </row>
    <row r="3598" spans="1:2">
      <c r="A3598" s="20"/>
      <c r="B3598" s="22"/>
    </row>
    <row r="3599" spans="1:2">
      <c r="A3599" s="20"/>
      <c r="B3599" s="22"/>
    </row>
    <row r="3600" spans="1:2">
      <c r="A3600" s="20"/>
      <c r="B3600" s="22"/>
    </row>
    <row r="3601" spans="1:2">
      <c r="A3601" s="20"/>
      <c r="B3601" s="22"/>
    </row>
    <row r="3602" spans="1:2">
      <c r="A3602" s="20"/>
      <c r="B3602" s="22"/>
    </row>
    <row r="3603" spans="1:2">
      <c r="A3603" s="20"/>
      <c r="B3603" s="22"/>
    </row>
    <row r="3604" spans="1:2">
      <c r="A3604" s="20"/>
      <c r="B3604" s="22"/>
    </row>
    <row r="3605" spans="1:2">
      <c r="A3605" s="20"/>
      <c r="B3605" s="22"/>
    </row>
    <row r="3606" spans="1:2">
      <c r="A3606" s="20"/>
      <c r="B3606" s="22"/>
    </row>
    <row r="3607" spans="1:2">
      <c r="A3607" s="20"/>
      <c r="B3607" s="22"/>
    </row>
    <row r="3608" spans="1:2">
      <c r="A3608" s="20"/>
      <c r="B3608" s="22"/>
    </row>
    <row r="3609" spans="1:2">
      <c r="A3609" s="20"/>
      <c r="B3609" s="22"/>
    </row>
    <row r="3610" spans="1:2">
      <c r="A3610" s="20"/>
      <c r="B3610" s="22"/>
    </row>
    <row r="3611" spans="1:2">
      <c r="A3611" s="20"/>
      <c r="B3611" s="22"/>
    </row>
    <row r="3612" spans="1:2">
      <c r="A3612" s="20"/>
      <c r="B3612" s="22"/>
    </row>
    <row r="3613" spans="1:2">
      <c r="A3613" s="20"/>
      <c r="B3613" s="22"/>
    </row>
    <row r="3614" spans="1:2">
      <c r="A3614" s="20"/>
      <c r="B3614" s="22"/>
    </row>
    <row r="3615" spans="1:2">
      <c r="A3615" s="20"/>
      <c r="B3615" s="22"/>
    </row>
    <row r="3616" spans="1:2">
      <c r="A3616" s="20"/>
      <c r="B3616" s="22"/>
    </row>
    <row r="3617" spans="1:2">
      <c r="A3617" s="20"/>
      <c r="B3617" s="22"/>
    </row>
    <row r="3618" spans="1:2">
      <c r="A3618" s="20"/>
      <c r="B3618" s="22"/>
    </row>
    <row r="3619" spans="1:2">
      <c r="A3619" s="20"/>
      <c r="B3619" s="22"/>
    </row>
    <row r="3620" spans="1:2">
      <c r="A3620" s="20"/>
      <c r="B3620" s="22"/>
    </row>
    <row r="3621" spans="1:2">
      <c r="A3621" s="20"/>
      <c r="B3621" s="22"/>
    </row>
    <row r="3622" spans="1:2">
      <c r="A3622" s="20"/>
      <c r="B3622" s="22"/>
    </row>
    <row r="3623" spans="1:2">
      <c r="A3623" s="20"/>
      <c r="B3623" s="22"/>
    </row>
    <row r="3624" spans="1:2">
      <c r="A3624" s="20"/>
      <c r="B3624" s="22"/>
    </row>
    <row r="3625" spans="1:2">
      <c r="A3625" s="20"/>
      <c r="B3625" s="22"/>
    </row>
    <row r="3626" spans="1:2">
      <c r="A3626" s="20"/>
      <c r="B3626" s="22"/>
    </row>
    <row r="3627" spans="1:2">
      <c r="A3627" s="20"/>
      <c r="B3627" s="22"/>
    </row>
    <row r="3628" spans="1:2">
      <c r="A3628" s="20"/>
      <c r="B3628" s="22"/>
    </row>
    <row r="3629" spans="1:2">
      <c r="A3629" s="20"/>
      <c r="B3629" s="22"/>
    </row>
    <row r="3630" spans="1:2">
      <c r="A3630" s="20"/>
      <c r="B3630" s="22"/>
    </row>
    <row r="3631" spans="1:2">
      <c r="A3631" s="20"/>
      <c r="B3631" s="22"/>
    </row>
    <row r="3632" spans="1:2">
      <c r="A3632" s="20"/>
      <c r="B3632" s="22"/>
    </row>
    <row r="3633" spans="1:2">
      <c r="A3633" s="20"/>
      <c r="B3633" s="22"/>
    </row>
    <row r="3634" spans="1:2">
      <c r="A3634" s="20"/>
      <c r="B3634" s="22"/>
    </row>
    <row r="3635" spans="1:2">
      <c r="A3635" s="20"/>
      <c r="B3635" s="22"/>
    </row>
    <row r="3636" spans="1:2">
      <c r="A3636" s="20"/>
      <c r="B3636" s="22"/>
    </row>
    <row r="3637" spans="1:2">
      <c r="A3637" s="20"/>
      <c r="B3637" s="22"/>
    </row>
    <row r="3638" spans="1:2">
      <c r="A3638" s="20"/>
      <c r="B3638" s="22"/>
    </row>
    <row r="3639" spans="1:2">
      <c r="A3639" s="20"/>
      <c r="B3639" s="22"/>
    </row>
    <row r="3640" spans="1:2">
      <c r="A3640" s="20"/>
      <c r="B3640" s="22"/>
    </row>
    <row r="3641" spans="1:2">
      <c r="A3641" s="20"/>
      <c r="B3641" s="22"/>
    </row>
    <row r="3642" spans="1:2">
      <c r="A3642" s="20"/>
      <c r="B3642" s="22"/>
    </row>
    <row r="3643" spans="1:2">
      <c r="A3643" s="20"/>
      <c r="B3643" s="22"/>
    </row>
    <row r="3644" spans="1:2">
      <c r="A3644" s="20"/>
      <c r="B3644" s="22"/>
    </row>
    <row r="3645" spans="1:2">
      <c r="A3645" s="20"/>
      <c r="B3645" s="22"/>
    </row>
    <row r="3646" spans="1:2">
      <c r="A3646" s="20"/>
      <c r="B3646" s="22"/>
    </row>
    <row r="3647" spans="1:2">
      <c r="A3647" s="20"/>
      <c r="B3647" s="22"/>
    </row>
    <row r="3648" spans="1:2">
      <c r="A3648" s="20"/>
      <c r="B3648" s="22"/>
    </row>
    <row r="3649" spans="1:2">
      <c r="A3649" s="20"/>
      <c r="B3649" s="22"/>
    </row>
    <row r="3650" spans="1:2">
      <c r="A3650" s="20"/>
      <c r="B3650" s="22"/>
    </row>
    <row r="3651" spans="1:2">
      <c r="A3651" s="20"/>
      <c r="B3651" s="22"/>
    </row>
    <row r="3652" spans="1:2">
      <c r="A3652" s="20"/>
      <c r="B3652" s="22"/>
    </row>
    <row r="3653" spans="1:2">
      <c r="A3653" s="20"/>
      <c r="B3653" s="22"/>
    </row>
    <row r="3654" spans="1:2">
      <c r="A3654" s="20"/>
      <c r="B3654" s="22"/>
    </row>
    <row r="3655" spans="1:2">
      <c r="A3655" s="20"/>
      <c r="B3655" s="22"/>
    </row>
    <row r="3656" spans="1:2">
      <c r="A3656" s="20"/>
      <c r="B3656" s="22"/>
    </row>
    <row r="3657" spans="1:2">
      <c r="A3657" s="20"/>
      <c r="B3657" s="22"/>
    </row>
    <row r="3658" spans="1:2">
      <c r="A3658" s="20"/>
      <c r="B3658" s="22"/>
    </row>
    <row r="3659" spans="1:2">
      <c r="A3659" s="20"/>
      <c r="B3659" s="22"/>
    </row>
    <row r="3660" spans="1:2">
      <c r="A3660" s="20"/>
      <c r="B3660" s="22"/>
    </row>
    <row r="3661" spans="1:2">
      <c r="A3661" s="20"/>
      <c r="B3661" s="22"/>
    </row>
    <row r="3662" spans="1:2">
      <c r="A3662" s="20"/>
      <c r="B3662" s="22"/>
    </row>
    <row r="3663" spans="1:2">
      <c r="A3663" s="20"/>
      <c r="B3663" s="22"/>
    </row>
    <row r="3664" spans="1:2">
      <c r="A3664" s="20"/>
      <c r="B3664" s="22"/>
    </row>
    <row r="3665" spans="1:2">
      <c r="A3665" s="20"/>
      <c r="B3665" s="22"/>
    </row>
    <row r="3666" spans="1:2">
      <c r="A3666" s="20"/>
      <c r="B3666" s="22"/>
    </row>
    <row r="3667" spans="1:2">
      <c r="A3667" s="20"/>
      <c r="B3667" s="22"/>
    </row>
    <row r="3668" spans="1:2">
      <c r="A3668" s="20"/>
      <c r="B3668" s="22"/>
    </row>
    <row r="3669" spans="1:2">
      <c r="A3669" s="20"/>
      <c r="B3669" s="22"/>
    </row>
    <row r="3670" spans="1:2">
      <c r="A3670" s="20"/>
      <c r="B3670" s="22"/>
    </row>
    <row r="3671" spans="1:2">
      <c r="A3671" s="20"/>
      <c r="B3671" s="22"/>
    </row>
    <row r="3672" spans="1:2">
      <c r="A3672" s="20"/>
      <c r="B3672" s="22"/>
    </row>
    <row r="3673" spans="1:2">
      <c r="A3673" s="20"/>
      <c r="B3673" s="22"/>
    </row>
    <row r="3674" spans="1:2">
      <c r="A3674" s="20"/>
      <c r="B3674" s="22"/>
    </row>
    <row r="3675" spans="1:2">
      <c r="A3675" s="20"/>
      <c r="B3675" s="22"/>
    </row>
    <row r="3676" spans="1:2">
      <c r="A3676" s="20"/>
      <c r="B3676" s="22"/>
    </row>
    <row r="3677" spans="1:2">
      <c r="A3677" s="20"/>
      <c r="B3677" s="22"/>
    </row>
    <row r="3678" spans="1:2">
      <c r="A3678" s="20"/>
      <c r="B3678" s="22"/>
    </row>
    <row r="3679" spans="1:2">
      <c r="A3679" s="20"/>
      <c r="B3679" s="22"/>
    </row>
    <row r="3680" spans="1:2">
      <c r="A3680" s="20"/>
      <c r="B3680" s="22"/>
    </row>
    <row r="3681" spans="1:2">
      <c r="A3681" s="20"/>
      <c r="B3681" s="22"/>
    </row>
    <row r="3682" spans="1:2">
      <c r="A3682" s="20"/>
      <c r="B3682" s="22"/>
    </row>
    <row r="3683" spans="1:2">
      <c r="A3683" s="20"/>
      <c r="B3683" s="22"/>
    </row>
    <row r="3684" spans="1:2">
      <c r="A3684" s="20"/>
      <c r="B3684" s="22"/>
    </row>
    <row r="3685" spans="1:2">
      <c r="A3685" s="20"/>
      <c r="B3685" s="22"/>
    </row>
    <row r="3686" spans="1:2">
      <c r="A3686" s="20"/>
      <c r="B3686" s="22"/>
    </row>
    <row r="3687" spans="1:2">
      <c r="A3687" s="20"/>
      <c r="B3687" s="22"/>
    </row>
    <row r="3688" spans="1:2">
      <c r="A3688" s="20"/>
      <c r="B3688" s="22"/>
    </row>
    <row r="3689" spans="1:2">
      <c r="A3689" s="20"/>
      <c r="B3689" s="22"/>
    </row>
    <row r="3690" spans="1:2">
      <c r="A3690" s="20"/>
      <c r="B3690" s="22"/>
    </row>
    <row r="3691" spans="1:2">
      <c r="A3691" s="20"/>
      <c r="B3691" s="22"/>
    </row>
    <row r="3692" spans="1:2">
      <c r="A3692" s="20"/>
      <c r="B3692" s="22"/>
    </row>
    <row r="3693" spans="1:2">
      <c r="A3693" s="20"/>
      <c r="B3693" s="22"/>
    </row>
    <row r="3694" spans="1:2">
      <c r="A3694" s="20"/>
      <c r="B3694" s="22"/>
    </row>
    <row r="3695" spans="1:2">
      <c r="A3695" s="20"/>
      <c r="B3695" s="22"/>
    </row>
    <row r="3696" spans="1:2">
      <c r="A3696" s="20"/>
      <c r="B3696" s="22"/>
    </row>
    <row r="3697" spans="1:2">
      <c r="A3697" s="20"/>
      <c r="B3697" s="22"/>
    </row>
    <row r="3698" spans="1:2">
      <c r="A3698" s="20"/>
      <c r="B3698" s="22"/>
    </row>
    <row r="3699" spans="1:2">
      <c r="A3699" s="20"/>
      <c r="B3699" s="22"/>
    </row>
    <row r="3700" spans="1:2">
      <c r="A3700" s="20"/>
      <c r="B3700" s="22"/>
    </row>
    <row r="3701" spans="1:2">
      <c r="A3701" s="20"/>
      <c r="B3701" s="22"/>
    </row>
    <row r="3702" spans="1:2">
      <c r="A3702" s="20"/>
      <c r="B3702" s="22"/>
    </row>
    <row r="3703" spans="1:2">
      <c r="A3703" s="20"/>
      <c r="B3703" s="22"/>
    </row>
    <row r="3704" spans="1:2">
      <c r="A3704" s="20"/>
      <c r="B3704" s="22"/>
    </row>
    <row r="3705" spans="1:2">
      <c r="A3705" s="20"/>
      <c r="B3705" s="22"/>
    </row>
    <row r="3706" spans="1:2">
      <c r="A3706" s="20"/>
      <c r="B3706" s="22"/>
    </row>
    <row r="3707" spans="1:2">
      <c r="A3707" s="20"/>
      <c r="B3707" s="22"/>
    </row>
    <row r="3708" spans="1:2">
      <c r="A3708" s="20"/>
      <c r="B3708" s="22"/>
    </row>
    <row r="3709" spans="1:2">
      <c r="A3709" s="20"/>
      <c r="B3709" s="22"/>
    </row>
    <row r="3710" spans="1:2">
      <c r="A3710" s="20"/>
      <c r="B3710" s="22"/>
    </row>
    <row r="3711" spans="1:2">
      <c r="A3711" s="20"/>
      <c r="B3711" s="22"/>
    </row>
    <row r="3712" spans="1:2">
      <c r="A3712" s="20"/>
      <c r="B3712" s="22"/>
    </row>
    <row r="3713" spans="1:2">
      <c r="A3713" s="20"/>
      <c r="B3713" s="22"/>
    </row>
    <row r="3714" spans="1:2">
      <c r="A3714" s="20"/>
      <c r="B3714" s="22"/>
    </row>
    <row r="3715" spans="1:2">
      <c r="A3715" s="20"/>
      <c r="B3715" s="22"/>
    </row>
    <row r="3716" spans="1:2">
      <c r="A3716" s="20"/>
      <c r="B3716" s="22"/>
    </row>
    <row r="3717" spans="1:2">
      <c r="A3717" s="20"/>
      <c r="B3717" s="22"/>
    </row>
    <row r="3718" spans="1:2">
      <c r="A3718" s="20"/>
      <c r="B3718" s="22"/>
    </row>
    <row r="3719" spans="1:2">
      <c r="A3719" s="20"/>
      <c r="B3719" s="22"/>
    </row>
    <row r="3720" spans="1:2">
      <c r="A3720" s="20"/>
      <c r="B3720" s="22"/>
    </row>
    <row r="3721" spans="1:2">
      <c r="A3721" s="20"/>
      <c r="B3721" s="22"/>
    </row>
    <row r="3722" spans="1:2">
      <c r="A3722" s="20"/>
      <c r="B3722" s="22"/>
    </row>
    <row r="3723" spans="1:2">
      <c r="A3723" s="20"/>
      <c r="B3723" s="22"/>
    </row>
    <row r="3724" spans="1:2">
      <c r="A3724" s="20"/>
      <c r="B3724" s="22"/>
    </row>
    <row r="3725" spans="1:2">
      <c r="A3725" s="20"/>
      <c r="B3725" s="22"/>
    </row>
    <row r="3726" spans="1:2">
      <c r="A3726" s="20"/>
      <c r="B3726" s="22"/>
    </row>
    <row r="3727" spans="1:2">
      <c r="A3727" s="20"/>
      <c r="B3727" s="22"/>
    </row>
    <row r="3728" spans="1:2">
      <c r="A3728" s="20"/>
      <c r="B3728" s="22"/>
    </row>
    <row r="3729" spans="1:2">
      <c r="A3729" s="20"/>
      <c r="B3729" s="22"/>
    </row>
    <row r="3730" spans="1:2">
      <c r="A3730" s="20"/>
      <c r="B3730" s="22"/>
    </row>
    <row r="3731" spans="1:2">
      <c r="A3731" s="20"/>
      <c r="B3731" s="22"/>
    </row>
    <row r="3732" spans="1:2">
      <c r="A3732" s="20"/>
      <c r="B3732" s="22"/>
    </row>
    <row r="3733" spans="1:2">
      <c r="A3733" s="20"/>
      <c r="B3733" s="22"/>
    </row>
    <row r="3734" spans="1:2">
      <c r="A3734" s="20"/>
      <c r="B3734" s="22"/>
    </row>
    <row r="3735" spans="1:2">
      <c r="A3735" s="20"/>
      <c r="B3735" s="22"/>
    </row>
    <row r="3736" spans="1:2">
      <c r="A3736" s="20"/>
      <c r="B3736" s="22"/>
    </row>
    <row r="3737" spans="1:2">
      <c r="A3737" s="20"/>
      <c r="B3737" s="22"/>
    </row>
    <row r="3738" spans="1:2">
      <c r="A3738" s="20"/>
      <c r="B3738" s="22"/>
    </row>
    <row r="3739" spans="1:2">
      <c r="A3739" s="20"/>
      <c r="B3739" s="22"/>
    </row>
    <row r="3740" spans="1:2">
      <c r="A3740" s="20"/>
      <c r="B3740" s="22"/>
    </row>
    <row r="3741" spans="1:2">
      <c r="A3741" s="20"/>
      <c r="B3741" s="22"/>
    </row>
    <row r="3742" spans="1:2">
      <c r="A3742" s="20"/>
      <c r="B3742" s="22"/>
    </row>
    <row r="3743" spans="1:2">
      <c r="A3743" s="20"/>
      <c r="B3743" s="22"/>
    </row>
    <row r="3744" spans="1:2">
      <c r="A3744" s="20"/>
      <c r="B3744" s="22"/>
    </row>
    <row r="3745" spans="1:2">
      <c r="A3745" s="20"/>
      <c r="B3745" s="22"/>
    </row>
    <row r="3746" spans="1:2">
      <c r="A3746" s="20"/>
      <c r="B3746" s="22"/>
    </row>
    <row r="3747" spans="1:2">
      <c r="A3747" s="20"/>
      <c r="B3747" s="22"/>
    </row>
    <row r="3748" spans="1:2">
      <c r="A3748" s="20"/>
      <c r="B3748" s="22"/>
    </row>
    <row r="3749" spans="1:2">
      <c r="A3749" s="20"/>
      <c r="B3749" s="22"/>
    </row>
    <row r="3750" spans="1:2">
      <c r="A3750" s="20"/>
      <c r="B3750" s="22"/>
    </row>
    <row r="3751" spans="1:2">
      <c r="A3751" s="20"/>
      <c r="B3751" s="22"/>
    </row>
    <row r="3752" spans="1:2">
      <c r="A3752" s="20"/>
      <c r="B3752" s="22"/>
    </row>
    <row r="3753" spans="1:2">
      <c r="A3753" s="20"/>
      <c r="B3753" s="22"/>
    </row>
    <row r="3754" spans="1:2">
      <c r="A3754" s="20"/>
      <c r="B3754" s="22"/>
    </row>
    <row r="3755" spans="1:2">
      <c r="A3755" s="20"/>
      <c r="B3755" s="22"/>
    </row>
    <row r="3756" spans="1:2">
      <c r="A3756" s="20"/>
      <c r="B3756" s="22"/>
    </row>
    <row r="3757" spans="1:2">
      <c r="A3757" s="20"/>
      <c r="B3757" s="22"/>
    </row>
    <row r="3758" spans="1:2">
      <c r="A3758" s="20"/>
      <c r="B3758" s="22"/>
    </row>
    <row r="3759" spans="1:2">
      <c r="A3759" s="20"/>
      <c r="B3759" s="22"/>
    </row>
    <row r="3760" spans="1:2">
      <c r="A3760" s="20"/>
      <c r="B3760" s="22"/>
    </row>
    <row r="3761" spans="1:2">
      <c r="A3761" s="20"/>
      <c r="B3761" s="22"/>
    </row>
    <row r="3762" spans="1:2">
      <c r="A3762" s="20"/>
      <c r="B3762" s="22"/>
    </row>
    <row r="3763" spans="1:2">
      <c r="A3763" s="20"/>
      <c r="B3763" s="22"/>
    </row>
    <row r="3764" spans="1:2">
      <c r="A3764" s="20"/>
      <c r="B3764" s="22"/>
    </row>
    <row r="3765" spans="1:2">
      <c r="A3765" s="20"/>
      <c r="B3765" s="22"/>
    </row>
    <row r="3766" spans="1:2">
      <c r="A3766" s="20"/>
      <c r="B3766" s="22"/>
    </row>
    <row r="3767" spans="1:2">
      <c r="A3767" s="20"/>
      <c r="B3767" s="22"/>
    </row>
    <row r="3768" spans="1:2">
      <c r="A3768" s="20"/>
      <c r="B3768" s="22"/>
    </row>
    <row r="3769" spans="1:2">
      <c r="A3769" s="20"/>
      <c r="B3769" s="22"/>
    </row>
    <row r="3770" spans="1:2">
      <c r="A3770" s="20"/>
      <c r="B3770" s="22"/>
    </row>
    <row r="3771" spans="1:2">
      <c r="A3771" s="20"/>
      <c r="B3771" s="22"/>
    </row>
    <row r="3772" spans="1:2">
      <c r="A3772" s="20"/>
      <c r="B3772" s="22"/>
    </row>
    <row r="3773" spans="1:2">
      <c r="A3773" s="20"/>
      <c r="B3773" s="22"/>
    </row>
    <row r="3774" spans="1:2">
      <c r="A3774" s="20"/>
      <c r="B3774" s="22"/>
    </row>
    <row r="3775" spans="1:2">
      <c r="A3775" s="20"/>
      <c r="B3775" s="22"/>
    </row>
    <row r="3776" spans="1:2">
      <c r="A3776" s="20"/>
      <c r="B3776" s="22"/>
    </row>
    <row r="3777" spans="1:2">
      <c r="A3777" s="20"/>
      <c r="B3777" s="22"/>
    </row>
    <row r="3778" spans="1:2">
      <c r="A3778" s="20"/>
      <c r="B3778" s="22"/>
    </row>
    <row r="3779" spans="1:2">
      <c r="A3779" s="20"/>
      <c r="B3779" s="22"/>
    </row>
    <row r="3780" spans="1:2">
      <c r="A3780" s="20"/>
      <c r="B3780" s="22"/>
    </row>
    <row r="3781" spans="1:2">
      <c r="A3781" s="20"/>
      <c r="B3781" s="22"/>
    </row>
    <row r="3782" spans="1:2">
      <c r="A3782" s="20"/>
      <c r="B3782" s="22"/>
    </row>
    <row r="3783" spans="1:2">
      <c r="A3783" s="20"/>
      <c r="B3783" s="22"/>
    </row>
    <row r="3784" spans="1:2">
      <c r="A3784" s="20"/>
      <c r="B3784" s="22"/>
    </row>
    <row r="3785" spans="1:2">
      <c r="A3785" s="20"/>
      <c r="B3785" s="22"/>
    </row>
    <row r="3786" spans="1:2">
      <c r="A3786" s="20"/>
      <c r="B3786" s="22"/>
    </row>
    <row r="3787" spans="1:2">
      <c r="A3787" s="20"/>
      <c r="B3787" s="22"/>
    </row>
    <row r="3788" spans="1:2">
      <c r="A3788" s="20"/>
      <c r="B3788" s="22"/>
    </row>
    <row r="3789" spans="1:2">
      <c r="A3789" s="20"/>
      <c r="B3789" s="22"/>
    </row>
    <row r="3790" spans="1:2">
      <c r="A3790" s="20"/>
      <c r="B3790" s="22"/>
    </row>
    <row r="3791" spans="1:2">
      <c r="A3791" s="20"/>
      <c r="B3791" s="22"/>
    </row>
    <row r="3792" spans="1:2">
      <c r="A3792" s="20"/>
      <c r="B3792" s="22"/>
    </row>
    <row r="3793" spans="1:2">
      <c r="A3793" s="20"/>
      <c r="B3793" s="22"/>
    </row>
    <row r="3794" spans="1:2">
      <c r="A3794" s="20"/>
      <c r="B3794" s="22"/>
    </row>
    <row r="3795" spans="1:2">
      <c r="A3795" s="20"/>
      <c r="B3795" s="22"/>
    </row>
    <row r="3796" spans="1:2">
      <c r="A3796" s="20"/>
      <c r="B3796" s="22"/>
    </row>
    <row r="3797" spans="1:2">
      <c r="A3797" s="20"/>
      <c r="B3797" s="22"/>
    </row>
    <row r="3798" spans="1:2">
      <c r="A3798" s="20"/>
      <c r="B3798" s="22"/>
    </row>
    <row r="3799" spans="1:2">
      <c r="A3799" s="20"/>
      <c r="B3799" s="22"/>
    </row>
    <row r="3800" spans="1:2">
      <c r="A3800" s="20"/>
      <c r="B3800" s="22"/>
    </row>
    <row r="3801" spans="1:2">
      <c r="A3801" s="20"/>
      <c r="B3801" s="22"/>
    </row>
    <row r="3802" spans="1:2">
      <c r="A3802" s="20"/>
      <c r="B3802" s="22"/>
    </row>
    <row r="3803" spans="1:2">
      <c r="A3803" s="20"/>
      <c r="B3803" s="22"/>
    </row>
    <row r="3804" spans="1:2">
      <c r="A3804" s="20"/>
      <c r="B3804" s="22"/>
    </row>
    <row r="3805" spans="1:2">
      <c r="A3805" s="20"/>
      <c r="B3805" s="22"/>
    </row>
    <row r="3806" spans="1:2">
      <c r="A3806" s="20"/>
      <c r="B3806" s="22"/>
    </row>
    <row r="3807" spans="1:2">
      <c r="A3807" s="20"/>
      <c r="B3807" s="22"/>
    </row>
    <row r="3808" spans="1:2">
      <c r="A3808" s="20"/>
      <c r="B3808" s="22"/>
    </row>
    <row r="3809" spans="1:2">
      <c r="A3809" s="20"/>
      <c r="B3809" s="22"/>
    </row>
    <row r="3810" spans="1:2">
      <c r="A3810" s="20"/>
      <c r="B3810" s="22"/>
    </row>
    <row r="3811" spans="1:2">
      <c r="A3811" s="20"/>
      <c r="B3811" s="22"/>
    </row>
    <row r="3812" spans="1:2">
      <c r="A3812" s="20"/>
      <c r="B3812" s="22"/>
    </row>
    <row r="3813" spans="1:2">
      <c r="A3813" s="20"/>
      <c r="B3813" s="22"/>
    </row>
    <row r="3814" spans="1:2">
      <c r="A3814" s="20"/>
      <c r="B3814" s="22"/>
    </row>
    <row r="3815" spans="1:2">
      <c r="A3815" s="20"/>
      <c r="B3815" s="22"/>
    </row>
    <row r="3816" spans="1:2">
      <c r="A3816" s="20"/>
      <c r="B3816" s="22"/>
    </row>
    <row r="3817" spans="1:2">
      <c r="A3817" s="20"/>
      <c r="B3817" s="22"/>
    </row>
    <row r="3818" spans="1:2">
      <c r="A3818" s="20"/>
      <c r="B3818" s="22"/>
    </row>
    <row r="3819" spans="1:2">
      <c r="A3819" s="20"/>
      <c r="B3819" s="22"/>
    </row>
    <row r="3820" spans="1:2">
      <c r="A3820" s="20"/>
      <c r="B3820" s="22"/>
    </row>
    <row r="3821" spans="1:2">
      <c r="A3821" s="20"/>
      <c r="B3821" s="22"/>
    </row>
    <row r="3822" spans="1:2">
      <c r="A3822" s="20"/>
      <c r="B3822" s="22"/>
    </row>
    <row r="3823" spans="1:2">
      <c r="A3823" s="20"/>
      <c r="B3823" s="22"/>
    </row>
    <row r="3824" spans="1:2">
      <c r="A3824" s="20"/>
      <c r="B3824" s="22"/>
    </row>
    <row r="3825" spans="1:2">
      <c r="A3825" s="20"/>
      <c r="B3825" s="22"/>
    </row>
    <row r="3826" spans="1:2">
      <c r="A3826" s="20"/>
      <c r="B3826" s="22"/>
    </row>
    <row r="3827" spans="1:2">
      <c r="A3827" s="20"/>
      <c r="B3827" s="22"/>
    </row>
    <row r="3828" spans="1:2">
      <c r="A3828" s="20"/>
      <c r="B3828" s="22"/>
    </row>
    <row r="3829" spans="1:2">
      <c r="A3829" s="20"/>
      <c r="B3829" s="22"/>
    </row>
    <row r="3830" spans="1:2">
      <c r="A3830" s="20"/>
      <c r="B3830" s="22"/>
    </row>
    <row r="3831" spans="1:2">
      <c r="A3831" s="20"/>
      <c r="B3831" s="22"/>
    </row>
    <row r="3832" spans="1:2">
      <c r="A3832" s="20"/>
      <c r="B3832" s="22"/>
    </row>
    <row r="3833" spans="1:2">
      <c r="A3833" s="20"/>
      <c r="B3833" s="22"/>
    </row>
    <row r="3834" spans="1:2">
      <c r="A3834" s="20"/>
      <c r="B3834" s="22"/>
    </row>
    <row r="3835" spans="1:2">
      <c r="A3835" s="20"/>
      <c r="B3835" s="22"/>
    </row>
    <row r="3836" spans="1:2">
      <c r="A3836" s="20"/>
      <c r="B3836" s="22"/>
    </row>
    <row r="3837" spans="1:2">
      <c r="A3837" s="20"/>
      <c r="B3837" s="22"/>
    </row>
    <row r="3838" spans="1:2">
      <c r="A3838" s="20"/>
      <c r="B3838" s="22"/>
    </row>
    <row r="3839" spans="1:2">
      <c r="A3839" s="20"/>
      <c r="B3839" s="22"/>
    </row>
    <row r="3840" spans="1:2">
      <c r="A3840" s="20"/>
      <c r="B3840" s="22"/>
    </row>
    <row r="3841" spans="1:2">
      <c r="A3841" s="20"/>
      <c r="B3841" s="22"/>
    </row>
    <row r="3842" spans="1:2">
      <c r="A3842" s="20"/>
      <c r="B3842" s="22"/>
    </row>
    <row r="3843" spans="1:2">
      <c r="A3843" s="20"/>
      <c r="B3843" s="22"/>
    </row>
    <row r="3844" spans="1:2">
      <c r="A3844" s="20"/>
      <c r="B3844" s="22"/>
    </row>
    <row r="3845" spans="1:2">
      <c r="A3845" s="20"/>
      <c r="B3845" s="22"/>
    </row>
    <row r="3846" spans="1:2">
      <c r="A3846" s="20"/>
      <c r="B3846" s="22"/>
    </row>
    <row r="3847" spans="1:2">
      <c r="A3847" s="20"/>
      <c r="B3847" s="22"/>
    </row>
    <row r="3848" spans="1:2">
      <c r="A3848" s="20"/>
      <c r="B3848" s="22"/>
    </row>
    <row r="3849" spans="1:2">
      <c r="A3849" s="20"/>
      <c r="B3849" s="22"/>
    </row>
    <row r="3850" spans="1:2">
      <c r="A3850" s="20"/>
      <c r="B3850" s="22"/>
    </row>
    <row r="3851" spans="1:2">
      <c r="A3851" s="20"/>
      <c r="B3851" s="22"/>
    </row>
    <row r="3852" spans="1:2">
      <c r="A3852" s="20"/>
      <c r="B3852" s="22"/>
    </row>
    <row r="3853" spans="1:2">
      <c r="A3853" s="20"/>
      <c r="B3853" s="22"/>
    </row>
    <row r="3854" spans="1:2">
      <c r="A3854" s="20"/>
      <c r="B3854" s="22"/>
    </row>
    <row r="3855" spans="1:2">
      <c r="A3855" s="20"/>
      <c r="B3855" s="22"/>
    </row>
    <row r="3856" spans="1:2">
      <c r="A3856" s="20"/>
      <c r="B3856" s="22"/>
    </row>
    <row r="3857" spans="1:2">
      <c r="A3857" s="20"/>
      <c r="B3857" s="22"/>
    </row>
    <row r="3858" spans="1:2">
      <c r="A3858" s="20"/>
      <c r="B3858" s="22"/>
    </row>
    <row r="3859" spans="1:2">
      <c r="A3859" s="20"/>
      <c r="B3859" s="22"/>
    </row>
    <row r="3860" spans="1:2">
      <c r="A3860" s="20"/>
      <c r="B3860" s="22"/>
    </row>
    <row r="3861" spans="1:2">
      <c r="A3861" s="20"/>
      <c r="B3861" s="22"/>
    </row>
    <row r="3862" spans="1:2">
      <c r="A3862" s="20"/>
      <c r="B3862" s="22"/>
    </row>
    <row r="3863" spans="1:2">
      <c r="A3863" s="20"/>
      <c r="B3863" s="22"/>
    </row>
    <row r="3864" spans="1:2">
      <c r="A3864" s="20"/>
      <c r="B3864" s="22"/>
    </row>
    <row r="3865" spans="1:2">
      <c r="A3865" s="20"/>
      <c r="B3865" s="22"/>
    </row>
    <row r="3866" spans="1:2">
      <c r="A3866" s="20"/>
      <c r="B3866" s="22"/>
    </row>
    <row r="3867" spans="1:2">
      <c r="A3867" s="20"/>
      <c r="B3867" s="22"/>
    </row>
    <row r="3868" spans="1:2">
      <c r="A3868" s="20"/>
      <c r="B3868" s="22"/>
    </row>
    <row r="3869" spans="1:2">
      <c r="A3869" s="20"/>
      <c r="B3869" s="22"/>
    </row>
    <row r="3870" spans="1:2">
      <c r="A3870" s="20"/>
      <c r="B3870" s="22"/>
    </row>
    <row r="3871" spans="1:2">
      <c r="A3871" s="20"/>
      <c r="B3871" s="22"/>
    </row>
    <row r="3872" spans="1:2">
      <c r="A3872" s="20"/>
      <c r="B3872" s="22"/>
    </row>
    <row r="3873" spans="1:2">
      <c r="A3873" s="20"/>
      <c r="B3873" s="22"/>
    </row>
    <row r="3874" spans="1:2">
      <c r="A3874" s="20"/>
      <c r="B3874" s="22"/>
    </row>
    <row r="3875" spans="1:2">
      <c r="A3875" s="20"/>
      <c r="B3875" s="22"/>
    </row>
    <row r="3876" spans="1:2">
      <c r="A3876" s="20"/>
      <c r="B3876" s="22"/>
    </row>
    <row r="3877" spans="1:2">
      <c r="A3877" s="20"/>
      <c r="B3877" s="22"/>
    </row>
    <row r="3878" spans="1:2">
      <c r="A3878" s="20"/>
      <c r="B3878" s="22"/>
    </row>
    <row r="3879" spans="1:2">
      <c r="A3879" s="20"/>
      <c r="B3879" s="22"/>
    </row>
    <row r="3880" spans="1:2">
      <c r="A3880" s="20"/>
      <c r="B3880" s="22"/>
    </row>
    <row r="3881" spans="1:2">
      <c r="A3881" s="20"/>
      <c r="B3881" s="22"/>
    </row>
    <row r="3882" spans="1:2">
      <c r="A3882" s="20"/>
      <c r="B3882" s="22"/>
    </row>
    <row r="3883" spans="1:2">
      <c r="A3883" s="20"/>
      <c r="B3883" s="22"/>
    </row>
    <row r="3884" spans="1:2">
      <c r="A3884" s="20"/>
      <c r="B3884" s="22"/>
    </row>
    <row r="3885" spans="1:2">
      <c r="A3885" s="20"/>
      <c r="B3885" s="22"/>
    </row>
    <row r="3886" spans="1:2">
      <c r="A3886" s="20"/>
      <c r="B3886" s="22"/>
    </row>
    <row r="3887" spans="1:2">
      <c r="A3887" s="20"/>
      <c r="B3887" s="22"/>
    </row>
    <row r="3888" spans="1:2">
      <c r="A3888" s="20"/>
      <c r="B3888" s="22"/>
    </row>
    <row r="3889" spans="1:2">
      <c r="A3889" s="20"/>
      <c r="B3889" s="22"/>
    </row>
    <row r="3890" spans="1:2">
      <c r="A3890" s="20"/>
      <c r="B3890" s="22"/>
    </row>
    <row r="3891" spans="1:2">
      <c r="A3891" s="20"/>
      <c r="B3891" s="22"/>
    </row>
    <row r="3892" spans="1:2">
      <c r="A3892" s="20"/>
      <c r="B3892" s="22"/>
    </row>
    <row r="3893" spans="1:2">
      <c r="A3893" s="20"/>
      <c r="B3893" s="22"/>
    </row>
    <row r="3894" spans="1:2">
      <c r="A3894" s="20"/>
      <c r="B3894" s="22"/>
    </row>
    <row r="3895" spans="1:2">
      <c r="A3895" s="20"/>
      <c r="B3895" s="22"/>
    </row>
    <row r="3896" spans="1:2">
      <c r="A3896" s="20"/>
      <c r="B3896" s="22"/>
    </row>
    <row r="3897" spans="1:2">
      <c r="A3897" s="20"/>
      <c r="B3897" s="22"/>
    </row>
    <row r="3898" spans="1:2">
      <c r="A3898" s="20"/>
      <c r="B3898" s="22"/>
    </row>
    <row r="3899" spans="1:2">
      <c r="A3899" s="20"/>
      <c r="B3899" s="22"/>
    </row>
    <row r="3900" spans="1:2">
      <c r="A3900" s="20"/>
      <c r="B3900" s="22"/>
    </row>
    <row r="3901" spans="1:2">
      <c r="A3901" s="20"/>
      <c r="B3901" s="22"/>
    </row>
    <row r="3902" spans="1:2">
      <c r="A3902" s="20"/>
      <c r="B3902" s="22"/>
    </row>
    <row r="3903" spans="1:2">
      <c r="A3903" s="20"/>
      <c r="B3903" s="22"/>
    </row>
    <row r="3904" spans="1:2">
      <c r="A3904" s="20"/>
      <c r="B3904" s="22"/>
    </row>
    <row r="3905" spans="1:2">
      <c r="A3905" s="20"/>
      <c r="B3905" s="22"/>
    </row>
    <row r="3906" spans="1:2">
      <c r="A3906" s="20"/>
      <c r="B3906" s="22"/>
    </row>
    <row r="3907" spans="1:2">
      <c r="A3907" s="20"/>
      <c r="B3907" s="22"/>
    </row>
    <row r="3908" spans="1:2">
      <c r="A3908" s="20"/>
      <c r="B3908" s="22"/>
    </row>
    <row r="3909" spans="1:2">
      <c r="A3909" s="20"/>
      <c r="B3909" s="22"/>
    </row>
    <row r="3910" spans="1:2">
      <c r="A3910" s="20"/>
      <c r="B3910" s="22"/>
    </row>
    <row r="3911" spans="1:2">
      <c r="A3911" s="20"/>
      <c r="B3911" s="22"/>
    </row>
    <row r="3912" spans="1:2">
      <c r="A3912" s="20"/>
      <c r="B3912" s="22"/>
    </row>
    <row r="3913" spans="1:2">
      <c r="A3913" s="20"/>
      <c r="B3913" s="22"/>
    </row>
    <row r="3914" spans="1:2">
      <c r="A3914" s="20"/>
      <c r="B3914" s="22"/>
    </row>
    <row r="3915" spans="1:2">
      <c r="A3915" s="20"/>
      <c r="B3915" s="22"/>
    </row>
    <row r="3916" spans="1:2">
      <c r="A3916" s="20"/>
      <c r="B3916" s="22"/>
    </row>
    <row r="3917" spans="1:2">
      <c r="A3917" s="20"/>
      <c r="B3917" s="22"/>
    </row>
    <row r="3918" spans="1:2">
      <c r="A3918" s="20"/>
      <c r="B3918" s="22"/>
    </row>
    <row r="3919" spans="1:2">
      <c r="A3919" s="20"/>
      <c r="B3919" s="22"/>
    </row>
    <row r="3920" spans="1:2">
      <c r="A3920" s="20"/>
      <c r="B3920" s="22"/>
    </row>
    <row r="3921" spans="1:2">
      <c r="A3921" s="20"/>
      <c r="B3921" s="22"/>
    </row>
    <row r="3922" spans="1:2">
      <c r="A3922" s="20"/>
      <c r="B3922" s="22"/>
    </row>
    <row r="3923" spans="1:2">
      <c r="A3923" s="20"/>
      <c r="B3923" s="22"/>
    </row>
    <row r="3924" spans="1:2">
      <c r="A3924" s="20"/>
      <c r="B3924" s="22"/>
    </row>
    <row r="3925" spans="1:2">
      <c r="A3925" s="20"/>
      <c r="B3925" s="22"/>
    </row>
    <row r="3926" spans="1:2">
      <c r="A3926" s="20"/>
      <c r="B3926" s="22"/>
    </row>
    <row r="3927" spans="1:2">
      <c r="A3927" s="20"/>
      <c r="B3927" s="22"/>
    </row>
    <row r="3928" spans="1:2">
      <c r="A3928" s="20"/>
      <c r="B3928" s="22"/>
    </row>
    <row r="3929" spans="1:2">
      <c r="A3929" s="20"/>
      <c r="B3929" s="22"/>
    </row>
    <row r="3930" spans="1:2">
      <c r="A3930" s="20"/>
      <c r="B3930" s="22"/>
    </row>
    <row r="3931" spans="1:2">
      <c r="A3931" s="20"/>
      <c r="B3931" s="22"/>
    </row>
    <row r="3932" spans="1:2">
      <c r="A3932" s="20"/>
      <c r="B3932" s="22"/>
    </row>
    <row r="3933" spans="1:2">
      <c r="A3933" s="20"/>
      <c r="B3933" s="22"/>
    </row>
    <row r="3934" spans="1:2">
      <c r="A3934" s="20"/>
      <c r="B3934" s="22"/>
    </row>
    <row r="3935" spans="1:2">
      <c r="A3935" s="20"/>
      <c r="B3935" s="22"/>
    </row>
    <row r="3936" spans="1:2">
      <c r="A3936" s="20"/>
      <c r="B3936" s="22"/>
    </row>
    <row r="3937" spans="1:2">
      <c r="A3937" s="20"/>
      <c r="B3937" s="22"/>
    </row>
    <row r="3938" spans="1:2">
      <c r="A3938" s="20"/>
      <c r="B3938" s="22"/>
    </row>
    <row r="3939" spans="1:2">
      <c r="A3939" s="20"/>
      <c r="B3939" s="22"/>
    </row>
    <row r="3940" spans="1:2">
      <c r="A3940" s="20"/>
      <c r="B3940" s="22"/>
    </row>
    <row r="3941" spans="1:2">
      <c r="A3941" s="20"/>
      <c r="B3941" s="22"/>
    </row>
    <row r="3942" spans="1:2">
      <c r="A3942" s="20"/>
      <c r="B3942" s="22"/>
    </row>
    <row r="3943" spans="1:2">
      <c r="A3943" s="20"/>
      <c r="B3943" s="22"/>
    </row>
    <row r="3944" spans="1:2">
      <c r="A3944" s="20"/>
      <c r="B3944" s="22"/>
    </row>
    <row r="3945" spans="1:2">
      <c r="A3945" s="20"/>
      <c r="B3945" s="22"/>
    </row>
    <row r="3946" spans="1:2">
      <c r="A3946" s="20"/>
      <c r="B3946" s="22"/>
    </row>
    <row r="3947" spans="1:2">
      <c r="A3947" s="20"/>
      <c r="B3947" s="22"/>
    </row>
    <row r="3948" spans="1:2">
      <c r="A3948" s="20"/>
      <c r="B3948" s="22"/>
    </row>
    <row r="3949" spans="1:2">
      <c r="A3949" s="20"/>
      <c r="B3949" s="22"/>
    </row>
    <row r="3950" spans="1:2">
      <c r="A3950" s="20"/>
      <c r="B3950" s="22"/>
    </row>
    <row r="3951" spans="1:2">
      <c r="A3951" s="20"/>
      <c r="B3951" s="22"/>
    </row>
    <row r="3952" spans="1:2">
      <c r="A3952" s="20"/>
      <c r="B3952" s="22"/>
    </row>
    <row r="3953" spans="1:2">
      <c r="A3953" s="20"/>
      <c r="B3953" s="22"/>
    </row>
    <row r="3954" spans="1:2">
      <c r="A3954" s="20"/>
      <c r="B3954" s="22"/>
    </row>
    <row r="3955" spans="1:2">
      <c r="A3955" s="20"/>
      <c r="B3955" s="22"/>
    </row>
    <row r="3956" spans="1:2">
      <c r="A3956" s="20"/>
      <c r="B3956" s="22"/>
    </row>
    <row r="3957" spans="1:2">
      <c r="A3957" s="20"/>
      <c r="B3957" s="22"/>
    </row>
    <row r="3958" spans="1:2">
      <c r="A3958" s="20"/>
      <c r="B3958" s="22"/>
    </row>
    <row r="3959" spans="1:2">
      <c r="A3959" s="20"/>
      <c r="B3959" s="22"/>
    </row>
    <row r="3960" spans="1:2">
      <c r="A3960" s="20"/>
      <c r="B3960" s="22"/>
    </row>
    <row r="3961" spans="1:2">
      <c r="A3961" s="20"/>
      <c r="B3961" s="22"/>
    </row>
    <row r="3962" spans="1:2">
      <c r="A3962" s="20"/>
      <c r="B3962" s="22"/>
    </row>
    <row r="3963" spans="1:2">
      <c r="A3963" s="20"/>
      <c r="B3963" s="22"/>
    </row>
    <row r="3964" spans="1:2">
      <c r="A3964" s="20"/>
      <c r="B3964" s="22"/>
    </row>
    <row r="3965" spans="1:2">
      <c r="A3965" s="20"/>
      <c r="B3965" s="22"/>
    </row>
    <row r="3966" spans="1:2">
      <c r="A3966" s="20"/>
      <c r="B3966" s="22"/>
    </row>
    <row r="3967" spans="1:2">
      <c r="A3967" s="20"/>
      <c r="B3967" s="22"/>
    </row>
    <row r="3968" spans="1:2">
      <c r="A3968" s="20"/>
      <c r="B3968" s="22"/>
    </row>
    <row r="3969" spans="1:2">
      <c r="A3969" s="20"/>
      <c r="B3969" s="22"/>
    </row>
    <row r="3970" spans="1:2">
      <c r="A3970" s="20"/>
      <c r="B3970" s="22"/>
    </row>
    <row r="3971" spans="1:2">
      <c r="A3971" s="20"/>
      <c r="B3971" s="22"/>
    </row>
    <row r="3972" spans="1:2">
      <c r="A3972" s="20"/>
      <c r="B3972" s="22"/>
    </row>
    <row r="3973" spans="1:2">
      <c r="A3973" s="20"/>
      <c r="B3973" s="22"/>
    </row>
    <row r="3974" spans="1:2">
      <c r="A3974" s="20"/>
      <c r="B3974" s="22"/>
    </row>
    <row r="3975" spans="1:2">
      <c r="A3975" s="20"/>
      <c r="B3975" s="22"/>
    </row>
    <row r="3976" spans="1:2">
      <c r="A3976" s="20"/>
      <c r="B3976" s="22"/>
    </row>
    <row r="3977" spans="1:2">
      <c r="A3977" s="20"/>
      <c r="B3977" s="22"/>
    </row>
    <row r="3978" spans="1:2">
      <c r="A3978" s="20"/>
      <c r="B3978" s="22"/>
    </row>
    <row r="3979" spans="1:2">
      <c r="A3979" s="20"/>
      <c r="B3979" s="22"/>
    </row>
    <row r="3980" spans="1:2">
      <c r="A3980" s="20"/>
      <c r="B3980" s="22"/>
    </row>
    <row r="3981" spans="1:2">
      <c r="A3981" s="20"/>
      <c r="B3981" s="22"/>
    </row>
    <row r="3982" spans="1:2">
      <c r="A3982" s="20"/>
      <c r="B3982" s="22"/>
    </row>
    <row r="3983" spans="1:2">
      <c r="A3983" s="20"/>
      <c r="B3983" s="22"/>
    </row>
    <row r="3984" spans="1:2">
      <c r="A3984" s="20"/>
      <c r="B3984" s="22"/>
    </row>
    <row r="3985" spans="1:2">
      <c r="A3985" s="20"/>
      <c r="B3985" s="22"/>
    </row>
    <row r="3986" spans="1:2">
      <c r="A3986" s="20"/>
      <c r="B3986" s="22"/>
    </row>
    <row r="3987" spans="1:2">
      <c r="A3987" s="20"/>
      <c r="B3987" s="22"/>
    </row>
    <row r="3988" spans="1:2">
      <c r="A3988" s="20"/>
      <c r="B3988" s="22"/>
    </row>
    <row r="3989" spans="1:2">
      <c r="A3989" s="20"/>
      <c r="B3989" s="22"/>
    </row>
    <row r="3990" spans="1:2">
      <c r="A3990" s="20"/>
      <c r="B3990" s="22"/>
    </row>
    <row r="3991" spans="1:2">
      <c r="A3991" s="20"/>
      <c r="B3991" s="22"/>
    </row>
    <row r="3992" spans="1:2">
      <c r="A3992" s="20"/>
      <c r="B3992" s="22"/>
    </row>
    <row r="3993" spans="1:2">
      <c r="A3993" s="20"/>
      <c r="B3993" s="22"/>
    </row>
    <row r="3994" spans="1:2">
      <c r="A3994" s="20"/>
      <c r="B3994" s="22"/>
    </row>
    <row r="3995" spans="1:2">
      <c r="A3995" s="20"/>
      <c r="B3995" s="22"/>
    </row>
    <row r="3996" spans="1:2">
      <c r="A3996" s="20"/>
      <c r="B3996" s="22"/>
    </row>
    <row r="3997" spans="1:2">
      <c r="A3997" s="20"/>
      <c r="B3997" s="22"/>
    </row>
    <row r="3998" spans="1:2">
      <c r="A3998" s="20"/>
      <c r="B3998" s="22"/>
    </row>
    <row r="3999" spans="1:2">
      <c r="A3999" s="20"/>
      <c r="B3999" s="22"/>
    </row>
    <row r="4000" spans="1:2">
      <c r="A4000" s="20"/>
      <c r="B4000" s="22"/>
    </row>
    <row r="4001" spans="1:2">
      <c r="A4001" s="20"/>
      <c r="B4001" s="22"/>
    </row>
    <row r="4002" spans="1:2">
      <c r="A4002" s="20"/>
      <c r="B4002" s="22"/>
    </row>
    <row r="4003" spans="1:2">
      <c r="A4003" s="20"/>
      <c r="B4003" s="22"/>
    </row>
    <row r="4004" spans="1:2">
      <c r="A4004" s="20"/>
      <c r="B4004" s="22"/>
    </row>
    <row r="4005" spans="1:2">
      <c r="A4005" s="20"/>
      <c r="B4005" s="22"/>
    </row>
    <row r="4006" spans="1:2">
      <c r="A4006" s="20"/>
      <c r="B4006" s="22"/>
    </row>
    <row r="4007" spans="1:2">
      <c r="A4007" s="20"/>
      <c r="B4007" s="22"/>
    </row>
    <row r="4008" spans="1:2">
      <c r="A4008" s="20"/>
      <c r="B4008" s="22"/>
    </row>
    <row r="4009" spans="1:2">
      <c r="A4009" s="20"/>
      <c r="B4009" s="22"/>
    </row>
    <row r="4010" spans="1:2">
      <c r="A4010" s="20"/>
      <c r="B4010" s="22"/>
    </row>
    <row r="4011" spans="1:2">
      <c r="A4011" s="20"/>
      <c r="B4011" s="22"/>
    </row>
    <row r="4012" spans="1:2">
      <c r="A4012" s="20"/>
      <c r="B4012" s="22"/>
    </row>
    <row r="4013" spans="1:2">
      <c r="A4013" s="20"/>
      <c r="B4013" s="22"/>
    </row>
    <row r="4014" spans="1:2">
      <c r="A4014" s="20"/>
      <c r="B4014" s="22"/>
    </row>
    <row r="4015" spans="1:2">
      <c r="A4015" s="20"/>
      <c r="B4015" s="22"/>
    </row>
    <row r="4016" spans="1:2">
      <c r="A4016" s="20"/>
      <c r="B4016" s="22"/>
    </row>
    <row r="4017" spans="1:2">
      <c r="A4017" s="20"/>
      <c r="B4017" s="22"/>
    </row>
    <row r="4018" spans="1:2">
      <c r="A4018" s="20"/>
      <c r="B4018" s="22"/>
    </row>
    <row r="4019" spans="1:2">
      <c r="A4019" s="20"/>
      <c r="B4019" s="22"/>
    </row>
    <row r="4020" spans="1:2">
      <c r="A4020" s="20"/>
      <c r="B4020" s="22"/>
    </row>
    <row r="4021" spans="1:2">
      <c r="A4021" s="20"/>
      <c r="B4021" s="22"/>
    </row>
    <row r="4022" spans="1:2">
      <c r="A4022" s="20"/>
      <c r="B4022" s="22"/>
    </row>
    <row r="4023" spans="1:2">
      <c r="A4023" s="20"/>
      <c r="B4023" s="22"/>
    </row>
    <row r="4024" spans="1:2">
      <c r="A4024" s="20"/>
      <c r="B4024" s="22"/>
    </row>
    <row r="4025" spans="1:2">
      <c r="A4025" s="20"/>
      <c r="B4025" s="22"/>
    </row>
    <row r="4026" spans="1:2">
      <c r="A4026" s="20"/>
      <c r="B4026" s="22"/>
    </row>
    <row r="4027" spans="1:2">
      <c r="A4027" s="20"/>
      <c r="B4027" s="22"/>
    </row>
    <row r="4028" spans="1:2">
      <c r="A4028" s="20"/>
      <c r="B4028" s="22"/>
    </row>
    <row r="4029" spans="1:2">
      <c r="A4029" s="20"/>
      <c r="B4029" s="22"/>
    </row>
    <row r="4030" spans="1:2">
      <c r="A4030" s="20"/>
      <c r="B4030" s="22"/>
    </row>
    <row r="4031" spans="1:2">
      <c r="A4031" s="20"/>
      <c r="B4031" s="22"/>
    </row>
    <row r="4032" spans="1:2">
      <c r="A4032" s="20"/>
      <c r="B4032" s="22"/>
    </row>
    <row r="4033" spans="1:2">
      <c r="A4033" s="20"/>
      <c r="B4033" s="22"/>
    </row>
    <row r="4034" spans="1:2">
      <c r="A4034" s="20"/>
      <c r="B4034" s="22"/>
    </row>
    <row r="4035" spans="1:2">
      <c r="A4035" s="20"/>
      <c r="B4035" s="22"/>
    </row>
    <row r="4036" spans="1:2">
      <c r="A4036" s="20"/>
      <c r="B4036" s="22"/>
    </row>
    <row r="4037" spans="1:2">
      <c r="A4037" s="20"/>
      <c r="B4037" s="22"/>
    </row>
    <row r="4038" spans="1:2">
      <c r="A4038" s="20"/>
      <c r="B4038" s="22"/>
    </row>
    <row r="4039" spans="1:2">
      <c r="A4039" s="20"/>
      <c r="B4039" s="22"/>
    </row>
    <row r="4040" spans="1:2">
      <c r="A4040" s="20"/>
      <c r="B4040" s="22"/>
    </row>
    <row r="4041" spans="1:2">
      <c r="A4041" s="20"/>
      <c r="B4041" s="22"/>
    </row>
    <row r="4042" spans="1:2">
      <c r="A4042" s="20"/>
      <c r="B4042" s="22"/>
    </row>
    <row r="4043" spans="1:2">
      <c r="A4043" s="20"/>
      <c r="B4043" s="22"/>
    </row>
    <row r="4044" spans="1:2">
      <c r="A4044" s="20"/>
      <c r="B4044" s="22"/>
    </row>
    <row r="4045" spans="1:2">
      <c r="A4045" s="20"/>
      <c r="B4045" s="22"/>
    </row>
    <row r="4046" spans="1:2">
      <c r="A4046" s="20"/>
      <c r="B4046" s="22"/>
    </row>
    <row r="4047" spans="1:2">
      <c r="A4047" s="20"/>
      <c r="B4047" s="22"/>
    </row>
    <row r="4048" spans="1:2">
      <c r="A4048" s="20"/>
      <c r="B4048" s="22"/>
    </row>
    <row r="4049" spans="1:2">
      <c r="A4049" s="20"/>
      <c r="B4049" s="22"/>
    </row>
    <row r="4050" spans="1:2">
      <c r="A4050" s="20"/>
      <c r="B4050" s="22"/>
    </row>
    <row r="4051" spans="1:2">
      <c r="A4051" s="20"/>
      <c r="B4051" s="22"/>
    </row>
    <row r="4052" spans="1:2">
      <c r="A4052" s="20"/>
      <c r="B4052" s="22"/>
    </row>
    <row r="4053" spans="1:2">
      <c r="A4053" s="20"/>
      <c r="B4053" s="22"/>
    </row>
    <row r="4054" spans="1:2">
      <c r="A4054" s="20"/>
      <c r="B4054" s="22"/>
    </row>
    <row r="4055" spans="1:2">
      <c r="A4055" s="20"/>
      <c r="B4055" s="22"/>
    </row>
    <row r="4056" spans="1:2">
      <c r="A4056" s="20"/>
      <c r="B4056" s="22"/>
    </row>
    <row r="4057" spans="1:2">
      <c r="A4057" s="20"/>
      <c r="B4057" s="22"/>
    </row>
    <row r="4058" spans="1:2">
      <c r="A4058" s="20"/>
      <c r="B4058" s="22"/>
    </row>
    <row r="4059" spans="1:2">
      <c r="A4059" s="20"/>
      <c r="B4059" s="22"/>
    </row>
    <row r="4060" spans="1:2">
      <c r="A4060" s="20"/>
      <c r="B4060" s="22"/>
    </row>
    <row r="4061" spans="1:2">
      <c r="A4061" s="20"/>
      <c r="B4061" s="22"/>
    </row>
    <row r="4062" spans="1:2">
      <c r="A4062" s="20"/>
      <c r="B4062" s="22"/>
    </row>
    <row r="4063" spans="1:2">
      <c r="A4063" s="20"/>
      <c r="B4063" s="22"/>
    </row>
    <row r="4064" spans="1:2">
      <c r="A4064" s="20"/>
      <c r="B4064" s="22"/>
    </row>
    <row r="4065" spans="1:2">
      <c r="A4065" s="20"/>
      <c r="B4065" s="22"/>
    </row>
    <row r="4066" spans="1:2">
      <c r="A4066" s="20"/>
      <c r="B4066" s="22"/>
    </row>
    <row r="4067" spans="1:2">
      <c r="A4067" s="20"/>
      <c r="B4067" s="22"/>
    </row>
    <row r="4068" spans="1:2">
      <c r="A4068" s="20"/>
      <c r="B4068" s="22"/>
    </row>
    <row r="4069" spans="1:2">
      <c r="A4069" s="20"/>
      <c r="B4069" s="22"/>
    </row>
    <row r="4070" spans="1:2">
      <c r="A4070" s="20"/>
      <c r="B4070" s="22"/>
    </row>
    <row r="4071" spans="1:2">
      <c r="A4071" s="20"/>
      <c r="B4071" s="22"/>
    </row>
    <row r="4072" spans="1:2">
      <c r="A4072" s="20"/>
      <c r="B4072" s="22"/>
    </row>
    <row r="4073" spans="1:2">
      <c r="A4073" s="20"/>
      <c r="B4073" s="22"/>
    </row>
    <row r="4074" spans="1:2">
      <c r="A4074" s="20"/>
      <c r="B4074" s="22"/>
    </row>
    <row r="4075" spans="1:2">
      <c r="A4075" s="20"/>
      <c r="B4075" s="22"/>
    </row>
    <row r="4076" spans="1:2">
      <c r="A4076" s="20"/>
      <c r="B4076" s="22"/>
    </row>
    <row r="4077" spans="1:2">
      <c r="A4077" s="20"/>
      <c r="B4077" s="22"/>
    </row>
    <row r="4078" spans="1:2">
      <c r="A4078" s="20"/>
      <c r="B4078" s="22"/>
    </row>
    <row r="4079" spans="1:2">
      <c r="A4079" s="20"/>
      <c r="B4079" s="22"/>
    </row>
    <row r="4080" spans="1:2">
      <c r="A4080" s="20"/>
      <c r="B4080" s="22"/>
    </row>
    <row r="4081" spans="1:2">
      <c r="A4081" s="20"/>
      <c r="B4081" s="22"/>
    </row>
    <row r="4082" spans="1:2">
      <c r="A4082" s="20"/>
      <c r="B4082" s="22"/>
    </row>
    <row r="4083" spans="1:2">
      <c r="A4083" s="20"/>
      <c r="B4083" s="22"/>
    </row>
    <row r="4084" spans="1:2">
      <c r="A4084" s="20"/>
      <c r="B4084" s="22"/>
    </row>
    <row r="4085" spans="1:2">
      <c r="A4085" s="20"/>
      <c r="B4085" s="22"/>
    </row>
    <row r="4086" spans="1:2">
      <c r="A4086" s="20"/>
      <c r="B4086" s="22"/>
    </row>
    <row r="4087" spans="1:2">
      <c r="A4087" s="20"/>
      <c r="B4087" s="22"/>
    </row>
    <row r="4088" spans="1:2">
      <c r="A4088" s="20"/>
      <c r="B4088" s="22"/>
    </row>
    <row r="4089" spans="1:2">
      <c r="A4089" s="20"/>
      <c r="B4089" s="22"/>
    </row>
    <row r="4090" spans="1:2">
      <c r="A4090" s="20"/>
      <c r="B4090" s="22"/>
    </row>
    <row r="4091" spans="1:2">
      <c r="A4091" s="20"/>
      <c r="B4091" s="22"/>
    </row>
    <row r="4092" spans="1:2">
      <c r="A4092" s="20"/>
      <c r="B4092" s="22"/>
    </row>
    <row r="4093" spans="1:2">
      <c r="A4093" s="20"/>
      <c r="B4093" s="22"/>
    </row>
    <row r="4094" spans="1:2">
      <c r="A4094" s="20"/>
      <c r="B4094" s="22"/>
    </row>
    <row r="4095" spans="1:2">
      <c r="A4095" s="20"/>
      <c r="B4095" s="22"/>
    </row>
    <row r="4096" spans="1:2">
      <c r="A4096" s="20"/>
      <c r="B4096" s="22"/>
    </row>
    <row r="4097" spans="1:2">
      <c r="A4097" s="20"/>
      <c r="B4097" s="22"/>
    </row>
    <row r="4098" spans="1:2">
      <c r="A4098" s="20"/>
      <c r="B4098" s="22"/>
    </row>
    <row r="4099" spans="1:2">
      <c r="A4099" s="20"/>
      <c r="B4099" s="22"/>
    </row>
    <row r="4100" spans="1:2">
      <c r="A4100" s="20"/>
      <c r="B4100" s="22"/>
    </row>
    <row r="4101" spans="1:2">
      <c r="A4101" s="20"/>
      <c r="B4101" s="22"/>
    </row>
    <row r="4102" spans="1:2">
      <c r="A4102" s="20"/>
      <c r="B4102" s="22"/>
    </row>
    <row r="4103" spans="1:2">
      <c r="A4103" s="20"/>
      <c r="B4103" s="22"/>
    </row>
    <row r="4104" spans="1:2">
      <c r="A4104" s="20"/>
      <c r="B4104" s="22"/>
    </row>
    <row r="4105" spans="1:2">
      <c r="A4105" s="20"/>
      <c r="B4105" s="22"/>
    </row>
    <row r="4106" spans="1:2">
      <c r="A4106" s="20"/>
      <c r="B4106" s="22"/>
    </row>
    <row r="4107" spans="1:2">
      <c r="A4107" s="20"/>
      <c r="B4107" s="22"/>
    </row>
    <row r="4108" spans="1:2">
      <c r="A4108" s="20"/>
      <c r="B4108" s="22"/>
    </row>
    <row r="4109" spans="1:2">
      <c r="A4109" s="20"/>
      <c r="B4109" s="22"/>
    </row>
    <row r="4110" spans="1:2">
      <c r="A4110" s="20"/>
      <c r="B4110" s="22"/>
    </row>
    <row r="4111" spans="1:2">
      <c r="A4111" s="20"/>
      <c r="B4111" s="22"/>
    </row>
    <row r="4112" spans="1:2">
      <c r="A4112" s="20"/>
      <c r="B4112" s="22"/>
    </row>
    <row r="4113" spans="1:2">
      <c r="A4113" s="20"/>
      <c r="B4113" s="22"/>
    </row>
    <row r="4114" spans="1:2">
      <c r="A4114" s="20"/>
      <c r="B4114" s="22"/>
    </row>
    <row r="4115" spans="1:2">
      <c r="A4115" s="20"/>
      <c r="B4115" s="22"/>
    </row>
    <row r="4116" spans="1:2">
      <c r="A4116" s="20"/>
      <c r="B4116" s="22"/>
    </row>
    <row r="4117" spans="1:2">
      <c r="A4117" s="20"/>
      <c r="B4117" s="22"/>
    </row>
    <row r="4118" spans="1:2">
      <c r="A4118" s="20"/>
      <c r="B4118" s="22"/>
    </row>
    <row r="4119" spans="1:2">
      <c r="A4119" s="20"/>
      <c r="B4119" s="22"/>
    </row>
    <row r="4120" spans="1:2">
      <c r="A4120" s="20"/>
      <c r="B4120" s="22"/>
    </row>
    <row r="4121" spans="1:2">
      <c r="A4121" s="20"/>
      <c r="B4121" s="22"/>
    </row>
    <row r="4122" spans="1:2">
      <c r="A4122" s="20"/>
      <c r="B4122" s="22"/>
    </row>
    <row r="4123" spans="1:2">
      <c r="A4123" s="20"/>
      <c r="B4123" s="22"/>
    </row>
    <row r="4124" spans="1:2">
      <c r="A4124" s="20"/>
      <c r="B4124" s="22"/>
    </row>
    <row r="4125" spans="1:2">
      <c r="A4125" s="20"/>
      <c r="B4125" s="22"/>
    </row>
    <row r="4126" spans="1:2">
      <c r="A4126" s="20"/>
      <c r="B4126" s="22"/>
    </row>
    <row r="4127" spans="1:2">
      <c r="A4127" s="20"/>
      <c r="B4127" s="22"/>
    </row>
    <row r="4128" spans="1:2">
      <c r="A4128" s="20"/>
      <c r="B4128" s="22"/>
    </row>
    <row r="4129" spans="1:2">
      <c r="A4129" s="20"/>
      <c r="B4129" s="22"/>
    </row>
    <row r="4130" spans="1:2">
      <c r="A4130" s="20"/>
      <c r="B4130" s="22"/>
    </row>
    <row r="4131" spans="1:2">
      <c r="A4131" s="20"/>
      <c r="B4131" s="22"/>
    </row>
    <row r="4132" spans="1:2">
      <c r="A4132" s="20"/>
      <c r="B4132" s="22"/>
    </row>
    <row r="4133" spans="1:2">
      <c r="A4133" s="20"/>
      <c r="B4133" s="22"/>
    </row>
    <row r="4134" spans="1:2">
      <c r="A4134" s="20"/>
      <c r="B4134" s="22"/>
    </row>
    <row r="4135" spans="1:2">
      <c r="A4135" s="20"/>
      <c r="B4135" s="22"/>
    </row>
    <row r="4136" spans="1:2">
      <c r="A4136" s="20"/>
      <c r="B4136" s="22"/>
    </row>
    <row r="4137" spans="1:2">
      <c r="A4137" s="20"/>
      <c r="B4137" s="22"/>
    </row>
    <row r="4138" spans="1:2">
      <c r="A4138" s="20"/>
      <c r="B4138" s="22"/>
    </row>
    <row r="4139" spans="1:2">
      <c r="A4139" s="20"/>
      <c r="B4139" s="22"/>
    </row>
    <row r="4140" spans="1:2">
      <c r="A4140" s="20"/>
      <c r="B4140" s="22"/>
    </row>
    <row r="4141" spans="1:2">
      <c r="A4141" s="20"/>
      <c r="B4141" s="22"/>
    </row>
    <row r="4142" spans="1:2">
      <c r="A4142" s="20"/>
      <c r="B4142" s="22"/>
    </row>
    <row r="4143" spans="1:2">
      <c r="A4143" s="20"/>
      <c r="B4143" s="22"/>
    </row>
    <row r="4144" spans="1:2">
      <c r="A4144" s="20"/>
      <c r="B4144" s="22"/>
    </row>
    <row r="4145" spans="1:2">
      <c r="A4145" s="20"/>
      <c r="B4145" s="22"/>
    </row>
    <row r="4146" spans="1:2">
      <c r="A4146" s="20"/>
      <c r="B4146" s="22"/>
    </row>
    <row r="4147" spans="1:2">
      <c r="A4147" s="20"/>
      <c r="B4147" s="22"/>
    </row>
    <row r="4148" spans="1:2">
      <c r="A4148" s="20"/>
      <c r="B4148" s="22"/>
    </row>
    <row r="4149" spans="1:2">
      <c r="A4149" s="20"/>
      <c r="B4149" s="22"/>
    </row>
    <row r="4150" spans="1:2">
      <c r="A4150" s="20"/>
      <c r="B4150" s="22"/>
    </row>
    <row r="4151" spans="1:2">
      <c r="A4151" s="20"/>
      <c r="B4151" s="22"/>
    </row>
    <row r="4152" spans="1:2">
      <c r="A4152" s="20"/>
      <c r="B4152" s="22"/>
    </row>
    <row r="4153" spans="1:2">
      <c r="A4153" s="20"/>
      <c r="B4153" s="22"/>
    </row>
    <row r="4154" spans="1:2">
      <c r="A4154" s="20"/>
      <c r="B4154" s="22"/>
    </row>
    <row r="4155" spans="1:2">
      <c r="A4155" s="20"/>
      <c r="B4155" s="22"/>
    </row>
    <row r="4156" spans="1:2">
      <c r="A4156" s="20"/>
      <c r="B4156" s="22"/>
    </row>
    <row r="4157" spans="1:2">
      <c r="A4157" s="20"/>
      <c r="B4157" s="22"/>
    </row>
    <row r="4158" spans="1:2">
      <c r="A4158" s="20"/>
      <c r="B4158" s="22"/>
    </row>
    <row r="4159" spans="1:2">
      <c r="A4159" s="20"/>
      <c r="B4159" s="22"/>
    </row>
    <row r="4160" spans="1:2">
      <c r="A4160" s="20"/>
      <c r="B4160" s="22"/>
    </row>
    <row r="4161" spans="1:2">
      <c r="A4161" s="20"/>
      <c r="B4161" s="22"/>
    </row>
    <row r="4162" spans="1:2">
      <c r="A4162" s="20"/>
      <c r="B4162" s="22"/>
    </row>
    <row r="4163" spans="1:2">
      <c r="A4163" s="20"/>
      <c r="B4163" s="22"/>
    </row>
    <row r="4164" spans="1:2">
      <c r="A4164" s="20"/>
      <c r="B4164" s="22"/>
    </row>
    <row r="4165" spans="1:2">
      <c r="A4165" s="20"/>
      <c r="B4165" s="22"/>
    </row>
    <row r="4166" spans="1:2">
      <c r="A4166" s="20"/>
      <c r="B4166" s="22"/>
    </row>
    <row r="4167" spans="1:2">
      <c r="A4167" s="20"/>
      <c r="B4167" s="22"/>
    </row>
    <row r="4168" spans="1:2">
      <c r="A4168" s="20"/>
      <c r="B4168" s="22"/>
    </row>
    <row r="4169" spans="1:2">
      <c r="A4169" s="20"/>
      <c r="B4169" s="22"/>
    </row>
    <row r="4170" spans="1:2">
      <c r="A4170" s="20"/>
      <c r="B4170" s="22"/>
    </row>
    <row r="4171" spans="1:2">
      <c r="A4171" s="20"/>
      <c r="B4171" s="22"/>
    </row>
    <row r="4172" spans="1:2">
      <c r="A4172" s="20"/>
      <c r="B4172" s="22"/>
    </row>
    <row r="4173" spans="1:2">
      <c r="A4173" s="20"/>
      <c r="B4173" s="22"/>
    </row>
    <row r="4174" spans="1:2">
      <c r="A4174" s="20"/>
      <c r="B4174" s="22"/>
    </row>
    <row r="4175" spans="1:2">
      <c r="A4175" s="20"/>
      <c r="B4175" s="22"/>
    </row>
    <row r="4176" spans="1:2">
      <c r="A4176" s="20"/>
      <c r="B4176" s="22"/>
    </row>
    <row r="4177" spans="1:2">
      <c r="A4177" s="20"/>
      <c r="B4177" s="22"/>
    </row>
    <row r="4178" spans="1:2">
      <c r="A4178" s="20"/>
      <c r="B4178" s="22"/>
    </row>
    <row r="4179" spans="1:2">
      <c r="A4179" s="20"/>
      <c r="B4179" s="22"/>
    </row>
    <row r="4180" spans="1:2">
      <c r="A4180" s="20"/>
      <c r="B4180" s="22"/>
    </row>
    <row r="4181" spans="1:2">
      <c r="A4181" s="20"/>
      <c r="B4181" s="22"/>
    </row>
    <row r="4182" spans="1:2">
      <c r="A4182" s="20"/>
      <c r="B4182" s="22"/>
    </row>
    <row r="4183" spans="1:2">
      <c r="A4183" s="20"/>
      <c r="B4183" s="22"/>
    </row>
    <row r="4184" spans="1:2">
      <c r="A4184" s="20"/>
      <c r="B4184" s="22"/>
    </row>
    <row r="4185" spans="1:2">
      <c r="A4185" s="20"/>
      <c r="B4185" s="22"/>
    </row>
    <row r="4186" spans="1:2">
      <c r="A4186" s="20"/>
      <c r="B4186" s="22"/>
    </row>
    <row r="4187" spans="1:2">
      <c r="A4187" s="20"/>
      <c r="B4187" s="22"/>
    </row>
    <row r="4188" spans="1:2">
      <c r="A4188" s="20"/>
      <c r="B4188" s="22"/>
    </row>
    <row r="4189" spans="1:2">
      <c r="A4189" s="20"/>
      <c r="B4189" s="22"/>
    </row>
    <row r="4190" spans="1:2">
      <c r="A4190" s="20"/>
      <c r="B4190" s="22"/>
    </row>
    <row r="4191" spans="1:2">
      <c r="A4191" s="20"/>
      <c r="B4191" s="22"/>
    </row>
    <row r="4192" spans="1:2">
      <c r="A4192" s="20"/>
      <c r="B4192" s="22"/>
    </row>
    <row r="4193" spans="1:2">
      <c r="A4193" s="20"/>
      <c r="B4193" s="22"/>
    </row>
    <row r="4194" spans="1:2">
      <c r="A4194" s="20"/>
      <c r="B4194" s="22"/>
    </row>
    <row r="4195" spans="1:2">
      <c r="A4195" s="20"/>
      <c r="B4195" s="22"/>
    </row>
    <row r="4196" spans="1:2">
      <c r="A4196" s="20"/>
      <c r="B4196" s="22"/>
    </row>
    <row r="4197" spans="1:2">
      <c r="A4197" s="20"/>
      <c r="B4197" s="22"/>
    </row>
    <row r="4198" spans="1:2">
      <c r="A4198" s="20"/>
      <c r="B4198" s="22"/>
    </row>
    <row r="4199" spans="1:2">
      <c r="A4199" s="20"/>
      <c r="B4199" s="22"/>
    </row>
    <row r="4200" spans="1:2">
      <c r="A4200" s="20"/>
      <c r="B4200" s="22"/>
    </row>
    <row r="4201" spans="1:2">
      <c r="A4201" s="20"/>
      <c r="B4201" s="22"/>
    </row>
    <row r="4202" spans="1:2">
      <c r="A4202" s="20"/>
      <c r="B4202" s="22"/>
    </row>
    <row r="4203" spans="1:2">
      <c r="A4203" s="20"/>
      <c r="B4203" s="22"/>
    </row>
    <row r="4204" spans="1:2">
      <c r="A4204" s="20"/>
      <c r="B4204" s="22"/>
    </row>
    <row r="4205" spans="1:2">
      <c r="A4205" s="20"/>
      <c r="B4205" s="22"/>
    </row>
    <row r="4206" spans="1:2">
      <c r="A4206" s="20"/>
      <c r="B4206" s="22"/>
    </row>
    <row r="4207" spans="1:2">
      <c r="A4207" s="20"/>
      <c r="B4207" s="22"/>
    </row>
    <row r="4208" spans="1:2">
      <c r="A4208" s="20"/>
      <c r="B4208" s="22"/>
    </row>
    <row r="4209" spans="1:2">
      <c r="A4209" s="20"/>
      <c r="B4209" s="22"/>
    </row>
    <row r="4210" spans="1:2">
      <c r="A4210" s="20"/>
      <c r="B4210" s="22"/>
    </row>
    <row r="4211" spans="1:2">
      <c r="A4211" s="20"/>
      <c r="B4211" s="22"/>
    </row>
    <row r="4212" spans="1:2">
      <c r="A4212" s="20"/>
      <c r="B4212" s="22"/>
    </row>
    <row r="4213" spans="1:2">
      <c r="A4213" s="20"/>
      <c r="B4213" s="22"/>
    </row>
    <row r="4214" spans="1:2">
      <c r="A4214" s="20"/>
      <c r="B4214" s="22"/>
    </row>
    <row r="4215" spans="1:2">
      <c r="A4215" s="20"/>
      <c r="B4215" s="22"/>
    </row>
    <row r="4216" spans="1:2">
      <c r="A4216" s="20"/>
      <c r="B4216" s="22"/>
    </row>
    <row r="4217" spans="1:2">
      <c r="A4217" s="20"/>
      <c r="B4217" s="22"/>
    </row>
    <row r="4218" spans="1:2">
      <c r="A4218" s="20"/>
      <c r="B4218" s="22"/>
    </row>
    <row r="4219" spans="1:2">
      <c r="A4219" s="20"/>
      <c r="B4219" s="22"/>
    </row>
    <row r="4220" spans="1:2">
      <c r="A4220" s="20"/>
      <c r="B4220" s="22"/>
    </row>
    <row r="4221" spans="1:2">
      <c r="A4221" s="20"/>
      <c r="B4221" s="22"/>
    </row>
    <row r="4222" spans="1:2">
      <c r="A4222" s="20"/>
      <c r="B4222" s="22"/>
    </row>
    <row r="4223" spans="1:2">
      <c r="A4223" s="20"/>
      <c r="B4223" s="22"/>
    </row>
    <row r="4224" spans="1:2">
      <c r="A4224" s="20"/>
      <c r="B4224" s="22"/>
    </row>
    <row r="4225" spans="1:2">
      <c r="A4225" s="20"/>
      <c r="B4225" s="22"/>
    </row>
    <row r="4226" spans="1:2">
      <c r="A4226" s="20"/>
      <c r="B4226" s="22"/>
    </row>
    <row r="4227" spans="1:2">
      <c r="A4227" s="20"/>
      <c r="B4227" s="22"/>
    </row>
    <row r="4228" spans="1:2">
      <c r="A4228" s="20"/>
      <c r="B4228" s="22"/>
    </row>
    <row r="4229" spans="1:2">
      <c r="A4229" s="20"/>
      <c r="B4229" s="22"/>
    </row>
    <row r="4230" spans="1:2">
      <c r="A4230" s="20"/>
      <c r="B4230" s="22"/>
    </row>
    <row r="4231" spans="1:2">
      <c r="A4231" s="20"/>
      <c r="B4231" s="22"/>
    </row>
    <row r="4232" spans="1:2">
      <c r="A4232" s="20"/>
      <c r="B4232" s="22"/>
    </row>
    <row r="4233" spans="1:2">
      <c r="A4233" s="20"/>
      <c r="B4233" s="22"/>
    </row>
    <row r="4234" spans="1:2">
      <c r="A4234" s="20"/>
      <c r="B4234" s="22"/>
    </row>
    <row r="4235" spans="1:2">
      <c r="A4235" s="20"/>
      <c r="B4235" s="22"/>
    </row>
    <row r="4236" spans="1:2">
      <c r="A4236" s="20"/>
      <c r="B4236" s="22"/>
    </row>
    <row r="4237" spans="1:2">
      <c r="A4237" s="20"/>
      <c r="B4237" s="22"/>
    </row>
    <row r="4238" spans="1:2">
      <c r="A4238" s="20"/>
      <c r="B4238" s="22"/>
    </row>
    <row r="4239" spans="1:2">
      <c r="A4239" s="20"/>
      <c r="B4239" s="22"/>
    </row>
    <row r="4240" spans="1:2">
      <c r="A4240" s="20"/>
      <c r="B4240" s="22"/>
    </row>
    <row r="4241" spans="1:2">
      <c r="A4241" s="20"/>
      <c r="B4241" s="22"/>
    </row>
    <row r="4242" spans="1:2">
      <c r="A4242" s="20"/>
      <c r="B4242" s="22"/>
    </row>
    <row r="4243" spans="1:2">
      <c r="A4243" s="20"/>
      <c r="B4243" s="22"/>
    </row>
    <row r="4244" spans="1:2">
      <c r="A4244" s="20"/>
      <c r="B4244" s="22"/>
    </row>
    <row r="4245" spans="1:2">
      <c r="A4245" s="20"/>
      <c r="B4245" s="22"/>
    </row>
    <row r="4246" spans="1:2">
      <c r="A4246" s="20"/>
      <c r="B4246" s="22"/>
    </row>
    <row r="4247" spans="1:2">
      <c r="A4247" s="20"/>
      <c r="B4247" s="22"/>
    </row>
    <row r="4248" spans="1:2">
      <c r="A4248" s="20"/>
      <c r="B4248" s="22"/>
    </row>
    <row r="4249" spans="1:2">
      <c r="A4249" s="20"/>
      <c r="B4249" s="22"/>
    </row>
    <row r="4250" spans="1:2">
      <c r="A4250" s="20"/>
      <c r="B4250" s="22"/>
    </row>
    <row r="4251" spans="1:2">
      <c r="A4251" s="20"/>
      <c r="B4251" s="22"/>
    </row>
    <row r="4252" spans="1:2">
      <c r="A4252" s="20"/>
      <c r="B4252" s="22"/>
    </row>
    <row r="4253" spans="1:2">
      <c r="A4253" s="20"/>
      <c r="B4253" s="22"/>
    </row>
    <row r="4254" spans="1:2">
      <c r="A4254" s="20"/>
      <c r="B4254" s="22"/>
    </row>
    <row r="4255" spans="1:2">
      <c r="A4255" s="20"/>
      <c r="B4255" s="22"/>
    </row>
    <row r="4256" spans="1:2">
      <c r="A4256" s="20"/>
      <c r="B4256" s="22"/>
    </row>
    <row r="4257" spans="1:2">
      <c r="A4257" s="20"/>
      <c r="B4257" s="22"/>
    </row>
    <row r="4258" spans="1:2">
      <c r="A4258" s="20"/>
      <c r="B4258" s="22"/>
    </row>
    <row r="4259" spans="1:2">
      <c r="A4259" s="20"/>
      <c r="B4259" s="22"/>
    </row>
    <row r="4260" spans="1:2">
      <c r="A4260" s="20"/>
      <c r="B4260" s="22"/>
    </row>
    <row r="4261" spans="1:2">
      <c r="A4261" s="20"/>
      <c r="B4261" s="22"/>
    </row>
    <row r="4262" spans="1:2">
      <c r="A4262" s="20"/>
      <c r="B4262" s="22"/>
    </row>
    <row r="4263" spans="1:2">
      <c r="A4263" s="20"/>
      <c r="B4263" s="22"/>
    </row>
    <row r="4264" spans="1:2">
      <c r="A4264" s="20"/>
      <c r="B4264" s="22"/>
    </row>
    <row r="4265" spans="1:2">
      <c r="A4265" s="20"/>
      <c r="B4265" s="22"/>
    </row>
    <row r="4266" spans="1:2">
      <c r="A4266" s="20"/>
      <c r="B4266" s="22"/>
    </row>
    <row r="4267" spans="1:2">
      <c r="A4267" s="20"/>
      <c r="B4267" s="22"/>
    </row>
    <row r="4268" spans="1:2">
      <c r="A4268" s="20"/>
      <c r="B4268" s="22"/>
    </row>
    <row r="4269" spans="1:2">
      <c r="A4269" s="20"/>
      <c r="B4269" s="22"/>
    </row>
    <row r="4270" spans="1:2">
      <c r="A4270" s="20"/>
      <c r="B4270" s="22"/>
    </row>
    <row r="4271" spans="1:2">
      <c r="A4271" s="20"/>
      <c r="B4271" s="22"/>
    </row>
    <row r="4272" spans="1:2">
      <c r="A4272" s="20"/>
      <c r="B4272" s="22"/>
    </row>
    <row r="4273" spans="1:2">
      <c r="A4273" s="20"/>
      <c r="B4273" s="22"/>
    </row>
    <row r="4274" spans="1:2">
      <c r="A4274" s="20"/>
      <c r="B4274" s="22"/>
    </row>
    <row r="4275" spans="1:2">
      <c r="A4275" s="20"/>
      <c r="B4275" s="22"/>
    </row>
    <row r="4276" spans="1:2">
      <c r="A4276" s="20"/>
      <c r="B4276" s="22"/>
    </row>
    <row r="4277" spans="1:2">
      <c r="A4277" s="20"/>
      <c r="B4277" s="22"/>
    </row>
    <row r="4278" spans="1:2">
      <c r="A4278" s="20"/>
      <c r="B4278" s="22"/>
    </row>
    <row r="4279" spans="1:2">
      <c r="A4279" s="20"/>
      <c r="B4279" s="22"/>
    </row>
    <row r="4280" spans="1:2">
      <c r="A4280" s="20"/>
      <c r="B4280" s="22"/>
    </row>
    <row r="4281" spans="1:2">
      <c r="A4281" s="20"/>
      <c r="B4281" s="22"/>
    </row>
    <row r="4282" spans="1:2">
      <c r="A4282" s="20"/>
      <c r="B4282" s="22"/>
    </row>
    <row r="4283" spans="1:2">
      <c r="A4283" s="20"/>
      <c r="B4283" s="22"/>
    </row>
    <row r="4284" spans="1:2">
      <c r="A4284" s="20"/>
      <c r="B4284" s="22"/>
    </row>
    <row r="4285" spans="1:2">
      <c r="A4285" s="20"/>
      <c r="B4285" s="22"/>
    </row>
    <row r="4286" spans="1:2">
      <c r="A4286" s="20"/>
      <c r="B4286" s="22"/>
    </row>
    <row r="4287" spans="1:2">
      <c r="A4287" s="20"/>
      <c r="B4287" s="22"/>
    </row>
    <row r="4288" spans="1:2">
      <c r="A4288" s="20"/>
      <c r="B4288" s="22"/>
    </row>
    <row r="4289" spans="1:2">
      <c r="A4289" s="20"/>
      <c r="B4289" s="22"/>
    </row>
    <row r="4290" spans="1:2">
      <c r="A4290" s="20"/>
      <c r="B4290" s="22"/>
    </row>
    <row r="4291" spans="1:2">
      <c r="A4291" s="20"/>
      <c r="B4291" s="22"/>
    </row>
    <row r="4292" spans="1:2">
      <c r="A4292" s="20"/>
      <c r="B4292" s="22"/>
    </row>
    <row r="4293" spans="1:2">
      <c r="A4293" s="20"/>
      <c r="B4293" s="22"/>
    </row>
    <row r="4294" spans="1:2">
      <c r="A4294" s="20"/>
      <c r="B4294" s="22"/>
    </row>
    <row r="4295" spans="1:2">
      <c r="A4295" s="20"/>
      <c r="B4295" s="22"/>
    </row>
    <row r="4296" spans="1:2">
      <c r="A4296" s="20"/>
      <c r="B4296" s="22"/>
    </row>
    <row r="4297" spans="1:2">
      <c r="A4297" s="20"/>
      <c r="B4297" s="22"/>
    </row>
    <row r="4298" spans="1:2">
      <c r="A4298" s="20"/>
      <c r="B4298" s="22"/>
    </row>
    <row r="4299" spans="1:2">
      <c r="A4299" s="20"/>
      <c r="B4299" s="22"/>
    </row>
    <row r="4300" spans="1:2">
      <c r="A4300" s="20"/>
      <c r="B4300" s="22"/>
    </row>
    <row r="4301" spans="1:2">
      <c r="A4301" s="20"/>
      <c r="B4301" s="22"/>
    </row>
    <row r="4302" spans="1:2">
      <c r="A4302" s="20"/>
      <c r="B4302" s="22"/>
    </row>
    <row r="4303" spans="1:2">
      <c r="A4303" s="20"/>
      <c r="B4303" s="22"/>
    </row>
    <row r="4304" spans="1:2">
      <c r="A4304" s="20"/>
      <c r="B4304" s="22"/>
    </row>
    <row r="4305" spans="1:2">
      <c r="A4305" s="20"/>
      <c r="B4305" s="22"/>
    </row>
    <row r="4306" spans="1:2">
      <c r="A4306" s="20"/>
      <c r="B4306" s="22"/>
    </row>
    <row r="4307" spans="1:2">
      <c r="A4307" s="20"/>
      <c r="B4307" s="22"/>
    </row>
    <row r="4308" spans="1:2">
      <c r="A4308" s="20"/>
      <c r="B4308" s="22"/>
    </row>
    <row r="4309" spans="1:2">
      <c r="A4309" s="20"/>
      <c r="B4309" s="22"/>
    </row>
    <row r="4310" spans="1:2">
      <c r="A4310" s="20"/>
      <c r="B4310" s="22"/>
    </row>
    <row r="4311" spans="1:2">
      <c r="A4311" s="20"/>
      <c r="B4311" s="22"/>
    </row>
    <row r="4312" spans="1:2">
      <c r="A4312" s="20"/>
      <c r="B4312" s="22"/>
    </row>
    <row r="4313" spans="1:2">
      <c r="A4313" s="20"/>
      <c r="B4313" s="22"/>
    </row>
    <row r="4314" spans="1:2">
      <c r="A4314" s="20"/>
      <c r="B4314" s="22"/>
    </row>
    <row r="4315" spans="1:2">
      <c r="A4315" s="20"/>
      <c r="B4315" s="22"/>
    </row>
    <row r="4316" spans="1:2">
      <c r="A4316" s="20"/>
      <c r="B4316" s="22"/>
    </row>
    <row r="4317" spans="1:2">
      <c r="A4317" s="20"/>
      <c r="B4317" s="22"/>
    </row>
    <row r="4318" spans="1:2">
      <c r="A4318" s="20"/>
      <c r="B4318" s="22"/>
    </row>
    <row r="4319" spans="1:2">
      <c r="A4319" s="20"/>
      <c r="B4319" s="22"/>
    </row>
    <row r="4320" spans="1:2">
      <c r="A4320" s="20"/>
      <c r="B4320" s="22"/>
    </row>
    <row r="4321" spans="1:2">
      <c r="A4321" s="20"/>
      <c r="B4321" s="22"/>
    </row>
    <row r="4322" spans="1:2">
      <c r="A4322" s="20"/>
      <c r="B4322" s="22"/>
    </row>
    <row r="4323" spans="1:2">
      <c r="A4323" s="20"/>
      <c r="B4323" s="22"/>
    </row>
    <row r="4324" spans="1:2">
      <c r="A4324" s="20"/>
      <c r="B4324" s="22"/>
    </row>
    <row r="4325" spans="1:2">
      <c r="A4325" s="20"/>
      <c r="B4325" s="22"/>
    </row>
    <row r="4326" spans="1:2">
      <c r="A4326" s="20"/>
      <c r="B4326" s="22"/>
    </row>
    <row r="4327" spans="1:2">
      <c r="A4327" s="20"/>
      <c r="B4327" s="22"/>
    </row>
    <row r="4328" spans="1:2">
      <c r="A4328" s="20"/>
      <c r="B4328" s="22"/>
    </row>
    <row r="4329" spans="1:2">
      <c r="A4329" s="20"/>
      <c r="B4329" s="22"/>
    </row>
    <row r="4330" spans="1:2">
      <c r="A4330" s="20"/>
      <c r="B4330" s="22"/>
    </row>
    <row r="4331" spans="1:2">
      <c r="A4331" s="20"/>
      <c r="B4331" s="22"/>
    </row>
    <row r="4332" spans="1:2">
      <c r="A4332" s="20"/>
      <c r="B4332" s="22"/>
    </row>
    <row r="4333" spans="1:2">
      <c r="A4333" s="20"/>
      <c r="B4333" s="22"/>
    </row>
    <row r="4334" spans="1:2">
      <c r="A4334" s="20"/>
      <c r="B4334" s="22"/>
    </row>
    <row r="4335" spans="1:2">
      <c r="A4335" s="20"/>
      <c r="B4335" s="22"/>
    </row>
    <row r="4336" spans="1:2">
      <c r="A4336" s="20"/>
      <c r="B4336" s="22"/>
    </row>
    <row r="4337" spans="1:2">
      <c r="A4337" s="20"/>
      <c r="B4337" s="22"/>
    </row>
    <row r="4338" spans="1:2">
      <c r="A4338" s="20"/>
      <c r="B4338" s="22"/>
    </row>
    <row r="4339" spans="1:2">
      <c r="A4339" s="20"/>
      <c r="B4339" s="22"/>
    </row>
    <row r="4340" spans="1:2">
      <c r="A4340" s="20"/>
      <c r="B4340" s="22"/>
    </row>
    <row r="4341" spans="1:2">
      <c r="A4341" s="20"/>
      <c r="B4341" s="22"/>
    </row>
    <row r="4342" spans="1:2">
      <c r="A4342" s="20"/>
      <c r="B4342" s="22"/>
    </row>
    <row r="4343" spans="1:2">
      <c r="A4343" s="20"/>
      <c r="B4343" s="22"/>
    </row>
    <row r="4344" spans="1:2">
      <c r="A4344" s="20"/>
      <c r="B4344" s="22"/>
    </row>
    <row r="4345" spans="1:2">
      <c r="A4345" s="20"/>
      <c r="B4345" s="22"/>
    </row>
    <row r="4346" spans="1:2">
      <c r="A4346" s="20"/>
      <c r="B4346" s="22"/>
    </row>
    <row r="4347" spans="1:2">
      <c r="A4347" s="20"/>
      <c r="B4347" s="22"/>
    </row>
    <row r="4348" spans="1:2">
      <c r="A4348" s="20"/>
      <c r="B4348" s="22"/>
    </row>
    <row r="4349" spans="1:2">
      <c r="A4349" s="20"/>
      <c r="B4349" s="22"/>
    </row>
    <row r="4350" spans="1:2">
      <c r="A4350" s="20"/>
      <c r="B4350" s="22"/>
    </row>
    <row r="4351" spans="1:2">
      <c r="A4351" s="20"/>
      <c r="B4351" s="22"/>
    </row>
    <row r="4352" spans="1:2">
      <c r="A4352" s="20"/>
      <c r="B4352" s="22"/>
    </row>
    <row r="4353" spans="1:2">
      <c r="A4353" s="20"/>
      <c r="B4353" s="22"/>
    </row>
    <row r="4354" spans="1:2">
      <c r="A4354" s="20"/>
      <c r="B4354" s="22"/>
    </row>
    <row r="4355" spans="1:2">
      <c r="A4355" s="20"/>
      <c r="B4355" s="22"/>
    </row>
    <row r="4356" spans="1:2">
      <c r="A4356" s="20"/>
      <c r="B4356" s="22"/>
    </row>
    <row r="4357" spans="1:2">
      <c r="A4357" s="20"/>
      <c r="B4357" s="22"/>
    </row>
    <row r="4358" spans="1:2">
      <c r="A4358" s="20"/>
      <c r="B4358" s="22"/>
    </row>
    <row r="4359" spans="1:2">
      <c r="A4359" s="20"/>
      <c r="B4359" s="22"/>
    </row>
    <row r="4360" spans="1:2">
      <c r="A4360" s="20"/>
      <c r="B4360" s="22"/>
    </row>
    <row r="4361" spans="1:2">
      <c r="A4361" s="20"/>
      <c r="B4361" s="22"/>
    </row>
    <row r="4362" spans="1:2">
      <c r="A4362" s="20"/>
      <c r="B4362" s="22"/>
    </row>
    <row r="4363" spans="1:2">
      <c r="A4363" s="20"/>
      <c r="B4363" s="22"/>
    </row>
    <row r="4364" spans="1:2">
      <c r="A4364" s="20"/>
      <c r="B4364" s="22"/>
    </row>
    <row r="4365" spans="1:2">
      <c r="A4365" s="20"/>
      <c r="B4365" s="22"/>
    </row>
    <row r="4366" spans="1:2">
      <c r="A4366" s="20"/>
      <c r="B4366" s="22"/>
    </row>
    <row r="4367" spans="1:2">
      <c r="A4367" s="20"/>
      <c r="B4367" s="22"/>
    </row>
    <row r="4368" spans="1:2">
      <c r="A4368" s="20"/>
      <c r="B4368" s="22"/>
    </row>
    <row r="4369" spans="1:2">
      <c r="A4369" s="20"/>
      <c r="B4369" s="22"/>
    </row>
    <row r="4370" spans="1:2">
      <c r="A4370" s="20"/>
      <c r="B4370" s="22"/>
    </row>
    <row r="4371" spans="1:2">
      <c r="A4371" s="20"/>
      <c r="B4371" s="22"/>
    </row>
    <row r="4372" spans="1:2">
      <c r="A4372" s="20"/>
      <c r="B4372" s="22"/>
    </row>
    <row r="4373" spans="1:2">
      <c r="A4373" s="20"/>
      <c r="B4373" s="22"/>
    </row>
    <row r="4374" spans="1:2">
      <c r="A4374" s="20"/>
      <c r="B4374" s="22"/>
    </row>
    <row r="4375" spans="1:2">
      <c r="A4375" s="20"/>
      <c r="B4375" s="22"/>
    </row>
    <row r="4376" spans="1:2">
      <c r="A4376" s="20"/>
      <c r="B4376" s="22"/>
    </row>
    <row r="4377" spans="1:2">
      <c r="A4377" s="20"/>
      <c r="B4377" s="22"/>
    </row>
    <row r="4378" spans="1:2">
      <c r="A4378" s="20"/>
      <c r="B4378" s="22"/>
    </row>
    <row r="4379" spans="1:2">
      <c r="A4379" s="20"/>
      <c r="B4379" s="22"/>
    </row>
    <row r="4380" spans="1:2">
      <c r="A4380" s="20"/>
      <c r="B4380" s="22"/>
    </row>
    <row r="4381" spans="1:2">
      <c r="A4381" s="20"/>
      <c r="B4381" s="22"/>
    </row>
    <row r="4382" spans="1:2">
      <c r="A4382" s="20"/>
      <c r="B4382" s="22"/>
    </row>
    <row r="4383" spans="1:2">
      <c r="A4383" s="20"/>
      <c r="B4383" s="22"/>
    </row>
    <row r="4384" spans="1:2">
      <c r="A4384" s="20"/>
      <c r="B4384" s="22"/>
    </row>
    <row r="4385" spans="1:2">
      <c r="A4385" s="20"/>
      <c r="B4385" s="22"/>
    </row>
    <row r="4386" spans="1:2">
      <c r="A4386" s="20"/>
      <c r="B4386" s="22"/>
    </row>
    <row r="4387" spans="1:2">
      <c r="A4387" s="20"/>
      <c r="B4387" s="22"/>
    </row>
    <row r="4388" spans="1:2">
      <c r="A4388" s="20"/>
      <c r="B4388" s="22"/>
    </row>
    <row r="4389" spans="1:2">
      <c r="A4389" s="20"/>
      <c r="B4389" s="22"/>
    </row>
    <row r="4390" spans="1:2">
      <c r="A4390" s="20"/>
      <c r="B4390" s="22"/>
    </row>
    <row r="4391" spans="1:2">
      <c r="A4391" s="20"/>
      <c r="B4391" s="22"/>
    </row>
    <row r="4392" spans="1:2">
      <c r="A4392" s="20"/>
      <c r="B4392" s="22"/>
    </row>
    <row r="4393" spans="1:2">
      <c r="A4393" s="20"/>
      <c r="B4393" s="22"/>
    </row>
    <row r="4394" spans="1:2">
      <c r="A4394" s="20"/>
      <c r="B4394" s="22"/>
    </row>
    <row r="4395" spans="1:2">
      <c r="A4395" s="20"/>
      <c r="B4395" s="22"/>
    </row>
    <row r="4396" spans="1:2">
      <c r="A4396" s="20"/>
      <c r="B4396" s="22"/>
    </row>
    <row r="4397" spans="1:2">
      <c r="A4397" s="20"/>
      <c r="B4397" s="22"/>
    </row>
    <row r="4398" spans="1:2">
      <c r="A4398" s="20"/>
      <c r="B4398" s="22"/>
    </row>
    <row r="4399" spans="1:2">
      <c r="A4399" s="20"/>
      <c r="B4399" s="22"/>
    </row>
    <row r="4400" spans="1:2">
      <c r="A4400" s="20"/>
      <c r="B4400" s="22"/>
    </row>
    <row r="4401" spans="1:2">
      <c r="A4401" s="20"/>
      <c r="B4401" s="22"/>
    </row>
    <row r="4402" spans="1:2">
      <c r="A4402" s="20"/>
      <c r="B4402" s="22"/>
    </row>
    <row r="4403" spans="1:2">
      <c r="A4403" s="20"/>
      <c r="B4403" s="22"/>
    </row>
    <row r="4404" spans="1:2">
      <c r="A4404" s="20"/>
      <c r="B4404" s="22"/>
    </row>
    <row r="4405" spans="1:2">
      <c r="A4405" s="20"/>
      <c r="B4405" s="22"/>
    </row>
    <row r="4406" spans="1:2">
      <c r="A4406" s="20"/>
      <c r="B4406" s="22"/>
    </row>
    <row r="4407" spans="1:2">
      <c r="A4407" s="20"/>
      <c r="B4407" s="22"/>
    </row>
    <row r="4408" spans="1:2">
      <c r="A4408" s="20"/>
      <c r="B4408" s="22"/>
    </row>
    <row r="4409" spans="1:2">
      <c r="A4409" s="20"/>
      <c r="B4409" s="22"/>
    </row>
    <row r="4410" spans="1:2">
      <c r="A4410" s="20"/>
      <c r="B4410" s="22"/>
    </row>
    <row r="4411" spans="1:2">
      <c r="A4411" s="20"/>
      <c r="B4411" s="22"/>
    </row>
    <row r="4412" spans="1:2">
      <c r="A4412" s="20"/>
      <c r="B4412" s="22"/>
    </row>
    <row r="4413" spans="1:2">
      <c r="A4413" s="20"/>
      <c r="B4413" s="22"/>
    </row>
    <row r="4414" spans="1:2">
      <c r="A4414" s="20"/>
      <c r="B4414" s="22"/>
    </row>
    <row r="4415" spans="1:2">
      <c r="A4415" s="20"/>
      <c r="B4415" s="22"/>
    </row>
    <row r="4416" spans="1:2">
      <c r="A4416" s="20"/>
      <c r="B4416" s="22"/>
    </row>
    <row r="4417" spans="1:2">
      <c r="A4417" s="20"/>
      <c r="B4417" s="22"/>
    </row>
    <row r="4418" spans="1:2">
      <c r="A4418" s="20"/>
      <c r="B4418" s="22"/>
    </row>
    <row r="4419" spans="1:2">
      <c r="A4419" s="20"/>
      <c r="B4419" s="22"/>
    </row>
    <row r="4420" spans="1:2">
      <c r="A4420" s="20"/>
      <c r="B4420" s="22"/>
    </row>
    <row r="4421" spans="1:2">
      <c r="A4421" s="20"/>
      <c r="B4421" s="22"/>
    </row>
    <row r="4422" spans="1:2">
      <c r="A4422" s="20"/>
      <c r="B4422" s="22"/>
    </row>
    <row r="4423" spans="1:2">
      <c r="A4423" s="20"/>
      <c r="B4423" s="22"/>
    </row>
    <row r="4424" spans="1:2">
      <c r="A4424" s="20"/>
      <c r="B4424" s="22"/>
    </row>
    <row r="4425" spans="1:2">
      <c r="A4425" s="20"/>
      <c r="B4425" s="22"/>
    </row>
    <row r="4426" spans="1:2">
      <c r="A4426" s="20"/>
      <c r="B4426" s="22"/>
    </row>
    <row r="4427" spans="1:2">
      <c r="A4427" s="20"/>
      <c r="B4427" s="22"/>
    </row>
    <row r="4428" spans="1:2">
      <c r="A4428" s="20"/>
      <c r="B4428" s="22"/>
    </row>
    <row r="4429" spans="1:2">
      <c r="A4429" s="20"/>
      <c r="B4429" s="22"/>
    </row>
    <row r="4430" spans="1:2">
      <c r="A4430" s="20"/>
      <c r="B4430" s="22"/>
    </row>
    <row r="4431" spans="1:2">
      <c r="A4431" s="20"/>
      <c r="B4431" s="22"/>
    </row>
    <row r="4432" spans="1:2">
      <c r="A4432" s="20"/>
      <c r="B4432" s="22"/>
    </row>
    <row r="4433" spans="1:2">
      <c r="A4433" s="20"/>
      <c r="B4433" s="22"/>
    </row>
    <row r="4434" spans="1:2">
      <c r="A4434" s="20"/>
      <c r="B4434" s="22"/>
    </row>
    <row r="4435" spans="1:2">
      <c r="A4435" s="20"/>
      <c r="B4435" s="22"/>
    </row>
    <row r="4436" spans="1:2">
      <c r="A4436" s="20"/>
      <c r="B4436" s="22"/>
    </row>
    <row r="4437" spans="1:2">
      <c r="A4437" s="20"/>
      <c r="B4437" s="22"/>
    </row>
    <row r="4438" spans="1:2">
      <c r="A4438" s="20"/>
      <c r="B4438" s="22"/>
    </row>
    <row r="4439" spans="1:2">
      <c r="A4439" s="20"/>
      <c r="B4439" s="22"/>
    </row>
    <row r="4440" spans="1:2">
      <c r="A4440" s="20"/>
      <c r="B4440" s="22"/>
    </row>
    <row r="4441" spans="1:2">
      <c r="A4441" s="20"/>
      <c r="B4441" s="22"/>
    </row>
    <row r="4442" spans="1:2">
      <c r="A4442" s="20"/>
      <c r="B4442" s="22"/>
    </row>
    <row r="4443" spans="1:2">
      <c r="A4443" s="20"/>
      <c r="B4443" s="22"/>
    </row>
    <row r="4444" spans="1:2">
      <c r="A4444" s="20"/>
      <c r="B4444" s="22"/>
    </row>
    <row r="4445" spans="1:2">
      <c r="A4445" s="20"/>
      <c r="B4445" s="22"/>
    </row>
    <row r="4446" spans="1:2">
      <c r="A4446" s="20"/>
      <c r="B4446" s="22"/>
    </row>
    <row r="4447" spans="1:2">
      <c r="A4447" s="20"/>
      <c r="B4447" s="22"/>
    </row>
    <row r="4448" spans="1:2">
      <c r="A4448" s="20"/>
      <c r="B4448" s="22"/>
    </row>
    <row r="4449" spans="1:2">
      <c r="A4449" s="20"/>
      <c r="B4449" s="22"/>
    </row>
    <row r="4450" spans="1:2">
      <c r="A4450" s="20"/>
      <c r="B4450" s="22"/>
    </row>
    <row r="4451" spans="1:2">
      <c r="A4451" s="20"/>
      <c r="B4451" s="22"/>
    </row>
    <row r="4452" spans="1:2">
      <c r="A4452" s="20"/>
      <c r="B4452" s="22"/>
    </row>
    <row r="4453" spans="1:2">
      <c r="A4453" s="20"/>
      <c r="B4453" s="22"/>
    </row>
    <row r="4454" spans="1:2">
      <c r="A4454" s="20"/>
      <c r="B4454" s="22"/>
    </row>
    <row r="4455" spans="1:2">
      <c r="A4455" s="20"/>
      <c r="B4455" s="22"/>
    </row>
    <row r="4456" spans="1:2">
      <c r="A4456" s="20"/>
      <c r="B4456" s="22"/>
    </row>
    <row r="4457" spans="1:2">
      <c r="A4457" s="20"/>
      <c r="B4457" s="22"/>
    </row>
    <row r="4458" spans="1:2">
      <c r="A4458" s="20"/>
      <c r="B4458" s="22"/>
    </row>
    <row r="4459" spans="1:2">
      <c r="A4459" s="20"/>
      <c r="B4459" s="22"/>
    </row>
    <row r="4460" spans="1:2">
      <c r="A4460" s="20"/>
      <c r="B4460" s="22"/>
    </row>
    <row r="4461" spans="1:2">
      <c r="A4461" s="20"/>
      <c r="B4461" s="22"/>
    </row>
    <row r="4462" spans="1:2">
      <c r="A4462" s="20"/>
      <c r="B4462" s="22"/>
    </row>
    <row r="4463" spans="1:2">
      <c r="A4463" s="20"/>
      <c r="B4463" s="22"/>
    </row>
    <row r="4464" spans="1:2">
      <c r="A4464" s="20"/>
      <c r="B4464" s="22"/>
    </row>
    <row r="4465" spans="1:2">
      <c r="A4465" s="20"/>
      <c r="B4465" s="22"/>
    </row>
    <row r="4466" spans="1:2">
      <c r="A4466" s="20"/>
      <c r="B4466" s="22"/>
    </row>
    <row r="4467" spans="1:2">
      <c r="A4467" s="20"/>
      <c r="B4467" s="22"/>
    </row>
    <row r="4468" spans="1:2">
      <c r="A4468" s="20"/>
      <c r="B4468" s="22"/>
    </row>
    <row r="4469" spans="1:2">
      <c r="A4469" s="20"/>
      <c r="B4469" s="22"/>
    </row>
    <row r="4470" spans="1:2">
      <c r="A4470" s="20"/>
      <c r="B4470" s="22"/>
    </row>
    <row r="4471" spans="1:2">
      <c r="A4471" s="20"/>
      <c r="B4471" s="22"/>
    </row>
    <row r="4472" spans="1:2">
      <c r="A4472" s="20"/>
      <c r="B4472" s="22"/>
    </row>
    <row r="4473" spans="1:2">
      <c r="A4473" s="20"/>
      <c r="B4473" s="22"/>
    </row>
    <row r="4474" spans="1:2">
      <c r="A4474" s="20"/>
      <c r="B4474" s="22"/>
    </row>
    <row r="4475" spans="1:2">
      <c r="A4475" s="20"/>
      <c r="B4475" s="22"/>
    </row>
    <row r="4476" spans="1:2">
      <c r="A4476" s="20"/>
      <c r="B4476" s="22"/>
    </row>
    <row r="4477" spans="1:2">
      <c r="A4477" s="20"/>
      <c r="B4477" s="22"/>
    </row>
    <row r="4478" spans="1:2">
      <c r="A4478" s="20"/>
      <c r="B4478" s="22"/>
    </row>
    <row r="4479" spans="1:2">
      <c r="A4479" s="20"/>
      <c r="B4479" s="22"/>
    </row>
    <row r="4480" spans="1:2">
      <c r="A4480" s="20"/>
      <c r="B4480" s="22"/>
    </row>
    <row r="4481" spans="1:2">
      <c r="A4481" s="20"/>
      <c r="B4481" s="22"/>
    </row>
    <row r="4482" spans="1:2">
      <c r="A4482" s="20"/>
      <c r="B4482" s="22"/>
    </row>
    <row r="4483" spans="1:2">
      <c r="A4483" s="20"/>
      <c r="B4483" s="22"/>
    </row>
    <row r="4484" spans="1:2">
      <c r="A4484" s="20"/>
      <c r="B4484" s="22"/>
    </row>
    <row r="4485" spans="1:2">
      <c r="A4485" s="20"/>
      <c r="B4485" s="22"/>
    </row>
    <row r="4486" spans="1:2">
      <c r="A4486" s="20"/>
      <c r="B4486" s="22"/>
    </row>
    <row r="4487" spans="1:2">
      <c r="A4487" s="20"/>
      <c r="B4487" s="22"/>
    </row>
    <row r="4488" spans="1:2">
      <c r="A4488" s="20"/>
      <c r="B4488" s="22"/>
    </row>
    <row r="4489" spans="1:2">
      <c r="A4489" s="20"/>
      <c r="B4489" s="22"/>
    </row>
    <row r="4490" spans="1:2">
      <c r="A4490" s="20"/>
      <c r="B4490" s="22"/>
    </row>
    <row r="4491" spans="1:2">
      <c r="A4491" s="20"/>
      <c r="B4491" s="22"/>
    </row>
    <row r="4492" spans="1:2">
      <c r="A4492" s="20"/>
      <c r="B4492" s="22"/>
    </row>
    <row r="4493" spans="1:2">
      <c r="A4493" s="20"/>
      <c r="B4493" s="22"/>
    </row>
    <row r="4494" spans="1:2">
      <c r="A4494" s="20"/>
      <c r="B4494" s="22"/>
    </row>
    <row r="4495" spans="1:2">
      <c r="A4495" s="20"/>
      <c r="B4495" s="22"/>
    </row>
    <row r="4496" spans="1:2">
      <c r="A4496" s="20"/>
      <c r="B4496" s="22"/>
    </row>
    <row r="4497" spans="1:2">
      <c r="A4497" s="20"/>
      <c r="B4497" s="22"/>
    </row>
    <row r="4498" spans="1:2">
      <c r="A4498" s="20"/>
      <c r="B4498" s="22"/>
    </row>
    <row r="4499" spans="1:2">
      <c r="A4499" s="20"/>
      <c r="B4499" s="22"/>
    </row>
    <row r="4500" spans="1:2">
      <c r="A4500" s="20"/>
      <c r="B4500" s="22"/>
    </row>
    <row r="4501" spans="1:2">
      <c r="A4501" s="20"/>
      <c r="B4501" s="22"/>
    </row>
    <row r="4502" spans="1:2">
      <c r="A4502" s="20"/>
      <c r="B4502" s="22"/>
    </row>
    <row r="4503" spans="1:2">
      <c r="A4503" s="20"/>
      <c r="B4503" s="22"/>
    </row>
    <row r="4504" spans="1:2">
      <c r="A4504" s="20"/>
      <c r="B4504" s="22"/>
    </row>
    <row r="4505" spans="1:2">
      <c r="A4505" s="20"/>
      <c r="B4505" s="22"/>
    </row>
    <row r="4506" spans="1:2">
      <c r="A4506" s="20"/>
      <c r="B4506" s="22"/>
    </row>
    <row r="4507" spans="1:2">
      <c r="A4507" s="20"/>
      <c r="B4507" s="22"/>
    </row>
    <row r="4508" spans="1:2">
      <c r="A4508" s="20"/>
      <c r="B4508" s="22"/>
    </row>
    <row r="4509" spans="1:2">
      <c r="A4509" s="20"/>
      <c r="B4509" s="22"/>
    </row>
    <row r="4510" spans="1:2">
      <c r="A4510" s="20"/>
      <c r="B4510" s="22"/>
    </row>
    <row r="4511" spans="1:2">
      <c r="A4511" s="20"/>
      <c r="B4511" s="22"/>
    </row>
    <row r="4512" spans="1:2">
      <c r="A4512" s="20"/>
      <c r="B4512" s="22"/>
    </row>
    <row r="4513" spans="1:2">
      <c r="A4513" s="20"/>
      <c r="B4513" s="22"/>
    </row>
    <row r="4514" spans="1:2">
      <c r="A4514" s="20"/>
      <c r="B4514" s="22"/>
    </row>
    <row r="4515" spans="1:2">
      <c r="A4515" s="20"/>
      <c r="B4515" s="22"/>
    </row>
    <row r="4516" spans="1:2">
      <c r="A4516" s="20"/>
      <c r="B4516" s="22"/>
    </row>
    <row r="4517" spans="1:2">
      <c r="A4517" s="20"/>
      <c r="B4517" s="22"/>
    </row>
    <row r="4518" spans="1:2">
      <c r="A4518" s="20"/>
      <c r="B4518" s="22"/>
    </row>
    <row r="4519" spans="1:2">
      <c r="A4519" s="20"/>
      <c r="B4519" s="22"/>
    </row>
    <row r="4520" spans="1:2">
      <c r="A4520" s="20"/>
      <c r="B4520" s="22"/>
    </row>
    <row r="4521" spans="1:2">
      <c r="A4521" s="20"/>
      <c r="B4521" s="22"/>
    </row>
    <row r="4522" spans="1:2">
      <c r="A4522" s="20"/>
      <c r="B4522" s="22"/>
    </row>
    <row r="4523" spans="1:2">
      <c r="A4523" s="20"/>
      <c r="B4523" s="22"/>
    </row>
    <row r="4524" spans="1:2">
      <c r="A4524" s="20"/>
      <c r="B4524" s="22"/>
    </row>
    <row r="4525" spans="1:2">
      <c r="A4525" s="20"/>
      <c r="B4525" s="22"/>
    </row>
    <row r="4526" spans="1:2">
      <c r="A4526" s="20"/>
      <c r="B4526" s="22"/>
    </row>
    <row r="4527" spans="1:2">
      <c r="A4527" s="20"/>
      <c r="B4527" s="22"/>
    </row>
    <row r="4528" spans="1:2">
      <c r="A4528" s="20"/>
      <c r="B4528" s="22"/>
    </row>
    <row r="4529" spans="1:2">
      <c r="A4529" s="20"/>
      <c r="B4529" s="22"/>
    </row>
    <row r="4530" spans="1:2">
      <c r="A4530" s="20"/>
      <c r="B4530" s="22"/>
    </row>
    <row r="4531" spans="1:2">
      <c r="A4531" s="20"/>
      <c r="B4531" s="22"/>
    </row>
    <row r="4532" spans="1:2">
      <c r="A4532" s="20"/>
      <c r="B4532" s="22"/>
    </row>
    <row r="4533" spans="1:2">
      <c r="A4533" s="20"/>
      <c r="B4533" s="22"/>
    </row>
    <row r="4534" spans="1:2">
      <c r="A4534" s="20"/>
      <c r="B4534" s="22"/>
    </row>
    <row r="4535" spans="1:2">
      <c r="A4535" s="20"/>
      <c r="B4535" s="22"/>
    </row>
    <row r="4536" spans="1:2">
      <c r="A4536" s="20"/>
      <c r="B4536" s="22"/>
    </row>
    <row r="4537" spans="1:2">
      <c r="A4537" s="20"/>
      <c r="B4537" s="22"/>
    </row>
    <row r="4538" spans="1:2">
      <c r="A4538" s="20"/>
      <c r="B4538" s="22"/>
    </row>
    <row r="4539" spans="1:2">
      <c r="A4539" s="20"/>
      <c r="B4539" s="22"/>
    </row>
    <row r="4540" spans="1:2">
      <c r="A4540" s="20"/>
      <c r="B4540" s="22"/>
    </row>
    <row r="4541" spans="1:2">
      <c r="A4541" s="20"/>
      <c r="B4541" s="22"/>
    </row>
    <row r="4542" spans="1:2">
      <c r="A4542" s="20"/>
      <c r="B4542" s="22"/>
    </row>
    <row r="4543" spans="1:2">
      <c r="A4543" s="20"/>
      <c r="B4543" s="22"/>
    </row>
    <row r="4544" spans="1:2">
      <c r="A4544" s="20"/>
      <c r="B4544" s="22"/>
    </row>
    <row r="4545" spans="1:2">
      <c r="A4545" s="20"/>
      <c r="B4545" s="22"/>
    </row>
    <row r="4546" spans="1:2">
      <c r="A4546" s="20"/>
      <c r="B4546" s="22"/>
    </row>
    <row r="4547" spans="1:2">
      <c r="A4547" s="20"/>
      <c r="B4547" s="22"/>
    </row>
    <row r="4548" spans="1:2">
      <c r="A4548" s="20"/>
      <c r="B4548" s="22"/>
    </row>
    <row r="4549" spans="1:2">
      <c r="A4549" s="20"/>
      <c r="B4549" s="22"/>
    </row>
    <row r="4550" spans="1:2">
      <c r="A4550" s="20"/>
      <c r="B4550" s="22"/>
    </row>
    <row r="4551" spans="1:2">
      <c r="A4551" s="20"/>
      <c r="B4551" s="22"/>
    </row>
    <row r="4552" spans="1:2">
      <c r="A4552" s="20"/>
      <c r="B4552" s="22"/>
    </row>
    <row r="4553" spans="1:2">
      <c r="A4553" s="20"/>
      <c r="B4553" s="22"/>
    </row>
    <row r="4554" spans="1:2">
      <c r="A4554" s="20"/>
      <c r="B4554" s="22"/>
    </row>
    <row r="4555" spans="1:2">
      <c r="A4555" s="20"/>
      <c r="B4555" s="22"/>
    </row>
    <row r="4556" spans="1:2">
      <c r="A4556" s="20"/>
      <c r="B4556" s="22"/>
    </row>
    <row r="4557" spans="1:2">
      <c r="A4557" s="20"/>
      <c r="B4557" s="22"/>
    </row>
    <row r="4558" spans="1:2">
      <c r="A4558" s="20"/>
      <c r="B4558" s="22"/>
    </row>
    <row r="4559" spans="1:2">
      <c r="A4559" s="20"/>
      <c r="B4559" s="22"/>
    </row>
    <row r="4560" spans="1:2">
      <c r="A4560" s="20"/>
      <c r="B4560" s="22"/>
    </row>
    <row r="4561" spans="1:2">
      <c r="A4561" s="20"/>
      <c r="B4561" s="22"/>
    </row>
    <row r="4562" spans="1:2">
      <c r="A4562" s="20"/>
      <c r="B4562" s="22"/>
    </row>
    <row r="4563" spans="1:2">
      <c r="A4563" s="20"/>
      <c r="B4563" s="22"/>
    </row>
    <row r="4564" spans="1:2">
      <c r="A4564" s="20"/>
      <c r="B4564" s="22"/>
    </row>
    <row r="4565" spans="1:2">
      <c r="A4565" s="20"/>
      <c r="B4565" s="22"/>
    </row>
    <row r="4566" spans="1:2">
      <c r="A4566" s="20"/>
      <c r="B4566" s="22"/>
    </row>
    <row r="4567" spans="1:2">
      <c r="A4567" s="20"/>
      <c r="B4567" s="22"/>
    </row>
    <row r="4568" spans="1:2">
      <c r="A4568" s="20"/>
      <c r="B4568" s="22"/>
    </row>
    <row r="4569" spans="1:2">
      <c r="A4569" s="20"/>
      <c r="B4569" s="22"/>
    </row>
    <row r="4570" spans="1:2">
      <c r="A4570" s="20"/>
      <c r="B4570" s="22"/>
    </row>
    <row r="4571" spans="1:2">
      <c r="A4571" s="20"/>
      <c r="B4571" s="22"/>
    </row>
    <row r="4572" spans="1:2">
      <c r="A4572" s="20"/>
      <c r="B4572" s="22"/>
    </row>
    <row r="4573" spans="1:2">
      <c r="A4573" s="20"/>
      <c r="B4573" s="22"/>
    </row>
    <row r="4574" spans="1:2">
      <c r="A4574" s="20"/>
      <c r="B4574" s="22"/>
    </row>
    <row r="4575" spans="1:2">
      <c r="A4575" s="20"/>
      <c r="B4575" s="22"/>
    </row>
    <row r="4576" spans="1:2">
      <c r="A4576" s="20"/>
      <c r="B4576" s="22"/>
    </row>
    <row r="4577" spans="1:2">
      <c r="A4577" s="20"/>
      <c r="B4577" s="22"/>
    </row>
    <row r="4578" spans="1:2">
      <c r="A4578" s="20"/>
      <c r="B4578" s="22"/>
    </row>
    <row r="4579" spans="1:2">
      <c r="A4579" s="20"/>
      <c r="B4579" s="22"/>
    </row>
    <row r="4580" spans="1:2">
      <c r="A4580" s="20"/>
      <c r="B4580" s="22"/>
    </row>
    <row r="4581" spans="1:2">
      <c r="A4581" s="20"/>
      <c r="B4581" s="22"/>
    </row>
    <row r="4582" spans="1:2">
      <c r="A4582" s="20"/>
      <c r="B4582" s="22"/>
    </row>
    <row r="4583" spans="1:2">
      <c r="A4583" s="20"/>
      <c r="B4583" s="22"/>
    </row>
    <row r="4584" spans="1:2">
      <c r="A4584" s="20"/>
      <c r="B4584" s="22"/>
    </row>
    <row r="4585" spans="1:2">
      <c r="A4585" s="20"/>
      <c r="B4585" s="22"/>
    </row>
    <row r="4586" spans="1:2">
      <c r="A4586" s="20"/>
      <c r="B4586" s="22"/>
    </row>
    <row r="4587" spans="1:2">
      <c r="A4587" s="20"/>
      <c r="B4587" s="22"/>
    </row>
    <row r="4588" spans="1:2">
      <c r="A4588" s="20"/>
      <c r="B4588" s="22"/>
    </row>
    <row r="4589" spans="1:2">
      <c r="A4589" s="20"/>
      <c r="B4589" s="22"/>
    </row>
    <row r="4590" spans="1:2">
      <c r="A4590" s="20"/>
      <c r="B4590" s="22"/>
    </row>
    <row r="4591" spans="1:2">
      <c r="A4591" s="20"/>
      <c r="B4591" s="22"/>
    </row>
    <row r="4592" spans="1:2">
      <c r="A4592" s="20"/>
      <c r="B4592" s="22"/>
    </row>
    <row r="4593" spans="1:2">
      <c r="A4593" s="20"/>
      <c r="B4593" s="22"/>
    </row>
    <row r="4594" spans="1:2">
      <c r="A4594" s="20"/>
      <c r="B4594" s="22"/>
    </row>
    <row r="4595" spans="1:2">
      <c r="A4595" s="20"/>
      <c r="B4595" s="22"/>
    </row>
    <row r="4596" spans="1:2">
      <c r="A4596" s="20"/>
      <c r="B4596" s="22"/>
    </row>
    <row r="4597" spans="1:2">
      <c r="A4597" s="20"/>
      <c r="B4597" s="22"/>
    </row>
    <row r="4598" spans="1:2">
      <c r="A4598" s="20"/>
      <c r="B4598" s="22"/>
    </row>
    <row r="4599" spans="1:2">
      <c r="A4599" s="20"/>
      <c r="B4599" s="22"/>
    </row>
    <row r="4600" spans="1:2">
      <c r="A4600" s="20"/>
      <c r="B4600" s="22"/>
    </row>
    <row r="4601" spans="1:2">
      <c r="A4601" s="20"/>
      <c r="B4601" s="22"/>
    </row>
    <row r="4602" spans="1:2">
      <c r="A4602" s="20"/>
      <c r="B4602" s="22"/>
    </row>
    <row r="4603" spans="1:2">
      <c r="A4603" s="20"/>
      <c r="B4603" s="22"/>
    </row>
    <row r="4604" spans="1:2">
      <c r="A4604" s="20"/>
      <c r="B4604" s="22"/>
    </row>
    <row r="4605" spans="1:2">
      <c r="A4605" s="20"/>
      <c r="B4605" s="22"/>
    </row>
    <row r="4606" spans="1:2">
      <c r="A4606" s="20"/>
      <c r="B4606" s="22"/>
    </row>
    <row r="4607" spans="1:2">
      <c r="A4607" s="20"/>
      <c r="B4607" s="22"/>
    </row>
    <row r="4608" spans="1:2">
      <c r="A4608" s="20"/>
      <c r="B4608" s="22"/>
    </row>
    <row r="4609" spans="1:2">
      <c r="A4609" s="20"/>
      <c r="B4609" s="22"/>
    </row>
    <row r="4610" spans="1:2">
      <c r="A4610" s="20"/>
      <c r="B4610" s="22"/>
    </row>
    <row r="4611" spans="1:2">
      <c r="A4611" s="20"/>
      <c r="B4611" s="22"/>
    </row>
    <row r="4612" spans="1:2">
      <c r="A4612" s="20"/>
      <c r="B4612" s="22"/>
    </row>
    <row r="4613" spans="1:2">
      <c r="A4613" s="20"/>
      <c r="B4613" s="22"/>
    </row>
    <row r="4614" spans="1:2">
      <c r="A4614" s="20"/>
      <c r="B4614" s="22"/>
    </row>
    <row r="4615" spans="1:2">
      <c r="A4615" s="20"/>
      <c r="B4615" s="22"/>
    </row>
    <row r="4616" spans="1:2">
      <c r="A4616" s="20"/>
      <c r="B4616" s="22"/>
    </row>
    <row r="4617" spans="1:2">
      <c r="A4617" s="20"/>
      <c r="B4617" s="22"/>
    </row>
    <row r="4618" spans="1:2">
      <c r="A4618" s="20"/>
      <c r="B4618" s="22"/>
    </row>
    <row r="4619" spans="1:2">
      <c r="A4619" s="20"/>
      <c r="B4619" s="22"/>
    </row>
    <row r="4620" spans="1:2">
      <c r="A4620" s="20"/>
      <c r="B4620" s="22"/>
    </row>
    <row r="4621" spans="1:2">
      <c r="A4621" s="20"/>
      <c r="B4621" s="22"/>
    </row>
    <row r="4622" spans="1:2">
      <c r="A4622" s="20"/>
      <c r="B4622" s="22"/>
    </row>
    <row r="4623" spans="1:2">
      <c r="A4623" s="20"/>
      <c r="B4623" s="22"/>
    </row>
    <row r="4624" spans="1:2">
      <c r="A4624" s="20"/>
      <c r="B4624" s="22"/>
    </row>
    <row r="4625" spans="1:2">
      <c r="A4625" s="20"/>
      <c r="B4625" s="22"/>
    </row>
    <row r="4626" spans="1:2">
      <c r="A4626" s="20"/>
      <c r="B4626" s="22"/>
    </row>
    <row r="4627" spans="1:2">
      <c r="A4627" s="20"/>
      <c r="B4627" s="22"/>
    </row>
    <row r="4628" spans="1:2">
      <c r="A4628" s="20"/>
      <c r="B4628" s="22"/>
    </row>
    <row r="4629" spans="1:2">
      <c r="A4629" s="20"/>
      <c r="B4629" s="22"/>
    </row>
    <row r="4630" spans="1:2">
      <c r="A4630" s="20"/>
      <c r="B4630" s="22"/>
    </row>
    <row r="4631" spans="1:2">
      <c r="A4631" s="20"/>
      <c r="B4631" s="22"/>
    </row>
    <row r="4632" spans="1:2">
      <c r="A4632" s="20"/>
      <c r="B4632" s="22"/>
    </row>
    <row r="4633" spans="1:2">
      <c r="A4633" s="20"/>
      <c r="B4633" s="22"/>
    </row>
    <row r="4634" spans="1:2">
      <c r="A4634" s="20"/>
      <c r="B4634" s="22"/>
    </row>
    <row r="4635" spans="1:2">
      <c r="A4635" s="20"/>
      <c r="B4635" s="22"/>
    </row>
    <row r="4636" spans="1:2">
      <c r="A4636" s="20"/>
      <c r="B4636" s="22"/>
    </row>
    <row r="4637" spans="1:2">
      <c r="A4637" s="20"/>
      <c r="B4637" s="22"/>
    </row>
    <row r="4638" spans="1:2">
      <c r="A4638" s="20"/>
      <c r="B4638" s="22"/>
    </row>
    <row r="4639" spans="1:2">
      <c r="A4639" s="20"/>
      <c r="B4639" s="22"/>
    </row>
    <row r="4640" spans="1:2">
      <c r="A4640" s="20"/>
      <c r="B4640" s="22"/>
    </row>
    <row r="4641" spans="1:2">
      <c r="A4641" s="20"/>
      <c r="B4641" s="22"/>
    </row>
    <row r="4642" spans="1:2">
      <c r="A4642" s="20"/>
      <c r="B4642" s="22"/>
    </row>
    <row r="4643" spans="1:2">
      <c r="A4643" s="20"/>
      <c r="B4643" s="22"/>
    </row>
    <row r="4644" spans="1:2">
      <c r="A4644" s="20"/>
      <c r="B4644" s="22"/>
    </row>
    <row r="4645" spans="1:2">
      <c r="A4645" s="20"/>
      <c r="B4645" s="22"/>
    </row>
    <row r="4646" spans="1:2">
      <c r="A4646" s="20"/>
      <c r="B4646" s="22"/>
    </row>
    <row r="4647" spans="1:2">
      <c r="A4647" s="20"/>
      <c r="B4647" s="22"/>
    </row>
    <row r="4648" spans="1:2">
      <c r="A4648" s="20"/>
      <c r="B4648" s="22"/>
    </row>
    <row r="4649" spans="1:2">
      <c r="A4649" s="20"/>
      <c r="B4649" s="22"/>
    </row>
    <row r="4650" spans="1:2">
      <c r="A4650" s="20"/>
      <c r="B4650" s="22"/>
    </row>
    <row r="4651" spans="1:2">
      <c r="A4651" s="20"/>
      <c r="B4651" s="22"/>
    </row>
    <row r="4652" spans="1:2">
      <c r="A4652" s="20"/>
      <c r="B4652" s="22"/>
    </row>
    <row r="4653" spans="1:2">
      <c r="A4653" s="20"/>
      <c r="B4653" s="22"/>
    </row>
    <row r="4654" spans="1:2">
      <c r="A4654" s="20"/>
      <c r="B4654" s="22"/>
    </row>
    <row r="4655" spans="1:2">
      <c r="A4655" s="20"/>
      <c r="B4655" s="22"/>
    </row>
    <row r="4656" spans="1:2">
      <c r="A4656" s="20"/>
      <c r="B4656" s="22"/>
    </row>
    <row r="4657" spans="1:2">
      <c r="A4657" s="20"/>
      <c r="B4657" s="22"/>
    </row>
    <row r="4658" spans="1:2">
      <c r="A4658" s="20"/>
      <c r="B4658" s="22"/>
    </row>
    <row r="4659" spans="1:2">
      <c r="A4659" s="20"/>
      <c r="B4659" s="22"/>
    </row>
    <row r="4660" spans="1:2">
      <c r="A4660" s="20"/>
      <c r="B4660" s="22"/>
    </row>
    <row r="4661" spans="1:2">
      <c r="A4661" s="20"/>
      <c r="B4661" s="22"/>
    </row>
    <row r="4662" spans="1:2">
      <c r="A4662" s="20"/>
      <c r="B4662" s="22"/>
    </row>
    <row r="4663" spans="1:2">
      <c r="A4663" s="20"/>
      <c r="B4663" s="22"/>
    </row>
    <row r="4664" spans="1:2">
      <c r="A4664" s="20"/>
      <c r="B4664" s="22"/>
    </row>
    <row r="4665" spans="1:2">
      <c r="A4665" s="20"/>
      <c r="B4665" s="22"/>
    </row>
    <row r="4666" spans="1:2">
      <c r="A4666" s="20"/>
      <c r="B4666" s="22"/>
    </row>
    <row r="4667" spans="1:2">
      <c r="A4667" s="20"/>
      <c r="B4667" s="22"/>
    </row>
    <row r="4668" spans="1:2">
      <c r="A4668" s="20"/>
      <c r="B4668" s="22"/>
    </row>
    <row r="4669" spans="1:2">
      <c r="A4669" s="20"/>
      <c r="B4669" s="22"/>
    </row>
    <row r="4670" spans="1:2">
      <c r="A4670" s="20"/>
      <c r="B4670" s="22"/>
    </row>
    <row r="4671" spans="1:2">
      <c r="A4671" s="20"/>
      <c r="B4671" s="22"/>
    </row>
    <row r="4672" spans="1:2">
      <c r="A4672" s="20"/>
      <c r="B4672" s="22"/>
    </row>
    <row r="4673" spans="1:2">
      <c r="A4673" s="20"/>
      <c r="B4673" s="22"/>
    </row>
    <row r="4674" spans="1:2">
      <c r="A4674" s="20"/>
      <c r="B4674" s="22"/>
    </row>
    <row r="4675" spans="1:2">
      <c r="A4675" s="20"/>
      <c r="B4675" s="22"/>
    </row>
    <row r="4676" spans="1:2">
      <c r="A4676" s="20"/>
      <c r="B4676" s="22"/>
    </row>
    <row r="4677" spans="1:2">
      <c r="A4677" s="20"/>
      <c r="B4677" s="22"/>
    </row>
    <row r="4678" spans="1:2">
      <c r="A4678" s="20"/>
      <c r="B4678" s="22"/>
    </row>
    <row r="4679" spans="1:2">
      <c r="A4679" s="20"/>
      <c r="B4679" s="22"/>
    </row>
    <row r="4680" spans="1:2">
      <c r="A4680" s="20"/>
      <c r="B4680" s="22"/>
    </row>
    <row r="4681" spans="1:2">
      <c r="A4681" s="20"/>
      <c r="B4681" s="22"/>
    </row>
    <row r="4682" spans="1:2">
      <c r="A4682" s="20"/>
      <c r="B4682" s="22"/>
    </row>
    <row r="4683" spans="1:2">
      <c r="A4683" s="20"/>
      <c r="B4683" s="22"/>
    </row>
    <row r="4684" spans="1:2">
      <c r="A4684" s="20"/>
      <c r="B4684" s="22"/>
    </row>
    <row r="4685" spans="1:2">
      <c r="A4685" s="20"/>
      <c r="B4685" s="22"/>
    </row>
    <row r="4686" spans="1:2">
      <c r="A4686" s="20"/>
      <c r="B4686" s="22"/>
    </row>
    <row r="4687" spans="1:2">
      <c r="A4687" s="20"/>
      <c r="B4687" s="22"/>
    </row>
    <row r="4688" spans="1:2">
      <c r="A4688" s="20"/>
      <c r="B4688" s="22"/>
    </row>
    <row r="4689" spans="1:2">
      <c r="A4689" s="20"/>
      <c r="B4689" s="22"/>
    </row>
    <row r="4690" spans="1:2">
      <c r="A4690" s="20"/>
      <c r="B4690" s="22"/>
    </row>
    <row r="4691" spans="1:2">
      <c r="A4691" s="20"/>
      <c r="B4691" s="22"/>
    </row>
    <row r="4692" spans="1:2">
      <c r="A4692" s="20"/>
      <c r="B4692" s="22"/>
    </row>
    <row r="4693" spans="1:2">
      <c r="A4693" s="20"/>
      <c r="B4693" s="22"/>
    </row>
    <row r="4694" spans="1:2">
      <c r="A4694" s="20"/>
      <c r="B4694" s="22"/>
    </row>
    <row r="4695" spans="1:2">
      <c r="A4695" s="20"/>
      <c r="B4695" s="22"/>
    </row>
    <row r="4696" spans="1:2">
      <c r="A4696" s="20"/>
      <c r="B4696" s="22"/>
    </row>
    <row r="4697" spans="1:2">
      <c r="A4697" s="20"/>
      <c r="B4697" s="22"/>
    </row>
    <row r="4698" spans="1:2">
      <c r="A4698" s="20"/>
      <c r="B4698" s="22"/>
    </row>
    <row r="4699" spans="1:2">
      <c r="A4699" s="20"/>
      <c r="B4699" s="22"/>
    </row>
    <row r="4700" spans="1:2">
      <c r="A4700" s="20"/>
      <c r="B4700" s="22"/>
    </row>
    <row r="4701" spans="1:2">
      <c r="A4701" s="20"/>
      <c r="B4701" s="22"/>
    </row>
    <row r="4702" spans="1:2">
      <c r="A4702" s="20"/>
      <c r="B4702" s="22"/>
    </row>
    <row r="4703" spans="1:2">
      <c r="A4703" s="20"/>
      <c r="B4703" s="22"/>
    </row>
    <row r="4704" spans="1:2">
      <c r="A4704" s="20"/>
      <c r="B4704" s="22"/>
    </row>
    <row r="4705" spans="1:2">
      <c r="A4705" s="20"/>
      <c r="B4705" s="22"/>
    </row>
    <row r="4706" spans="1:2">
      <c r="A4706" s="20"/>
      <c r="B4706" s="22"/>
    </row>
    <row r="4707" spans="1:2">
      <c r="A4707" s="20"/>
      <c r="B4707" s="22"/>
    </row>
    <row r="4708" spans="1:2">
      <c r="A4708" s="20"/>
      <c r="B4708" s="22"/>
    </row>
    <row r="4709" spans="1:2">
      <c r="A4709" s="20"/>
      <c r="B4709" s="22"/>
    </row>
    <row r="4710" spans="1:2">
      <c r="A4710" s="20"/>
      <c r="B4710" s="22"/>
    </row>
    <row r="4711" spans="1:2">
      <c r="A4711" s="20"/>
      <c r="B4711" s="22"/>
    </row>
    <row r="4712" spans="1:2">
      <c r="A4712" s="20"/>
      <c r="B4712" s="22"/>
    </row>
    <row r="4713" spans="1:2">
      <c r="A4713" s="20"/>
      <c r="B4713" s="22"/>
    </row>
    <row r="4714" spans="1:2">
      <c r="A4714" s="20"/>
      <c r="B4714" s="22"/>
    </row>
    <row r="4715" spans="1:2">
      <c r="A4715" s="20"/>
      <c r="B4715" s="22"/>
    </row>
    <row r="4716" spans="1:2">
      <c r="A4716" s="20"/>
      <c r="B4716" s="22"/>
    </row>
    <row r="4717" spans="1:2">
      <c r="A4717" s="20"/>
      <c r="B4717" s="22"/>
    </row>
    <row r="4718" spans="1:2">
      <c r="A4718" s="20"/>
      <c r="B4718" s="22"/>
    </row>
    <row r="4719" spans="1:2">
      <c r="A4719" s="20"/>
      <c r="B4719" s="22"/>
    </row>
    <row r="4720" spans="1:2">
      <c r="A4720" s="20"/>
      <c r="B4720" s="22"/>
    </row>
    <row r="4721" spans="1:2">
      <c r="A4721" s="20"/>
      <c r="B4721" s="22"/>
    </row>
    <row r="4722" spans="1:2">
      <c r="A4722" s="20"/>
      <c r="B4722" s="22"/>
    </row>
    <row r="4723" spans="1:2">
      <c r="A4723" s="20"/>
      <c r="B4723" s="22"/>
    </row>
    <row r="4724" spans="1:2">
      <c r="A4724" s="20"/>
      <c r="B4724" s="22"/>
    </row>
    <row r="4725" spans="1:2">
      <c r="A4725" s="20"/>
      <c r="B4725" s="22"/>
    </row>
    <row r="4726" spans="1:2">
      <c r="A4726" s="20"/>
      <c r="B4726" s="22"/>
    </row>
    <row r="4727" spans="1:2">
      <c r="A4727" s="20"/>
      <c r="B4727" s="22"/>
    </row>
    <row r="4728" spans="1:2">
      <c r="A4728" s="20"/>
      <c r="B4728" s="22"/>
    </row>
    <row r="4729" spans="1:2">
      <c r="A4729" s="20"/>
      <c r="B4729" s="22"/>
    </row>
    <row r="4730" spans="1:2">
      <c r="A4730" s="20"/>
      <c r="B4730" s="22"/>
    </row>
    <row r="4731" spans="1:2">
      <c r="A4731" s="20"/>
      <c r="B4731" s="22"/>
    </row>
    <row r="4732" spans="1:2">
      <c r="A4732" s="20"/>
      <c r="B4732" s="22"/>
    </row>
    <row r="4733" spans="1:2">
      <c r="A4733" s="20"/>
      <c r="B4733" s="22"/>
    </row>
    <row r="4734" spans="1:2">
      <c r="A4734" s="20"/>
      <c r="B4734" s="22"/>
    </row>
    <row r="4735" spans="1:2">
      <c r="A4735" s="20"/>
      <c r="B4735" s="22"/>
    </row>
    <row r="4736" spans="1:2">
      <c r="A4736" s="20"/>
      <c r="B4736" s="22"/>
    </row>
    <row r="4737" spans="1:2">
      <c r="A4737" s="20"/>
      <c r="B4737" s="22"/>
    </row>
    <row r="4738" spans="1:2">
      <c r="A4738" s="20"/>
      <c r="B4738" s="22"/>
    </row>
    <row r="4739" spans="1:2">
      <c r="A4739" s="20"/>
      <c r="B4739" s="22"/>
    </row>
    <row r="4740" spans="1:2">
      <c r="A4740" s="20"/>
      <c r="B4740" s="22"/>
    </row>
    <row r="4741" spans="1:2">
      <c r="A4741" s="20"/>
      <c r="B4741" s="22"/>
    </row>
    <row r="4742" spans="1:2">
      <c r="A4742" s="20"/>
      <c r="B4742" s="22"/>
    </row>
    <row r="4743" spans="1:2">
      <c r="A4743" s="20"/>
      <c r="B4743" s="22"/>
    </row>
    <row r="4744" spans="1:2">
      <c r="A4744" s="20"/>
      <c r="B4744" s="22"/>
    </row>
    <row r="4745" spans="1:2">
      <c r="A4745" s="20"/>
      <c r="B4745" s="22"/>
    </row>
    <row r="4746" spans="1:2">
      <c r="A4746" s="20"/>
      <c r="B4746" s="22"/>
    </row>
    <row r="4747" spans="1:2">
      <c r="A4747" s="20"/>
      <c r="B4747" s="22"/>
    </row>
    <row r="4748" spans="1:2">
      <c r="A4748" s="20"/>
      <c r="B4748" s="22"/>
    </row>
    <row r="4749" spans="1:2">
      <c r="A4749" s="20"/>
      <c r="B4749" s="22"/>
    </row>
    <row r="4750" spans="1:2">
      <c r="A4750" s="20"/>
      <c r="B4750" s="22"/>
    </row>
    <row r="4751" spans="1:2">
      <c r="A4751" s="20"/>
      <c r="B4751" s="22"/>
    </row>
    <row r="4752" spans="1:2">
      <c r="A4752" s="20"/>
      <c r="B4752" s="22"/>
    </row>
    <row r="4753" spans="1:2">
      <c r="A4753" s="20"/>
      <c r="B4753" s="22"/>
    </row>
    <row r="4754" spans="1:2">
      <c r="A4754" s="20"/>
      <c r="B4754" s="22"/>
    </row>
    <row r="4755" spans="1:2">
      <c r="A4755" s="20"/>
      <c r="B4755" s="22"/>
    </row>
    <row r="4756" spans="1:2">
      <c r="A4756" s="20"/>
      <c r="B4756" s="22"/>
    </row>
    <row r="4757" spans="1:2">
      <c r="A4757" s="20"/>
      <c r="B4757" s="22"/>
    </row>
    <row r="4758" spans="1:2">
      <c r="A4758" s="20"/>
      <c r="B4758" s="22"/>
    </row>
    <row r="4759" spans="1:2">
      <c r="A4759" s="20"/>
      <c r="B4759" s="22"/>
    </row>
    <row r="4760" spans="1:2">
      <c r="A4760" s="20"/>
      <c r="B4760" s="22"/>
    </row>
    <row r="4761" spans="1:2">
      <c r="A4761" s="20"/>
      <c r="B4761" s="22"/>
    </row>
    <row r="4762" spans="1:2">
      <c r="A4762" s="20"/>
      <c r="B4762" s="22"/>
    </row>
    <row r="4763" spans="1:2">
      <c r="A4763" s="20"/>
      <c r="B4763" s="22"/>
    </row>
    <row r="4764" spans="1:2">
      <c r="A4764" s="20"/>
      <c r="B4764" s="22"/>
    </row>
    <row r="4765" spans="1:2">
      <c r="A4765" s="20"/>
      <c r="B4765" s="22"/>
    </row>
    <row r="4766" spans="1:2">
      <c r="A4766" s="20"/>
      <c r="B4766" s="22"/>
    </row>
    <row r="4767" spans="1:2">
      <c r="A4767" s="20"/>
      <c r="B4767" s="22"/>
    </row>
    <row r="4768" spans="1:2">
      <c r="A4768" s="20"/>
      <c r="B4768" s="22"/>
    </row>
    <row r="4769" spans="1:2">
      <c r="A4769" s="20"/>
      <c r="B4769" s="22"/>
    </row>
    <row r="4770" spans="1:2">
      <c r="A4770" s="20"/>
      <c r="B4770" s="22"/>
    </row>
    <row r="4771" spans="1:2">
      <c r="A4771" s="20"/>
      <c r="B4771" s="22"/>
    </row>
    <row r="4772" spans="1:2">
      <c r="A4772" s="20"/>
      <c r="B4772" s="22"/>
    </row>
    <row r="4773" spans="1:2">
      <c r="A4773" s="20"/>
      <c r="B4773" s="22"/>
    </row>
    <row r="4774" spans="1:2">
      <c r="A4774" s="20"/>
      <c r="B4774" s="22"/>
    </row>
    <row r="4775" spans="1:2">
      <c r="A4775" s="20"/>
      <c r="B4775" s="22"/>
    </row>
    <row r="4776" spans="1:2">
      <c r="A4776" s="20"/>
      <c r="B4776" s="22"/>
    </row>
    <row r="4777" spans="1:2">
      <c r="A4777" s="20"/>
      <c r="B4777" s="22"/>
    </row>
    <row r="4778" spans="1:2">
      <c r="A4778" s="20"/>
      <c r="B4778" s="22"/>
    </row>
    <row r="4779" spans="1:2">
      <c r="A4779" s="20"/>
      <c r="B4779" s="22"/>
    </row>
    <row r="4780" spans="1:2">
      <c r="A4780" s="20"/>
      <c r="B4780" s="22"/>
    </row>
    <row r="4781" spans="1:2">
      <c r="A4781" s="20"/>
      <c r="B4781" s="22"/>
    </row>
    <row r="4782" spans="1:2">
      <c r="A4782" s="20"/>
      <c r="B4782" s="22"/>
    </row>
    <row r="4783" spans="1:2">
      <c r="A4783" s="20"/>
      <c r="B4783" s="22"/>
    </row>
    <row r="4784" spans="1:2">
      <c r="A4784" s="20"/>
      <c r="B4784" s="22"/>
    </row>
    <row r="4785" spans="1:2">
      <c r="A4785" s="20"/>
      <c r="B4785" s="22"/>
    </row>
    <row r="4786" spans="1:2">
      <c r="A4786" s="20"/>
      <c r="B4786" s="22"/>
    </row>
    <row r="4787" spans="1:2">
      <c r="A4787" s="20"/>
      <c r="B4787" s="22"/>
    </row>
    <row r="4788" spans="1:2">
      <c r="A4788" s="20"/>
      <c r="B4788" s="22"/>
    </row>
    <row r="4789" spans="1:2">
      <c r="A4789" s="20"/>
      <c r="B4789" s="22"/>
    </row>
    <row r="4790" spans="1:2">
      <c r="A4790" s="20"/>
      <c r="B4790" s="22"/>
    </row>
    <row r="4791" spans="1:2">
      <c r="A4791" s="20"/>
      <c r="B4791" s="22"/>
    </row>
    <row r="4792" spans="1:2">
      <c r="A4792" s="20"/>
      <c r="B4792" s="22"/>
    </row>
    <row r="4793" spans="1:2">
      <c r="A4793" s="20"/>
      <c r="B4793" s="22"/>
    </row>
    <row r="4794" spans="1:2">
      <c r="A4794" s="20"/>
      <c r="B4794" s="22"/>
    </row>
    <row r="4795" spans="1:2">
      <c r="A4795" s="20"/>
      <c r="B4795" s="22"/>
    </row>
    <row r="4796" spans="1:2">
      <c r="A4796" s="20"/>
      <c r="B4796" s="22"/>
    </row>
    <row r="4797" spans="1:2">
      <c r="A4797" s="20"/>
      <c r="B4797" s="22"/>
    </row>
    <row r="4798" spans="1:2">
      <c r="A4798" s="20"/>
      <c r="B4798" s="22"/>
    </row>
    <row r="4799" spans="1:2">
      <c r="A4799" s="20"/>
      <c r="B4799" s="22"/>
    </row>
    <row r="4800" spans="1:2">
      <c r="A4800" s="20"/>
      <c r="B4800" s="22"/>
    </row>
    <row r="4801" spans="1:2">
      <c r="A4801" s="20"/>
      <c r="B4801" s="22"/>
    </row>
    <row r="4802" spans="1:2">
      <c r="A4802" s="20"/>
      <c r="B4802" s="22"/>
    </row>
    <row r="4803" spans="1:2">
      <c r="A4803" s="20"/>
      <c r="B4803" s="22"/>
    </row>
    <row r="4804" spans="1:2">
      <c r="A4804" s="20"/>
      <c r="B4804" s="22"/>
    </row>
    <row r="4805" spans="1:2">
      <c r="A4805" s="20"/>
      <c r="B4805" s="22"/>
    </row>
    <row r="4806" spans="1:2">
      <c r="A4806" s="20"/>
      <c r="B4806" s="22"/>
    </row>
    <row r="4807" spans="1:2">
      <c r="A4807" s="20"/>
      <c r="B4807" s="22"/>
    </row>
    <row r="4808" spans="1:2">
      <c r="A4808" s="20"/>
      <c r="B4808" s="22"/>
    </row>
    <row r="4809" spans="1:2">
      <c r="A4809" s="20"/>
      <c r="B4809" s="22"/>
    </row>
    <row r="4810" spans="1:2">
      <c r="A4810" s="20"/>
      <c r="B4810" s="22"/>
    </row>
    <row r="4811" spans="1:2">
      <c r="A4811" s="20"/>
      <c r="B4811" s="22"/>
    </row>
    <row r="4812" spans="1:2">
      <c r="A4812" s="20"/>
      <c r="B4812" s="22"/>
    </row>
    <row r="4813" spans="1:2">
      <c r="A4813" s="20"/>
      <c r="B4813" s="22"/>
    </row>
    <row r="4814" spans="1:2">
      <c r="A4814" s="20"/>
      <c r="B4814" s="22"/>
    </row>
    <row r="4815" spans="1:2">
      <c r="A4815" s="20"/>
      <c r="B4815" s="22"/>
    </row>
    <row r="4816" spans="1:2">
      <c r="A4816" s="20"/>
      <c r="B4816" s="22"/>
    </row>
    <row r="4817" spans="1:2">
      <c r="A4817" s="20"/>
      <c r="B4817" s="22"/>
    </row>
    <row r="4818" spans="1:2">
      <c r="A4818" s="20"/>
      <c r="B4818" s="22"/>
    </row>
    <row r="4819" spans="1:2">
      <c r="A4819" s="20"/>
      <c r="B4819" s="22"/>
    </row>
    <row r="4820" spans="1:2">
      <c r="A4820" s="20"/>
      <c r="B4820" s="22"/>
    </row>
    <row r="4821" spans="1:2">
      <c r="A4821" s="20"/>
      <c r="B4821" s="22"/>
    </row>
    <row r="4822" spans="1:2">
      <c r="A4822" s="20"/>
      <c r="B4822" s="22"/>
    </row>
    <row r="4823" spans="1:2">
      <c r="A4823" s="20"/>
      <c r="B4823" s="22"/>
    </row>
    <row r="4824" spans="1:2">
      <c r="A4824" s="20"/>
      <c r="B4824" s="22"/>
    </row>
    <row r="4825" spans="1:2">
      <c r="A4825" s="20"/>
      <c r="B4825" s="22"/>
    </row>
    <row r="4826" spans="1:2">
      <c r="A4826" s="20"/>
      <c r="B4826" s="22"/>
    </row>
    <row r="4827" spans="1:2">
      <c r="A4827" s="20"/>
      <c r="B4827" s="22"/>
    </row>
    <row r="4828" spans="1:2">
      <c r="A4828" s="20"/>
      <c r="B4828" s="22"/>
    </row>
    <row r="4829" spans="1:2">
      <c r="A4829" s="20"/>
      <c r="B4829" s="22"/>
    </row>
    <row r="4830" spans="1:2">
      <c r="A4830" s="20"/>
      <c r="B4830" s="22"/>
    </row>
    <row r="4831" spans="1:2">
      <c r="A4831" s="20"/>
      <c r="B4831" s="22"/>
    </row>
    <row r="4832" spans="1:2">
      <c r="A4832" s="20"/>
      <c r="B4832" s="22"/>
    </row>
    <row r="4833" spans="1:2">
      <c r="A4833" s="20"/>
      <c r="B4833" s="22"/>
    </row>
    <row r="4834" spans="1:2">
      <c r="A4834" s="20"/>
      <c r="B4834" s="22"/>
    </row>
    <row r="4835" spans="1:2">
      <c r="A4835" s="20"/>
      <c r="B4835" s="22"/>
    </row>
    <row r="4836" spans="1:2">
      <c r="A4836" s="20"/>
      <c r="B4836" s="22"/>
    </row>
    <row r="4837" spans="1:2">
      <c r="A4837" s="20"/>
      <c r="B4837" s="22"/>
    </row>
    <row r="4838" spans="1:2">
      <c r="A4838" s="20"/>
      <c r="B4838" s="22"/>
    </row>
    <row r="4839" spans="1:2">
      <c r="A4839" s="20"/>
      <c r="B4839" s="22"/>
    </row>
    <row r="4840" spans="1:2">
      <c r="A4840" s="20"/>
      <c r="B4840" s="22"/>
    </row>
    <row r="4841" spans="1:2">
      <c r="A4841" s="20"/>
      <c r="B4841" s="22"/>
    </row>
    <row r="4842" spans="1:2">
      <c r="A4842" s="20"/>
      <c r="B4842" s="22"/>
    </row>
    <row r="4843" spans="1:2">
      <c r="A4843" s="20"/>
      <c r="B4843" s="22"/>
    </row>
    <row r="4844" spans="1:2">
      <c r="A4844" s="20"/>
      <c r="B4844" s="22"/>
    </row>
    <row r="4845" spans="1:2">
      <c r="A4845" s="20"/>
      <c r="B4845" s="22"/>
    </row>
    <row r="4846" spans="1:2">
      <c r="A4846" s="20"/>
      <c r="B4846" s="22"/>
    </row>
    <row r="4847" spans="1:2">
      <c r="A4847" s="20"/>
      <c r="B4847" s="22"/>
    </row>
    <row r="4848" spans="1:2">
      <c r="A4848" s="20"/>
      <c r="B4848" s="22"/>
    </row>
    <row r="4849" spans="1:2">
      <c r="A4849" s="20"/>
      <c r="B4849" s="22"/>
    </row>
    <row r="4850" spans="1:2">
      <c r="A4850" s="20"/>
      <c r="B4850" s="22"/>
    </row>
    <row r="4851" spans="1:2">
      <c r="A4851" s="20"/>
      <c r="B4851" s="22"/>
    </row>
    <row r="4852" spans="1:2">
      <c r="A4852" s="20"/>
      <c r="B4852" s="22"/>
    </row>
    <row r="4853" spans="1:2">
      <c r="A4853" s="20"/>
      <c r="B4853" s="22"/>
    </row>
    <row r="4854" spans="1:2">
      <c r="A4854" s="20"/>
      <c r="B4854" s="22"/>
    </row>
    <row r="4855" spans="1:2">
      <c r="A4855" s="20"/>
      <c r="B4855" s="22"/>
    </row>
    <row r="4856" spans="1:2">
      <c r="A4856" s="20"/>
      <c r="B4856" s="22"/>
    </row>
    <row r="4857" spans="1:2">
      <c r="A4857" s="20"/>
      <c r="B4857" s="22"/>
    </row>
    <row r="4858" spans="1:2">
      <c r="A4858" s="20"/>
      <c r="B4858" s="22"/>
    </row>
    <row r="4859" spans="1:2">
      <c r="A4859" s="20"/>
      <c r="B4859" s="22"/>
    </row>
    <row r="4860" spans="1:2">
      <c r="A4860" s="20"/>
      <c r="B4860" s="22"/>
    </row>
    <row r="4861" spans="1:2">
      <c r="A4861" s="20"/>
      <c r="B4861" s="22"/>
    </row>
    <row r="4862" spans="1:2">
      <c r="A4862" s="20"/>
      <c r="B4862" s="22"/>
    </row>
    <row r="4863" spans="1:2">
      <c r="A4863" s="20"/>
      <c r="B4863" s="22"/>
    </row>
    <row r="4864" spans="1:2">
      <c r="A4864" s="20"/>
      <c r="B4864" s="22"/>
    </row>
    <row r="4865" spans="1:2">
      <c r="A4865" s="20"/>
      <c r="B4865" s="22"/>
    </row>
    <row r="4866" spans="1:2">
      <c r="A4866" s="20"/>
      <c r="B4866" s="22"/>
    </row>
    <row r="4867" spans="1:2">
      <c r="A4867" s="20"/>
      <c r="B4867" s="22"/>
    </row>
    <row r="4868" spans="1:2">
      <c r="A4868" s="20"/>
      <c r="B4868" s="22"/>
    </row>
    <row r="4869" spans="1:2">
      <c r="A4869" s="20"/>
      <c r="B4869" s="22"/>
    </row>
    <row r="4870" spans="1:2">
      <c r="A4870" s="20"/>
      <c r="B4870" s="22"/>
    </row>
    <row r="4871" spans="1:2">
      <c r="A4871" s="20"/>
      <c r="B4871" s="22"/>
    </row>
    <row r="4872" spans="1:2">
      <c r="A4872" s="20"/>
      <c r="B4872" s="22"/>
    </row>
    <row r="4873" spans="1:2">
      <c r="A4873" s="20"/>
      <c r="B4873" s="22"/>
    </row>
    <row r="4874" spans="1:2">
      <c r="A4874" s="20"/>
      <c r="B4874" s="22"/>
    </row>
    <row r="4875" spans="1:2">
      <c r="A4875" s="20"/>
      <c r="B4875" s="22"/>
    </row>
    <row r="4876" spans="1:2">
      <c r="A4876" s="20"/>
      <c r="B4876" s="22"/>
    </row>
    <row r="4877" spans="1:2">
      <c r="A4877" s="20"/>
      <c r="B4877" s="22"/>
    </row>
    <row r="4878" spans="1:2">
      <c r="A4878" s="20"/>
      <c r="B4878" s="22"/>
    </row>
    <row r="4879" spans="1:2">
      <c r="A4879" s="20"/>
      <c r="B4879" s="22"/>
    </row>
    <row r="4880" spans="1:2">
      <c r="A4880" s="20"/>
      <c r="B4880" s="22"/>
    </row>
    <row r="4881" spans="1:2">
      <c r="A4881" s="20"/>
      <c r="B4881" s="22"/>
    </row>
    <row r="4882" spans="1:2">
      <c r="A4882" s="20"/>
      <c r="B4882" s="22"/>
    </row>
    <row r="4883" spans="1:2">
      <c r="A4883" s="20"/>
      <c r="B4883" s="22"/>
    </row>
    <row r="4884" spans="1:2">
      <c r="A4884" s="20"/>
      <c r="B4884" s="22"/>
    </row>
    <row r="4885" spans="1:2">
      <c r="A4885" s="20"/>
      <c r="B4885" s="22"/>
    </row>
    <row r="4886" spans="1:2">
      <c r="A4886" s="20"/>
      <c r="B4886" s="22"/>
    </row>
    <row r="4887" spans="1:2">
      <c r="A4887" s="20"/>
      <c r="B4887" s="22"/>
    </row>
    <row r="4888" spans="1:2">
      <c r="A4888" s="20"/>
      <c r="B4888" s="22"/>
    </row>
    <row r="4889" spans="1:2">
      <c r="A4889" s="20"/>
      <c r="B4889" s="22"/>
    </row>
    <row r="4890" spans="1:2">
      <c r="A4890" s="20"/>
      <c r="B4890" s="22"/>
    </row>
    <row r="4891" spans="1:2">
      <c r="A4891" s="20"/>
      <c r="B4891" s="22"/>
    </row>
    <row r="4892" spans="1:2">
      <c r="A4892" s="20"/>
      <c r="B4892" s="22"/>
    </row>
    <row r="4893" spans="1:2">
      <c r="A4893" s="20"/>
      <c r="B4893" s="22"/>
    </row>
    <row r="4894" spans="1:2">
      <c r="A4894" s="20"/>
      <c r="B4894" s="22"/>
    </row>
    <row r="4895" spans="1:2">
      <c r="A4895" s="20"/>
      <c r="B4895" s="22"/>
    </row>
    <row r="4896" spans="1:2">
      <c r="A4896" s="20"/>
      <c r="B4896" s="22"/>
    </row>
    <row r="4897" spans="1:2">
      <c r="A4897" s="20"/>
      <c r="B4897" s="22"/>
    </row>
    <row r="4898" spans="1:2">
      <c r="A4898" s="20"/>
      <c r="B4898" s="22"/>
    </row>
    <row r="4899" spans="1:2">
      <c r="A4899" s="20"/>
      <c r="B4899" s="22"/>
    </row>
    <row r="4900" spans="1:2">
      <c r="A4900" s="20"/>
      <c r="B4900" s="22"/>
    </row>
    <row r="4901" spans="1:2">
      <c r="A4901" s="20"/>
      <c r="B4901" s="22"/>
    </row>
    <row r="4902" spans="1:2">
      <c r="A4902" s="20"/>
      <c r="B4902" s="22"/>
    </row>
    <row r="4903" spans="1:2">
      <c r="A4903" s="20"/>
      <c r="B4903" s="22"/>
    </row>
    <row r="4904" spans="1:2">
      <c r="A4904" s="20"/>
      <c r="B4904" s="22"/>
    </row>
    <row r="4905" spans="1:2">
      <c r="A4905" s="20"/>
      <c r="B4905" s="22"/>
    </row>
    <row r="4906" spans="1:2">
      <c r="A4906" s="20"/>
      <c r="B4906" s="22"/>
    </row>
    <row r="4907" spans="1:2">
      <c r="A4907" s="20"/>
      <c r="B4907" s="22"/>
    </row>
    <row r="4908" spans="1:2">
      <c r="A4908" s="20"/>
      <c r="B4908" s="22"/>
    </row>
    <row r="4909" spans="1:2">
      <c r="A4909" s="20"/>
      <c r="B4909" s="22"/>
    </row>
    <row r="4910" spans="1:2">
      <c r="A4910" s="20"/>
      <c r="B4910" s="22"/>
    </row>
    <row r="4911" spans="1:2">
      <c r="A4911" s="20"/>
      <c r="B4911" s="22"/>
    </row>
    <row r="4912" spans="1:2">
      <c r="A4912" s="20"/>
      <c r="B4912" s="22"/>
    </row>
    <row r="4913" spans="1:2">
      <c r="A4913" s="20"/>
      <c r="B4913" s="22"/>
    </row>
    <row r="4914" spans="1:2">
      <c r="A4914" s="20"/>
      <c r="B4914" s="22"/>
    </row>
    <row r="4915" spans="1:2">
      <c r="A4915" s="20"/>
      <c r="B4915" s="22"/>
    </row>
    <row r="4916" spans="1:2">
      <c r="A4916" s="20"/>
      <c r="B4916" s="22"/>
    </row>
    <row r="4917" spans="1:2">
      <c r="A4917" s="20"/>
      <c r="B4917" s="22"/>
    </row>
    <row r="4918" spans="1:2">
      <c r="A4918" s="20"/>
      <c r="B4918" s="22"/>
    </row>
    <row r="4919" spans="1:2">
      <c r="A4919" s="20"/>
      <c r="B4919" s="22"/>
    </row>
    <row r="4920" spans="1:2">
      <c r="A4920" s="20"/>
      <c r="B4920" s="22"/>
    </row>
    <row r="4921" spans="1:2">
      <c r="A4921" s="20"/>
      <c r="B4921" s="22"/>
    </row>
    <row r="4922" spans="1:2">
      <c r="A4922" s="20"/>
      <c r="B4922" s="22"/>
    </row>
    <row r="4923" spans="1:2">
      <c r="A4923" s="20"/>
      <c r="B4923" s="22"/>
    </row>
    <row r="4924" spans="1:2">
      <c r="A4924" s="20"/>
      <c r="B4924" s="22"/>
    </row>
    <row r="4925" spans="1:2">
      <c r="A4925" s="20"/>
      <c r="B4925" s="22"/>
    </row>
    <row r="4926" spans="1:2">
      <c r="A4926" s="20"/>
      <c r="B4926" s="22"/>
    </row>
    <row r="4927" spans="1:2">
      <c r="A4927" s="20"/>
      <c r="B4927" s="22"/>
    </row>
    <row r="4928" spans="1:2">
      <c r="A4928" s="20"/>
      <c r="B4928" s="22"/>
    </row>
    <row r="4929" spans="1:2">
      <c r="A4929" s="20"/>
      <c r="B4929" s="22"/>
    </row>
    <row r="4930" spans="1:2">
      <c r="A4930" s="20"/>
      <c r="B4930" s="22"/>
    </row>
    <row r="4931" spans="1:2">
      <c r="A4931" s="20"/>
      <c r="B4931" s="22"/>
    </row>
    <row r="4932" spans="1:2">
      <c r="A4932" s="20"/>
      <c r="B4932" s="22"/>
    </row>
    <row r="4933" spans="1:2">
      <c r="A4933" s="20"/>
      <c r="B4933" s="22"/>
    </row>
    <row r="4934" spans="1:2">
      <c r="A4934" s="20"/>
      <c r="B4934" s="22"/>
    </row>
    <row r="4935" spans="1:2">
      <c r="A4935" s="20"/>
      <c r="B4935" s="22"/>
    </row>
    <row r="4936" spans="1:2">
      <c r="A4936" s="20"/>
      <c r="B4936" s="22"/>
    </row>
    <row r="4937" spans="1:2">
      <c r="A4937" s="20"/>
      <c r="B4937" s="22"/>
    </row>
    <row r="4938" spans="1:2">
      <c r="A4938" s="20"/>
      <c r="B4938" s="22"/>
    </row>
    <row r="4939" spans="1:2">
      <c r="A4939" s="20"/>
      <c r="B4939" s="22"/>
    </row>
    <row r="4940" spans="1:2">
      <c r="A4940" s="20"/>
      <c r="B4940" s="22"/>
    </row>
    <row r="4941" spans="1:2">
      <c r="A4941" s="20"/>
      <c r="B4941" s="22"/>
    </row>
    <row r="4942" spans="1:2">
      <c r="A4942" s="20"/>
      <c r="B4942" s="22"/>
    </row>
    <row r="4943" spans="1:2">
      <c r="A4943" s="20"/>
      <c r="B4943" s="22"/>
    </row>
    <row r="4944" spans="1:2">
      <c r="A4944" s="20"/>
      <c r="B4944" s="22"/>
    </row>
    <row r="4945" spans="1:2">
      <c r="A4945" s="20"/>
      <c r="B4945" s="22"/>
    </row>
    <row r="4946" spans="1:2">
      <c r="A4946" s="20"/>
      <c r="B4946" s="22"/>
    </row>
    <row r="4947" spans="1:2">
      <c r="A4947" s="20"/>
      <c r="B4947" s="22"/>
    </row>
    <row r="4948" spans="1:2">
      <c r="A4948" s="20"/>
      <c r="B4948" s="22"/>
    </row>
    <row r="4949" spans="1:2">
      <c r="A4949" s="20"/>
      <c r="B4949" s="22"/>
    </row>
    <row r="4950" spans="1:2">
      <c r="A4950" s="20"/>
      <c r="B4950" s="22"/>
    </row>
    <row r="4951" spans="1:2">
      <c r="A4951" s="20"/>
      <c r="B4951" s="22"/>
    </row>
    <row r="4952" spans="1:2">
      <c r="A4952" s="20"/>
      <c r="B4952" s="22"/>
    </row>
    <row r="4953" spans="1:2">
      <c r="A4953" s="20"/>
      <c r="B4953" s="22"/>
    </row>
    <row r="4954" spans="1:2">
      <c r="A4954" s="20"/>
      <c r="B4954" s="22"/>
    </row>
    <row r="4955" spans="1:2">
      <c r="A4955" s="20"/>
      <c r="B4955" s="22"/>
    </row>
    <row r="4956" spans="1:2">
      <c r="A4956" s="20"/>
      <c r="B4956" s="22"/>
    </row>
    <row r="4957" spans="1:2">
      <c r="A4957" s="20"/>
      <c r="B4957" s="22"/>
    </row>
    <row r="4958" spans="1:2">
      <c r="A4958" s="20"/>
      <c r="B4958" s="22"/>
    </row>
    <row r="4959" spans="1:2">
      <c r="A4959" s="20"/>
      <c r="B4959" s="22"/>
    </row>
    <row r="4960" spans="1:2">
      <c r="A4960" s="20"/>
      <c r="B4960" s="22"/>
    </row>
    <row r="4961" spans="1:2">
      <c r="A4961" s="20"/>
      <c r="B4961" s="22"/>
    </row>
    <row r="4962" spans="1:2">
      <c r="A4962" s="20"/>
      <c r="B4962" s="22"/>
    </row>
    <row r="4963" spans="1:2">
      <c r="A4963" s="20"/>
      <c r="B4963" s="22"/>
    </row>
    <row r="4964" spans="1:2">
      <c r="A4964" s="20"/>
      <c r="B4964" s="22"/>
    </row>
    <row r="4965" spans="1:2">
      <c r="A4965" s="20"/>
      <c r="B4965" s="22"/>
    </row>
    <row r="4966" spans="1:2">
      <c r="A4966" s="20"/>
      <c r="B4966" s="22"/>
    </row>
    <row r="4967" spans="1:2">
      <c r="A4967" s="20"/>
      <c r="B4967" s="22"/>
    </row>
    <row r="4968" spans="1:2">
      <c r="A4968" s="20"/>
      <c r="B4968" s="22"/>
    </row>
    <row r="4969" spans="1:2">
      <c r="A4969" s="20"/>
      <c r="B4969" s="22"/>
    </row>
    <row r="4970" spans="1:2">
      <c r="A4970" s="20"/>
      <c r="B4970" s="22"/>
    </row>
    <row r="4971" spans="1:2">
      <c r="A4971" s="20"/>
      <c r="B4971" s="22"/>
    </row>
    <row r="4972" spans="1:2">
      <c r="A4972" s="20"/>
      <c r="B4972" s="22"/>
    </row>
    <row r="4973" spans="1:2">
      <c r="A4973" s="20"/>
      <c r="B4973" s="22"/>
    </row>
    <row r="4974" spans="1:2">
      <c r="A4974" s="20"/>
      <c r="B4974" s="22"/>
    </row>
    <row r="4975" spans="1:2">
      <c r="A4975" s="20"/>
      <c r="B4975" s="22"/>
    </row>
    <row r="4976" spans="1:2">
      <c r="A4976" s="20"/>
      <c r="B4976" s="22"/>
    </row>
    <row r="4977" spans="1:2">
      <c r="A4977" s="20"/>
      <c r="B4977" s="22"/>
    </row>
    <row r="4978" spans="1:2">
      <c r="A4978" s="20"/>
      <c r="B4978" s="22"/>
    </row>
    <row r="4979" spans="1:2">
      <c r="A4979" s="20"/>
      <c r="B4979" s="22"/>
    </row>
    <row r="4980" spans="1:2">
      <c r="A4980" s="20"/>
      <c r="B4980" s="22"/>
    </row>
    <row r="4981" spans="1:2">
      <c r="A4981" s="20"/>
      <c r="B4981" s="22"/>
    </row>
    <row r="4982" spans="1:2">
      <c r="A4982" s="20"/>
      <c r="B4982" s="22"/>
    </row>
    <row r="4983" spans="1:2">
      <c r="A4983" s="20"/>
      <c r="B4983" s="22"/>
    </row>
    <row r="4984" spans="1:2">
      <c r="A4984" s="20"/>
      <c r="B4984" s="22"/>
    </row>
    <row r="4985" spans="1:2">
      <c r="A4985" s="20"/>
      <c r="B4985" s="22"/>
    </row>
    <row r="4986" spans="1:2">
      <c r="A4986" s="20"/>
      <c r="B4986" s="22"/>
    </row>
    <row r="4987" spans="1:2">
      <c r="A4987" s="20"/>
      <c r="B4987" s="22"/>
    </row>
    <row r="4988" spans="1:2">
      <c r="A4988" s="20"/>
      <c r="B4988" s="22"/>
    </row>
    <row r="4989" spans="1:2">
      <c r="A4989" s="20"/>
      <c r="B4989" s="22"/>
    </row>
    <row r="4990" spans="1:2">
      <c r="A4990" s="20"/>
      <c r="B4990" s="22"/>
    </row>
    <row r="4991" spans="1:2">
      <c r="A4991" s="20"/>
      <c r="B4991" s="22"/>
    </row>
    <row r="4992" spans="1:2">
      <c r="A4992" s="20"/>
      <c r="B4992" s="22"/>
    </row>
    <row r="4993" spans="1:2">
      <c r="A4993" s="20"/>
      <c r="B4993" s="22"/>
    </row>
    <row r="4994" spans="1:2">
      <c r="A4994" s="20"/>
      <c r="B4994" s="22"/>
    </row>
    <row r="4995" spans="1:2">
      <c r="A4995" s="20"/>
      <c r="B4995" s="22"/>
    </row>
    <row r="4996" spans="1:2">
      <c r="A4996" s="20"/>
      <c r="B4996" s="22"/>
    </row>
    <row r="4997" spans="1:2">
      <c r="A4997" s="20"/>
      <c r="B4997" s="22"/>
    </row>
    <row r="4998" spans="1:2">
      <c r="A4998" s="20"/>
      <c r="B4998" s="22"/>
    </row>
    <row r="4999" spans="1:2">
      <c r="A4999" s="20"/>
      <c r="B4999" s="22"/>
    </row>
    <row r="5000" spans="1:2">
      <c r="A5000" s="20"/>
      <c r="B5000" s="22"/>
    </row>
    <row r="5001" spans="1:2">
      <c r="A5001" s="20"/>
      <c r="B5001" s="22"/>
    </row>
    <row r="5002" spans="1:2">
      <c r="A5002" s="20"/>
      <c r="B5002" s="22"/>
    </row>
    <row r="5003" spans="1:2">
      <c r="A5003" s="20"/>
      <c r="B5003" s="22"/>
    </row>
    <row r="5004" spans="1:2">
      <c r="A5004" s="20"/>
      <c r="B5004" s="22"/>
    </row>
    <row r="5005" spans="1:2">
      <c r="A5005" s="20"/>
      <c r="B5005" s="22"/>
    </row>
    <row r="5006" spans="1:2">
      <c r="A5006" s="20"/>
      <c r="B5006" s="22"/>
    </row>
    <row r="5007" spans="1:2">
      <c r="A5007" s="20"/>
      <c r="B5007" s="22"/>
    </row>
    <row r="5008" spans="1:2">
      <c r="A5008" s="20"/>
      <c r="B5008" s="22"/>
    </row>
    <row r="5009" spans="1:2">
      <c r="A5009" s="20"/>
      <c r="B5009" s="22"/>
    </row>
    <row r="5010" spans="1:2">
      <c r="A5010" s="20"/>
      <c r="B5010" s="22"/>
    </row>
    <row r="5011" spans="1:2">
      <c r="A5011" s="20"/>
      <c r="B5011" s="22"/>
    </row>
    <row r="5012" spans="1:2">
      <c r="A5012" s="20"/>
      <c r="B5012" s="22"/>
    </row>
    <row r="5013" spans="1:2">
      <c r="A5013" s="20"/>
      <c r="B5013" s="22"/>
    </row>
    <row r="5014" spans="1:2">
      <c r="A5014" s="20"/>
      <c r="B5014" s="22"/>
    </row>
    <row r="5015" spans="1:2">
      <c r="A5015" s="20"/>
      <c r="B5015" s="22"/>
    </row>
    <row r="5016" spans="1:2">
      <c r="A5016" s="20"/>
      <c r="B5016" s="22"/>
    </row>
    <row r="5017" spans="1:2">
      <c r="A5017" s="20"/>
      <c r="B5017" s="22"/>
    </row>
    <row r="5018" spans="1:2">
      <c r="A5018" s="20"/>
      <c r="B5018" s="22"/>
    </row>
    <row r="5019" spans="1:2">
      <c r="A5019" s="20"/>
      <c r="B5019" s="22"/>
    </row>
    <row r="5020" spans="1:2">
      <c r="A5020" s="20"/>
      <c r="B5020" s="22"/>
    </row>
    <row r="5021" spans="1:2">
      <c r="A5021" s="20"/>
      <c r="B5021" s="22"/>
    </row>
    <row r="5022" spans="1:2">
      <c r="A5022" s="20"/>
      <c r="B5022" s="22"/>
    </row>
    <row r="5023" spans="1:2">
      <c r="A5023" s="20"/>
      <c r="B5023" s="22"/>
    </row>
    <row r="5024" spans="1:2">
      <c r="A5024" s="20"/>
      <c r="B5024" s="22"/>
    </row>
    <row r="5025" spans="1:2">
      <c r="A5025" s="20"/>
      <c r="B5025" s="22"/>
    </row>
    <row r="5026" spans="1:2">
      <c r="A5026" s="20"/>
      <c r="B5026" s="22"/>
    </row>
    <row r="5027" spans="1:2">
      <c r="A5027" s="20"/>
      <c r="B5027" s="22"/>
    </row>
    <row r="5028" spans="1:2">
      <c r="A5028" s="20"/>
      <c r="B5028" s="22"/>
    </row>
    <row r="5029" spans="1:2">
      <c r="A5029" s="20"/>
      <c r="B5029" s="22"/>
    </row>
    <row r="5030" spans="1:2">
      <c r="A5030" s="20"/>
      <c r="B5030" s="22"/>
    </row>
    <row r="5031" spans="1:2">
      <c r="A5031" s="20"/>
      <c r="B5031" s="22"/>
    </row>
    <row r="5032" spans="1:2">
      <c r="A5032" s="20"/>
      <c r="B5032" s="22"/>
    </row>
    <row r="5033" spans="1:2">
      <c r="A5033" s="20"/>
      <c r="B5033" s="22"/>
    </row>
    <row r="5034" spans="1:2">
      <c r="A5034" s="20"/>
      <c r="B5034" s="22"/>
    </row>
    <row r="5035" spans="1:2">
      <c r="A5035" s="20"/>
      <c r="B5035" s="22"/>
    </row>
    <row r="5036" spans="1:2">
      <c r="A5036" s="20"/>
      <c r="B5036" s="22"/>
    </row>
    <row r="5037" spans="1:2">
      <c r="A5037" s="20"/>
      <c r="B5037" s="22"/>
    </row>
    <row r="5038" spans="1:2">
      <c r="A5038" s="20"/>
      <c r="B5038" s="22"/>
    </row>
    <row r="5039" spans="1:2">
      <c r="A5039" s="20"/>
      <c r="B5039" s="22"/>
    </row>
    <row r="5040" spans="1:2">
      <c r="A5040" s="20"/>
      <c r="B5040" s="22"/>
    </row>
    <row r="5041" spans="1:2">
      <c r="A5041" s="20"/>
      <c r="B5041" s="22"/>
    </row>
    <row r="5042" spans="1:2">
      <c r="A5042" s="20"/>
      <c r="B5042" s="22"/>
    </row>
    <row r="5043" spans="1:2">
      <c r="A5043" s="20"/>
      <c r="B5043" s="22"/>
    </row>
    <row r="5044" spans="1:2">
      <c r="A5044" s="20"/>
      <c r="B5044" s="22"/>
    </row>
    <row r="5045" spans="1:2">
      <c r="A5045" s="20"/>
      <c r="B5045" s="22"/>
    </row>
    <row r="5046" spans="1:2">
      <c r="A5046" s="20"/>
      <c r="B5046" s="22"/>
    </row>
    <row r="5047" spans="1:2">
      <c r="A5047" s="20"/>
      <c r="B5047" s="22"/>
    </row>
    <row r="5048" spans="1:2">
      <c r="A5048" s="20"/>
      <c r="B5048" s="22"/>
    </row>
    <row r="5049" spans="1:2">
      <c r="A5049" s="20"/>
      <c r="B5049" s="22"/>
    </row>
    <row r="5050" spans="1:2">
      <c r="A5050" s="20"/>
      <c r="B5050" s="22"/>
    </row>
    <row r="5051" spans="1:2">
      <c r="A5051" s="20"/>
      <c r="B5051" s="22"/>
    </row>
    <row r="5052" spans="1:2">
      <c r="A5052" s="20"/>
      <c r="B5052" s="22"/>
    </row>
    <row r="5053" spans="1:2">
      <c r="A5053" s="20"/>
      <c r="B5053" s="22"/>
    </row>
    <row r="5054" spans="1:2">
      <c r="A5054" s="20"/>
      <c r="B5054" s="22"/>
    </row>
    <row r="5055" spans="1:2">
      <c r="A5055" s="20"/>
      <c r="B5055" s="22"/>
    </row>
    <row r="5056" spans="1:2">
      <c r="A5056" s="20"/>
      <c r="B5056" s="22"/>
    </row>
    <row r="5057" spans="1:2">
      <c r="A5057" s="20"/>
      <c r="B5057" s="22"/>
    </row>
    <row r="5058" spans="1:2">
      <c r="A5058" s="20"/>
      <c r="B5058" s="22"/>
    </row>
    <row r="5059" spans="1:2">
      <c r="A5059" s="20"/>
      <c r="B5059" s="22"/>
    </row>
    <row r="5060" spans="1:2">
      <c r="A5060" s="20"/>
      <c r="B5060" s="22"/>
    </row>
    <row r="5061" spans="1:2">
      <c r="A5061" s="20"/>
      <c r="B5061" s="22"/>
    </row>
    <row r="5062" spans="1:2">
      <c r="A5062" s="20"/>
      <c r="B5062" s="22"/>
    </row>
    <row r="5063" spans="1:2">
      <c r="A5063" s="20"/>
      <c r="B5063" s="22"/>
    </row>
    <row r="5064" spans="1:2">
      <c r="A5064" s="20"/>
      <c r="B5064" s="22"/>
    </row>
    <row r="5065" spans="1:2">
      <c r="A5065" s="20"/>
      <c r="B5065" s="22"/>
    </row>
    <row r="5066" spans="1:2">
      <c r="A5066" s="20"/>
      <c r="B5066" s="22"/>
    </row>
    <row r="5067" spans="1:2">
      <c r="A5067" s="20"/>
      <c r="B5067" s="22"/>
    </row>
    <row r="5068" spans="1:2">
      <c r="A5068" s="20"/>
      <c r="B5068" s="22"/>
    </row>
    <row r="5069" spans="1:2">
      <c r="A5069" s="20"/>
      <c r="B5069" s="22"/>
    </row>
    <row r="5070" spans="1:2">
      <c r="A5070" s="20"/>
      <c r="B5070" s="22"/>
    </row>
    <row r="5071" spans="1:2">
      <c r="A5071" s="20"/>
      <c r="B5071" s="22"/>
    </row>
    <row r="5072" spans="1:2">
      <c r="A5072" s="20"/>
      <c r="B5072" s="22"/>
    </row>
    <row r="5073" spans="1:2">
      <c r="A5073" s="20"/>
      <c r="B5073" s="22"/>
    </row>
    <row r="5074" spans="1:2">
      <c r="A5074" s="20"/>
      <c r="B5074" s="22"/>
    </row>
    <row r="5075" spans="1:2">
      <c r="A5075" s="20"/>
      <c r="B5075" s="22"/>
    </row>
    <row r="5076" spans="1:2">
      <c r="A5076" s="20"/>
      <c r="B5076" s="22"/>
    </row>
    <row r="5077" spans="1:2">
      <c r="A5077" s="20"/>
      <c r="B5077" s="22"/>
    </row>
    <row r="5078" spans="1:2">
      <c r="A5078" s="20"/>
      <c r="B5078" s="22"/>
    </row>
    <row r="5079" spans="1:2">
      <c r="A5079" s="20"/>
      <c r="B5079" s="22"/>
    </row>
    <row r="5080" spans="1:2">
      <c r="A5080" s="20"/>
      <c r="B5080" s="22"/>
    </row>
    <row r="5081" spans="1:2">
      <c r="A5081" s="20"/>
      <c r="B5081" s="22"/>
    </row>
    <row r="5082" spans="1:2">
      <c r="A5082" s="20"/>
      <c r="B5082" s="22"/>
    </row>
    <row r="5083" spans="1:2">
      <c r="A5083" s="20"/>
      <c r="B5083" s="22"/>
    </row>
    <row r="5084" spans="1:2">
      <c r="A5084" s="20"/>
      <c r="B5084" s="22"/>
    </row>
    <row r="5085" spans="1:2">
      <c r="A5085" s="20"/>
      <c r="B5085" s="22"/>
    </row>
    <row r="5086" spans="1:2">
      <c r="A5086" s="20"/>
      <c r="B5086" s="22"/>
    </row>
    <row r="5087" spans="1:2">
      <c r="A5087" s="20"/>
      <c r="B5087" s="22"/>
    </row>
    <row r="5088" spans="1:2">
      <c r="A5088" s="20"/>
      <c r="B5088" s="22"/>
    </row>
    <row r="5089" spans="1:2">
      <c r="A5089" s="20"/>
      <c r="B5089" s="22"/>
    </row>
    <row r="5090" spans="1:2">
      <c r="A5090" s="20"/>
      <c r="B5090" s="22"/>
    </row>
    <row r="5091" spans="1:2">
      <c r="A5091" s="20"/>
      <c r="B5091" s="22"/>
    </row>
    <row r="5092" spans="1:2">
      <c r="A5092" s="20"/>
      <c r="B5092" s="22"/>
    </row>
    <row r="5093" spans="1:2">
      <c r="A5093" s="20"/>
      <c r="B5093" s="22"/>
    </row>
    <row r="5094" spans="1:2">
      <c r="A5094" s="20"/>
      <c r="B5094" s="22"/>
    </row>
    <row r="5095" spans="1:2">
      <c r="A5095" s="20"/>
      <c r="B5095" s="22"/>
    </row>
    <row r="5096" spans="1:2">
      <c r="A5096" s="20"/>
      <c r="B5096" s="22"/>
    </row>
    <row r="5097" spans="1:2">
      <c r="A5097" s="20"/>
      <c r="B5097" s="22"/>
    </row>
    <row r="5098" spans="1:2">
      <c r="A5098" s="20"/>
      <c r="B5098" s="22"/>
    </row>
    <row r="5099" spans="1:2">
      <c r="A5099" s="20"/>
      <c r="B5099" s="22"/>
    </row>
    <row r="5100" spans="1:2">
      <c r="A5100" s="20"/>
      <c r="B5100" s="22"/>
    </row>
    <row r="5101" spans="1:2">
      <c r="A5101" s="20"/>
      <c r="B5101" s="22"/>
    </row>
    <row r="5102" spans="1:2">
      <c r="A5102" s="20"/>
      <c r="B5102" s="22"/>
    </row>
    <row r="5103" spans="1:2">
      <c r="A5103" s="20"/>
      <c r="B5103" s="22"/>
    </row>
    <row r="5104" spans="1:2">
      <c r="A5104" s="20"/>
      <c r="B5104" s="22"/>
    </row>
    <row r="5105" spans="1:2">
      <c r="A5105" s="20"/>
      <c r="B5105" s="22"/>
    </row>
    <row r="5106" spans="1:2">
      <c r="A5106" s="20"/>
      <c r="B5106" s="22"/>
    </row>
    <row r="5107" spans="1:2">
      <c r="A5107" s="20"/>
      <c r="B5107" s="22"/>
    </row>
    <row r="5108" spans="1:2">
      <c r="A5108" s="20"/>
      <c r="B5108" s="22"/>
    </row>
    <row r="5109" spans="1:2">
      <c r="A5109" s="20"/>
      <c r="B5109" s="22"/>
    </row>
    <row r="5110" spans="1:2">
      <c r="A5110" s="20"/>
      <c r="B5110" s="22"/>
    </row>
    <row r="5111" spans="1:2">
      <c r="A5111" s="20"/>
      <c r="B5111" s="22"/>
    </row>
    <row r="5112" spans="1:2">
      <c r="A5112" s="20"/>
      <c r="B5112" s="22"/>
    </row>
    <row r="5113" spans="1:2">
      <c r="A5113" s="20"/>
      <c r="B5113" s="22"/>
    </row>
    <row r="5114" spans="1:2">
      <c r="A5114" s="20"/>
      <c r="B5114" s="22"/>
    </row>
    <row r="5115" spans="1:2">
      <c r="A5115" s="20"/>
      <c r="B5115" s="22"/>
    </row>
    <row r="5116" spans="1:2">
      <c r="A5116" s="20"/>
      <c r="B5116" s="22"/>
    </row>
    <row r="5117" spans="1:2">
      <c r="A5117" s="20"/>
      <c r="B5117" s="22"/>
    </row>
    <row r="5118" spans="1:2">
      <c r="A5118" s="20"/>
      <c r="B5118" s="22"/>
    </row>
    <row r="5119" spans="1:2">
      <c r="A5119" s="20"/>
      <c r="B5119" s="22"/>
    </row>
    <row r="5120" spans="1:2">
      <c r="A5120" s="20"/>
      <c r="B5120" s="22"/>
    </row>
    <row r="5121" spans="1:2">
      <c r="A5121" s="20"/>
      <c r="B5121" s="22"/>
    </row>
    <row r="5122" spans="1:2">
      <c r="A5122" s="20"/>
      <c r="B5122" s="22"/>
    </row>
    <row r="5123" spans="1:2">
      <c r="A5123" s="20"/>
      <c r="B5123" s="22"/>
    </row>
    <row r="5124" spans="1:2">
      <c r="A5124" s="20"/>
      <c r="B5124" s="22"/>
    </row>
    <row r="5125" spans="1:2">
      <c r="A5125" s="20"/>
      <c r="B5125" s="22"/>
    </row>
    <row r="5126" spans="1:2">
      <c r="A5126" s="20"/>
      <c r="B5126" s="22"/>
    </row>
    <row r="5127" spans="1:2">
      <c r="A5127" s="20"/>
      <c r="B5127" s="22"/>
    </row>
    <row r="5128" spans="1:2">
      <c r="A5128" s="20"/>
      <c r="B5128" s="22"/>
    </row>
    <row r="5129" spans="1:2">
      <c r="A5129" s="20"/>
      <c r="B5129" s="22"/>
    </row>
    <row r="5130" spans="1:2">
      <c r="A5130" s="20"/>
      <c r="B5130" s="22"/>
    </row>
    <row r="5131" spans="1:2">
      <c r="A5131" s="20"/>
      <c r="B5131" s="22"/>
    </row>
    <row r="5132" spans="1:2">
      <c r="A5132" s="20"/>
      <c r="B5132" s="22"/>
    </row>
    <row r="5133" spans="1:2">
      <c r="A5133" s="20"/>
      <c r="B5133" s="22"/>
    </row>
    <row r="5134" spans="1:2">
      <c r="A5134" s="20"/>
      <c r="B5134" s="22"/>
    </row>
    <row r="5135" spans="1:2">
      <c r="A5135" s="20"/>
      <c r="B5135" s="22"/>
    </row>
    <row r="5136" spans="1:2">
      <c r="A5136" s="20"/>
      <c r="B5136" s="22"/>
    </row>
    <row r="5137" spans="1:2">
      <c r="A5137" s="20"/>
      <c r="B5137" s="22"/>
    </row>
    <row r="5138" spans="1:2">
      <c r="A5138" s="20"/>
      <c r="B5138" s="22"/>
    </row>
    <row r="5139" spans="1:2">
      <c r="A5139" s="20"/>
      <c r="B5139" s="22"/>
    </row>
    <row r="5140" spans="1:2">
      <c r="A5140" s="20"/>
      <c r="B5140" s="22"/>
    </row>
    <row r="5141" spans="1:2">
      <c r="A5141" s="20"/>
      <c r="B5141" s="22"/>
    </row>
    <row r="5142" spans="1:2">
      <c r="A5142" s="20"/>
      <c r="B5142" s="22"/>
    </row>
    <row r="5143" spans="1:2">
      <c r="A5143" s="20"/>
      <c r="B5143" s="22"/>
    </row>
    <row r="5144" spans="1:2">
      <c r="A5144" s="20"/>
      <c r="B5144" s="22"/>
    </row>
    <row r="5145" spans="1:2">
      <c r="A5145" s="20"/>
      <c r="B5145" s="22"/>
    </row>
    <row r="5146" spans="1:2">
      <c r="A5146" s="20"/>
      <c r="B5146" s="22"/>
    </row>
    <row r="5147" spans="1:2">
      <c r="A5147" s="20"/>
      <c r="B5147" s="22"/>
    </row>
    <row r="5148" spans="1:2">
      <c r="A5148" s="20"/>
      <c r="B5148" s="22"/>
    </row>
    <row r="5149" spans="1:2">
      <c r="A5149" s="20"/>
      <c r="B5149" s="22"/>
    </row>
    <row r="5150" spans="1:2">
      <c r="A5150" s="20"/>
      <c r="B5150" s="22"/>
    </row>
    <row r="5151" spans="1:2">
      <c r="A5151" s="20"/>
      <c r="B5151" s="22"/>
    </row>
    <row r="5152" spans="1:2">
      <c r="A5152" s="20"/>
      <c r="B5152" s="22"/>
    </row>
    <row r="5153" spans="1:2">
      <c r="A5153" s="20"/>
      <c r="B5153" s="22"/>
    </row>
    <row r="5154" spans="1:2">
      <c r="A5154" s="20"/>
      <c r="B5154" s="22"/>
    </row>
    <row r="5155" spans="1:2">
      <c r="A5155" s="20"/>
      <c r="B5155" s="22"/>
    </row>
    <row r="5156" spans="1:2">
      <c r="A5156" s="20"/>
      <c r="B5156" s="22"/>
    </row>
    <row r="5157" spans="1:2">
      <c r="A5157" s="20"/>
      <c r="B5157" s="22"/>
    </row>
    <row r="5158" spans="1:2">
      <c r="A5158" s="20"/>
      <c r="B5158" s="22"/>
    </row>
    <row r="5159" spans="1:2">
      <c r="A5159" s="20"/>
      <c r="B5159" s="22"/>
    </row>
    <row r="5160" spans="1:2">
      <c r="A5160" s="20"/>
      <c r="B5160" s="22"/>
    </row>
    <row r="5161" spans="1:2">
      <c r="A5161" s="20"/>
      <c r="B5161" s="22"/>
    </row>
    <row r="5162" spans="1:2">
      <c r="A5162" s="20"/>
      <c r="B5162" s="22"/>
    </row>
    <row r="5163" spans="1:2">
      <c r="A5163" s="20"/>
      <c r="B5163" s="22"/>
    </row>
    <row r="5164" spans="1:2">
      <c r="A5164" s="20"/>
      <c r="B5164" s="22"/>
    </row>
    <row r="5165" spans="1:2">
      <c r="A5165" s="20"/>
      <c r="B5165" s="22"/>
    </row>
    <row r="5166" spans="1:2">
      <c r="A5166" s="20"/>
      <c r="B5166" s="22"/>
    </row>
    <row r="5167" spans="1:2">
      <c r="A5167" s="20"/>
      <c r="B5167" s="22"/>
    </row>
    <row r="5168" spans="1:2">
      <c r="A5168" s="20"/>
      <c r="B5168" s="22"/>
    </row>
    <row r="5169" spans="1:2">
      <c r="A5169" s="20"/>
      <c r="B5169" s="22"/>
    </row>
    <row r="5170" spans="1:2">
      <c r="A5170" s="20"/>
      <c r="B5170" s="22"/>
    </row>
    <row r="5171" spans="1:2">
      <c r="A5171" s="20"/>
      <c r="B5171" s="22"/>
    </row>
    <row r="5172" spans="1:2">
      <c r="A5172" s="20"/>
      <c r="B5172" s="22"/>
    </row>
    <row r="5173" spans="1:2">
      <c r="A5173" s="20"/>
      <c r="B5173" s="22"/>
    </row>
    <row r="5174" spans="1:2">
      <c r="A5174" s="20"/>
      <c r="B5174" s="22"/>
    </row>
    <row r="5175" spans="1:2">
      <c r="A5175" s="20"/>
      <c r="B5175" s="22"/>
    </row>
    <row r="5176" spans="1:2">
      <c r="A5176" s="20"/>
      <c r="B5176" s="22"/>
    </row>
    <row r="5177" spans="1:2">
      <c r="A5177" s="20"/>
      <c r="B5177" s="22"/>
    </row>
    <row r="5178" spans="1:2">
      <c r="A5178" s="20"/>
      <c r="B5178" s="22"/>
    </row>
    <row r="5179" spans="1:2">
      <c r="A5179" s="20"/>
      <c r="B5179" s="22"/>
    </row>
    <row r="5180" spans="1:2">
      <c r="A5180" s="20"/>
      <c r="B5180" s="22"/>
    </row>
    <row r="5181" spans="1:2">
      <c r="A5181" s="20"/>
      <c r="B5181" s="22"/>
    </row>
    <row r="5182" spans="1:2">
      <c r="A5182" s="20"/>
      <c r="B5182" s="22"/>
    </row>
    <row r="5183" spans="1:2">
      <c r="A5183" s="20"/>
      <c r="B5183" s="22"/>
    </row>
    <row r="5184" spans="1:2">
      <c r="A5184" s="20"/>
      <c r="B5184" s="22"/>
    </row>
    <row r="5185" spans="1:2">
      <c r="A5185" s="20"/>
      <c r="B5185" s="22"/>
    </row>
    <row r="5186" spans="1:2">
      <c r="A5186" s="20"/>
      <c r="B5186" s="22"/>
    </row>
    <row r="5187" spans="1:2">
      <c r="A5187" s="20"/>
      <c r="B5187" s="22"/>
    </row>
    <row r="5188" spans="1:2">
      <c r="A5188" s="20"/>
      <c r="B5188" s="22"/>
    </row>
    <row r="5189" spans="1:2">
      <c r="A5189" s="20"/>
      <c r="B5189" s="22"/>
    </row>
    <row r="5190" spans="1:2">
      <c r="A5190" s="20"/>
      <c r="B5190" s="22"/>
    </row>
    <row r="5191" spans="1:2">
      <c r="A5191" s="20"/>
      <c r="B5191" s="22"/>
    </row>
    <row r="5192" spans="1:2">
      <c r="A5192" s="20"/>
      <c r="B5192" s="22"/>
    </row>
    <row r="5193" spans="1:2">
      <c r="A5193" s="20"/>
      <c r="B5193" s="22"/>
    </row>
    <row r="5194" spans="1:2">
      <c r="A5194" s="20"/>
      <c r="B5194" s="22"/>
    </row>
    <row r="5195" spans="1:2">
      <c r="A5195" s="20"/>
      <c r="B5195" s="22"/>
    </row>
    <row r="5196" spans="1:2">
      <c r="A5196" s="20"/>
      <c r="B5196" s="22"/>
    </row>
    <row r="5197" spans="1:2">
      <c r="A5197" s="20"/>
      <c r="B5197" s="22"/>
    </row>
    <row r="5198" spans="1:2">
      <c r="A5198" s="20"/>
      <c r="B5198" s="22"/>
    </row>
    <row r="5199" spans="1:2">
      <c r="A5199" s="20"/>
      <c r="B5199" s="22"/>
    </row>
    <row r="5200" spans="1:2">
      <c r="A5200" s="20"/>
      <c r="B5200" s="22"/>
    </row>
    <row r="5201" spans="1:2">
      <c r="A5201" s="20"/>
      <c r="B5201" s="22"/>
    </row>
    <row r="5202" spans="1:2">
      <c r="A5202" s="20"/>
      <c r="B5202" s="22"/>
    </row>
    <row r="5203" spans="1:2">
      <c r="A5203" s="20"/>
      <c r="B5203" s="22"/>
    </row>
    <row r="5204" spans="1:2">
      <c r="A5204" s="20"/>
      <c r="B5204" s="22"/>
    </row>
    <row r="5205" spans="1:2">
      <c r="A5205" s="20"/>
      <c r="B5205" s="22"/>
    </row>
    <row r="5206" spans="1:2">
      <c r="A5206" s="20"/>
      <c r="B5206" s="22"/>
    </row>
    <row r="5207" spans="1:2">
      <c r="A5207" s="20"/>
      <c r="B5207" s="22"/>
    </row>
    <row r="5208" spans="1:2">
      <c r="A5208" s="20"/>
      <c r="B5208" s="22"/>
    </row>
    <row r="5209" spans="1:2">
      <c r="A5209" s="20"/>
      <c r="B5209" s="22"/>
    </row>
    <row r="5210" spans="1:2">
      <c r="A5210" s="20"/>
      <c r="B5210" s="22"/>
    </row>
    <row r="5211" spans="1:2">
      <c r="A5211" s="20"/>
      <c r="B5211" s="22"/>
    </row>
    <row r="5212" spans="1:2">
      <c r="A5212" s="20"/>
      <c r="B5212" s="22"/>
    </row>
    <row r="5213" spans="1:2">
      <c r="A5213" s="20"/>
      <c r="B5213" s="22"/>
    </row>
    <row r="5214" spans="1:2">
      <c r="A5214" s="20"/>
      <c r="B5214" s="22"/>
    </row>
    <row r="5215" spans="1:2">
      <c r="A5215" s="20"/>
      <c r="B5215" s="22"/>
    </row>
    <row r="5216" spans="1:2">
      <c r="A5216" s="20"/>
      <c r="B5216" s="22"/>
    </row>
    <row r="5217" spans="1:2">
      <c r="A5217" s="20"/>
      <c r="B5217" s="22"/>
    </row>
    <row r="5218" spans="1:2">
      <c r="A5218" s="20"/>
      <c r="B5218" s="22"/>
    </row>
    <row r="5219" spans="1:2">
      <c r="A5219" s="20"/>
      <c r="B5219" s="22"/>
    </row>
    <row r="5220" spans="1:2">
      <c r="A5220" s="20"/>
      <c r="B5220" s="22"/>
    </row>
    <row r="5221" spans="1:2">
      <c r="A5221" s="20"/>
      <c r="B5221" s="22"/>
    </row>
    <row r="5222" spans="1:2">
      <c r="A5222" s="20"/>
      <c r="B5222" s="22"/>
    </row>
    <row r="5223" spans="1:2">
      <c r="A5223" s="20"/>
      <c r="B5223" s="22"/>
    </row>
    <row r="5224" spans="1:2">
      <c r="A5224" s="20"/>
      <c r="B5224" s="22"/>
    </row>
    <row r="5225" spans="1:2">
      <c r="A5225" s="20"/>
      <c r="B5225" s="22"/>
    </row>
    <row r="5226" spans="1:2">
      <c r="A5226" s="20"/>
      <c r="B5226" s="22"/>
    </row>
    <row r="5227" spans="1:2">
      <c r="A5227" s="20"/>
      <c r="B5227" s="22"/>
    </row>
    <row r="5228" spans="1:2">
      <c r="A5228" s="20"/>
      <c r="B5228" s="22"/>
    </row>
    <row r="5229" spans="1:2">
      <c r="A5229" s="20"/>
      <c r="B5229" s="22"/>
    </row>
    <row r="5230" spans="1:2">
      <c r="A5230" s="20"/>
      <c r="B5230" s="22"/>
    </row>
    <row r="5231" spans="1:2">
      <c r="A5231" s="20"/>
      <c r="B5231" s="22"/>
    </row>
    <row r="5232" spans="1:2">
      <c r="A5232" s="20"/>
      <c r="B5232" s="22"/>
    </row>
    <row r="5233" spans="1:2">
      <c r="A5233" s="20"/>
      <c r="B5233" s="22"/>
    </row>
    <row r="5234" spans="1:2">
      <c r="A5234" s="20"/>
      <c r="B5234" s="22"/>
    </row>
    <row r="5235" spans="1:2">
      <c r="A5235" s="20"/>
      <c r="B5235" s="22"/>
    </row>
    <row r="5236" spans="1:2">
      <c r="A5236" s="20"/>
      <c r="B5236" s="22"/>
    </row>
    <row r="5237" spans="1:2">
      <c r="A5237" s="20"/>
      <c r="B5237" s="22"/>
    </row>
    <row r="5238" spans="1:2">
      <c r="A5238" s="20"/>
      <c r="B5238" s="22"/>
    </row>
    <row r="5239" spans="1:2">
      <c r="A5239" s="20"/>
      <c r="B5239" s="22"/>
    </row>
    <row r="5240" spans="1:2">
      <c r="A5240" s="20"/>
      <c r="B5240" s="22"/>
    </row>
    <row r="5241" spans="1:2">
      <c r="A5241" s="20"/>
      <c r="B5241" s="22"/>
    </row>
    <row r="5242" spans="1:2">
      <c r="A5242" s="20"/>
      <c r="B5242" s="22"/>
    </row>
    <row r="5243" spans="1:2">
      <c r="A5243" s="20"/>
      <c r="B5243" s="22"/>
    </row>
    <row r="5244" spans="1:2">
      <c r="A5244" s="20"/>
      <c r="B5244" s="22"/>
    </row>
    <row r="5245" spans="1:2">
      <c r="A5245" s="20"/>
      <c r="B5245" s="22"/>
    </row>
    <row r="5246" spans="1:2">
      <c r="A5246" s="20"/>
      <c r="B5246" s="22"/>
    </row>
    <row r="5247" spans="1:2">
      <c r="A5247" s="20"/>
      <c r="B5247" s="22"/>
    </row>
    <row r="5248" spans="1:2">
      <c r="A5248" s="20"/>
      <c r="B5248" s="22"/>
    </row>
    <row r="5249" spans="1:2">
      <c r="A5249" s="20"/>
      <c r="B5249" s="22"/>
    </row>
    <row r="5250" spans="1:2">
      <c r="A5250" s="20"/>
      <c r="B5250" s="22"/>
    </row>
    <row r="5251" spans="1:2">
      <c r="A5251" s="20"/>
      <c r="B5251" s="22"/>
    </row>
    <row r="5252" spans="1:2">
      <c r="A5252" s="20"/>
      <c r="B5252" s="22"/>
    </row>
    <row r="5253" spans="1:2">
      <c r="A5253" s="20"/>
      <c r="B5253" s="22"/>
    </row>
    <row r="5254" spans="1:2">
      <c r="A5254" s="20"/>
      <c r="B5254" s="22"/>
    </row>
    <row r="5255" spans="1:2">
      <c r="A5255" s="20"/>
      <c r="B5255" s="22"/>
    </row>
    <row r="5256" spans="1:2">
      <c r="A5256" s="20"/>
      <c r="B5256" s="22"/>
    </row>
    <row r="5257" spans="1:2">
      <c r="A5257" s="20"/>
      <c r="B5257" s="22"/>
    </row>
    <row r="5258" spans="1:2">
      <c r="A5258" s="20"/>
      <c r="B5258" s="22"/>
    </row>
    <row r="5259" spans="1:2">
      <c r="A5259" s="20"/>
      <c r="B5259" s="22"/>
    </row>
    <row r="5260" spans="1:2">
      <c r="A5260" s="20"/>
      <c r="B5260" s="22"/>
    </row>
    <row r="5261" spans="1:2">
      <c r="A5261" s="20"/>
      <c r="B5261" s="22"/>
    </row>
    <row r="5262" spans="1:2">
      <c r="A5262" s="20"/>
      <c r="B5262" s="22"/>
    </row>
    <row r="5263" spans="1:2">
      <c r="A5263" s="20"/>
      <c r="B5263" s="22"/>
    </row>
    <row r="5264" spans="1:2">
      <c r="A5264" s="20"/>
      <c r="B5264" s="22"/>
    </row>
    <row r="5265" spans="1:2">
      <c r="A5265" s="20"/>
      <c r="B5265" s="22"/>
    </row>
    <row r="5266" spans="1:2">
      <c r="A5266" s="20"/>
      <c r="B5266" s="22"/>
    </row>
    <row r="5267" spans="1:2">
      <c r="A5267" s="20"/>
      <c r="B5267" s="22"/>
    </row>
    <row r="5268" spans="1:2">
      <c r="A5268" s="20"/>
      <c r="B5268" s="22"/>
    </row>
    <row r="5269" spans="1:2">
      <c r="A5269" s="20"/>
      <c r="B5269" s="22"/>
    </row>
    <row r="5270" spans="1:2">
      <c r="A5270" s="20"/>
      <c r="B5270" s="22"/>
    </row>
    <row r="5271" spans="1:2">
      <c r="A5271" s="20"/>
      <c r="B5271" s="22"/>
    </row>
    <row r="5272" spans="1:2">
      <c r="A5272" s="20"/>
      <c r="B5272" s="22"/>
    </row>
    <row r="5273" spans="1:2">
      <c r="A5273" s="20"/>
      <c r="B5273" s="22"/>
    </row>
    <row r="5274" spans="1:2">
      <c r="A5274" s="20"/>
      <c r="B5274" s="22"/>
    </row>
    <row r="5275" spans="1:2">
      <c r="A5275" s="20"/>
      <c r="B5275" s="22"/>
    </row>
    <row r="5276" spans="1:2">
      <c r="A5276" s="20"/>
      <c r="B5276" s="22"/>
    </row>
    <row r="5277" spans="1:2">
      <c r="A5277" s="20"/>
      <c r="B5277" s="22"/>
    </row>
    <row r="5278" spans="1:2">
      <c r="A5278" s="20"/>
      <c r="B5278" s="22"/>
    </row>
    <row r="5279" spans="1:2">
      <c r="A5279" s="20"/>
      <c r="B5279" s="22"/>
    </row>
    <row r="5280" spans="1:2">
      <c r="A5280" s="20"/>
      <c r="B5280" s="22"/>
    </row>
    <row r="5281" spans="1:2">
      <c r="A5281" s="20"/>
      <c r="B5281" s="22"/>
    </row>
    <row r="5282" spans="1:2">
      <c r="A5282" s="20"/>
      <c r="B5282" s="22"/>
    </row>
    <row r="5283" spans="1:2">
      <c r="A5283" s="20"/>
      <c r="B5283" s="22"/>
    </row>
    <row r="5284" spans="1:2">
      <c r="A5284" s="20"/>
      <c r="B5284" s="22"/>
    </row>
    <row r="5285" spans="1:2">
      <c r="A5285" s="20"/>
      <c r="B5285" s="22"/>
    </row>
    <row r="5286" spans="1:2">
      <c r="A5286" s="20"/>
      <c r="B5286" s="22"/>
    </row>
    <row r="5287" spans="1:2">
      <c r="A5287" s="20"/>
      <c r="B5287" s="22"/>
    </row>
    <row r="5288" spans="1:2">
      <c r="A5288" s="20"/>
      <c r="B5288" s="22"/>
    </row>
    <row r="5289" spans="1:2">
      <c r="A5289" s="20"/>
      <c r="B5289" s="22"/>
    </row>
    <row r="5290" spans="1:2">
      <c r="A5290" s="20"/>
      <c r="B5290" s="22"/>
    </row>
    <row r="5291" spans="1:2">
      <c r="A5291" s="20"/>
      <c r="B5291" s="22"/>
    </row>
    <row r="5292" spans="1:2">
      <c r="A5292" s="20"/>
      <c r="B5292" s="22"/>
    </row>
    <row r="5293" spans="1:2">
      <c r="A5293" s="20"/>
      <c r="B5293" s="22"/>
    </row>
    <row r="5294" spans="1:2">
      <c r="A5294" s="20"/>
      <c r="B5294" s="22"/>
    </row>
    <row r="5295" spans="1:2">
      <c r="A5295" s="20"/>
      <c r="B5295" s="22"/>
    </row>
    <row r="5296" spans="1:2">
      <c r="A5296" s="20"/>
      <c r="B5296" s="22"/>
    </row>
    <row r="5297" spans="1:2">
      <c r="A5297" s="20"/>
      <c r="B5297" s="22"/>
    </row>
    <row r="5298" spans="1:2">
      <c r="A5298" s="20"/>
      <c r="B5298" s="22"/>
    </row>
    <row r="5299" spans="1:2">
      <c r="A5299" s="20"/>
      <c r="B5299" s="22"/>
    </row>
    <row r="5300" spans="1:2">
      <c r="A5300" s="20"/>
      <c r="B5300" s="22"/>
    </row>
    <row r="5301" spans="1:2">
      <c r="A5301" s="20"/>
      <c r="B5301" s="22"/>
    </row>
    <row r="5302" spans="1:2">
      <c r="A5302" s="20"/>
      <c r="B5302" s="22"/>
    </row>
    <row r="5303" spans="1:2">
      <c r="A5303" s="20"/>
      <c r="B5303" s="22"/>
    </row>
    <row r="5304" spans="1:2">
      <c r="A5304" s="20"/>
      <c r="B5304" s="22"/>
    </row>
    <row r="5305" spans="1:2">
      <c r="A5305" s="20"/>
      <c r="B5305" s="22"/>
    </row>
    <row r="5306" spans="1:2">
      <c r="A5306" s="20"/>
      <c r="B5306" s="22"/>
    </row>
    <row r="5307" spans="1:2">
      <c r="A5307" s="20"/>
      <c r="B5307" s="22"/>
    </row>
    <row r="5308" spans="1:2">
      <c r="A5308" s="20"/>
      <c r="B5308" s="22"/>
    </row>
    <row r="5309" spans="1:2">
      <c r="A5309" s="20"/>
      <c r="B5309" s="22"/>
    </row>
    <row r="5310" spans="1:2">
      <c r="A5310" s="20"/>
      <c r="B5310" s="22"/>
    </row>
    <row r="5311" spans="1:2">
      <c r="A5311" s="20"/>
      <c r="B5311" s="22"/>
    </row>
    <row r="5312" spans="1:2">
      <c r="A5312" s="20"/>
      <c r="B5312" s="22"/>
    </row>
    <row r="5313" spans="1:2">
      <c r="A5313" s="20"/>
      <c r="B5313" s="22"/>
    </row>
    <row r="5314" spans="1:2">
      <c r="A5314" s="20"/>
      <c r="B5314" s="22"/>
    </row>
    <row r="5315" spans="1:2">
      <c r="A5315" s="20"/>
      <c r="B5315" s="22"/>
    </row>
    <row r="5316" spans="1:2">
      <c r="A5316" s="20"/>
      <c r="B5316" s="22"/>
    </row>
    <row r="5317" spans="1:2">
      <c r="A5317" s="20"/>
      <c r="B5317" s="22"/>
    </row>
    <row r="5318" spans="1:2">
      <c r="A5318" s="20"/>
      <c r="B5318" s="22"/>
    </row>
    <row r="5319" spans="1:2">
      <c r="A5319" s="20"/>
      <c r="B5319" s="22"/>
    </row>
    <row r="5320" spans="1:2">
      <c r="A5320" s="20"/>
      <c r="B5320" s="22"/>
    </row>
    <row r="5321" spans="1:2">
      <c r="A5321" s="20"/>
      <c r="B5321" s="22"/>
    </row>
    <row r="5322" spans="1:2">
      <c r="A5322" s="20"/>
      <c r="B5322" s="22"/>
    </row>
    <row r="5323" spans="1:2">
      <c r="A5323" s="20"/>
      <c r="B5323" s="22"/>
    </row>
    <row r="5324" spans="1:2">
      <c r="A5324" s="20"/>
      <c r="B5324" s="22"/>
    </row>
    <row r="5325" spans="1:2">
      <c r="A5325" s="20"/>
      <c r="B5325" s="22"/>
    </row>
    <row r="5326" spans="1:2">
      <c r="A5326" s="20"/>
      <c r="B5326" s="22"/>
    </row>
    <row r="5327" spans="1:2">
      <c r="A5327" s="20"/>
      <c r="B5327" s="22"/>
    </row>
    <row r="5328" spans="1:2">
      <c r="A5328" s="20"/>
      <c r="B5328" s="22"/>
    </row>
    <row r="5329" spans="1:2">
      <c r="A5329" s="20"/>
      <c r="B5329" s="22"/>
    </row>
    <row r="5330" spans="1:2">
      <c r="A5330" s="20"/>
      <c r="B5330" s="22"/>
    </row>
    <row r="5331" spans="1:2">
      <c r="A5331" s="20"/>
      <c r="B5331" s="22"/>
    </row>
    <row r="5332" spans="1:2">
      <c r="A5332" s="20"/>
      <c r="B5332" s="22"/>
    </row>
    <row r="5333" spans="1:2">
      <c r="A5333" s="20"/>
      <c r="B5333" s="22"/>
    </row>
    <row r="5334" spans="1:2">
      <c r="A5334" s="20"/>
      <c r="B5334" s="22"/>
    </row>
    <row r="5335" spans="1:2">
      <c r="A5335" s="20"/>
      <c r="B5335" s="22"/>
    </row>
    <row r="5336" spans="1:2">
      <c r="A5336" s="20"/>
      <c r="B5336" s="22"/>
    </row>
    <row r="5337" spans="1:2">
      <c r="A5337" s="20"/>
      <c r="B5337" s="22"/>
    </row>
    <row r="5338" spans="1:2">
      <c r="A5338" s="20"/>
      <c r="B5338" s="22"/>
    </row>
    <row r="5339" spans="1:2">
      <c r="A5339" s="20"/>
      <c r="B5339" s="22"/>
    </row>
    <row r="5340" spans="1:2">
      <c r="A5340" s="20"/>
      <c r="B5340" s="22"/>
    </row>
    <row r="5341" spans="1:2">
      <c r="A5341" s="20"/>
      <c r="B5341" s="22"/>
    </row>
    <row r="5342" spans="1:2">
      <c r="A5342" s="20"/>
      <c r="B5342" s="22"/>
    </row>
    <row r="5343" spans="1:2">
      <c r="A5343" s="20"/>
      <c r="B5343" s="22"/>
    </row>
    <row r="5344" spans="1:2">
      <c r="A5344" s="20"/>
      <c r="B5344" s="22"/>
    </row>
    <row r="5345" spans="1:2">
      <c r="A5345" s="20"/>
      <c r="B5345" s="22"/>
    </row>
    <row r="5346" spans="1:2">
      <c r="A5346" s="20"/>
      <c r="B5346" s="22"/>
    </row>
    <row r="5347" spans="1:2">
      <c r="A5347" s="20"/>
      <c r="B5347" s="22"/>
    </row>
    <row r="5348" spans="1:2">
      <c r="A5348" s="20"/>
      <c r="B5348" s="22"/>
    </row>
    <row r="5349" spans="1:2">
      <c r="A5349" s="20"/>
      <c r="B5349" s="22"/>
    </row>
    <row r="5350" spans="1:2">
      <c r="A5350" s="20"/>
      <c r="B5350" s="22"/>
    </row>
    <row r="5351" spans="1:2">
      <c r="A5351" s="20"/>
      <c r="B5351" s="22"/>
    </row>
    <row r="5352" spans="1:2">
      <c r="A5352" s="20"/>
      <c r="B5352" s="22"/>
    </row>
    <row r="5353" spans="1:2">
      <c r="A5353" s="20"/>
      <c r="B5353" s="22"/>
    </row>
    <row r="5354" spans="1:2">
      <c r="A5354" s="20"/>
      <c r="B5354" s="22"/>
    </row>
    <row r="5355" spans="1:2">
      <c r="A5355" s="20"/>
      <c r="B5355" s="22"/>
    </row>
    <row r="5356" spans="1:2">
      <c r="A5356" s="20"/>
      <c r="B5356" s="22"/>
    </row>
    <row r="5357" spans="1:2">
      <c r="A5357" s="20"/>
      <c r="B5357" s="22"/>
    </row>
    <row r="5358" spans="1:2">
      <c r="A5358" s="20"/>
      <c r="B5358" s="22"/>
    </row>
    <row r="5359" spans="1:2">
      <c r="A5359" s="20"/>
      <c r="B5359" s="22"/>
    </row>
    <row r="5360" spans="1:2">
      <c r="A5360" s="20"/>
      <c r="B5360" s="22"/>
    </row>
    <row r="5361" spans="1:2">
      <c r="A5361" s="20"/>
      <c r="B5361" s="22"/>
    </row>
    <row r="5362" spans="1:2">
      <c r="A5362" s="20"/>
      <c r="B5362" s="22"/>
    </row>
    <row r="5363" spans="1:2">
      <c r="A5363" s="20"/>
      <c r="B5363" s="22"/>
    </row>
    <row r="5364" spans="1:2">
      <c r="A5364" s="20"/>
      <c r="B5364" s="22"/>
    </row>
    <row r="5365" spans="1:2">
      <c r="A5365" s="20"/>
      <c r="B5365" s="22"/>
    </row>
    <row r="5366" spans="1:2">
      <c r="A5366" s="20"/>
      <c r="B5366" s="22"/>
    </row>
    <row r="5367" spans="1:2">
      <c r="A5367" s="20"/>
      <c r="B5367" s="22"/>
    </row>
    <row r="5368" spans="1:2">
      <c r="A5368" s="20"/>
      <c r="B5368" s="22"/>
    </row>
    <row r="5369" spans="1:2">
      <c r="A5369" s="20"/>
      <c r="B5369" s="22"/>
    </row>
    <row r="5370" spans="1:2">
      <c r="A5370" s="20"/>
      <c r="B5370" s="22"/>
    </row>
    <row r="5371" spans="1:2">
      <c r="A5371" s="20"/>
      <c r="B5371" s="22"/>
    </row>
    <row r="5372" spans="1:2">
      <c r="A5372" s="20"/>
      <c r="B5372" s="22"/>
    </row>
    <row r="5373" spans="1:2">
      <c r="A5373" s="20"/>
      <c r="B5373" s="22"/>
    </row>
    <row r="5374" spans="1:2">
      <c r="A5374" s="20"/>
      <c r="B5374" s="22"/>
    </row>
    <row r="5375" spans="1:2">
      <c r="A5375" s="20"/>
      <c r="B5375" s="22"/>
    </row>
    <row r="5376" spans="1:2">
      <c r="A5376" s="20"/>
      <c r="B5376" s="22"/>
    </row>
    <row r="5377" spans="1:2">
      <c r="A5377" s="20"/>
      <c r="B5377" s="22"/>
    </row>
    <row r="5378" spans="1:2">
      <c r="A5378" s="20"/>
      <c r="B5378" s="22"/>
    </row>
    <row r="5379" spans="1:2">
      <c r="A5379" s="20"/>
      <c r="B5379" s="22"/>
    </row>
    <row r="5380" spans="1:2">
      <c r="A5380" s="20"/>
      <c r="B5380" s="22"/>
    </row>
    <row r="5381" spans="1:2">
      <c r="A5381" s="20"/>
      <c r="B5381" s="22"/>
    </row>
    <row r="5382" spans="1:2">
      <c r="A5382" s="20"/>
      <c r="B5382" s="22"/>
    </row>
    <row r="5383" spans="1:2">
      <c r="A5383" s="20"/>
      <c r="B5383" s="22"/>
    </row>
    <row r="5384" spans="1:2">
      <c r="A5384" s="20"/>
      <c r="B5384" s="22"/>
    </row>
    <row r="5385" spans="1:2">
      <c r="A5385" s="20"/>
      <c r="B5385" s="22"/>
    </row>
    <row r="5386" spans="1:2">
      <c r="A5386" s="20"/>
      <c r="B5386" s="22"/>
    </row>
    <row r="5387" spans="1:2">
      <c r="A5387" s="20"/>
      <c r="B5387" s="22"/>
    </row>
    <row r="5388" spans="1:2">
      <c r="A5388" s="20"/>
      <c r="B5388" s="22"/>
    </row>
    <row r="5389" spans="1:2">
      <c r="A5389" s="20"/>
      <c r="B5389" s="22"/>
    </row>
    <row r="5390" spans="1:2">
      <c r="A5390" s="20"/>
      <c r="B5390" s="22"/>
    </row>
    <row r="5391" spans="1:2">
      <c r="A5391" s="20"/>
      <c r="B5391" s="22"/>
    </row>
    <row r="5392" spans="1:2">
      <c r="A5392" s="20"/>
      <c r="B5392" s="22"/>
    </row>
    <row r="5393" spans="1:2">
      <c r="A5393" s="20"/>
      <c r="B5393" s="22"/>
    </row>
    <row r="5394" spans="1:2">
      <c r="A5394" s="20"/>
      <c r="B5394" s="22"/>
    </row>
    <row r="5395" spans="1:2">
      <c r="A5395" s="20"/>
      <c r="B5395" s="22"/>
    </row>
    <row r="5396" spans="1:2">
      <c r="A5396" s="20"/>
      <c r="B5396" s="22"/>
    </row>
    <row r="5397" spans="1:2">
      <c r="A5397" s="20"/>
      <c r="B5397" s="22"/>
    </row>
    <row r="5398" spans="1:2">
      <c r="A5398" s="20"/>
      <c r="B5398" s="22"/>
    </row>
    <row r="5399" spans="1:2">
      <c r="A5399" s="20"/>
      <c r="B5399" s="22"/>
    </row>
    <row r="5400" spans="1:2">
      <c r="A5400" s="20"/>
      <c r="B5400" s="22"/>
    </row>
    <row r="5401" spans="1:2">
      <c r="A5401" s="20"/>
      <c r="B5401" s="22"/>
    </row>
    <row r="5402" spans="1:2">
      <c r="A5402" s="20"/>
      <c r="B5402" s="22"/>
    </row>
    <row r="5403" spans="1:2">
      <c r="A5403" s="20"/>
      <c r="B5403" s="22"/>
    </row>
    <row r="5404" spans="1:2">
      <c r="A5404" s="20"/>
      <c r="B5404" s="22"/>
    </row>
    <row r="5405" spans="1:2">
      <c r="A5405" s="20"/>
      <c r="B5405" s="22"/>
    </row>
    <row r="5406" spans="1:2">
      <c r="A5406" s="20"/>
      <c r="B5406" s="22"/>
    </row>
    <row r="5407" spans="1:2">
      <c r="A5407" s="20"/>
      <c r="B5407" s="22"/>
    </row>
    <row r="5408" spans="1:2">
      <c r="A5408" s="20"/>
      <c r="B5408" s="22"/>
    </row>
    <row r="5409" spans="1:2">
      <c r="A5409" s="20"/>
      <c r="B5409" s="22"/>
    </row>
    <row r="5410" spans="1:2">
      <c r="A5410" s="20"/>
      <c r="B5410" s="22"/>
    </row>
    <row r="5411" spans="1:2">
      <c r="A5411" s="20"/>
      <c r="B5411" s="22"/>
    </row>
    <row r="5412" spans="1:2">
      <c r="A5412" s="20"/>
      <c r="B5412" s="22"/>
    </row>
    <row r="5413" spans="1:2">
      <c r="A5413" s="20"/>
      <c r="B5413" s="22"/>
    </row>
    <row r="5414" spans="1:2">
      <c r="A5414" s="20"/>
      <c r="B5414" s="22"/>
    </row>
    <row r="5415" spans="1:2">
      <c r="A5415" s="20"/>
      <c r="B5415" s="22"/>
    </row>
    <row r="5416" spans="1:2">
      <c r="A5416" s="20"/>
      <c r="B5416" s="22"/>
    </row>
    <row r="5417" spans="1:2">
      <c r="A5417" s="20"/>
      <c r="B5417" s="22"/>
    </row>
    <row r="5418" spans="1:2">
      <c r="A5418" s="20"/>
      <c r="B5418" s="22"/>
    </row>
    <row r="5419" spans="1:2">
      <c r="A5419" s="20"/>
      <c r="B5419" s="22"/>
    </row>
    <row r="5420" spans="1:2">
      <c r="A5420" s="20"/>
      <c r="B5420" s="22"/>
    </row>
    <row r="5421" spans="1:2">
      <c r="A5421" s="20"/>
      <c r="B5421" s="22"/>
    </row>
    <row r="5422" spans="1:2">
      <c r="A5422" s="20"/>
      <c r="B5422" s="22"/>
    </row>
    <row r="5423" spans="1:2">
      <c r="A5423" s="20"/>
      <c r="B5423" s="22"/>
    </row>
    <row r="5424" spans="1:2">
      <c r="A5424" s="20"/>
      <c r="B5424" s="22"/>
    </row>
    <row r="5425" spans="1:2">
      <c r="A5425" s="20"/>
      <c r="B5425" s="22"/>
    </row>
    <row r="5426" spans="1:2">
      <c r="A5426" s="20"/>
      <c r="B5426" s="22"/>
    </row>
    <row r="5427" spans="1:2">
      <c r="A5427" s="20"/>
      <c r="B5427" s="22"/>
    </row>
    <row r="5428" spans="1:2">
      <c r="A5428" s="20"/>
      <c r="B5428" s="22"/>
    </row>
    <row r="5429" spans="1:2">
      <c r="A5429" s="20"/>
      <c r="B5429" s="22"/>
    </row>
    <row r="5430" spans="1:2">
      <c r="A5430" s="20"/>
      <c r="B5430" s="22"/>
    </row>
    <row r="5431" spans="1:2">
      <c r="A5431" s="20"/>
      <c r="B5431" s="22"/>
    </row>
    <row r="5432" spans="1:2">
      <c r="A5432" s="20"/>
      <c r="B5432" s="22"/>
    </row>
    <row r="5433" spans="1:2">
      <c r="A5433" s="20"/>
      <c r="B5433" s="22"/>
    </row>
    <row r="5434" spans="1:2">
      <c r="A5434" s="20"/>
      <c r="B5434" s="22"/>
    </row>
    <row r="5435" spans="1:2">
      <c r="A5435" s="20"/>
      <c r="B5435" s="22"/>
    </row>
    <row r="5436" spans="1:2">
      <c r="A5436" s="20"/>
      <c r="B5436" s="22"/>
    </row>
    <row r="5437" spans="1:2">
      <c r="A5437" s="20"/>
      <c r="B5437" s="22"/>
    </row>
    <row r="5438" spans="1:2">
      <c r="A5438" s="20"/>
      <c r="B5438" s="22"/>
    </row>
    <row r="5439" spans="1:2">
      <c r="A5439" s="20"/>
      <c r="B5439" s="22"/>
    </row>
    <row r="5440" spans="1:2">
      <c r="A5440" s="20"/>
      <c r="B5440" s="22"/>
    </row>
    <row r="5441" spans="1:2">
      <c r="A5441" s="20"/>
      <c r="B5441" s="22"/>
    </row>
    <row r="5442" spans="1:2">
      <c r="A5442" s="20"/>
      <c r="B5442" s="22"/>
    </row>
    <row r="5443" spans="1:2">
      <c r="A5443" s="20"/>
      <c r="B5443" s="22"/>
    </row>
    <row r="5444" spans="1:2">
      <c r="A5444" s="20"/>
      <c r="B5444" s="22"/>
    </row>
    <row r="5445" spans="1:2">
      <c r="A5445" s="20"/>
      <c r="B5445" s="22"/>
    </row>
    <row r="5446" spans="1:2">
      <c r="A5446" s="20"/>
      <c r="B5446" s="22"/>
    </row>
    <row r="5447" spans="1:2">
      <c r="A5447" s="20"/>
      <c r="B5447" s="22"/>
    </row>
    <row r="5448" spans="1:2">
      <c r="A5448" s="20"/>
      <c r="B5448" s="22"/>
    </row>
    <row r="5449" spans="1:2">
      <c r="A5449" s="20"/>
      <c r="B5449" s="22"/>
    </row>
    <row r="5450" spans="1:2">
      <c r="A5450" s="20"/>
      <c r="B5450" s="22"/>
    </row>
    <row r="5451" spans="1:2">
      <c r="A5451" s="20"/>
      <c r="B5451" s="22"/>
    </row>
    <row r="5452" spans="1:2">
      <c r="A5452" s="20"/>
      <c r="B5452" s="22"/>
    </row>
    <row r="5453" spans="1:2">
      <c r="A5453" s="20"/>
      <c r="B5453" s="22"/>
    </row>
    <row r="5454" spans="1:2">
      <c r="A5454" s="20"/>
      <c r="B5454" s="22"/>
    </row>
    <row r="5455" spans="1:2">
      <c r="A5455" s="20"/>
      <c r="B5455" s="22"/>
    </row>
    <row r="5456" spans="1:2">
      <c r="A5456" s="20"/>
      <c r="B5456" s="22"/>
    </row>
    <row r="5457" spans="1:2">
      <c r="A5457" s="20"/>
      <c r="B5457" s="22"/>
    </row>
    <row r="5458" spans="1:2">
      <c r="A5458" s="20"/>
      <c r="B5458" s="22"/>
    </row>
    <row r="5459" spans="1:2">
      <c r="A5459" s="20"/>
      <c r="B5459" s="22"/>
    </row>
    <row r="5460" spans="1:2">
      <c r="A5460" s="20"/>
      <c r="B5460" s="22"/>
    </row>
    <row r="5461" spans="1:2">
      <c r="A5461" s="20"/>
      <c r="B5461" s="22"/>
    </row>
    <row r="5462" spans="1:2">
      <c r="A5462" s="20"/>
      <c r="B5462" s="22"/>
    </row>
    <row r="5463" spans="1:2">
      <c r="A5463" s="20"/>
      <c r="B5463" s="22"/>
    </row>
    <row r="5464" spans="1:2">
      <c r="A5464" s="20"/>
      <c r="B5464" s="22"/>
    </row>
    <row r="5465" spans="1:2">
      <c r="A5465" s="20"/>
      <c r="B5465" s="22"/>
    </row>
    <row r="5466" spans="1:2">
      <c r="A5466" s="20"/>
      <c r="B5466" s="22"/>
    </row>
    <row r="5467" spans="1:2">
      <c r="A5467" s="20"/>
      <c r="B5467" s="22"/>
    </row>
    <row r="5468" spans="1:2">
      <c r="A5468" s="20"/>
      <c r="B5468" s="22"/>
    </row>
    <row r="5469" spans="1:2">
      <c r="A5469" s="20"/>
      <c r="B5469" s="22"/>
    </row>
    <row r="5470" spans="1:2">
      <c r="A5470" s="20"/>
      <c r="B5470" s="22"/>
    </row>
    <row r="5471" spans="1:2">
      <c r="A5471" s="20"/>
      <c r="B5471" s="22"/>
    </row>
    <row r="5472" spans="1:2">
      <c r="A5472" s="20"/>
      <c r="B5472" s="22"/>
    </row>
    <row r="5473" spans="1:2">
      <c r="A5473" s="20"/>
      <c r="B5473" s="22"/>
    </row>
    <row r="5474" spans="1:2">
      <c r="A5474" s="20"/>
      <c r="B5474" s="22"/>
    </row>
    <row r="5475" spans="1:2">
      <c r="A5475" s="20"/>
      <c r="B5475" s="22"/>
    </row>
    <row r="5476" spans="1:2">
      <c r="A5476" s="20"/>
      <c r="B5476" s="22"/>
    </row>
    <row r="5477" spans="1:2">
      <c r="A5477" s="20"/>
      <c r="B5477" s="22"/>
    </row>
    <row r="5478" spans="1:2">
      <c r="A5478" s="20"/>
      <c r="B5478" s="22"/>
    </row>
    <row r="5479" spans="1:2">
      <c r="A5479" s="20"/>
      <c r="B5479" s="22"/>
    </row>
    <row r="5480" spans="1:2">
      <c r="A5480" s="20"/>
      <c r="B5480" s="22"/>
    </row>
    <row r="5481" spans="1:2">
      <c r="A5481" s="20"/>
      <c r="B5481" s="22"/>
    </row>
    <row r="5482" spans="1:2">
      <c r="A5482" s="20"/>
      <c r="B5482" s="22"/>
    </row>
    <row r="5483" spans="1:2">
      <c r="A5483" s="20"/>
      <c r="B5483" s="22"/>
    </row>
    <row r="5484" spans="1:2">
      <c r="A5484" s="20"/>
      <c r="B5484" s="22"/>
    </row>
    <row r="5485" spans="1:2">
      <c r="A5485" s="20"/>
      <c r="B5485" s="22"/>
    </row>
    <row r="5486" spans="1:2">
      <c r="A5486" s="20"/>
      <c r="B5486" s="22"/>
    </row>
    <row r="5487" spans="1:2">
      <c r="A5487" s="20"/>
      <c r="B5487" s="22"/>
    </row>
    <row r="5488" spans="1:2">
      <c r="A5488" s="20"/>
      <c r="B5488" s="22"/>
    </row>
    <row r="5489" spans="1:2">
      <c r="A5489" s="20"/>
      <c r="B5489" s="22"/>
    </row>
    <row r="5490" spans="1:2">
      <c r="A5490" s="20"/>
      <c r="B5490" s="22"/>
    </row>
    <row r="5491" spans="1:2">
      <c r="A5491" s="20"/>
      <c r="B5491" s="22"/>
    </row>
    <row r="5492" spans="1:2">
      <c r="A5492" s="20"/>
      <c r="B5492" s="22"/>
    </row>
    <row r="5493" spans="1:2">
      <c r="A5493" s="20"/>
      <c r="B5493" s="22"/>
    </row>
    <row r="5494" spans="1:2">
      <c r="A5494" s="20"/>
      <c r="B5494" s="22"/>
    </row>
    <row r="5495" spans="1:2">
      <c r="A5495" s="20"/>
      <c r="B5495" s="22"/>
    </row>
    <row r="5496" spans="1:2">
      <c r="A5496" s="20"/>
      <c r="B5496" s="22"/>
    </row>
    <row r="5497" spans="1:2">
      <c r="A5497" s="20"/>
      <c r="B5497" s="22"/>
    </row>
    <row r="5498" spans="1:2">
      <c r="A5498" s="20"/>
      <c r="B5498" s="22"/>
    </row>
    <row r="5499" spans="1:2">
      <c r="A5499" s="20"/>
      <c r="B5499" s="22"/>
    </row>
    <row r="5500" spans="1:2">
      <c r="A5500" s="20"/>
      <c r="B5500" s="22"/>
    </row>
    <row r="5501" spans="1:2">
      <c r="A5501" s="20"/>
      <c r="B5501" s="22"/>
    </row>
    <row r="5502" spans="1:2">
      <c r="A5502" s="20"/>
      <c r="B5502" s="22"/>
    </row>
    <row r="5503" spans="1:2">
      <c r="A5503" s="20"/>
      <c r="B5503" s="22"/>
    </row>
    <row r="5504" spans="1:2">
      <c r="A5504" s="20"/>
      <c r="B5504" s="22"/>
    </row>
    <row r="5505" spans="1:2">
      <c r="A5505" s="20"/>
      <c r="B5505" s="22"/>
    </row>
    <row r="5506" spans="1:2">
      <c r="A5506" s="20"/>
      <c r="B5506" s="22"/>
    </row>
    <row r="5507" spans="1:2">
      <c r="A5507" s="20"/>
      <c r="B5507" s="22"/>
    </row>
    <row r="5508" spans="1:2">
      <c r="A5508" s="20"/>
      <c r="B5508" s="22"/>
    </row>
    <row r="5509" spans="1:2">
      <c r="A5509" s="20"/>
      <c r="B5509" s="22"/>
    </row>
    <row r="5510" spans="1:2">
      <c r="A5510" s="20"/>
      <c r="B5510" s="22"/>
    </row>
    <row r="5511" spans="1:2">
      <c r="A5511" s="20"/>
      <c r="B5511" s="22"/>
    </row>
    <row r="5512" spans="1:2">
      <c r="A5512" s="20"/>
      <c r="B5512" s="22"/>
    </row>
    <row r="5513" spans="1:2">
      <c r="A5513" s="20"/>
      <c r="B5513" s="22"/>
    </row>
    <row r="5514" spans="1:2">
      <c r="A5514" s="20"/>
      <c r="B5514" s="22"/>
    </row>
    <row r="5515" spans="1:2">
      <c r="A5515" s="20"/>
      <c r="B5515" s="22"/>
    </row>
    <row r="5516" spans="1:2">
      <c r="A5516" s="20"/>
      <c r="B5516" s="22"/>
    </row>
    <row r="5517" spans="1:2">
      <c r="A5517" s="20"/>
      <c r="B5517" s="22"/>
    </row>
    <row r="5518" spans="1:2">
      <c r="A5518" s="20"/>
      <c r="B5518" s="22"/>
    </row>
    <row r="5519" spans="1:2">
      <c r="A5519" s="20"/>
      <c r="B5519" s="22"/>
    </row>
    <row r="5520" spans="1:2">
      <c r="A5520" s="20"/>
      <c r="B5520" s="22"/>
    </row>
    <row r="5521" spans="1:2">
      <c r="A5521" s="20"/>
      <c r="B5521" s="22"/>
    </row>
    <row r="5522" spans="1:2">
      <c r="A5522" s="20"/>
      <c r="B5522" s="22"/>
    </row>
    <row r="5523" spans="1:2">
      <c r="A5523" s="20"/>
      <c r="B5523" s="22"/>
    </row>
    <row r="5524" spans="1:2">
      <c r="A5524" s="20"/>
      <c r="B5524" s="22"/>
    </row>
    <row r="5525" spans="1:2">
      <c r="A5525" s="20"/>
      <c r="B5525" s="22"/>
    </row>
    <row r="5526" spans="1:2">
      <c r="A5526" s="20"/>
      <c r="B5526" s="22"/>
    </row>
    <row r="5527" spans="1:2">
      <c r="A5527" s="20"/>
      <c r="B5527" s="22"/>
    </row>
    <row r="5528" spans="1:2">
      <c r="A5528" s="20"/>
      <c r="B5528" s="22"/>
    </row>
    <row r="5529" spans="1:2">
      <c r="A5529" s="20"/>
      <c r="B5529" s="22"/>
    </row>
    <row r="5530" spans="1:2">
      <c r="A5530" s="20"/>
      <c r="B5530" s="22"/>
    </row>
    <row r="5531" spans="1:2">
      <c r="A5531" s="20"/>
      <c r="B5531" s="22"/>
    </row>
    <row r="5532" spans="1:2">
      <c r="A5532" s="20"/>
      <c r="B5532" s="22"/>
    </row>
    <row r="5533" spans="1:2">
      <c r="A5533" s="20"/>
      <c r="B5533" s="22"/>
    </row>
    <row r="5534" spans="1:2">
      <c r="A5534" s="20"/>
      <c r="B5534" s="22"/>
    </row>
    <row r="5535" spans="1:2">
      <c r="A5535" s="20"/>
      <c r="B5535" s="22"/>
    </row>
    <row r="5536" spans="1:2">
      <c r="A5536" s="20"/>
      <c r="B5536" s="22"/>
    </row>
    <row r="5537" spans="1:2">
      <c r="A5537" s="20"/>
      <c r="B5537" s="22"/>
    </row>
    <row r="5538" spans="1:2">
      <c r="A5538" s="20"/>
      <c r="B5538" s="22"/>
    </row>
    <row r="5539" spans="1:2">
      <c r="A5539" s="20"/>
      <c r="B5539" s="22"/>
    </row>
    <row r="5540" spans="1:2">
      <c r="A5540" s="20"/>
      <c r="B5540" s="22"/>
    </row>
    <row r="5541" spans="1:2">
      <c r="A5541" s="20"/>
      <c r="B5541" s="22"/>
    </row>
    <row r="5542" spans="1:2">
      <c r="A5542" s="20"/>
      <c r="B5542" s="22"/>
    </row>
    <row r="5543" spans="1:2">
      <c r="A5543" s="20"/>
      <c r="B5543" s="22"/>
    </row>
    <row r="5544" spans="1:2">
      <c r="A5544" s="20"/>
      <c r="B5544" s="22"/>
    </row>
    <row r="5545" spans="1:2">
      <c r="A5545" s="20"/>
      <c r="B5545" s="22"/>
    </row>
    <row r="5546" spans="1:2">
      <c r="A5546" s="20"/>
      <c r="B5546" s="22"/>
    </row>
    <row r="5547" spans="1:2">
      <c r="A5547" s="20"/>
      <c r="B5547" s="22"/>
    </row>
    <row r="5548" spans="1:2">
      <c r="A5548" s="20"/>
      <c r="B5548" s="22"/>
    </row>
    <row r="5549" spans="1:2">
      <c r="A5549" s="20"/>
      <c r="B5549" s="22"/>
    </row>
    <row r="5550" spans="1:2">
      <c r="A5550" s="20"/>
      <c r="B5550" s="22"/>
    </row>
    <row r="5551" spans="1:2">
      <c r="A5551" s="20"/>
      <c r="B5551" s="22"/>
    </row>
    <row r="5552" spans="1:2">
      <c r="A5552" s="20"/>
      <c r="B5552" s="22"/>
    </row>
    <row r="5553" spans="1:2">
      <c r="A5553" s="20"/>
      <c r="B5553" s="22"/>
    </row>
    <row r="5554" spans="1:2">
      <c r="A5554" s="20"/>
      <c r="B5554" s="22"/>
    </row>
    <row r="5555" spans="1:2">
      <c r="A5555" s="20"/>
      <c r="B5555" s="22"/>
    </row>
    <row r="5556" spans="1:2">
      <c r="A5556" s="20"/>
      <c r="B5556" s="22"/>
    </row>
    <row r="5557" spans="1:2">
      <c r="A5557" s="20"/>
      <c r="B5557" s="22"/>
    </row>
    <row r="5558" spans="1:2">
      <c r="A5558" s="20"/>
      <c r="B5558" s="22"/>
    </row>
    <row r="5559" spans="1:2">
      <c r="A5559" s="20"/>
      <c r="B5559" s="22"/>
    </row>
    <row r="5560" spans="1:2">
      <c r="A5560" s="20"/>
      <c r="B5560" s="22"/>
    </row>
    <row r="5561" spans="1:2">
      <c r="A5561" s="20"/>
      <c r="B5561" s="22"/>
    </row>
    <row r="5562" spans="1:2">
      <c r="A5562" s="20"/>
      <c r="B5562" s="22"/>
    </row>
    <row r="5563" spans="1:2">
      <c r="A5563" s="20"/>
      <c r="B5563" s="22"/>
    </row>
    <row r="5564" spans="1:2">
      <c r="A5564" s="20"/>
      <c r="B5564" s="22"/>
    </row>
    <row r="5565" spans="1:2">
      <c r="A5565" s="20"/>
      <c r="B5565" s="22"/>
    </row>
    <row r="5566" spans="1:2">
      <c r="A5566" s="20"/>
      <c r="B5566" s="22"/>
    </row>
    <row r="5567" spans="1:2">
      <c r="A5567" s="20"/>
      <c r="B5567" s="22"/>
    </row>
    <row r="5568" spans="1:2">
      <c r="A5568" s="20"/>
      <c r="B5568" s="22"/>
    </row>
    <row r="5569" spans="1:2">
      <c r="A5569" s="20"/>
      <c r="B5569" s="22"/>
    </row>
    <row r="5570" spans="1:2">
      <c r="A5570" s="20"/>
      <c r="B5570" s="22"/>
    </row>
    <row r="5571" spans="1:2">
      <c r="A5571" s="20"/>
      <c r="B5571" s="22"/>
    </row>
    <row r="5572" spans="1:2">
      <c r="A5572" s="20"/>
      <c r="B5572" s="22"/>
    </row>
    <row r="5573" spans="1:2">
      <c r="A5573" s="20"/>
      <c r="B5573" s="22"/>
    </row>
    <row r="5574" spans="1:2">
      <c r="A5574" s="20"/>
      <c r="B5574" s="22"/>
    </row>
    <row r="5575" spans="1:2">
      <c r="A5575" s="20"/>
      <c r="B5575" s="22"/>
    </row>
    <row r="5576" spans="1:2">
      <c r="A5576" s="20"/>
      <c r="B5576" s="22"/>
    </row>
    <row r="5577" spans="1:2">
      <c r="A5577" s="20"/>
      <c r="B5577" s="22"/>
    </row>
    <row r="5578" spans="1:2">
      <c r="A5578" s="20"/>
      <c r="B5578" s="22"/>
    </row>
    <row r="5579" spans="1:2">
      <c r="A5579" s="20"/>
      <c r="B5579" s="22"/>
    </row>
    <row r="5580" spans="1:2">
      <c r="A5580" s="20"/>
      <c r="B5580" s="22"/>
    </row>
    <row r="5581" spans="1:2">
      <c r="A5581" s="20"/>
      <c r="B5581" s="22"/>
    </row>
    <row r="5582" spans="1:2">
      <c r="A5582" s="20"/>
      <c r="B5582" s="22"/>
    </row>
    <row r="5583" spans="1:2">
      <c r="A5583" s="20"/>
      <c r="B5583" s="22"/>
    </row>
    <row r="5584" spans="1:2">
      <c r="A5584" s="20"/>
      <c r="B5584" s="22"/>
    </row>
    <row r="5585" spans="1:2">
      <c r="A5585" s="20"/>
      <c r="B5585" s="22"/>
    </row>
    <row r="5586" spans="1:2">
      <c r="A5586" s="20"/>
      <c r="B5586" s="22"/>
    </row>
    <row r="5587" spans="1:2">
      <c r="A5587" s="20"/>
      <c r="B5587" s="22"/>
    </row>
    <row r="5588" spans="1:2">
      <c r="A5588" s="20"/>
      <c r="B5588" s="22"/>
    </row>
    <row r="5589" spans="1:2">
      <c r="A5589" s="20"/>
      <c r="B5589" s="22"/>
    </row>
    <row r="5590" spans="1:2">
      <c r="A5590" s="20"/>
      <c r="B5590" s="22"/>
    </row>
    <row r="5591" spans="1:2">
      <c r="A5591" s="20"/>
      <c r="B5591" s="22"/>
    </row>
    <row r="5592" spans="1:2">
      <c r="A5592" s="20"/>
      <c r="B5592" s="22"/>
    </row>
    <row r="5593" spans="1:2">
      <c r="A5593" s="20"/>
      <c r="B5593" s="22"/>
    </row>
    <row r="5594" spans="1:2">
      <c r="A5594" s="20"/>
      <c r="B5594" s="22"/>
    </row>
    <row r="5595" spans="1:2">
      <c r="A5595" s="20"/>
      <c r="B5595" s="22"/>
    </row>
    <row r="5596" spans="1:2">
      <c r="A5596" s="20"/>
      <c r="B5596" s="22"/>
    </row>
    <row r="5597" spans="1:2">
      <c r="A5597" s="20"/>
      <c r="B5597" s="22"/>
    </row>
    <row r="5598" spans="1:2">
      <c r="A5598" s="20"/>
      <c r="B5598" s="22"/>
    </row>
    <row r="5599" spans="1:2">
      <c r="A5599" s="20"/>
      <c r="B5599" s="22"/>
    </row>
    <row r="5600" spans="1:2">
      <c r="A5600" s="20"/>
      <c r="B5600" s="22"/>
    </row>
    <row r="5601" spans="1:2">
      <c r="A5601" s="20"/>
      <c r="B5601" s="22"/>
    </row>
    <row r="5602" spans="1:2">
      <c r="A5602" s="20"/>
      <c r="B5602" s="22"/>
    </row>
    <row r="5603" spans="1:2">
      <c r="A5603" s="20"/>
      <c r="B5603" s="22"/>
    </row>
    <row r="5604" spans="1:2">
      <c r="A5604" s="20"/>
      <c r="B5604" s="22"/>
    </row>
    <row r="5605" spans="1:2">
      <c r="A5605" s="20"/>
      <c r="B5605" s="22"/>
    </row>
    <row r="5606" spans="1:2">
      <c r="A5606" s="20"/>
      <c r="B5606" s="22"/>
    </row>
    <row r="5607" spans="1:2">
      <c r="A5607" s="20"/>
      <c r="B5607" s="22"/>
    </row>
    <row r="5608" spans="1:2">
      <c r="A5608" s="20"/>
      <c r="B5608" s="22"/>
    </row>
    <row r="5609" spans="1:2">
      <c r="A5609" s="20"/>
      <c r="B5609" s="22"/>
    </row>
    <row r="5610" spans="1:2">
      <c r="A5610" s="20"/>
      <c r="B5610" s="22"/>
    </row>
    <row r="5611" spans="1:2">
      <c r="A5611" s="20"/>
      <c r="B5611" s="22"/>
    </row>
    <row r="5612" spans="1:2">
      <c r="A5612" s="20"/>
      <c r="B5612" s="22"/>
    </row>
    <row r="5613" spans="1:2">
      <c r="A5613" s="20"/>
      <c r="B5613" s="22"/>
    </row>
    <row r="5614" spans="1:2">
      <c r="A5614" s="20"/>
      <c r="B5614" s="22"/>
    </row>
    <row r="5615" spans="1:2">
      <c r="A5615" s="20"/>
      <c r="B5615" s="22"/>
    </row>
    <row r="5616" spans="1:2">
      <c r="A5616" s="20"/>
      <c r="B5616" s="22"/>
    </row>
    <row r="5617" spans="1:2">
      <c r="A5617" s="20"/>
      <c r="B5617" s="22"/>
    </row>
    <row r="5618" spans="1:2">
      <c r="A5618" s="20"/>
      <c r="B5618" s="22"/>
    </row>
    <row r="5619" spans="1:2">
      <c r="A5619" s="20"/>
      <c r="B5619" s="22"/>
    </row>
    <row r="5620" spans="1:2">
      <c r="A5620" s="20"/>
      <c r="B5620" s="22"/>
    </row>
    <row r="5621" spans="1:2">
      <c r="A5621" s="20"/>
      <c r="B5621" s="22"/>
    </row>
    <row r="5622" spans="1:2">
      <c r="A5622" s="20"/>
      <c r="B5622" s="22"/>
    </row>
    <row r="5623" spans="1:2">
      <c r="A5623" s="20"/>
      <c r="B5623" s="22"/>
    </row>
    <row r="5624" spans="1:2">
      <c r="A5624" s="20"/>
      <c r="B5624" s="22"/>
    </row>
    <row r="5625" spans="1:2">
      <c r="A5625" s="20"/>
      <c r="B5625" s="22"/>
    </row>
    <row r="5626" spans="1:2">
      <c r="A5626" s="20"/>
      <c r="B5626" s="22"/>
    </row>
    <row r="5627" spans="1:2">
      <c r="A5627" s="20"/>
      <c r="B5627" s="22"/>
    </row>
    <row r="5628" spans="1:2">
      <c r="A5628" s="20"/>
      <c r="B5628" s="22"/>
    </row>
    <row r="5629" spans="1:2">
      <c r="A5629" s="20"/>
      <c r="B5629" s="22"/>
    </row>
    <row r="5630" spans="1:2">
      <c r="A5630" s="20"/>
      <c r="B5630" s="22"/>
    </row>
    <row r="5631" spans="1:2">
      <c r="A5631" s="20"/>
      <c r="B5631" s="22"/>
    </row>
    <row r="5632" spans="1:2">
      <c r="A5632" s="20"/>
      <c r="B5632" s="22"/>
    </row>
    <row r="5633" spans="1:2">
      <c r="A5633" s="20"/>
      <c r="B5633" s="22"/>
    </row>
    <row r="5634" spans="1:2">
      <c r="A5634" s="20"/>
      <c r="B5634" s="22"/>
    </row>
    <row r="5635" spans="1:2">
      <c r="A5635" s="20"/>
      <c r="B5635" s="22"/>
    </row>
    <row r="5636" spans="1:2">
      <c r="A5636" s="20"/>
      <c r="B5636" s="22"/>
    </row>
    <row r="5637" spans="1:2">
      <c r="A5637" s="20"/>
      <c r="B5637" s="22"/>
    </row>
    <row r="5638" spans="1:2">
      <c r="A5638" s="20"/>
      <c r="B5638" s="22"/>
    </row>
    <row r="5639" spans="1:2">
      <c r="A5639" s="20"/>
      <c r="B5639" s="22"/>
    </row>
    <row r="5640" spans="1:2">
      <c r="A5640" s="20"/>
      <c r="B5640" s="22"/>
    </row>
    <row r="5641" spans="1:2">
      <c r="A5641" s="20"/>
      <c r="B5641" s="22"/>
    </row>
    <row r="5642" spans="1:2">
      <c r="A5642" s="20"/>
      <c r="B5642" s="22"/>
    </row>
    <row r="5643" spans="1:2">
      <c r="A5643" s="20"/>
      <c r="B5643" s="22"/>
    </row>
    <row r="5644" spans="1:2">
      <c r="A5644" s="20"/>
      <c r="B5644" s="22"/>
    </row>
    <row r="5645" spans="1:2">
      <c r="A5645" s="20"/>
      <c r="B5645" s="22"/>
    </row>
    <row r="5646" spans="1:2">
      <c r="A5646" s="20"/>
      <c r="B5646" s="22"/>
    </row>
    <row r="5647" spans="1:2">
      <c r="A5647" s="20"/>
      <c r="B5647" s="22"/>
    </row>
    <row r="5648" spans="1:2">
      <c r="A5648" s="20"/>
      <c r="B5648" s="22"/>
    </row>
    <row r="5649" spans="1:2">
      <c r="A5649" s="20"/>
      <c r="B5649" s="22"/>
    </row>
    <row r="5650" spans="1:2">
      <c r="A5650" s="20"/>
      <c r="B5650" s="22"/>
    </row>
    <row r="5651" spans="1:2">
      <c r="A5651" s="20"/>
      <c r="B5651" s="22"/>
    </row>
    <row r="5652" spans="1:2">
      <c r="A5652" s="20"/>
      <c r="B5652" s="22"/>
    </row>
    <row r="5653" spans="1:2">
      <c r="A5653" s="20"/>
      <c r="B5653" s="22"/>
    </row>
    <row r="5654" spans="1:2">
      <c r="A5654" s="20"/>
      <c r="B5654" s="22"/>
    </row>
    <row r="5655" spans="1:2">
      <c r="A5655" s="20"/>
      <c r="B5655" s="22"/>
    </row>
    <row r="5656" spans="1:2">
      <c r="A5656" s="20"/>
      <c r="B5656" s="22"/>
    </row>
    <row r="5657" spans="1:2">
      <c r="A5657" s="20"/>
      <c r="B5657" s="22"/>
    </row>
    <row r="5658" spans="1:2">
      <c r="A5658" s="20"/>
      <c r="B5658" s="22"/>
    </row>
    <row r="5659" spans="1:2">
      <c r="A5659" s="20"/>
      <c r="B5659" s="22"/>
    </row>
    <row r="5660" spans="1:2">
      <c r="A5660" s="20"/>
      <c r="B5660" s="22"/>
    </row>
    <row r="5661" spans="1:2">
      <c r="A5661" s="20"/>
      <c r="B5661" s="22"/>
    </row>
    <row r="5662" spans="1:2">
      <c r="A5662" s="20"/>
      <c r="B5662" s="22"/>
    </row>
    <row r="5663" spans="1:2">
      <c r="A5663" s="20"/>
      <c r="B5663" s="22"/>
    </row>
    <row r="5664" spans="1:2">
      <c r="A5664" s="20"/>
      <c r="B5664" s="22"/>
    </row>
    <row r="5665" spans="1:2">
      <c r="A5665" s="20"/>
      <c r="B5665" s="22"/>
    </row>
    <row r="5666" spans="1:2">
      <c r="A5666" s="20"/>
      <c r="B5666" s="22"/>
    </row>
    <row r="5667" spans="1:2">
      <c r="A5667" s="20"/>
      <c r="B5667" s="22"/>
    </row>
    <row r="5668" spans="1:2">
      <c r="A5668" s="20"/>
      <c r="B5668" s="22"/>
    </row>
    <row r="5669" spans="1:2">
      <c r="A5669" s="20"/>
      <c r="B5669" s="22"/>
    </row>
    <row r="5670" spans="1:2">
      <c r="A5670" s="20"/>
      <c r="B5670" s="22"/>
    </row>
    <row r="5671" spans="1:2">
      <c r="A5671" s="20"/>
      <c r="B5671" s="22"/>
    </row>
    <row r="5672" spans="1:2">
      <c r="A5672" s="20"/>
      <c r="B5672" s="22"/>
    </row>
    <row r="5673" spans="1:2">
      <c r="A5673" s="20"/>
      <c r="B5673" s="22"/>
    </row>
    <row r="5674" spans="1:2">
      <c r="A5674" s="20"/>
      <c r="B5674" s="22"/>
    </row>
    <row r="5675" spans="1:2">
      <c r="A5675" s="20"/>
      <c r="B5675" s="22"/>
    </row>
    <row r="5676" spans="1:2">
      <c r="A5676" s="20"/>
      <c r="B5676" s="22"/>
    </row>
    <row r="5677" spans="1:2">
      <c r="A5677" s="20"/>
      <c r="B5677" s="22"/>
    </row>
    <row r="5678" spans="1:2">
      <c r="A5678" s="20"/>
      <c r="B5678" s="22"/>
    </row>
    <row r="5679" spans="1:2">
      <c r="A5679" s="20"/>
      <c r="B5679" s="22"/>
    </row>
    <row r="5680" spans="1:2">
      <c r="A5680" s="20"/>
      <c r="B5680" s="22"/>
    </row>
    <row r="5681" spans="1:2">
      <c r="A5681" s="20"/>
      <c r="B5681" s="22"/>
    </row>
    <row r="5682" spans="1:2">
      <c r="A5682" s="20"/>
      <c r="B5682" s="22"/>
    </row>
    <row r="5683" spans="1:2">
      <c r="A5683" s="20"/>
      <c r="B5683" s="22"/>
    </row>
    <row r="5684" spans="1:2">
      <c r="A5684" s="20"/>
      <c r="B5684" s="22"/>
    </row>
    <row r="5685" spans="1:2">
      <c r="A5685" s="20"/>
      <c r="B5685" s="22"/>
    </row>
    <row r="5686" spans="1:2">
      <c r="A5686" s="20"/>
      <c r="B5686" s="22"/>
    </row>
    <row r="5687" spans="1:2">
      <c r="A5687" s="20"/>
      <c r="B5687" s="22"/>
    </row>
    <row r="5688" spans="1:2">
      <c r="A5688" s="20"/>
      <c r="B5688" s="22"/>
    </row>
    <row r="5689" spans="1:2">
      <c r="A5689" s="20"/>
      <c r="B5689" s="22"/>
    </row>
    <row r="5690" spans="1:2">
      <c r="A5690" s="20"/>
      <c r="B5690" s="22"/>
    </row>
    <row r="5691" spans="1:2">
      <c r="A5691" s="20"/>
      <c r="B5691" s="22"/>
    </row>
    <row r="5692" spans="1:2">
      <c r="A5692" s="20"/>
      <c r="B5692" s="22"/>
    </row>
    <row r="5693" spans="1:2">
      <c r="A5693" s="20"/>
      <c r="B5693" s="22"/>
    </row>
    <row r="5694" spans="1:2">
      <c r="A5694" s="20"/>
      <c r="B5694" s="22"/>
    </row>
    <row r="5695" spans="1:2">
      <c r="A5695" s="20"/>
      <c r="B5695" s="22"/>
    </row>
    <row r="5696" spans="1:2">
      <c r="A5696" s="20"/>
      <c r="B5696" s="22"/>
    </row>
    <row r="5697" spans="1:2">
      <c r="A5697" s="20"/>
      <c r="B5697" s="22"/>
    </row>
    <row r="5698" spans="1:2">
      <c r="A5698" s="20"/>
      <c r="B5698" s="22"/>
    </row>
    <row r="5699" spans="1:2">
      <c r="A5699" s="20"/>
      <c r="B5699" s="22"/>
    </row>
    <row r="5700" spans="1:2">
      <c r="A5700" s="20"/>
      <c r="B5700" s="22"/>
    </row>
    <row r="5701" spans="1:2">
      <c r="A5701" s="20"/>
      <c r="B5701" s="22"/>
    </row>
    <row r="5702" spans="1:2">
      <c r="A5702" s="20"/>
      <c r="B5702" s="22"/>
    </row>
    <row r="5703" spans="1:2">
      <c r="A5703" s="20"/>
      <c r="B5703" s="22"/>
    </row>
    <row r="5704" spans="1:2">
      <c r="A5704" s="20"/>
      <c r="B5704" s="22"/>
    </row>
    <row r="5705" spans="1:2">
      <c r="A5705" s="20"/>
      <c r="B5705" s="22"/>
    </row>
    <row r="5706" spans="1:2">
      <c r="A5706" s="20"/>
      <c r="B5706" s="22"/>
    </row>
    <row r="5707" spans="1:2">
      <c r="A5707" s="20"/>
      <c r="B5707" s="22"/>
    </row>
    <row r="5708" spans="1:2">
      <c r="A5708" s="20"/>
      <c r="B5708" s="22"/>
    </row>
    <row r="5709" spans="1:2">
      <c r="A5709" s="20"/>
      <c r="B5709" s="22"/>
    </row>
    <row r="5710" spans="1:2">
      <c r="A5710" s="20"/>
      <c r="B5710" s="22"/>
    </row>
    <row r="5711" spans="1:2">
      <c r="A5711" s="20"/>
      <c r="B5711" s="22"/>
    </row>
    <row r="5712" spans="1:2">
      <c r="A5712" s="20"/>
      <c r="B5712" s="22"/>
    </row>
    <row r="5713" spans="1:2">
      <c r="A5713" s="20"/>
      <c r="B5713" s="22"/>
    </row>
    <row r="5714" spans="1:2">
      <c r="A5714" s="20"/>
      <c r="B5714" s="22"/>
    </row>
    <row r="5715" spans="1:2">
      <c r="A5715" s="20"/>
      <c r="B5715" s="22"/>
    </row>
    <row r="5716" spans="1:2">
      <c r="A5716" s="20"/>
      <c r="B5716" s="22"/>
    </row>
    <row r="5717" spans="1:2">
      <c r="A5717" s="20"/>
      <c r="B5717" s="22"/>
    </row>
    <row r="5718" spans="1:2">
      <c r="A5718" s="20"/>
      <c r="B5718" s="22"/>
    </row>
    <row r="5719" spans="1:2">
      <c r="A5719" s="20"/>
      <c r="B5719" s="22"/>
    </row>
    <row r="5720" spans="1:2">
      <c r="A5720" s="20"/>
      <c r="B5720" s="22"/>
    </row>
    <row r="5721" spans="1:2">
      <c r="A5721" s="20"/>
      <c r="B5721" s="22"/>
    </row>
    <row r="5722" spans="1:2">
      <c r="A5722" s="20"/>
      <c r="B5722" s="22"/>
    </row>
    <row r="5723" spans="1:2">
      <c r="A5723" s="20"/>
      <c r="B5723" s="22"/>
    </row>
    <row r="5724" spans="1:2">
      <c r="A5724" s="20"/>
      <c r="B5724" s="22"/>
    </row>
    <row r="5725" spans="1:2">
      <c r="A5725" s="20"/>
      <c r="B5725" s="22"/>
    </row>
    <row r="5726" spans="1:2">
      <c r="A5726" s="20"/>
      <c r="B5726" s="22"/>
    </row>
    <row r="5727" spans="1:2">
      <c r="A5727" s="20"/>
      <c r="B5727" s="22"/>
    </row>
    <row r="5728" spans="1:2">
      <c r="A5728" s="20"/>
      <c r="B5728" s="22"/>
    </row>
    <row r="5729" spans="1:2">
      <c r="A5729" s="20"/>
      <c r="B5729" s="22"/>
    </row>
    <row r="5730" spans="1:2">
      <c r="A5730" s="20"/>
      <c r="B5730" s="22"/>
    </row>
    <row r="5731" spans="1:2">
      <c r="A5731" s="20"/>
      <c r="B5731" s="22"/>
    </row>
    <row r="5732" spans="1:2">
      <c r="A5732" s="20"/>
      <c r="B5732" s="22"/>
    </row>
    <row r="5733" spans="1:2">
      <c r="A5733" s="20"/>
      <c r="B5733" s="22"/>
    </row>
    <row r="5734" spans="1:2">
      <c r="A5734" s="20"/>
      <c r="B5734" s="22"/>
    </row>
    <row r="5735" spans="1:2">
      <c r="A5735" s="20"/>
      <c r="B5735" s="22"/>
    </row>
    <row r="5736" spans="1:2">
      <c r="A5736" s="20"/>
      <c r="B5736" s="22"/>
    </row>
    <row r="5737" spans="1:2">
      <c r="A5737" s="20"/>
      <c r="B5737" s="22"/>
    </row>
    <row r="5738" spans="1:2">
      <c r="A5738" s="20"/>
      <c r="B5738" s="22"/>
    </row>
    <row r="5739" spans="1:2">
      <c r="A5739" s="20"/>
      <c r="B5739" s="22"/>
    </row>
    <row r="5740" spans="1:2">
      <c r="A5740" s="20"/>
      <c r="B5740" s="22"/>
    </row>
    <row r="5741" spans="1:2">
      <c r="A5741" s="20"/>
      <c r="B5741" s="22"/>
    </row>
    <row r="5742" spans="1:2">
      <c r="A5742" s="20"/>
      <c r="B5742" s="22"/>
    </row>
    <row r="5743" spans="1:2">
      <c r="A5743" s="20"/>
      <c r="B5743" s="22"/>
    </row>
    <row r="5744" spans="1:2">
      <c r="A5744" s="20"/>
      <c r="B5744" s="22"/>
    </row>
    <row r="5745" spans="1:2">
      <c r="A5745" s="20"/>
      <c r="B5745" s="22"/>
    </row>
    <row r="5746" spans="1:2">
      <c r="A5746" s="20"/>
      <c r="B5746" s="22"/>
    </row>
    <row r="5747" spans="1:2">
      <c r="A5747" s="20"/>
      <c r="B5747" s="22"/>
    </row>
    <row r="5748" spans="1:2">
      <c r="A5748" s="20"/>
      <c r="B5748" s="22"/>
    </row>
    <row r="5749" spans="1:2">
      <c r="A5749" s="20"/>
      <c r="B5749" s="22"/>
    </row>
    <row r="5750" spans="1:2">
      <c r="A5750" s="20"/>
      <c r="B5750" s="22"/>
    </row>
    <row r="5751" spans="1:2">
      <c r="A5751" s="20"/>
      <c r="B5751" s="22"/>
    </row>
    <row r="5752" spans="1:2">
      <c r="A5752" s="20"/>
      <c r="B5752" s="22"/>
    </row>
    <row r="5753" spans="1:2">
      <c r="A5753" s="20"/>
      <c r="B5753" s="22"/>
    </row>
    <row r="5754" spans="1:2">
      <c r="A5754" s="20"/>
      <c r="B5754" s="22"/>
    </row>
    <row r="5755" spans="1:2">
      <c r="A5755" s="20"/>
      <c r="B5755" s="22"/>
    </row>
    <row r="5756" spans="1:2">
      <c r="A5756" s="20"/>
      <c r="B5756" s="22"/>
    </row>
    <row r="5757" spans="1:2">
      <c r="A5757" s="20"/>
      <c r="B5757" s="22"/>
    </row>
    <row r="5758" spans="1:2">
      <c r="A5758" s="20"/>
      <c r="B5758" s="22"/>
    </row>
    <row r="5759" spans="1:2">
      <c r="A5759" s="20"/>
      <c r="B5759" s="22"/>
    </row>
    <row r="5760" spans="1:2">
      <c r="A5760" s="20"/>
      <c r="B5760" s="22"/>
    </row>
    <row r="5761" spans="1:2">
      <c r="A5761" s="20"/>
      <c r="B5761" s="22"/>
    </row>
    <row r="5762" spans="1:2">
      <c r="A5762" s="20"/>
      <c r="B5762" s="22"/>
    </row>
    <row r="5763" spans="1:2">
      <c r="A5763" s="20"/>
      <c r="B5763" s="22"/>
    </row>
    <row r="5764" spans="1:2">
      <c r="A5764" s="20"/>
      <c r="B5764" s="22"/>
    </row>
    <row r="5765" spans="1:2">
      <c r="A5765" s="20"/>
      <c r="B5765" s="22"/>
    </row>
    <row r="5766" spans="1:2">
      <c r="A5766" s="20"/>
      <c r="B5766" s="22"/>
    </row>
    <row r="5767" spans="1:2">
      <c r="A5767" s="20"/>
      <c r="B5767" s="22"/>
    </row>
    <row r="5768" spans="1:2">
      <c r="A5768" s="20"/>
      <c r="B5768" s="22"/>
    </row>
    <row r="5769" spans="1:2">
      <c r="A5769" s="20"/>
      <c r="B5769" s="22"/>
    </row>
    <row r="5770" spans="1:2">
      <c r="A5770" s="20"/>
      <c r="B5770" s="22"/>
    </row>
    <row r="5771" spans="1:2">
      <c r="A5771" s="20"/>
      <c r="B5771" s="22"/>
    </row>
    <row r="5772" spans="1:2">
      <c r="A5772" s="20"/>
      <c r="B5772" s="22"/>
    </row>
    <row r="5773" spans="1:2">
      <c r="A5773" s="20"/>
      <c r="B5773" s="22"/>
    </row>
    <row r="5774" spans="1:2">
      <c r="A5774" s="20"/>
      <c r="B5774" s="22"/>
    </row>
    <row r="5775" spans="1:2">
      <c r="A5775" s="20"/>
      <c r="B5775" s="22"/>
    </row>
    <row r="5776" spans="1:2">
      <c r="A5776" s="20"/>
      <c r="B5776" s="22"/>
    </row>
    <row r="5777" spans="1:2">
      <c r="A5777" s="20"/>
      <c r="B5777" s="22"/>
    </row>
    <row r="5778" spans="1:2">
      <c r="A5778" s="20"/>
      <c r="B5778" s="22"/>
    </row>
    <row r="5779" spans="1:2">
      <c r="A5779" s="20"/>
      <c r="B5779" s="22"/>
    </row>
    <row r="5780" spans="1:2">
      <c r="A5780" s="20"/>
      <c r="B5780" s="22"/>
    </row>
    <row r="5781" spans="1:2">
      <c r="A5781" s="20"/>
      <c r="B5781" s="22"/>
    </row>
    <row r="5782" spans="1:2">
      <c r="A5782" s="20"/>
      <c r="B5782" s="22"/>
    </row>
    <row r="5783" spans="1:2">
      <c r="A5783" s="20"/>
      <c r="B5783" s="22"/>
    </row>
    <row r="5784" spans="1:2">
      <c r="A5784" s="20"/>
      <c r="B5784" s="22"/>
    </row>
    <row r="5785" spans="1:2">
      <c r="A5785" s="20"/>
      <c r="B5785" s="22"/>
    </row>
    <row r="5786" spans="1:2">
      <c r="A5786" s="20"/>
      <c r="B5786" s="22"/>
    </row>
    <row r="5787" spans="1:2">
      <c r="A5787" s="20"/>
      <c r="B5787" s="22"/>
    </row>
    <row r="5788" spans="1:2">
      <c r="A5788" s="20"/>
      <c r="B5788" s="22"/>
    </row>
    <row r="5789" spans="1:2">
      <c r="A5789" s="20"/>
      <c r="B5789" s="22"/>
    </row>
    <row r="5790" spans="1:2">
      <c r="A5790" s="20"/>
      <c r="B5790" s="22"/>
    </row>
    <row r="5791" spans="1:2">
      <c r="A5791" s="20"/>
      <c r="B5791" s="22"/>
    </row>
    <row r="5792" spans="1:2">
      <c r="A5792" s="20"/>
      <c r="B5792" s="22"/>
    </row>
    <row r="5793" spans="1:2">
      <c r="A5793" s="20"/>
      <c r="B5793" s="22"/>
    </row>
    <row r="5794" spans="1:2">
      <c r="A5794" s="20"/>
      <c r="B5794" s="22"/>
    </row>
    <row r="5795" spans="1:2">
      <c r="A5795" s="20"/>
      <c r="B5795" s="22"/>
    </row>
    <row r="5796" spans="1:2">
      <c r="A5796" s="20"/>
      <c r="B5796" s="22"/>
    </row>
    <row r="5797" spans="1:2">
      <c r="A5797" s="20"/>
      <c r="B5797" s="22"/>
    </row>
    <row r="5798" spans="1:2">
      <c r="A5798" s="20"/>
      <c r="B5798" s="22"/>
    </row>
    <row r="5799" spans="1:2">
      <c r="A5799" s="20"/>
      <c r="B5799" s="22"/>
    </row>
    <row r="5800" spans="1:2">
      <c r="A5800" s="20"/>
      <c r="B5800" s="22"/>
    </row>
    <row r="5801" spans="1:2">
      <c r="A5801" s="20"/>
      <c r="B5801" s="22"/>
    </row>
    <row r="5802" spans="1:2">
      <c r="A5802" s="20"/>
      <c r="B5802" s="22"/>
    </row>
    <row r="5803" spans="1:2">
      <c r="A5803" s="20"/>
      <c r="B5803" s="22"/>
    </row>
    <row r="5804" spans="1:2">
      <c r="A5804" s="20"/>
      <c r="B5804" s="22"/>
    </row>
    <row r="5805" spans="1:2">
      <c r="A5805" s="20"/>
      <c r="B5805" s="22"/>
    </row>
    <row r="5806" spans="1:2">
      <c r="A5806" s="20"/>
      <c r="B5806" s="22"/>
    </row>
    <row r="5807" spans="1:2">
      <c r="A5807" s="20"/>
      <c r="B5807" s="22"/>
    </row>
    <row r="5808" spans="1:2">
      <c r="A5808" s="20"/>
      <c r="B5808" s="22"/>
    </row>
    <row r="5809" spans="1:2">
      <c r="A5809" s="20"/>
      <c r="B5809" s="22"/>
    </row>
    <row r="5810" spans="1:2">
      <c r="A5810" s="20"/>
      <c r="B5810" s="22"/>
    </row>
    <row r="5811" spans="1:2">
      <c r="A5811" s="20"/>
      <c r="B5811" s="22"/>
    </row>
    <row r="5812" spans="1:2">
      <c r="A5812" s="20"/>
      <c r="B5812" s="22"/>
    </row>
    <row r="5813" spans="1:2">
      <c r="A5813" s="20"/>
      <c r="B5813" s="22"/>
    </row>
    <row r="5814" spans="1:2">
      <c r="A5814" s="20"/>
      <c r="B5814" s="22"/>
    </row>
    <row r="5815" spans="1:2">
      <c r="A5815" s="20"/>
      <c r="B5815" s="22"/>
    </row>
    <row r="5816" spans="1:2">
      <c r="A5816" s="20"/>
      <c r="B5816" s="22"/>
    </row>
    <row r="5817" spans="1:2">
      <c r="A5817" s="20"/>
      <c r="B5817" s="22"/>
    </row>
    <row r="5818" spans="1:2">
      <c r="A5818" s="20"/>
      <c r="B5818" s="22"/>
    </row>
    <row r="5819" spans="1:2">
      <c r="A5819" s="20"/>
      <c r="B5819" s="22"/>
    </row>
    <row r="5820" spans="1:2">
      <c r="A5820" s="20"/>
      <c r="B5820" s="22"/>
    </row>
    <row r="5821" spans="1:2">
      <c r="A5821" s="20"/>
      <c r="B5821" s="22"/>
    </row>
    <row r="5822" spans="1:2">
      <c r="A5822" s="20"/>
      <c r="B5822" s="22"/>
    </row>
    <row r="5823" spans="1:2">
      <c r="A5823" s="20"/>
      <c r="B5823" s="22"/>
    </row>
    <row r="5824" spans="1:2">
      <c r="A5824" s="20"/>
      <c r="B5824" s="22"/>
    </row>
    <row r="5825" spans="1:2">
      <c r="A5825" s="20"/>
      <c r="B5825" s="22"/>
    </row>
    <row r="5826" spans="1:2">
      <c r="A5826" s="20"/>
      <c r="B5826" s="22"/>
    </row>
    <row r="5827" spans="1:2">
      <c r="A5827" s="20"/>
      <c r="B5827" s="22"/>
    </row>
    <row r="5828" spans="1:2">
      <c r="A5828" s="20"/>
      <c r="B5828" s="22"/>
    </row>
    <row r="5829" spans="1:2">
      <c r="A5829" s="20"/>
      <c r="B5829" s="22"/>
    </row>
    <row r="5830" spans="1:2">
      <c r="A5830" s="20"/>
      <c r="B5830" s="22"/>
    </row>
    <row r="5831" spans="1:2">
      <c r="A5831" s="20"/>
      <c r="B5831" s="22"/>
    </row>
    <row r="5832" spans="1:2">
      <c r="A5832" s="20"/>
      <c r="B5832" s="22"/>
    </row>
    <row r="5833" spans="1:2">
      <c r="A5833" s="20"/>
      <c r="B5833" s="22"/>
    </row>
    <row r="5834" spans="1:2">
      <c r="A5834" s="20"/>
      <c r="B5834" s="22"/>
    </row>
    <row r="5835" spans="1:2">
      <c r="A5835" s="20"/>
      <c r="B5835" s="22"/>
    </row>
    <row r="5836" spans="1:2">
      <c r="A5836" s="20"/>
      <c r="B5836" s="22"/>
    </row>
    <row r="5837" spans="1:2">
      <c r="A5837" s="20"/>
      <c r="B5837" s="22"/>
    </row>
    <row r="5838" spans="1:2">
      <c r="A5838" s="20"/>
      <c r="B5838" s="22"/>
    </row>
    <row r="5839" spans="1:2">
      <c r="A5839" s="20"/>
      <c r="B5839" s="22"/>
    </row>
    <row r="5840" spans="1:2">
      <c r="A5840" s="20"/>
      <c r="B5840" s="22"/>
    </row>
    <row r="5841" spans="1:2">
      <c r="A5841" s="20"/>
      <c r="B5841" s="22"/>
    </row>
    <row r="5842" spans="1:2">
      <c r="A5842" s="20"/>
      <c r="B5842" s="22"/>
    </row>
    <row r="5843" spans="1:2">
      <c r="A5843" s="20"/>
      <c r="B5843" s="22"/>
    </row>
    <row r="5844" spans="1:2">
      <c r="A5844" s="20"/>
      <c r="B5844" s="22"/>
    </row>
    <row r="5845" spans="1:2">
      <c r="A5845" s="20"/>
      <c r="B5845" s="22"/>
    </row>
    <row r="5846" spans="1:2">
      <c r="A5846" s="20"/>
      <c r="B5846" s="22"/>
    </row>
    <row r="5847" spans="1:2">
      <c r="A5847" s="20"/>
      <c r="B5847" s="22"/>
    </row>
    <row r="5848" spans="1:2">
      <c r="A5848" s="20"/>
      <c r="B5848" s="22"/>
    </row>
    <row r="5849" spans="1:2">
      <c r="A5849" s="20"/>
      <c r="B5849" s="22"/>
    </row>
    <row r="5850" spans="1:2">
      <c r="A5850" s="20"/>
      <c r="B5850" s="22"/>
    </row>
    <row r="5851" spans="1:2">
      <c r="A5851" s="20"/>
      <c r="B5851" s="22"/>
    </row>
    <row r="5852" spans="1:2">
      <c r="A5852" s="20"/>
      <c r="B5852" s="22"/>
    </row>
    <row r="5853" spans="1:2">
      <c r="A5853" s="20"/>
      <c r="B5853" s="22"/>
    </row>
    <row r="5854" spans="1:2">
      <c r="A5854" s="20"/>
      <c r="B5854" s="22"/>
    </row>
    <row r="5855" spans="1:2">
      <c r="A5855" s="20"/>
      <c r="B5855" s="22"/>
    </row>
    <row r="5856" spans="1:2">
      <c r="A5856" s="20"/>
      <c r="B5856" s="22"/>
    </row>
    <row r="5857" spans="1:2">
      <c r="A5857" s="20"/>
      <c r="B5857" s="22"/>
    </row>
    <row r="5858" spans="1:2">
      <c r="A5858" s="20"/>
      <c r="B5858" s="22"/>
    </row>
    <row r="5859" spans="1:2">
      <c r="A5859" s="20"/>
      <c r="B5859" s="22"/>
    </row>
    <row r="5860" spans="1:2">
      <c r="A5860" s="20"/>
      <c r="B5860" s="22"/>
    </row>
    <row r="5861" spans="1:2">
      <c r="A5861" s="20"/>
      <c r="B5861" s="22"/>
    </row>
    <row r="5862" spans="1:2">
      <c r="A5862" s="20"/>
      <c r="B5862" s="22"/>
    </row>
    <row r="5863" spans="1:2">
      <c r="A5863" s="20"/>
      <c r="B5863" s="22"/>
    </row>
    <row r="5864" spans="1:2">
      <c r="A5864" s="20"/>
      <c r="B5864" s="22"/>
    </row>
    <row r="5865" spans="1:2">
      <c r="A5865" s="20"/>
      <c r="B5865" s="22"/>
    </row>
    <row r="5866" spans="1:2">
      <c r="A5866" s="20"/>
      <c r="B5866" s="22"/>
    </row>
    <row r="5867" spans="1:2">
      <c r="A5867" s="20"/>
      <c r="B5867" s="22"/>
    </row>
    <row r="5868" spans="1:2">
      <c r="A5868" s="20"/>
      <c r="B5868" s="22"/>
    </row>
    <row r="5869" spans="1:2">
      <c r="A5869" s="20"/>
      <c r="B5869" s="22"/>
    </row>
    <row r="5870" spans="1:2">
      <c r="A5870" s="20"/>
      <c r="B5870" s="22"/>
    </row>
    <row r="5871" spans="1:2">
      <c r="A5871" s="20"/>
      <c r="B5871" s="22"/>
    </row>
    <row r="5872" spans="1:2">
      <c r="A5872" s="20"/>
      <c r="B5872" s="22"/>
    </row>
    <row r="5873" spans="1:2">
      <c r="A5873" s="20"/>
      <c r="B5873" s="22"/>
    </row>
    <row r="5874" spans="1:2">
      <c r="A5874" s="20"/>
      <c r="B5874" s="22"/>
    </row>
    <row r="5875" spans="1:2">
      <c r="A5875" s="20"/>
      <c r="B5875" s="22"/>
    </row>
    <row r="5876" spans="1:2">
      <c r="A5876" s="20"/>
      <c r="B5876" s="22"/>
    </row>
    <row r="5877" spans="1:2">
      <c r="A5877" s="20"/>
      <c r="B5877" s="22"/>
    </row>
    <row r="5878" spans="1:2">
      <c r="A5878" s="20"/>
      <c r="B5878" s="22"/>
    </row>
    <row r="5879" spans="1:2">
      <c r="A5879" s="20"/>
      <c r="B5879" s="22"/>
    </row>
    <row r="5880" spans="1:2">
      <c r="A5880" s="20"/>
      <c r="B5880" s="22"/>
    </row>
    <row r="5881" spans="1:2">
      <c r="A5881" s="20"/>
      <c r="B5881" s="22"/>
    </row>
    <row r="5882" spans="1:2">
      <c r="A5882" s="20"/>
      <c r="B5882" s="22"/>
    </row>
    <row r="5883" spans="1:2">
      <c r="A5883" s="20"/>
      <c r="B5883" s="22"/>
    </row>
    <row r="5884" spans="1:2">
      <c r="A5884" s="20"/>
      <c r="B5884" s="22"/>
    </row>
    <row r="5885" spans="1:2">
      <c r="A5885" s="20"/>
      <c r="B5885" s="22"/>
    </row>
    <row r="5886" spans="1:2">
      <c r="A5886" s="20"/>
      <c r="B5886" s="22"/>
    </row>
    <row r="5887" spans="1:2">
      <c r="A5887" s="20"/>
      <c r="B5887" s="22"/>
    </row>
    <row r="5888" spans="1:2">
      <c r="A5888" s="20"/>
      <c r="B5888" s="22"/>
    </row>
    <row r="5889" spans="1:2">
      <c r="A5889" s="20"/>
      <c r="B5889" s="22"/>
    </row>
    <row r="5890" spans="1:2">
      <c r="A5890" s="20"/>
      <c r="B5890" s="22"/>
    </row>
    <row r="5891" spans="1:2">
      <c r="A5891" s="20"/>
      <c r="B5891" s="22"/>
    </row>
    <row r="5892" spans="1:2">
      <c r="A5892" s="20"/>
      <c r="B5892" s="22"/>
    </row>
    <row r="5893" spans="1:2">
      <c r="A5893" s="20"/>
      <c r="B5893" s="22"/>
    </row>
    <row r="5894" spans="1:2">
      <c r="A5894" s="20"/>
      <c r="B5894" s="22"/>
    </row>
    <row r="5895" spans="1:2">
      <c r="A5895" s="20"/>
      <c r="B5895" s="22"/>
    </row>
    <row r="5896" spans="1:2">
      <c r="A5896" s="20"/>
      <c r="B5896" s="22"/>
    </row>
    <row r="5897" spans="1:2">
      <c r="A5897" s="20"/>
      <c r="B5897" s="22"/>
    </row>
    <row r="5898" spans="1:2">
      <c r="A5898" s="20"/>
      <c r="B5898" s="22"/>
    </row>
    <row r="5899" spans="1:2">
      <c r="A5899" s="20"/>
      <c r="B5899" s="22"/>
    </row>
    <row r="5900" spans="1:2">
      <c r="A5900" s="20"/>
      <c r="B5900" s="22"/>
    </row>
    <row r="5901" spans="1:2">
      <c r="A5901" s="20"/>
      <c r="B5901" s="22"/>
    </row>
    <row r="5902" spans="1:2">
      <c r="A5902" s="20"/>
      <c r="B5902" s="22"/>
    </row>
    <row r="5903" spans="1:2">
      <c r="A5903" s="20"/>
      <c r="B5903" s="22"/>
    </row>
    <row r="5904" spans="1:2">
      <c r="A5904" s="20"/>
      <c r="B5904" s="22"/>
    </row>
    <row r="5905" spans="1:2">
      <c r="A5905" s="20"/>
      <c r="B5905" s="22"/>
    </row>
    <row r="5906" spans="1:2">
      <c r="A5906" s="20"/>
      <c r="B5906" s="22"/>
    </row>
    <row r="5907" spans="1:2">
      <c r="A5907" s="20"/>
      <c r="B5907" s="22"/>
    </row>
    <row r="5908" spans="1:2">
      <c r="A5908" s="20"/>
      <c r="B5908" s="22"/>
    </row>
    <row r="5909" spans="1:2">
      <c r="A5909" s="20"/>
      <c r="B5909" s="22"/>
    </row>
    <row r="5910" spans="1:2">
      <c r="A5910" s="20"/>
      <c r="B5910" s="22"/>
    </row>
    <row r="5911" spans="1:2">
      <c r="A5911" s="20"/>
      <c r="B5911" s="22"/>
    </row>
    <row r="5912" spans="1:2">
      <c r="A5912" s="20"/>
      <c r="B5912" s="22"/>
    </row>
    <row r="5913" spans="1:2">
      <c r="A5913" s="20"/>
      <c r="B5913" s="22"/>
    </row>
    <row r="5914" spans="1:2">
      <c r="A5914" s="20"/>
      <c r="B5914" s="22"/>
    </row>
    <row r="5915" spans="1:2">
      <c r="A5915" s="20"/>
      <c r="B5915" s="22"/>
    </row>
    <row r="5916" spans="1:2">
      <c r="A5916" s="20"/>
      <c r="B5916" s="22"/>
    </row>
    <row r="5917" spans="1:2">
      <c r="A5917" s="20"/>
      <c r="B5917" s="22"/>
    </row>
    <row r="5918" spans="1:2">
      <c r="A5918" s="20"/>
      <c r="B5918" s="22"/>
    </row>
    <row r="5919" spans="1:2">
      <c r="A5919" s="20"/>
      <c r="B5919" s="22"/>
    </row>
    <row r="5920" spans="1:2">
      <c r="A5920" s="20"/>
      <c r="B5920" s="22"/>
    </row>
    <row r="5921" spans="1:2">
      <c r="A5921" s="20"/>
      <c r="B5921" s="22"/>
    </row>
    <row r="5922" spans="1:2">
      <c r="A5922" s="20"/>
      <c r="B5922" s="22"/>
    </row>
    <row r="5923" spans="1:2">
      <c r="A5923" s="20"/>
      <c r="B5923" s="22"/>
    </row>
    <row r="5924" spans="1:2">
      <c r="A5924" s="20"/>
      <c r="B5924" s="22"/>
    </row>
    <row r="5925" spans="1:2">
      <c r="A5925" s="20"/>
      <c r="B5925" s="22"/>
    </row>
    <row r="5926" spans="1:2">
      <c r="A5926" s="20"/>
      <c r="B5926" s="22"/>
    </row>
    <row r="5927" spans="1:2">
      <c r="A5927" s="20"/>
      <c r="B5927" s="22"/>
    </row>
    <row r="5928" spans="1:2">
      <c r="A5928" s="20"/>
      <c r="B5928" s="22"/>
    </row>
    <row r="5929" spans="1:2">
      <c r="A5929" s="20"/>
      <c r="B5929" s="22"/>
    </row>
    <row r="5930" spans="1:2">
      <c r="A5930" s="20"/>
      <c r="B5930" s="22"/>
    </row>
    <row r="5931" spans="1:2">
      <c r="A5931" s="20"/>
      <c r="B5931" s="22"/>
    </row>
    <row r="5932" spans="1:2">
      <c r="A5932" s="20"/>
      <c r="B5932" s="22"/>
    </row>
    <row r="5933" spans="1:2">
      <c r="A5933" s="20"/>
      <c r="B5933" s="22"/>
    </row>
    <row r="5934" spans="1:2">
      <c r="A5934" s="20"/>
      <c r="B5934" s="22"/>
    </row>
    <row r="5935" spans="1:2">
      <c r="A5935" s="20"/>
      <c r="B5935" s="22"/>
    </row>
    <row r="5936" spans="1:2">
      <c r="A5936" s="20"/>
      <c r="B5936" s="22"/>
    </row>
    <row r="5937" spans="1:2">
      <c r="A5937" s="20"/>
      <c r="B5937" s="22"/>
    </row>
    <row r="5938" spans="1:2">
      <c r="A5938" s="20"/>
      <c r="B5938" s="22"/>
    </row>
    <row r="5939" spans="1:2">
      <c r="A5939" s="20"/>
      <c r="B5939" s="22"/>
    </row>
    <row r="5940" spans="1:2">
      <c r="A5940" s="20"/>
      <c r="B5940" s="22"/>
    </row>
    <row r="5941" spans="1:2">
      <c r="A5941" s="20"/>
      <c r="B5941" s="22"/>
    </row>
    <row r="5942" spans="1:2">
      <c r="A5942" s="20"/>
      <c r="B5942" s="22"/>
    </row>
    <row r="5943" spans="1:2">
      <c r="A5943" s="20"/>
      <c r="B5943" s="22"/>
    </row>
    <row r="5944" spans="1:2">
      <c r="A5944" s="20"/>
      <c r="B5944" s="22"/>
    </row>
    <row r="5945" spans="1:2">
      <c r="A5945" s="20"/>
      <c r="B5945" s="22"/>
    </row>
    <row r="5946" spans="1:2">
      <c r="A5946" s="20"/>
      <c r="B5946" s="22"/>
    </row>
    <row r="5947" spans="1:2">
      <c r="A5947" s="20"/>
      <c r="B5947" s="22"/>
    </row>
    <row r="5948" spans="1:2">
      <c r="A5948" s="20"/>
      <c r="B5948" s="22"/>
    </row>
    <row r="5949" spans="1:2">
      <c r="A5949" s="20"/>
      <c r="B5949" s="22"/>
    </row>
    <row r="5950" spans="1:2">
      <c r="A5950" s="20"/>
      <c r="B5950" s="22"/>
    </row>
    <row r="5951" spans="1:2">
      <c r="A5951" s="20"/>
      <c r="B5951" s="22"/>
    </row>
    <row r="5952" spans="1:2">
      <c r="A5952" s="20"/>
      <c r="B5952" s="22"/>
    </row>
    <row r="5953" spans="1:2">
      <c r="A5953" s="20"/>
      <c r="B5953" s="22"/>
    </row>
    <row r="5954" spans="1:2">
      <c r="A5954" s="20"/>
      <c r="B5954" s="22"/>
    </row>
    <row r="5955" spans="1:2">
      <c r="A5955" s="20"/>
      <c r="B5955" s="22"/>
    </row>
    <row r="5956" spans="1:2">
      <c r="A5956" s="20"/>
      <c r="B5956" s="22"/>
    </row>
    <row r="5957" spans="1:2">
      <c r="A5957" s="20"/>
      <c r="B5957" s="22"/>
    </row>
    <row r="5958" spans="1:2">
      <c r="A5958" s="20"/>
      <c r="B5958" s="22"/>
    </row>
    <row r="5959" spans="1:2">
      <c r="A5959" s="20"/>
      <c r="B5959" s="22"/>
    </row>
    <row r="5960" spans="1:2">
      <c r="A5960" s="20"/>
      <c r="B5960" s="22"/>
    </row>
    <row r="5961" spans="1:2">
      <c r="A5961" s="20"/>
      <c r="B5961" s="22"/>
    </row>
    <row r="5962" spans="1:2">
      <c r="A5962" s="20"/>
      <c r="B5962" s="22"/>
    </row>
    <row r="5963" spans="1:2">
      <c r="A5963" s="20"/>
      <c r="B5963" s="22"/>
    </row>
    <row r="5964" spans="1:2">
      <c r="A5964" s="20"/>
      <c r="B5964" s="22"/>
    </row>
    <row r="5965" spans="1:2">
      <c r="A5965" s="20"/>
      <c r="B5965" s="22"/>
    </row>
    <row r="5966" spans="1:2">
      <c r="A5966" s="20"/>
      <c r="B5966" s="22"/>
    </row>
    <row r="5967" spans="1:2">
      <c r="A5967" s="20"/>
      <c r="B5967" s="22"/>
    </row>
    <row r="5968" spans="1:2">
      <c r="A5968" s="20"/>
      <c r="B5968" s="22"/>
    </row>
    <row r="5969" spans="1:2">
      <c r="A5969" s="20"/>
      <c r="B5969" s="22"/>
    </row>
    <row r="5970" spans="1:2">
      <c r="A5970" s="20"/>
      <c r="B5970" s="22"/>
    </row>
    <row r="5971" spans="1:2">
      <c r="A5971" s="20"/>
      <c r="B5971" s="22"/>
    </row>
    <row r="5972" spans="1:2">
      <c r="A5972" s="20"/>
      <c r="B5972" s="22"/>
    </row>
    <row r="5973" spans="1:2">
      <c r="A5973" s="20"/>
      <c r="B5973" s="22"/>
    </row>
    <row r="5974" spans="1:2">
      <c r="A5974" s="20"/>
      <c r="B5974" s="22"/>
    </row>
    <row r="5975" spans="1:2">
      <c r="A5975" s="20"/>
      <c r="B5975" s="22"/>
    </row>
    <row r="5976" spans="1:2">
      <c r="A5976" s="20"/>
      <c r="B5976" s="22"/>
    </row>
    <row r="5977" spans="1:2">
      <c r="A5977" s="20"/>
      <c r="B5977" s="22"/>
    </row>
    <row r="5978" spans="1:2">
      <c r="A5978" s="20"/>
      <c r="B5978" s="22"/>
    </row>
    <row r="5979" spans="1:2">
      <c r="A5979" s="20"/>
      <c r="B5979" s="22"/>
    </row>
    <row r="5980" spans="1:2">
      <c r="A5980" s="20"/>
      <c r="B5980" s="22"/>
    </row>
    <row r="5981" spans="1:2">
      <c r="A5981" s="20"/>
      <c r="B5981" s="22"/>
    </row>
    <row r="5982" spans="1:2">
      <c r="A5982" s="20"/>
      <c r="B5982" s="22"/>
    </row>
    <row r="5983" spans="1:2">
      <c r="A5983" s="20"/>
      <c r="B5983" s="22"/>
    </row>
    <row r="5984" spans="1:2">
      <c r="A5984" s="20"/>
      <c r="B5984" s="22"/>
    </row>
    <row r="5985" spans="1:2">
      <c r="A5985" s="20"/>
      <c r="B5985" s="22"/>
    </row>
    <row r="5986" spans="1:2">
      <c r="A5986" s="20"/>
      <c r="B5986" s="22"/>
    </row>
    <row r="5987" spans="1:2">
      <c r="A5987" s="20"/>
      <c r="B5987" s="22"/>
    </row>
    <row r="5988" spans="1:2">
      <c r="A5988" s="20"/>
      <c r="B5988" s="22"/>
    </row>
    <row r="5989" spans="1:2">
      <c r="A5989" s="20"/>
      <c r="B5989" s="22"/>
    </row>
    <row r="5990" spans="1:2">
      <c r="A5990" s="20"/>
      <c r="B5990" s="22"/>
    </row>
    <row r="5991" spans="1:2">
      <c r="A5991" s="20"/>
      <c r="B5991" s="22"/>
    </row>
    <row r="5992" spans="1:2">
      <c r="A5992" s="20"/>
      <c r="B5992" s="22"/>
    </row>
    <row r="5993" spans="1:2">
      <c r="A5993" s="20"/>
      <c r="B5993" s="22"/>
    </row>
    <row r="5994" spans="1:2">
      <c r="A5994" s="20"/>
      <c r="B5994" s="22"/>
    </row>
    <row r="5995" spans="1:2">
      <c r="A5995" s="20"/>
      <c r="B5995" s="22"/>
    </row>
    <row r="5996" spans="1:2">
      <c r="A5996" s="20"/>
      <c r="B5996" s="22"/>
    </row>
    <row r="5997" spans="1:2">
      <c r="A5997" s="20"/>
      <c r="B5997" s="22"/>
    </row>
    <row r="5998" spans="1:2">
      <c r="A5998" s="20"/>
      <c r="B5998" s="22"/>
    </row>
    <row r="5999" spans="1:2">
      <c r="A5999" s="20"/>
      <c r="B5999" s="22"/>
    </row>
    <row r="6000" spans="1:2">
      <c r="A6000" s="20"/>
      <c r="B6000" s="22"/>
    </row>
    <row r="6001" spans="1:2">
      <c r="A6001" s="20"/>
      <c r="B6001" s="22"/>
    </row>
    <row r="6002" spans="1:2">
      <c r="A6002" s="20"/>
      <c r="B6002" s="22"/>
    </row>
    <row r="6003" spans="1:2">
      <c r="A6003" s="20"/>
      <c r="B6003" s="22"/>
    </row>
    <row r="6004" spans="1:2">
      <c r="A6004" s="20"/>
      <c r="B6004" s="22"/>
    </row>
    <row r="6005" spans="1:2">
      <c r="A6005" s="20"/>
      <c r="B6005" s="22"/>
    </row>
    <row r="6006" spans="1:2">
      <c r="A6006" s="20"/>
      <c r="B6006" s="22"/>
    </row>
    <row r="6007" spans="1:2">
      <c r="A6007" s="20"/>
      <c r="B6007" s="22"/>
    </row>
    <row r="6008" spans="1:2">
      <c r="A6008" s="20"/>
      <c r="B6008" s="22"/>
    </row>
    <row r="6009" spans="1:2">
      <c r="A6009" s="20"/>
      <c r="B6009" s="22"/>
    </row>
    <row r="6010" spans="1:2">
      <c r="A6010" s="20"/>
      <c r="B6010" s="22"/>
    </row>
    <row r="6011" spans="1:2">
      <c r="A6011" s="20"/>
      <c r="B6011" s="22"/>
    </row>
    <row r="6012" spans="1:2">
      <c r="A6012" s="20"/>
      <c r="B6012" s="22"/>
    </row>
    <row r="6013" spans="1:2">
      <c r="A6013" s="20"/>
      <c r="B6013" s="22"/>
    </row>
    <row r="6014" spans="1:2">
      <c r="A6014" s="20"/>
      <c r="B6014" s="22"/>
    </row>
    <row r="6015" spans="1:2">
      <c r="A6015" s="20"/>
      <c r="B6015" s="22"/>
    </row>
    <row r="6016" spans="1:2">
      <c r="A6016" s="20"/>
      <c r="B6016" s="22"/>
    </row>
    <row r="6017" spans="1:2">
      <c r="A6017" s="20"/>
      <c r="B6017" s="22"/>
    </row>
    <row r="6018" spans="1:2">
      <c r="A6018" s="20"/>
      <c r="B6018" s="22"/>
    </row>
    <row r="6019" spans="1:2">
      <c r="A6019" s="20"/>
      <c r="B6019" s="22"/>
    </row>
    <row r="6020" spans="1:2">
      <c r="A6020" s="20"/>
      <c r="B6020" s="22"/>
    </row>
    <row r="6021" spans="1:2">
      <c r="A6021" s="20"/>
      <c r="B6021" s="22"/>
    </row>
    <row r="6022" spans="1:2">
      <c r="A6022" s="20"/>
      <c r="B6022" s="22"/>
    </row>
    <row r="6023" spans="1:2">
      <c r="A6023" s="20"/>
      <c r="B6023" s="22"/>
    </row>
    <row r="6024" spans="1:2">
      <c r="A6024" s="20"/>
      <c r="B6024" s="22"/>
    </row>
    <row r="6025" spans="1:2">
      <c r="A6025" s="20"/>
      <c r="B6025" s="22"/>
    </row>
    <row r="6026" spans="1:2">
      <c r="A6026" s="20"/>
      <c r="B6026" s="22"/>
    </row>
    <row r="6027" spans="1:2">
      <c r="A6027" s="20"/>
      <c r="B6027" s="22"/>
    </row>
    <row r="6028" spans="1:2">
      <c r="A6028" s="20"/>
      <c r="B6028" s="22"/>
    </row>
    <row r="6029" spans="1:2">
      <c r="A6029" s="20"/>
      <c r="B6029" s="22"/>
    </row>
    <row r="6030" spans="1:2">
      <c r="A6030" s="20"/>
      <c r="B6030" s="22"/>
    </row>
    <row r="6031" spans="1:2">
      <c r="A6031" s="20"/>
      <c r="B6031" s="22"/>
    </row>
    <row r="6032" spans="1:2">
      <c r="A6032" s="20"/>
      <c r="B6032" s="22"/>
    </row>
    <row r="6033" spans="1:2">
      <c r="A6033" s="20"/>
      <c r="B6033" s="22"/>
    </row>
    <row r="6034" spans="1:2">
      <c r="A6034" s="20"/>
      <c r="B6034" s="22"/>
    </row>
    <row r="6035" spans="1:2">
      <c r="A6035" s="20"/>
      <c r="B6035" s="22"/>
    </row>
    <row r="6036" spans="1:2">
      <c r="A6036" s="20"/>
      <c r="B6036" s="22"/>
    </row>
    <row r="6037" spans="1:2">
      <c r="A6037" s="20"/>
      <c r="B6037" s="22"/>
    </row>
    <row r="6038" spans="1:2">
      <c r="A6038" s="20"/>
      <c r="B6038" s="22"/>
    </row>
    <row r="6039" spans="1:2">
      <c r="A6039" s="20"/>
      <c r="B6039" s="22"/>
    </row>
    <row r="6040" spans="1:2">
      <c r="A6040" s="20"/>
      <c r="B6040" s="22"/>
    </row>
    <row r="6041" spans="1:2">
      <c r="A6041" s="20"/>
      <c r="B6041" s="22"/>
    </row>
    <row r="6042" spans="1:2">
      <c r="A6042" s="20"/>
      <c r="B6042" s="22"/>
    </row>
    <row r="6043" spans="1:2">
      <c r="A6043" s="20"/>
      <c r="B6043" s="22"/>
    </row>
    <row r="6044" spans="1:2">
      <c r="A6044" s="20"/>
      <c r="B6044" s="22"/>
    </row>
    <row r="6045" spans="1:2">
      <c r="A6045" s="20"/>
      <c r="B6045" s="22"/>
    </row>
    <row r="6046" spans="1:2">
      <c r="A6046" s="20"/>
      <c r="B6046" s="22"/>
    </row>
    <row r="6047" spans="1:2">
      <c r="A6047" s="20"/>
      <c r="B6047" s="22"/>
    </row>
    <row r="6048" spans="1:2">
      <c r="A6048" s="20"/>
      <c r="B6048" s="22"/>
    </row>
    <row r="6049" spans="1:2">
      <c r="A6049" s="20"/>
      <c r="B6049" s="22"/>
    </row>
    <row r="6050" spans="1:2">
      <c r="A6050" s="20"/>
      <c r="B6050" s="22"/>
    </row>
    <row r="6051" spans="1:2">
      <c r="A6051" s="20"/>
      <c r="B6051" s="22"/>
    </row>
    <row r="6052" spans="1:2">
      <c r="A6052" s="20"/>
      <c r="B6052" s="22"/>
    </row>
    <row r="6053" spans="1:2">
      <c r="A6053" s="20"/>
      <c r="B6053" s="22"/>
    </row>
    <row r="6054" spans="1:2">
      <c r="A6054" s="20"/>
      <c r="B6054" s="22"/>
    </row>
    <row r="6055" spans="1:2">
      <c r="A6055" s="20"/>
      <c r="B6055" s="22"/>
    </row>
    <row r="6056" spans="1:2">
      <c r="A6056" s="20"/>
      <c r="B6056" s="22"/>
    </row>
    <row r="6057" spans="1:2">
      <c r="A6057" s="20"/>
      <c r="B6057" s="22"/>
    </row>
    <row r="6058" spans="1:2">
      <c r="A6058" s="20"/>
      <c r="B6058" s="22"/>
    </row>
    <row r="6059" spans="1:2">
      <c r="A6059" s="20"/>
      <c r="B6059" s="22"/>
    </row>
    <row r="6060" spans="1:2">
      <c r="A6060" s="20"/>
      <c r="B6060" s="22"/>
    </row>
    <row r="6061" spans="1:2">
      <c r="A6061" s="20"/>
      <c r="B6061" s="22"/>
    </row>
    <row r="6062" spans="1:2">
      <c r="A6062" s="20"/>
      <c r="B6062" s="22"/>
    </row>
    <row r="6063" spans="1:2">
      <c r="A6063" s="20"/>
      <c r="B6063" s="22"/>
    </row>
    <row r="6064" spans="1:2">
      <c r="A6064" s="20"/>
      <c r="B6064" s="22"/>
    </row>
    <row r="6065" spans="1:2">
      <c r="A6065" s="20"/>
      <c r="B6065" s="22"/>
    </row>
    <row r="6066" spans="1:2">
      <c r="A6066" s="20"/>
      <c r="B6066" s="22"/>
    </row>
    <row r="6067" spans="1:2">
      <c r="A6067" s="20"/>
      <c r="B6067" s="22"/>
    </row>
    <row r="6068" spans="1:2">
      <c r="A6068" s="20"/>
      <c r="B6068" s="22"/>
    </row>
    <row r="6069" spans="1:2">
      <c r="A6069" s="20"/>
      <c r="B6069" s="22"/>
    </row>
    <row r="6070" spans="1:2">
      <c r="A6070" s="20"/>
      <c r="B6070" s="22"/>
    </row>
    <row r="6071" spans="1:2">
      <c r="A6071" s="20"/>
      <c r="B6071" s="22"/>
    </row>
    <row r="6072" spans="1:2">
      <c r="A6072" s="20"/>
      <c r="B6072" s="22"/>
    </row>
    <row r="6073" spans="1:2">
      <c r="A6073" s="20"/>
      <c r="B6073" s="22"/>
    </row>
    <row r="6074" spans="1:2">
      <c r="A6074" s="20"/>
      <c r="B6074" s="22"/>
    </row>
    <row r="6075" spans="1:2">
      <c r="A6075" s="20"/>
      <c r="B6075" s="22"/>
    </row>
    <row r="6076" spans="1:2">
      <c r="A6076" s="20"/>
      <c r="B6076" s="22"/>
    </row>
    <row r="6077" spans="1:2">
      <c r="A6077" s="20"/>
      <c r="B6077" s="22"/>
    </row>
    <row r="6078" spans="1:2">
      <c r="A6078" s="20"/>
      <c r="B6078" s="22"/>
    </row>
    <row r="6079" spans="1:2">
      <c r="A6079" s="20"/>
      <c r="B6079" s="22"/>
    </row>
    <row r="6080" spans="1:2">
      <c r="A6080" s="20"/>
      <c r="B6080" s="22"/>
    </row>
    <row r="6081" spans="1:2">
      <c r="A6081" s="20"/>
      <c r="B6081" s="22"/>
    </row>
    <row r="6082" spans="1:2">
      <c r="A6082" s="20"/>
      <c r="B6082" s="22"/>
    </row>
    <row r="6083" spans="1:2">
      <c r="A6083" s="20"/>
      <c r="B6083" s="22"/>
    </row>
    <row r="6084" spans="1:2">
      <c r="A6084" s="20"/>
      <c r="B6084" s="22"/>
    </row>
    <row r="6085" spans="1:2">
      <c r="A6085" s="20"/>
      <c r="B6085" s="22"/>
    </row>
    <row r="6086" spans="1:2">
      <c r="A6086" s="20"/>
      <c r="B6086" s="22"/>
    </row>
    <row r="6087" spans="1:2">
      <c r="A6087" s="20"/>
      <c r="B6087" s="22"/>
    </row>
    <row r="6088" spans="1:2">
      <c r="A6088" s="20"/>
      <c r="B6088" s="22"/>
    </row>
    <row r="6089" spans="1:2">
      <c r="A6089" s="20"/>
      <c r="B6089" s="22"/>
    </row>
    <row r="6090" spans="1:2">
      <c r="A6090" s="20"/>
      <c r="B6090" s="22"/>
    </row>
    <row r="6091" spans="1:2">
      <c r="A6091" s="20"/>
      <c r="B6091" s="22"/>
    </row>
    <row r="6092" spans="1:2">
      <c r="A6092" s="20"/>
      <c r="B6092" s="22"/>
    </row>
    <row r="6093" spans="1:2">
      <c r="A6093" s="20"/>
      <c r="B6093" s="22"/>
    </row>
    <row r="6094" spans="1:2">
      <c r="A6094" s="20"/>
      <c r="B6094" s="22"/>
    </row>
    <row r="6095" spans="1:2">
      <c r="A6095" s="20"/>
      <c r="B6095" s="22"/>
    </row>
    <row r="6096" spans="1:2">
      <c r="A6096" s="20"/>
      <c r="B6096" s="22"/>
    </row>
    <row r="6097" spans="1:2">
      <c r="A6097" s="20"/>
      <c r="B6097" s="22"/>
    </row>
    <row r="6098" spans="1:2">
      <c r="A6098" s="20"/>
      <c r="B6098" s="22"/>
    </row>
    <row r="6099" spans="1:2">
      <c r="A6099" s="20"/>
      <c r="B6099" s="22"/>
    </row>
    <row r="6100" spans="1:2">
      <c r="A6100" s="20"/>
      <c r="B6100" s="22"/>
    </row>
    <row r="6101" spans="1:2">
      <c r="A6101" s="20"/>
      <c r="B6101" s="22"/>
    </row>
    <row r="6102" spans="1:2">
      <c r="A6102" s="20"/>
      <c r="B6102" s="22"/>
    </row>
    <row r="6103" spans="1:2">
      <c r="A6103" s="20"/>
      <c r="B6103" s="22"/>
    </row>
    <row r="6104" spans="1:2">
      <c r="A6104" s="20"/>
      <c r="B6104" s="22"/>
    </row>
    <row r="6105" spans="1:2">
      <c r="A6105" s="20"/>
      <c r="B6105" s="22"/>
    </row>
    <row r="6106" spans="1:2">
      <c r="A6106" s="20"/>
      <c r="B6106" s="22"/>
    </row>
    <row r="6107" spans="1:2">
      <c r="A6107" s="20"/>
      <c r="B6107" s="22"/>
    </row>
    <row r="6108" spans="1:2">
      <c r="A6108" s="20"/>
      <c r="B6108" s="22"/>
    </row>
    <row r="6109" spans="1:2">
      <c r="A6109" s="20"/>
      <c r="B6109" s="22"/>
    </row>
    <row r="6110" spans="1:2">
      <c r="A6110" s="20"/>
      <c r="B6110" s="22"/>
    </row>
    <row r="6111" spans="1:2">
      <c r="A6111" s="20"/>
      <c r="B6111" s="22"/>
    </row>
    <row r="6112" spans="1:2">
      <c r="A6112" s="20"/>
      <c r="B6112" s="22"/>
    </row>
    <row r="6113" spans="1:2">
      <c r="A6113" s="20"/>
      <c r="B6113" s="22"/>
    </row>
    <row r="6114" spans="1:2">
      <c r="A6114" s="20"/>
      <c r="B6114" s="22"/>
    </row>
    <row r="6115" spans="1:2">
      <c r="A6115" s="20"/>
      <c r="B6115" s="22"/>
    </row>
    <row r="6116" spans="1:2">
      <c r="A6116" s="20"/>
      <c r="B6116" s="22"/>
    </row>
    <row r="6117" spans="1:2">
      <c r="A6117" s="20"/>
      <c r="B6117" s="22"/>
    </row>
    <row r="6118" spans="1:2">
      <c r="A6118" s="20"/>
      <c r="B6118" s="22"/>
    </row>
    <row r="6119" spans="1:2">
      <c r="A6119" s="20"/>
      <c r="B6119" s="22"/>
    </row>
    <row r="6120" spans="1:2">
      <c r="A6120" s="20"/>
      <c r="B6120" s="22"/>
    </row>
    <row r="6121" spans="1:2">
      <c r="A6121" s="20"/>
      <c r="B6121" s="22"/>
    </row>
    <row r="6122" spans="1:2">
      <c r="A6122" s="20"/>
      <c r="B6122" s="22"/>
    </row>
    <row r="6123" spans="1:2">
      <c r="A6123" s="20"/>
      <c r="B6123" s="22"/>
    </row>
    <row r="6124" spans="1:2">
      <c r="A6124" s="20"/>
      <c r="B6124" s="22"/>
    </row>
    <row r="6125" spans="1:2">
      <c r="A6125" s="20"/>
      <c r="B6125" s="22"/>
    </row>
    <row r="6126" spans="1:2">
      <c r="A6126" s="20"/>
      <c r="B6126" s="22"/>
    </row>
    <row r="6127" spans="1:2">
      <c r="A6127" s="20"/>
      <c r="B6127" s="22"/>
    </row>
    <row r="6128" spans="1:2">
      <c r="A6128" s="20"/>
      <c r="B6128" s="22"/>
    </row>
    <row r="6129" spans="1:2">
      <c r="A6129" s="20"/>
      <c r="B6129" s="22"/>
    </row>
    <row r="6130" spans="1:2">
      <c r="A6130" s="20"/>
      <c r="B6130" s="22"/>
    </row>
    <row r="6131" spans="1:2">
      <c r="A6131" s="20"/>
      <c r="B6131" s="22"/>
    </row>
    <row r="6132" spans="1:2">
      <c r="A6132" s="20"/>
      <c r="B6132" s="22"/>
    </row>
    <row r="6133" spans="1:2">
      <c r="A6133" s="20"/>
      <c r="B6133" s="22"/>
    </row>
    <row r="6134" spans="1:2">
      <c r="A6134" s="20"/>
      <c r="B6134" s="22"/>
    </row>
    <row r="6135" spans="1:2">
      <c r="A6135" s="20"/>
      <c r="B6135" s="22"/>
    </row>
    <row r="6136" spans="1:2">
      <c r="A6136" s="20"/>
      <c r="B6136" s="22"/>
    </row>
    <row r="6137" spans="1:2">
      <c r="A6137" s="20"/>
      <c r="B6137" s="22"/>
    </row>
    <row r="6138" spans="1:2">
      <c r="A6138" s="20"/>
      <c r="B6138" s="22"/>
    </row>
    <row r="6139" spans="1:2">
      <c r="A6139" s="20"/>
      <c r="B6139" s="22"/>
    </row>
    <row r="6140" spans="1:2">
      <c r="A6140" s="20"/>
      <c r="B6140" s="22"/>
    </row>
    <row r="6141" spans="1:2">
      <c r="A6141" s="20"/>
      <c r="B6141" s="22"/>
    </row>
    <row r="6142" spans="1:2">
      <c r="A6142" s="20"/>
      <c r="B6142" s="22"/>
    </row>
    <row r="6143" spans="1:2">
      <c r="A6143" s="20"/>
      <c r="B6143" s="22"/>
    </row>
    <row r="6144" spans="1:2">
      <c r="A6144" s="20"/>
      <c r="B6144" s="22"/>
    </row>
    <row r="6145" spans="1:2">
      <c r="A6145" s="20"/>
      <c r="B6145" s="22"/>
    </row>
    <row r="6146" spans="1:2">
      <c r="A6146" s="20"/>
      <c r="B6146" s="22"/>
    </row>
    <row r="6147" spans="1:2">
      <c r="A6147" s="20"/>
      <c r="B6147" s="22"/>
    </row>
    <row r="6148" spans="1:2">
      <c r="A6148" s="20"/>
      <c r="B6148" s="22"/>
    </row>
    <row r="6149" spans="1:2">
      <c r="A6149" s="20"/>
      <c r="B6149" s="22"/>
    </row>
    <row r="6150" spans="1:2">
      <c r="A6150" s="20"/>
      <c r="B6150" s="22"/>
    </row>
    <row r="6151" spans="1:2">
      <c r="A6151" s="20"/>
      <c r="B6151" s="22"/>
    </row>
    <row r="6152" spans="1:2">
      <c r="A6152" s="20"/>
      <c r="B6152" s="22"/>
    </row>
    <row r="6153" spans="1:2">
      <c r="A6153" s="20"/>
      <c r="B6153" s="22"/>
    </row>
    <row r="6154" spans="1:2">
      <c r="A6154" s="20"/>
      <c r="B6154" s="22"/>
    </row>
    <row r="6155" spans="1:2">
      <c r="A6155" s="20"/>
      <c r="B6155" s="22"/>
    </row>
    <row r="6156" spans="1:2">
      <c r="A6156" s="20"/>
      <c r="B6156" s="22"/>
    </row>
    <row r="6157" spans="1:2">
      <c r="A6157" s="20"/>
      <c r="B6157" s="22"/>
    </row>
    <row r="6158" spans="1:2">
      <c r="A6158" s="20"/>
      <c r="B6158" s="22"/>
    </row>
    <row r="6159" spans="1:2">
      <c r="A6159" s="20"/>
      <c r="B6159" s="22"/>
    </row>
    <row r="6160" spans="1:2">
      <c r="A6160" s="20"/>
      <c r="B6160" s="22"/>
    </row>
    <row r="6161" spans="1:2">
      <c r="A6161" s="20"/>
      <c r="B6161" s="22"/>
    </row>
    <row r="6162" spans="1:2">
      <c r="A6162" s="20"/>
      <c r="B6162" s="22"/>
    </row>
    <row r="6163" spans="1:2">
      <c r="A6163" s="20"/>
      <c r="B6163" s="22"/>
    </row>
    <row r="6164" spans="1:2">
      <c r="A6164" s="20"/>
      <c r="B6164" s="22"/>
    </row>
    <row r="6165" spans="1:2">
      <c r="A6165" s="20"/>
      <c r="B6165" s="22"/>
    </row>
    <row r="6166" spans="1:2">
      <c r="A6166" s="20"/>
      <c r="B6166" s="22"/>
    </row>
    <row r="6167" spans="1:2">
      <c r="A6167" s="20"/>
      <c r="B6167" s="22"/>
    </row>
    <row r="6168" spans="1:2">
      <c r="A6168" s="20"/>
      <c r="B6168" s="22"/>
    </row>
    <row r="6169" spans="1:2">
      <c r="A6169" s="20"/>
      <c r="B6169" s="22"/>
    </row>
    <row r="6170" spans="1:2">
      <c r="A6170" s="20"/>
      <c r="B6170" s="22"/>
    </row>
    <row r="6171" spans="1:2">
      <c r="A6171" s="20"/>
      <c r="B6171" s="22"/>
    </row>
    <row r="6172" spans="1:2">
      <c r="A6172" s="20"/>
      <c r="B6172" s="22"/>
    </row>
    <row r="6173" spans="1:2">
      <c r="A6173" s="20"/>
      <c r="B6173" s="22"/>
    </row>
    <row r="6174" spans="1:2">
      <c r="A6174" s="20"/>
      <c r="B6174" s="22"/>
    </row>
    <row r="6175" spans="1:2">
      <c r="A6175" s="20"/>
      <c r="B6175" s="22"/>
    </row>
    <row r="6176" spans="1:2">
      <c r="A6176" s="20"/>
      <c r="B6176" s="22"/>
    </row>
    <row r="6177" spans="1:2">
      <c r="A6177" s="20"/>
      <c r="B6177" s="22"/>
    </row>
    <row r="6178" spans="1:2">
      <c r="A6178" s="20"/>
      <c r="B6178" s="22"/>
    </row>
    <row r="6179" spans="1:2">
      <c r="A6179" s="20"/>
      <c r="B6179" s="22"/>
    </row>
    <row r="6180" spans="1:2">
      <c r="A6180" s="20"/>
      <c r="B6180" s="22"/>
    </row>
    <row r="6181" spans="1:2">
      <c r="A6181" s="20"/>
      <c r="B6181" s="22"/>
    </row>
    <row r="6182" spans="1:2">
      <c r="A6182" s="20"/>
      <c r="B6182" s="22"/>
    </row>
    <row r="6183" spans="1:2">
      <c r="A6183" s="20"/>
      <c r="B6183" s="22"/>
    </row>
    <row r="6184" spans="1:2">
      <c r="A6184" s="20"/>
      <c r="B6184" s="22"/>
    </row>
    <row r="6185" spans="1:2">
      <c r="A6185" s="20"/>
      <c r="B6185" s="22"/>
    </row>
    <row r="6186" spans="1:2">
      <c r="A6186" s="20"/>
      <c r="B6186" s="22"/>
    </row>
    <row r="6187" spans="1:2">
      <c r="A6187" s="20"/>
      <c r="B6187" s="22"/>
    </row>
    <row r="6188" spans="1:2">
      <c r="A6188" s="20"/>
      <c r="B6188" s="22"/>
    </row>
    <row r="6189" spans="1:2">
      <c r="A6189" s="20"/>
      <c r="B6189" s="22"/>
    </row>
    <row r="6190" spans="1:2">
      <c r="A6190" s="20"/>
      <c r="B6190" s="22"/>
    </row>
    <row r="6191" spans="1:2">
      <c r="A6191" s="20"/>
      <c r="B6191" s="22"/>
    </row>
    <row r="6192" spans="1:2">
      <c r="A6192" s="20"/>
      <c r="B6192" s="22"/>
    </row>
    <row r="6193" spans="1:2">
      <c r="A6193" s="20"/>
      <c r="B6193" s="22"/>
    </row>
    <row r="6194" spans="1:2">
      <c r="A6194" s="20"/>
      <c r="B6194" s="22"/>
    </row>
    <row r="6195" spans="1:2">
      <c r="A6195" s="20"/>
      <c r="B6195" s="22"/>
    </row>
    <row r="6196" spans="1:2">
      <c r="A6196" s="20"/>
      <c r="B6196" s="22"/>
    </row>
    <row r="6197" spans="1:2">
      <c r="A6197" s="20"/>
      <c r="B6197" s="22"/>
    </row>
    <row r="6198" spans="1:2">
      <c r="A6198" s="20"/>
      <c r="B6198" s="22"/>
    </row>
    <row r="6199" spans="1:2">
      <c r="A6199" s="20"/>
      <c r="B6199" s="22"/>
    </row>
    <row r="6200" spans="1:2">
      <c r="A6200" s="20"/>
      <c r="B6200" s="22"/>
    </row>
    <row r="6201" spans="1:2">
      <c r="A6201" s="20"/>
      <c r="B6201" s="22"/>
    </row>
    <row r="6202" spans="1:2">
      <c r="A6202" s="20"/>
      <c r="B6202" s="22"/>
    </row>
    <row r="6203" spans="1:2">
      <c r="A6203" s="20"/>
      <c r="B6203" s="22"/>
    </row>
    <row r="6204" spans="1:2">
      <c r="A6204" s="20"/>
      <c r="B6204" s="22"/>
    </row>
    <row r="6205" spans="1:2">
      <c r="A6205" s="20"/>
      <c r="B6205" s="22"/>
    </row>
    <row r="6206" spans="1:2">
      <c r="A6206" s="20"/>
      <c r="B6206" s="22"/>
    </row>
    <row r="6207" spans="1:2">
      <c r="A6207" s="20"/>
      <c r="B6207" s="22"/>
    </row>
    <row r="6208" spans="1:2">
      <c r="A6208" s="20"/>
      <c r="B6208" s="22"/>
    </row>
    <row r="6209" spans="1:2">
      <c r="A6209" s="20"/>
      <c r="B6209" s="22"/>
    </row>
    <row r="6210" spans="1:2">
      <c r="A6210" s="20"/>
      <c r="B6210" s="22"/>
    </row>
    <row r="6211" spans="1:2">
      <c r="A6211" s="20"/>
      <c r="B6211" s="22"/>
    </row>
    <row r="6212" spans="1:2">
      <c r="A6212" s="20"/>
      <c r="B6212" s="22"/>
    </row>
    <row r="6213" spans="1:2">
      <c r="A6213" s="20"/>
      <c r="B6213" s="22"/>
    </row>
    <row r="6214" spans="1:2">
      <c r="A6214" s="20"/>
      <c r="B6214" s="22"/>
    </row>
    <row r="6215" spans="1:2">
      <c r="A6215" s="20"/>
      <c r="B6215" s="22"/>
    </row>
    <row r="6216" spans="1:2">
      <c r="A6216" s="20"/>
      <c r="B6216" s="22"/>
    </row>
    <row r="6217" spans="1:2">
      <c r="A6217" s="20"/>
      <c r="B6217" s="22"/>
    </row>
    <row r="6218" spans="1:2">
      <c r="A6218" s="20"/>
      <c r="B6218" s="22"/>
    </row>
    <row r="6219" spans="1:2">
      <c r="A6219" s="20"/>
      <c r="B6219" s="22"/>
    </row>
    <row r="6220" spans="1:2">
      <c r="A6220" s="20"/>
      <c r="B6220" s="22"/>
    </row>
    <row r="6221" spans="1:2">
      <c r="A6221" s="20"/>
      <c r="B6221" s="22"/>
    </row>
    <row r="6222" spans="1:2">
      <c r="A6222" s="20"/>
      <c r="B6222" s="22"/>
    </row>
    <row r="6223" spans="1:2">
      <c r="A6223" s="20"/>
      <c r="B6223" s="22"/>
    </row>
    <row r="6224" spans="1:2">
      <c r="A6224" s="20"/>
      <c r="B6224" s="22"/>
    </row>
    <row r="6225" spans="1:2">
      <c r="A6225" s="20"/>
      <c r="B6225" s="22"/>
    </row>
    <row r="6226" spans="1:2">
      <c r="A6226" s="20"/>
      <c r="B6226" s="22"/>
    </row>
    <row r="6227" spans="1:2">
      <c r="A6227" s="20"/>
      <c r="B6227" s="22"/>
    </row>
    <row r="6228" spans="1:2">
      <c r="A6228" s="20"/>
      <c r="B6228" s="22"/>
    </row>
    <row r="6229" spans="1:2">
      <c r="A6229" s="20"/>
      <c r="B6229" s="22"/>
    </row>
    <row r="6230" spans="1:2">
      <c r="A6230" s="20"/>
      <c r="B6230" s="22"/>
    </row>
    <row r="6231" spans="1:2">
      <c r="A6231" s="20"/>
      <c r="B6231" s="22"/>
    </row>
    <row r="6232" spans="1:2">
      <c r="A6232" s="20"/>
      <c r="B6232" s="22"/>
    </row>
    <row r="6233" spans="1:2">
      <c r="A6233" s="20"/>
      <c r="B6233" s="22"/>
    </row>
    <row r="6234" spans="1:2">
      <c r="A6234" s="20"/>
      <c r="B6234" s="22"/>
    </row>
    <row r="6235" spans="1:2">
      <c r="A6235" s="20"/>
      <c r="B6235" s="22"/>
    </row>
    <row r="6236" spans="1:2">
      <c r="A6236" s="20"/>
      <c r="B6236" s="22"/>
    </row>
    <row r="6237" spans="1:2">
      <c r="A6237" s="20"/>
      <c r="B6237" s="22"/>
    </row>
    <row r="6238" spans="1:2">
      <c r="A6238" s="20"/>
      <c r="B6238" s="22"/>
    </row>
    <row r="6239" spans="1:2">
      <c r="A6239" s="20"/>
      <c r="B6239" s="22"/>
    </row>
    <row r="6240" spans="1:2">
      <c r="A6240" s="20"/>
      <c r="B6240" s="22"/>
    </row>
    <row r="6241" spans="1:2">
      <c r="A6241" s="20"/>
      <c r="B6241" s="22"/>
    </row>
    <row r="6242" spans="1:2">
      <c r="A6242" s="20"/>
      <c r="B6242" s="22"/>
    </row>
    <row r="6243" spans="1:2">
      <c r="A6243" s="20"/>
      <c r="B6243" s="22"/>
    </row>
    <row r="6244" spans="1:2">
      <c r="A6244" s="20"/>
      <c r="B6244" s="22"/>
    </row>
    <row r="6245" spans="1:2">
      <c r="A6245" s="20"/>
      <c r="B6245" s="22"/>
    </row>
    <row r="6246" spans="1:2">
      <c r="A6246" s="20"/>
      <c r="B6246" s="22"/>
    </row>
    <row r="6247" spans="1:2">
      <c r="A6247" s="20"/>
      <c r="B6247" s="22"/>
    </row>
    <row r="6248" spans="1:2">
      <c r="A6248" s="20"/>
      <c r="B6248" s="22"/>
    </row>
    <row r="6249" spans="1:2">
      <c r="A6249" s="20"/>
      <c r="B6249" s="22"/>
    </row>
    <row r="6250" spans="1:2">
      <c r="A6250" s="20"/>
      <c r="B6250" s="22"/>
    </row>
    <row r="6251" spans="1:2">
      <c r="A6251" s="20"/>
      <c r="B6251" s="22"/>
    </row>
    <row r="6252" spans="1:2">
      <c r="A6252" s="20"/>
      <c r="B6252" s="22"/>
    </row>
    <row r="6253" spans="1:2">
      <c r="A6253" s="20"/>
      <c r="B6253" s="22"/>
    </row>
    <row r="6254" spans="1:2">
      <c r="A6254" s="20"/>
      <c r="B6254" s="22"/>
    </row>
    <row r="6255" spans="1:2">
      <c r="A6255" s="20"/>
      <c r="B6255" s="22"/>
    </row>
    <row r="6256" spans="1:2">
      <c r="A6256" s="20"/>
      <c r="B6256" s="22"/>
    </row>
    <row r="6257" spans="1:2">
      <c r="A6257" s="20"/>
      <c r="B6257" s="22"/>
    </row>
    <row r="6258" spans="1:2">
      <c r="A6258" s="20"/>
      <c r="B6258" s="22"/>
    </row>
    <row r="6259" spans="1:2">
      <c r="A6259" s="20"/>
      <c r="B6259" s="22"/>
    </row>
    <row r="6260" spans="1:2">
      <c r="A6260" s="20"/>
      <c r="B6260" s="22"/>
    </row>
    <row r="6261" spans="1:2">
      <c r="A6261" s="20"/>
      <c r="B6261" s="22"/>
    </row>
    <row r="6262" spans="1:2">
      <c r="A6262" s="20"/>
      <c r="B6262" s="22"/>
    </row>
    <row r="6263" spans="1:2">
      <c r="A6263" s="20"/>
      <c r="B6263" s="22"/>
    </row>
    <row r="6264" spans="1:2">
      <c r="A6264" s="20"/>
      <c r="B6264" s="22"/>
    </row>
    <row r="6265" spans="1:2">
      <c r="A6265" s="20"/>
      <c r="B6265" s="22"/>
    </row>
    <row r="6266" spans="1:2">
      <c r="A6266" s="20"/>
      <c r="B6266" s="22"/>
    </row>
    <row r="6267" spans="1:2">
      <c r="A6267" s="20"/>
      <c r="B6267" s="22"/>
    </row>
    <row r="6268" spans="1:2">
      <c r="A6268" s="20"/>
      <c r="B6268" s="22"/>
    </row>
    <row r="6269" spans="1:2">
      <c r="A6269" s="20"/>
      <c r="B6269" s="22"/>
    </row>
    <row r="6270" spans="1:2">
      <c r="A6270" s="20"/>
      <c r="B6270" s="22"/>
    </row>
    <row r="6271" spans="1:2">
      <c r="A6271" s="20"/>
      <c r="B6271" s="22"/>
    </row>
    <row r="6272" spans="1:2">
      <c r="A6272" s="20"/>
      <c r="B6272" s="22"/>
    </row>
    <row r="6273" spans="1:2">
      <c r="A6273" s="20"/>
      <c r="B6273" s="22"/>
    </row>
    <row r="6274" spans="1:2">
      <c r="A6274" s="20"/>
      <c r="B6274" s="22"/>
    </row>
    <row r="6275" spans="1:2">
      <c r="A6275" s="20"/>
      <c r="B6275" s="22"/>
    </row>
    <row r="6276" spans="1:2">
      <c r="A6276" s="20"/>
      <c r="B6276" s="22"/>
    </row>
    <row r="6277" spans="1:2">
      <c r="A6277" s="20"/>
      <c r="B6277" s="22"/>
    </row>
    <row r="6278" spans="1:2">
      <c r="A6278" s="20"/>
      <c r="B6278" s="22"/>
    </row>
    <row r="6279" spans="1:2">
      <c r="A6279" s="20"/>
      <c r="B6279" s="22"/>
    </row>
    <row r="6280" spans="1:2">
      <c r="A6280" s="20"/>
      <c r="B6280" s="22"/>
    </row>
    <row r="6281" spans="1:2">
      <c r="A6281" s="20"/>
      <c r="B6281" s="22"/>
    </row>
    <row r="6282" spans="1:2">
      <c r="A6282" s="20"/>
      <c r="B6282" s="22"/>
    </row>
    <row r="6283" spans="1:2">
      <c r="A6283" s="20"/>
      <c r="B6283" s="22"/>
    </row>
    <row r="6284" spans="1:2">
      <c r="A6284" s="20"/>
      <c r="B6284" s="22"/>
    </row>
    <row r="6285" spans="1:2">
      <c r="A6285" s="20"/>
      <c r="B6285" s="22"/>
    </row>
    <row r="6286" spans="1:2">
      <c r="A6286" s="20"/>
      <c r="B6286" s="22"/>
    </row>
    <row r="6287" spans="1:2">
      <c r="A6287" s="20"/>
      <c r="B6287" s="22"/>
    </row>
    <row r="6288" spans="1:2">
      <c r="A6288" s="20"/>
      <c r="B6288" s="22"/>
    </row>
    <row r="6289" spans="1:2">
      <c r="A6289" s="20"/>
      <c r="B6289" s="22"/>
    </row>
    <row r="6290" spans="1:2">
      <c r="A6290" s="20"/>
      <c r="B6290" s="22"/>
    </row>
    <row r="6291" spans="1:2">
      <c r="A6291" s="20"/>
      <c r="B6291" s="22"/>
    </row>
    <row r="6292" spans="1:2">
      <c r="A6292" s="20"/>
      <c r="B6292" s="22"/>
    </row>
    <row r="6293" spans="1:2">
      <c r="A6293" s="20"/>
      <c r="B6293" s="22"/>
    </row>
    <row r="6294" spans="1:2">
      <c r="A6294" s="20"/>
      <c r="B6294" s="22"/>
    </row>
    <row r="6295" spans="1:2">
      <c r="A6295" s="20"/>
      <c r="B6295" s="22"/>
    </row>
    <row r="6296" spans="1:2">
      <c r="A6296" s="20"/>
      <c r="B6296" s="22"/>
    </row>
    <row r="6297" spans="1:2">
      <c r="A6297" s="20"/>
      <c r="B6297" s="22"/>
    </row>
    <row r="6298" spans="1:2">
      <c r="A6298" s="20"/>
      <c r="B6298" s="22"/>
    </row>
    <row r="6299" spans="1:2">
      <c r="A6299" s="20"/>
      <c r="B6299" s="22"/>
    </row>
    <row r="6300" spans="1:2">
      <c r="A6300" s="20"/>
      <c r="B6300" s="22"/>
    </row>
    <row r="6301" spans="1:2">
      <c r="A6301" s="20"/>
      <c r="B6301" s="22"/>
    </row>
    <row r="6302" spans="1:2">
      <c r="A6302" s="20"/>
      <c r="B6302" s="22"/>
    </row>
    <row r="6303" spans="1:2">
      <c r="A6303" s="20"/>
      <c r="B6303" s="22"/>
    </row>
    <row r="6304" spans="1:2">
      <c r="A6304" s="20"/>
      <c r="B6304" s="22"/>
    </row>
    <row r="6305" spans="1:2">
      <c r="A6305" s="20"/>
      <c r="B6305" s="22"/>
    </row>
    <row r="6306" spans="1:2">
      <c r="A6306" s="20"/>
      <c r="B6306" s="22"/>
    </row>
    <row r="6307" spans="1:2">
      <c r="A6307" s="20"/>
      <c r="B6307" s="22"/>
    </row>
    <row r="6308" spans="1:2">
      <c r="A6308" s="20"/>
      <c r="B6308" s="22"/>
    </row>
    <row r="6309" spans="1:2">
      <c r="A6309" s="20"/>
      <c r="B6309" s="22"/>
    </row>
    <row r="6310" spans="1:2">
      <c r="A6310" s="20"/>
      <c r="B6310" s="22"/>
    </row>
    <row r="6311" spans="1:2">
      <c r="A6311" s="20"/>
      <c r="B6311" s="22"/>
    </row>
    <row r="6312" spans="1:2">
      <c r="A6312" s="20"/>
      <c r="B6312" s="22"/>
    </row>
    <row r="6313" spans="1:2">
      <c r="A6313" s="20"/>
      <c r="B6313" s="22"/>
    </row>
    <row r="6314" spans="1:2">
      <c r="A6314" s="20"/>
      <c r="B6314" s="22"/>
    </row>
    <row r="6315" spans="1:2">
      <c r="A6315" s="20"/>
      <c r="B6315" s="22"/>
    </row>
    <row r="6316" spans="1:2">
      <c r="A6316" s="20"/>
      <c r="B6316" s="22"/>
    </row>
    <row r="6317" spans="1:2">
      <c r="A6317" s="20"/>
      <c r="B6317" s="22"/>
    </row>
    <row r="6318" spans="1:2">
      <c r="A6318" s="20"/>
      <c r="B6318" s="22"/>
    </row>
    <row r="6319" spans="1:2">
      <c r="A6319" s="20"/>
      <c r="B6319" s="22"/>
    </row>
    <row r="6320" spans="1:2">
      <c r="A6320" s="20"/>
      <c r="B6320" s="22"/>
    </row>
    <row r="6321" spans="1:2">
      <c r="A6321" s="20"/>
      <c r="B6321" s="22"/>
    </row>
    <row r="6322" spans="1:2">
      <c r="A6322" s="20"/>
      <c r="B6322" s="22"/>
    </row>
    <row r="6323" spans="1:2">
      <c r="A6323" s="20"/>
      <c r="B6323" s="22"/>
    </row>
    <row r="6324" spans="1:2">
      <c r="A6324" s="20"/>
      <c r="B6324" s="22"/>
    </row>
    <row r="6325" spans="1:2">
      <c r="A6325" s="20"/>
      <c r="B6325" s="22"/>
    </row>
    <row r="6326" spans="1:2">
      <c r="A6326" s="20"/>
      <c r="B6326" s="22"/>
    </row>
    <row r="6327" spans="1:2">
      <c r="A6327" s="20"/>
      <c r="B6327" s="22"/>
    </row>
    <row r="6328" spans="1:2">
      <c r="A6328" s="20"/>
      <c r="B6328" s="22"/>
    </row>
    <row r="6329" spans="1:2">
      <c r="A6329" s="20"/>
      <c r="B6329" s="22"/>
    </row>
    <row r="6330" spans="1:2">
      <c r="A6330" s="20"/>
      <c r="B6330" s="22"/>
    </row>
    <row r="6331" spans="1:2">
      <c r="A6331" s="20"/>
      <c r="B6331" s="22"/>
    </row>
    <row r="6332" spans="1:2">
      <c r="A6332" s="20"/>
      <c r="B6332" s="22"/>
    </row>
    <row r="6333" spans="1:2">
      <c r="A6333" s="20"/>
      <c r="B6333" s="22"/>
    </row>
    <row r="6334" spans="1:2">
      <c r="A6334" s="20"/>
      <c r="B6334" s="22"/>
    </row>
    <row r="6335" spans="1:2">
      <c r="A6335" s="20"/>
      <c r="B6335" s="22"/>
    </row>
    <row r="6336" spans="1:2">
      <c r="A6336" s="20"/>
      <c r="B6336" s="22"/>
    </row>
    <row r="6337" spans="1:2">
      <c r="A6337" s="20"/>
      <c r="B6337" s="22"/>
    </row>
    <row r="6338" spans="1:2">
      <c r="A6338" s="20"/>
      <c r="B6338" s="22"/>
    </row>
    <row r="6339" spans="1:2">
      <c r="A6339" s="20"/>
      <c r="B6339" s="22"/>
    </row>
    <row r="6340" spans="1:2">
      <c r="A6340" s="20"/>
      <c r="B6340" s="22"/>
    </row>
    <row r="6341" spans="1:2">
      <c r="A6341" s="20"/>
      <c r="B6341" s="22"/>
    </row>
    <row r="6342" spans="1:2">
      <c r="A6342" s="20"/>
      <c r="B6342" s="22"/>
    </row>
    <row r="6343" spans="1:2">
      <c r="A6343" s="20"/>
      <c r="B6343" s="22"/>
    </row>
    <row r="6344" spans="1:2">
      <c r="A6344" s="20"/>
      <c r="B6344" s="22"/>
    </row>
    <row r="6345" spans="1:2">
      <c r="A6345" s="20"/>
      <c r="B6345" s="22"/>
    </row>
    <row r="6346" spans="1:2">
      <c r="A6346" s="20"/>
      <c r="B6346" s="22"/>
    </row>
    <row r="6347" spans="1:2">
      <c r="A6347" s="20"/>
      <c r="B6347" s="22"/>
    </row>
    <row r="6348" spans="1:2">
      <c r="A6348" s="20"/>
      <c r="B6348" s="22"/>
    </row>
    <row r="6349" spans="1:2">
      <c r="A6349" s="20"/>
      <c r="B6349" s="22"/>
    </row>
    <row r="6350" spans="1:2">
      <c r="A6350" s="20"/>
      <c r="B6350" s="22"/>
    </row>
    <row r="6351" spans="1:2">
      <c r="A6351" s="20"/>
      <c r="B6351" s="22"/>
    </row>
    <row r="6352" spans="1:2">
      <c r="A6352" s="20"/>
      <c r="B6352" s="22"/>
    </row>
    <row r="6353" spans="1:2">
      <c r="A6353" s="20"/>
      <c r="B6353" s="22"/>
    </row>
    <row r="6354" spans="1:2">
      <c r="A6354" s="20"/>
      <c r="B6354" s="22"/>
    </row>
    <row r="6355" spans="1:2">
      <c r="A6355" s="20"/>
      <c r="B6355" s="22"/>
    </row>
    <row r="6356" spans="1:2">
      <c r="A6356" s="20"/>
      <c r="B6356" s="22"/>
    </row>
    <row r="6357" spans="1:2">
      <c r="A6357" s="20"/>
      <c r="B6357" s="22"/>
    </row>
    <row r="6358" spans="1:2">
      <c r="A6358" s="20"/>
      <c r="B6358" s="22"/>
    </row>
    <row r="6359" spans="1:2">
      <c r="A6359" s="20"/>
      <c r="B6359" s="22"/>
    </row>
    <row r="6360" spans="1:2">
      <c r="A6360" s="20"/>
      <c r="B6360" s="22"/>
    </row>
    <row r="6361" spans="1:2">
      <c r="A6361" s="20"/>
      <c r="B6361" s="22"/>
    </row>
    <row r="6362" spans="1:2">
      <c r="A6362" s="20"/>
      <c r="B6362" s="22"/>
    </row>
    <row r="6363" spans="1:2">
      <c r="A6363" s="20"/>
      <c r="B6363" s="22"/>
    </row>
    <row r="6364" spans="1:2">
      <c r="A6364" s="20"/>
      <c r="B6364" s="22"/>
    </row>
    <row r="6365" spans="1:2">
      <c r="A6365" s="20"/>
      <c r="B6365" s="22"/>
    </row>
    <row r="6366" spans="1:2">
      <c r="A6366" s="20"/>
      <c r="B6366" s="22"/>
    </row>
    <row r="6367" spans="1:2">
      <c r="A6367" s="20"/>
      <c r="B6367" s="22"/>
    </row>
    <row r="6368" spans="1:2">
      <c r="A6368" s="20"/>
      <c r="B6368" s="22"/>
    </row>
    <row r="6369" spans="1:2">
      <c r="A6369" s="20"/>
      <c r="B6369" s="22"/>
    </row>
    <row r="6370" spans="1:2">
      <c r="A6370" s="20"/>
      <c r="B6370" s="22"/>
    </row>
    <row r="6371" spans="1:2">
      <c r="A6371" s="20"/>
      <c r="B6371" s="22"/>
    </row>
    <row r="6372" spans="1:2">
      <c r="A6372" s="20"/>
      <c r="B6372" s="22"/>
    </row>
    <row r="6373" spans="1:2">
      <c r="A6373" s="20"/>
      <c r="B6373" s="22"/>
    </row>
    <row r="6374" spans="1:2">
      <c r="A6374" s="20"/>
      <c r="B6374" s="22"/>
    </row>
    <row r="6375" spans="1:2">
      <c r="A6375" s="20"/>
      <c r="B6375" s="22"/>
    </row>
    <row r="6376" spans="1:2">
      <c r="A6376" s="20"/>
      <c r="B6376" s="22"/>
    </row>
    <row r="6377" spans="1:2">
      <c r="A6377" s="20"/>
      <c r="B6377" s="22"/>
    </row>
    <row r="6378" spans="1:2">
      <c r="A6378" s="20"/>
      <c r="B6378" s="22"/>
    </row>
    <row r="6379" spans="1:2">
      <c r="A6379" s="20"/>
      <c r="B6379" s="22"/>
    </row>
    <row r="6380" spans="1:2">
      <c r="A6380" s="20"/>
      <c r="B6380" s="22"/>
    </row>
    <row r="6381" spans="1:2">
      <c r="A6381" s="20"/>
      <c r="B6381" s="22"/>
    </row>
    <row r="6382" spans="1:2">
      <c r="A6382" s="20"/>
      <c r="B6382" s="22"/>
    </row>
    <row r="6383" spans="1:2">
      <c r="A6383" s="20"/>
      <c r="B6383" s="22"/>
    </row>
    <row r="6384" spans="1:2">
      <c r="A6384" s="20"/>
      <c r="B6384" s="22"/>
    </row>
    <row r="6385" spans="1:2">
      <c r="A6385" s="20"/>
      <c r="B6385" s="22"/>
    </row>
    <row r="6386" spans="1:2">
      <c r="A6386" s="20"/>
      <c r="B6386" s="22"/>
    </row>
    <row r="6387" spans="1:2">
      <c r="A6387" s="20"/>
      <c r="B6387" s="22"/>
    </row>
    <row r="6388" spans="1:2">
      <c r="A6388" s="20"/>
      <c r="B6388" s="22"/>
    </row>
    <row r="6389" spans="1:2">
      <c r="A6389" s="20"/>
      <c r="B6389" s="22"/>
    </row>
    <row r="6390" spans="1:2">
      <c r="A6390" s="20"/>
      <c r="B6390" s="22"/>
    </row>
    <row r="6391" spans="1:2">
      <c r="A6391" s="20"/>
      <c r="B6391" s="22"/>
    </row>
    <row r="6392" spans="1:2">
      <c r="A6392" s="20"/>
      <c r="B6392" s="22"/>
    </row>
    <row r="6393" spans="1:2">
      <c r="A6393" s="20"/>
      <c r="B6393" s="22"/>
    </row>
    <row r="6394" spans="1:2">
      <c r="A6394" s="20"/>
      <c r="B6394" s="22"/>
    </row>
    <row r="6395" spans="1:2">
      <c r="A6395" s="20"/>
      <c r="B6395" s="22"/>
    </row>
    <row r="6396" spans="1:2">
      <c r="A6396" s="20"/>
      <c r="B6396" s="22"/>
    </row>
    <row r="6397" spans="1:2">
      <c r="A6397" s="20"/>
      <c r="B6397" s="22"/>
    </row>
    <row r="6398" spans="1:2">
      <c r="A6398" s="20"/>
      <c r="B6398" s="22"/>
    </row>
    <row r="6399" spans="1:2">
      <c r="A6399" s="20"/>
      <c r="B6399" s="22"/>
    </row>
    <row r="6400" spans="1:2">
      <c r="A6400" s="20"/>
      <c r="B6400" s="22"/>
    </row>
    <row r="6401" spans="1:2">
      <c r="A6401" s="20"/>
      <c r="B6401" s="22"/>
    </row>
    <row r="6402" spans="1:2">
      <c r="A6402" s="20"/>
      <c r="B6402" s="22"/>
    </row>
    <row r="6403" spans="1:2">
      <c r="A6403" s="20"/>
      <c r="B6403" s="22"/>
    </row>
    <row r="6404" spans="1:2">
      <c r="A6404" s="20"/>
      <c r="B6404" s="22"/>
    </row>
    <row r="6405" spans="1:2">
      <c r="A6405" s="20"/>
      <c r="B6405" s="22"/>
    </row>
    <row r="6406" spans="1:2">
      <c r="A6406" s="20"/>
      <c r="B6406" s="22"/>
    </row>
    <row r="6407" spans="1:2">
      <c r="A6407" s="20"/>
      <c r="B6407" s="22"/>
    </row>
    <row r="6408" spans="1:2">
      <c r="A6408" s="20"/>
      <c r="B6408" s="22"/>
    </row>
    <row r="6409" spans="1:2">
      <c r="A6409" s="20"/>
      <c r="B6409" s="22"/>
    </row>
    <row r="6410" spans="1:2">
      <c r="A6410" s="20"/>
      <c r="B6410" s="22"/>
    </row>
    <row r="6411" spans="1:2">
      <c r="A6411" s="20"/>
      <c r="B6411" s="22"/>
    </row>
    <row r="6412" spans="1:2">
      <c r="A6412" s="20"/>
      <c r="B6412" s="22"/>
    </row>
    <row r="6413" spans="1:2">
      <c r="A6413" s="20"/>
      <c r="B6413" s="22"/>
    </row>
    <row r="6414" spans="1:2">
      <c r="A6414" s="20"/>
      <c r="B6414" s="22"/>
    </row>
    <row r="6415" spans="1:2">
      <c r="A6415" s="20"/>
      <c r="B6415" s="22"/>
    </row>
    <row r="6416" spans="1:2">
      <c r="A6416" s="20"/>
      <c r="B6416" s="22"/>
    </row>
    <row r="6417" spans="1:2">
      <c r="A6417" s="20"/>
      <c r="B6417" s="22"/>
    </row>
    <row r="6418" spans="1:2">
      <c r="A6418" s="20"/>
      <c r="B6418" s="22"/>
    </row>
    <row r="6419" spans="1:2">
      <c r="A6419" s="20"/>
      <c r="B6419" s="22"/>
    </row>
    <row r="6420" spans="1:2">
      <c r="A6420" s="20"/>
      <c r="B6420" s="22"/>
    </row>
    <row r="6421" spans="1:2">
      <c r="A6421" s="20"/>
      <c r="B6421" s="22"/>
    </row>
    <row r="6422" spans="1:2">
      <c r="A6422" s="20"/>
      <c r="B6422" s="22"/>
    </row>
    <row r="6423" spans="1:2">
      <c r="A6423" s="20"/>
      <c r="B6423" s="22"/>
    </row>
    <row r="6424" spans="1:2">
      <c r="A6424" s="20"/>
      <c r="B6424" s="22"/>
    </row>
    <row r="6425" spans="1:2">
      <c r="A6425" s="20"/>
      <c r="B6425" s="22"/>
    </row>
    <row r="6426" spans="1:2">
      <c r="A6426" s="20"/>
      <c r="B6426" s="22"/>
    </row>
    <row r="6427" spans="1:2">
      <c r="A6427" s="20"/>
      <c r="B6427" s="22"/>
    </row>
    <row r="6428" spans="1:2">
      <c r="A6428" s="20"/>
      <c r="B6428" s="22"/>
    </row>
    <row r="6429" spans="1:2">
      <c r="A6429" s="20"/>
      <c r="B6429" s="22"/>
    </row>
    <row r="6430" spans="1:2">
      <c r="A6430" s="20"/>
      <c r="B6430" s="22"/>
    </row>
    <row r="6431" spans="1:2">
      <c r="A6431" s="20"/>
      <c r="B6431" s="22"/>
    </row>
    <row r="6432" spans="1:2">
      <c r="A6432" s="20"/>
      <c r="B6432" s="22"/>
    </row>
    <row r="6433" spans="1:2">
      <c r="A6433" s="20"/>
      <c r="B6433" s="22"/>
    </row>
    <row r="6434" spans="1:2">
      <c r="A6434" s="20"/>
      <c r="B6434" s="22"/>
    </row>
    <row r="6435" spans="1:2">
      <c r="A6435" s="20"/>
      <c r="B6435" s="22"/>
    </row>
    <row r="6436" spans="1:2">
      <c r="A6436" s="20"/>
      <c r="B6436" s="22"/>
    </row>
    <row r="6437" spans="1:2">
      <c r="A6437" s="20"/>
      <c r="B6437" s="22"/>
    </row>
    <row r="6438" spans="1:2">
      <c r="A6438" s="20"/>
      <c r="B6438" s="22"/>
    </row>
    <row r="6439" spans="1:2">
      <c r="A6439" s="20"/>
      <c r="B6439" s="22"/>
    </row>
    <row r="6440" spans="1:2">
      <c r="A6440" s="20"/>
      <c r="B6440" s="22"/>
    </row>
    <row r="6441" spans="1:2">
      <c r="A6441" s="20"/>
      <c r="B6441" s="22"/>
    </row>
    <row r="6442" spans="1:2">
      <c r="A6442" s="20"/>
      <c r="B6442" s="22"/>
    </row>
    <row r="6443" spans="1:2">
      <c r="A6443" s="20"/>
      <c r="B6443" s="22"/>
    </row>
    <row r="6444" spans="1:2">
      <c r="A6444" s="20"/>
      <c r="B6444" s="22"/>
    </row>
    <row r="6445" spans="1:2">
      <c r="A6445" s="20"/>
      <c r="B6445" s="22"/>
    </row>
    <row r="6446" spans="1:2">
      <c r="A6446" s="20"/>
      <c r="B6446" s="22"/>
    </row>
    <row r="6447" spans="1:2">
      <c r="A6447" s="20"/>
      <c r="B6447" s="22"/>
    </row>
    <row r="6448" spans="1:2">
      <c r="A6448" s="20"/>
      <c r="B6448" s="22"/>
    </row>
    <row r="6449" spans="1:2">
      <c r="A6449" s="20"/>
      <c r="B6449" s="22"/>
    </row>
    <row r="6450" spans="1:2">
      <c r="A6450" s="20"/>
      <c r="B6450" s="22"/>
    </row>
    <row r="6451" spans="1:2">
      <c r="A6451" s="20"/>
      <c r="B6451" s="22"/>
    </row>
    <row r="6452" spans="1:2">
      <c r="A6452" s="20"/>
      <c r="B6452" s="22"/>
    </row>
    <row r="6453" spans="1:2">
      <c r="A6453" s="20"/>
      <c r="B6453" s="22"/>
    </row>
    <row r="6454" spans="1:2">
      <c r="A6454" s="20"/>
      <c r="B6454" s="22"/>
    </row>
    <row r="6455" spans="1:2">
      <c r="A6455" s="20"/>
      <c r="B6455" s="22"/>
    </row>
    <row r="6456" spans="1:2">
      <c r="A6456" s="20"/>
      <c r="B6456" s="22"/>
    </row>
    <row r="6457" spans="1:2">
      <c r="A6457" s="20"/>
      <c r="B6457" s="22"/>
    </row>
    <row r="6458" spans="1:2">
      <c r="A6458" s="20"/>
      <c r="B6458" s="22"/>
    </row>
    <row r="6459" spans="1:2">
      <c r="A6459" s="20"/>
      <c r="B6459" s="22"/>
    </row>
    <row r="6460" spans="1:2">
      <c r="A6460" s="20"/>
      <c r="B6460" s="22"/>
    </row>
    <row r="6461" spans="1:2">
      <c r="A6461" s="20"/>
      <c r="B6461" s="22"/>
    </row>
    <row r="6462" spans="1:2">
      <c r="A6462" s="20"/>
      <c r="B6462" s="22"/>
    </row>
    <row r="6463" spans="1:2">
      <c r="A6463" s="20"/>
      <c r="B6463" s="22"/>
    </row>
    <row r="6464" spans="1:2">
      <c r="A6464" s="20"/>
      <c r="B6464" s="22"/>
    </row>
    <row r="6465" spans="1:2">
      <c r="A6465" s="20"/>
      <c r="B6465" s="22"/>
    </row>
    <row r="6466" spans="1:2">
      <c r="A6466" s="20"/>
      <c r="B6466" s="22"/>
    </row>
    <row r="6467" spans="1:2">
      <c r="A6467" s="20"/>
      <c r="B6467" s="22"/>
    </row>
    <row r="6468" spans="1:2">
      <c r="A6468" s="20"/>
      <c r="B6468" s="22"/>
    </row>
    <row r="6469" spans="1:2">
      <c r="A6469" s="20"/>
      <c r="B6469" s="22"/>
    </row>
    <row r="6470" spans="1:2">
      <c r="A6470" s="20"/>
      <c r="B6470" s="22"/>
    </row>
    <row r="6471" spans="1:2">
      <c r="A6471" s="20"/>
      <c r="B6471" s="22"/>
    </row>
    <row r="6472" spans="1:2">
      <c r="A6472" s="20"/>
      <c r="B6472" s="22"/>
    </row>
    <row r="6473" spans="1:2">
      <c r="A6473" s="20"/>
      <c r="B6473" s="22"/>
    </row>
    <row r="6474" spans="1:2">
      <c r="A6474" s="20"/>
      <c r="B6474" s="22"/>
    </row>
    <row r="6475" spans="1:2">
      <c r="A6475" s="20"/>
      <c r="B6475" s="22"/>
    </row>
    <row r="6476" spans="1:2">
      <c r="A6476" s="20"/>
      <c r="B6476" s="22"/>
    </row>
    <row r="6477" spans="1:2">
      <c r="A6477" s="20"/>
      <c r="B6477" s="22"/>
    </row>
    <row r="6478" spans="1:2">
      <c r="A6478" s="20"/>
      <c r="B6478" s="22"/>
    </row>
    <row r="6479" spans="1:2">
      <c r="A6479" s="20"/>
      <c r="B6479" s="22"/>
    </row>
    <row r="6480" spans="1:2">
      <c r="A6480" s="20"/>
      <c r="B6480" s="22"/>
    </row>
    <row r="6481" spans="1:2">
      <c r="A6481" s="20"/>
      <c r="B6481" s="22"/>
    </row>
    <row r="6482" spans="1:2">
      <c r="A6482" s="20"/>
      <c r="B6482" s="22"/>
    </row>
    <row r="6483" spans="1:2">
      <c r="A6483" s="20"/>
      <c r="B6483" s="22"/>
    </row>
    <row r="6484" spans="1:2">
      <c r="A6484" s="20"/>
      <c r="B6484" s="22"/>
    </row>
    <row r="6485" spans="1:2">
      <c r="A6485" s="20"/>
      <c r="B6485" s="22"/>
    </row>
    <row r="6486" spans="1:2">
      <c r="A6486" s="20"/>
      <c r="B6486" s="22"/>
    </row>
    <row r="6487" spans="1:2">
      <c r="A6487" s="20"/>
      <c r="B6487" s="22"/>
    </row>
    <row r="6488" spans="1:2">
      <c r="A6488" s="20"/>
      <c r="B6488" s="22"/>
    </row>
    <row r="6489" spans="1:2">
      <c r="A6489" s="20"/>
      <c r="B6489" s="22"/>
    </row>
    <row r="6490" spans="1:2">
      <c r="A6490" s="20"/>
      <c r="B6490" s="22"/>
    </row>
    <row r="6491" spans="1:2">
      <c r="A6491" s="20"/>
      <c r="B6491" s="22"/>
    </row>
    <row r="6492" spans="1:2">
      <c r="A6492" s="20"/>
      <c r="B6492" s="22"/>
    </row>
    <row r="6493" spans="1:2">
      <c r="A6493" s="20"/>
      <c r="B6493" s="22"/>
    </row>
    <row r="6494" spans="1:2">
      <c r="A6494" s="20"/>
      <c r="B6494" s="22"/>
    </row>
    <row r="6495" spans="1:2">
      <c r="A6495" s="20"/>
      <c r="B6495" s="22"/>
    </row>
    <row r="6496" spans="1:2">
      <c r="A6496" s="20"/>
      <c r="B6496" s="22"/>
    </row>
    <row r="6497" spans="1:2">
      <c r="A6497" s="20"/>
      <c r="B6497" s="22"/>
    </row>
    <row r="6498" spans="1:2">
      <c r="A6498" s="20"/>
      <c r="B6498" s="22"/>
    </row>
    <row r="6499" spans="1:2">
      <c r="A6499" s="20"/>
      <c r="B6499" s="22"/>
    </row>
    <row r="6500" spans="1:2">
      <c r="A6500" s="20"/>
      <c r="B6500" s="22"/>
    </row>
    <row r="6501" spans="1:2">
      <c r="A6501" s="20"/>
      <c r="B6501" s="22"/>
    </row>
    <row r="6502" spans="1:2">
      <c r="A6502" s="20"/>
      <c r="B6502" s="22"/>
    </row>
    <row r="6503" spans="1:2">
      <c r="A6503" s="20"/>
      <c r="B6503" s="22"/>
    </row>
    <row r="6504" spans="1:2">
      <c r="A6504" s="20"/>
      <c r="B6504" s="22"/>
    </row>
    <row r="6505" spans="1:2">
      <c r="A6505" s="20"/>
      <c r="B6505" s="22"/>
    </row>
    <row r="6506" spans="1:2">
      <c r="A6506" s="20"/>
      <c r="B6506" s="22"/>
    </row>
    <row r="6507" spans="1:2">
      <c r="A6507" s="20"/>
      <c r="B6507" s="22"/>
    </row>
    <row r="6508" spans="1:2">
      <c r="A6508" s="20"/>
      <c r="B6508" s="22"/>
    </row>
    <row r="6509" spans="1:2">
      <c r="A6509" s="20"/>
      <c r="B6509" s="22"/>
    </row>
    <row r="6510" spans="1:2">
      <c r="A6510" s="20"/>
      <c r="B6510" s="22"/>
    </row>
    <row r="6511" spans="1:2">
      <c r="A6511" s="20"/>
      <c r="B6511" s="22"/>
    </row>
    <row r="6512" spans="1:2">
      <c r="A6512" s="20"/>
      <c r="B6512" s="22"/>
    </row>
    <row r="6513" spans="1:2">
      <c r="A6513" s="20"/>
      <c r="B6513" s="22"/>
    </row>
    <row r="6514" spans="1:2">
      <c r="A6514" s="20"/>
      <c r="B6514" s="22"/>
    </row>
    <row r="6515" spans="1:2">
      <c r="A6515" s="20"/>
      <c r="B6515" s="22"/>
    </row>
    <row r="6516" spans="1:2">
      <c r="A6516" s="20"/>
      <c r="B6516" s="22"/>
    </row>
    <row r="6517" spans="1:2">
      <c r="A6517" s="20"/>
      <c r="B6517" s="22"/>
    </row>
    <row r="6518" spans="1:2">
      <c r="A6518" s="20"/>
      <c r="B6518" s="22"/>
    </row>
    <row r="6519" spans="1:2">
      <c r="A6519" s="20"/>
      <c r="B6519" s="22"/>
    </row>
    <row r="6520" spans="1:2">
      <c r="A6520" s="20"/>
      <c r="B6520" s="22"/>
    </row>
    <row r="6521" spans="1:2">
      <c r="A6521" s="20"/>
      <c r="B6521" s="22"/>
    </row>
    <row r="6522" spans="1:2">
      <c r="A6522" s="20"/>
      <c r="B6522" s="22"/>
    </row>
    <row r="6523" spans="1:2">
      <c r="A6523" s="20"/>
      <c r="B6523" s="22"/>
    </row>
    <row r="6524" spans="1:2">
      <c r="A6524" s="20"/>
      <c r="B6524" s="22"/>
    </row>
    <row r="6525" spans="1:2">
      <c r="A6525" s="20"/>
      <c r="B6525" s="22"/>
    </row>
    <row r="6526" spans="1:2">
      <c r="A6526" s="20"/>
      <c r="B6526" s="22"/>
    </row>
    <row r="6527" spans="1:2">
      <c r="A6527" s="20"/>
      <c r="B6527" s="22"/>
    </row>
    <row r="6528" spans="1:2">
      <c r="A6528" s="20"/>
      <c r="B6528" s="22"/>
    </row>
    <row r="6529" spans="1:2">
      <c r="A6529" s="20"/>
      <c r="B6529" s="22"/>
    </row>
    <row r="6530" spans="1:2">
      <c r="A6530" s="20"/>
      <c r="B6530" s="22"/>
    </row>
    <row r="6531" spans="1:2">
      <c r="A6531" s="20"/>
      <c r="B6531" s="22"/>
    </row>
    <row r="6532" spans="1:2">
      <c r="A6532" s="20"/>
      <c r="B6532" s="22"/>
    </row>
    <row r="6533" spans="1:2">
      <c r="A6533" s="20"/>
      <c r="B6533" s="22"/>
    </row>
    <row r="6534" spans="1:2">
      <c r="A6534" s="20"/>
      <c r="B6534" s="22"/>
    </row>
    <row r="6535" spans="1:2">
      <c r="A6535" s="20"/>
      <c r="B6535" s="22"/>
    </row>
    <row r="6536" spans="1:2">
      <c r="A6536" s="20"/>
      <c r="B6536" s="22"/>
    </row>
    <row r="6537" spans="1:2">
      <c r="A6537" s="20"/>
      <c r="B6537" s="22"/>
    </row>
    <row r="6538" spans="1:2">
      <c r="A6538" s="20"/>
      <c r="B6538" s="22"/>
    </row>
    <row r="6539" spans="1:2">
      <c r="A6539" s="20"/>
      <c r="B6539" s="22"/>
    </row>
    <row r="6540" spans="1:2">
      <c r="A6540" s="20"/>
      <c r="B6540" s="22"/>
    </row>
    <row r="6541" spans="1:2">
      <c r="A6541" s="20"/>
      <c r="B6541" s="22"/>
    </row>
    <row r="6542" spans="1:2">
      <c r="A6542" s="20"/>
      <c r="B6542" s="22"/>
    </row>
    <row r="6543" spans="1:2">
      <c r="A6543" s="20"/>
      <c r="B6543" s="22"/>
    </row>
    <row r="6544" spans="1:2">
      <c r="A6544" s="20"/>
      <c r="B6544" s="22"/>
    </row>
    <row r="6545" spans="1:2">
      <c r="A6545" s="20"/>
      <c r="B6545" s="22"/>
    </row>
    <row r="6546" spans="1:2">
      <c r="A6546" s="20"/>
      <c r="B6546" s="22"/>
    </row>
    <row r="6547" spans="1:2">
      <c r="A6547" s="20"/>
      <c r="B6547" s="22"/>
    </row>
    <row r="6548" spans="1:2">
      <c r="A6548" s="20"/>
      <c r="B6548" s="22"/>
    </row>
    <row r="6549" spans="1:2">
      <c r="A6549" s="20"/>
      <c r="B6549" s="22"/>
    </row>
    <row r="6550" spans="1:2">
      <c r="A6550" s="20"/>
      <c r="B6550" s="22"/>
    </row>
    <row r="6551" spans="1:2">
      <c r="A6551" s="20"/>
      <c r="B6551" s="22"/>
    </row>
    <row r="6552" spans="1:2">
      <c r="A6552" s="20"/>
      <c r="B6552" s="22"/>
    </row>
    <row r="6553" spans="1:2">
      <c r="A6553" s="20"/>
      <c r="B6553" s="22"/>
    </row>
    <row r="6554" spans="1:2">
      <c r="A6554" s="20"/>
      <c r="B6554" s="22"/>
    </row>
    <row r="6555" spans="1:2">
      <c r="A6555" s="20"/>
      <c r="B6555" s="22"/>
    </row>
    <row r="6556" spans="1:2">
      <c r="A6556" s="20"/>
      <c r="B6556" s="22"/>
    </row>
    <row r="6557" spans="1:2">
      <c r="A6557" s="20"/>
      <c r="B6557" s="22"/>
    </row>
    <row r="6558" spans="1:2">
      <c r="A6558" s="20"/>
      <c r="B6558" s="22"/>
    </row>
    <row r="6559" spans="1:2">
      <c r="A6559" s="20"/>
      <c r="B6559" s="22"/>
    </row>
    <row r="6560" spans="1:2">
      <c r="A6560" s="20"/>
      <c r="B6560" s="22"/>
    </row>
    <row r="6561" spans="1:2">
      <c r="A6561" s="20"/>
      <c r="B6561" s="22"/>
    </row>
    <row r="6562" spans="1:2">
      <c r="A6562" s="20"/>
      <c r="B6562" s="22"/>
    </row>
    <row r="6563" spans="1:2">
      <c r="A6563" s="20"/>
      <c r="B6563" s="22"/>
    </row>
    <row r="6564" spans="1:2">
      <c r="A6564" s="20"/>
      <c r="B6564" s="22"/>
    </row>
    <row r="6565" spans="1:2">
      <c r="A6565" s="20"/>
      <c r="B6565" s="22"/>
    </row>
    <row r="6566" spans="1:2">
      <c r="A6566" s="20"/>
      <c r="B6566" s="22"/>
    </row>
    <row r="6567" spans="1:2">
      <c r="A6567" s="20"/>
      <c r="B6567" s="22"/>
    </row>
    <row r="6568" spans="1:2">
      <c r="A6568" s="20"/>
      <c r="B6568" s="22"/>
    </row>
    <row r="6569" spans="1:2">
      <c r="A6569" s="20"/>
      <c r="B6569" s="22"/>
    </row>
    <row r="6570" spans="1:2">
      <c r="A6570" s="20"/>
      <c r="B6570" s="22"/>
    </row>
    <row r="6571" spans="1:2">
      <c r="A6571" s="20"/>
      <c r="B6571" s="22"/>
    </row>
    <row r="6572" spans="1:2">
      <c r="A6572" s="20"/>
      <c r="B6572" s="22"/>
    </row>
    <row r="6573" spans="1:2">
      <c r="A6573" s="20"/>
      <c r="B6573" s="22"/>
    </row>
    <row r="6574" spans="1:2">
      <c r="A6574" s="20"/>
      <c r="B6574" s="22"/>
    </row>
    <row r="6575" spans="1:2">
      <c r="A6575" s="20"/>
      <c r="B6575" s="22"/>
    </row>
    <row r="6576" spans="1:2">
      <c r="A6576" s="20"/>
      <c r="B6576" s="22"/>
    </row>
    <row r="6577" spans="1:2">
      <c r="A6577" s="20"/>
      <c r="B6577" s="22"/>
    </row>
    <row r="6578" spans="1:2">
      <c r="A6578" s="20"/>
      <c r="B6578" s="22"/>
    </row>
    <row r="6579" spans="1:2">
      <c r="A6579" s="20"/>
      <c r="B6579" s="22"/>
    </row>
    <row r="6580" spans="1:2">
      <c r="A6580" s="20"/>
      <c r="B6580" s="22"/>
    </row>
    <row r="6581" spans="1:2">
      <c r="A6581" s="20"/>
      <c r="B6581" s="22"/>
    </row>
    <row r="6582" spans="1:2">
      <c r="A6582" s="20"/>
      <c r="B6582" s="22"/>
    </row>
    <row r="6583" spans="1:2">
      <c r="A6583" s="20"/>
      <c r="B6583" s="22"/>
    </row>
    <row r="6584" spans="1:2">
      <c r="A6584" s="20"/>
      <c r="B6584" s="22"/>
    </row>
    <row r="6585" spans="1:2">
      <c r="A6585" s="20"/>
      <c r="B6585" s="22"/>
    </row>
    <row r="6586" spans="1:2">
      <c r="A6586" s="20"/>
      <c r="B6586" s="22"/>
    </row>
    <row r="6587" spans="1:2">
      <c r="A6587" s="20"/>
      <c r="B6587" s="22"/>
    </row>
    <row r="6588" spans="1:2">
      <c r="A6588" s="20"/>
      <c r="B6588" s="22"/>
    </row>
    <row r="6589" spans="1:2">
      <c r="A6589" s="20"/>
      <c r="B6589" s="22"/>
    </row>
    <row r="6590" spans="1:2">
      <c r="A6590" s="20"/>
      <c r="B6590" s="22"/>
    </row>
    <row r="6591" spans="1:2">
      <c r="A6591" s="20"/>
      <c r="B6591" s="22"/>
    </row>
    <row r="6592" spans="1:2">
      <c r="A6592" s="20"/>
      <c r="B6592" s="22"/>
    </row>
    <row r="6593" spans="1:2">
      <c r="A6593" s="20"/>
      <c r="B6593" s="22"/>
    </row>
    <row r="6594" spans="1:2">
      <c r="A6594" s="20"/>
      <c r="B6594" s="22"/>
    </row>
    <row r="6595" spans="1:2">
      <c r="A6595" s="20"/>
      <c r="B6595" s="22"/>
    </row>
    <row r="6596" spans="1:2">
      <c r="A6596" s="20"/>
      <c r="B6596" s="22"/>
    </row>
    <row r="6597" spans="1:2">
      <c r="A6597" s="20"/>
      <c r="B6597" s="22"/>
    </row>
    <row r="6598" spans="1:2">
      <c r="A6598" s="20"/>
      <c r="B6598" s="22"/>
    </row>
    <row r="6599" spans="1:2">
      <c r="A6599" s="20"/>
      <c r="B6599" s="22"/>
    </row>
    <row r="6600" spans="1:2">
      <c r="A6600" s="20"/>
      <c r="B6600" s="22"/>
    </row>
    <row r="6601" spans="1:2">
      <c r="A6601" s="20"/>
      <c r="B6601" s="22"/>
    </row>
    <row r="6602" spans="1:2">
      <c r="A6602" s="20"/>
      <c r="B6602" s="22"/>
    </row>
    <row r="6603" spans="1:2">
      <c r="A6603" s="20"/>
      <c r="B6603" s="22"/>
    </row>
    <row r="6604" spans="1:2">
      <c r="A6604" s="20"/>
      <c r="B6604" s="22"/>
    </row>
    <row r="6605" spans="1:2">
      <c r="A6605" s="20"/>
      <c r="B6605" s="22"/>
    </row>
    <row r="6606" spans="1:2">
      <c r="A6606" s="20"/>
      <c r="B6606" s="22"/>
    </row>
    <row r="6607" spans="1:2">
      <c r="A6607" s="20"/>
      <c r="B6607" s="22"/>
    </row>
    <row r="6608" spans="1:2">
      <c r="A6608" s="20"/>
      <c r="B6608" s="22"/>
    </row>
    <row r="6609" spans="1:2">
      <c r="A6609" s="20"/>
      <c r="B6609" s="22"/>
    </row>
    <row r="6610" spans="1:2">
      <c r="A6610" s="20"/>
      <c r="B6610" s="22"/>
    </row>
    <row r="6611" spans="1:2">
      <c r="A6611" s="20"/>
      <c r="B6611" s="22"/>
    </row>
    <row r="6612" spans="1:2">
      <c r="A6612" s="20"/>
      <c r="B6612" s="22"/>
    </row>
    <row r="6613" spans="1:2">
      <c r="A6613" s="20"/>
      <c r="B6613" s="22"/>
    </row>
    <row r="6614" spans="1:2">
      <c r="A6614" s="20"/>
      <c r="B6614" s="22"/>
    </row>
    <row r="6615" spans="1:2">
      <c r="A6615" s="20"/>
      <c r="B6615" s="22"/>
    </row>
    <row r="6616" spans="1:2">
      <c r="A6616" s="20"/>
      <c r="B6616" s="22"/>
    </row>
    <row r="6617" spans="1:2">
      <c r="A6617" s="20"/>
      <c r="B6617" s="22"/>
    </row>
    <row r="6618" spans="1:2">
      <c r="A6618" s="20"/>
      <c r="B6618" s="22"/>
    </row>
    <row r="6619" spans="1:2">
      <c r="A6619" s="20"/>
      <c r="B6619" s="22"/>
    </row>
    <row r="6620" spans="1:2">
      <c r="A6620" s="20"/>
      <c r="B6620" s="22"/>
    </row>
    <row r="6621" spans="1:2">
      <c r="A6621" s="20"/>
      <c r="B6621" s="22"/>
    </row>
    <row r="6622" spans="1:2">
      <c r="A6622" s="20"/>
      <c r="B6622" s="22"/>
    </row>
    <row r="6623" spans="1:2">
      <c r="A6623" s="20"/>
      <c r="B6623" s="22"/>
    </row>
    <row r="6624" spans="1:2">
      <c r="A6624" s="20"/>
      <c r="B6624" s="22"/>
    </row>
    <row r="6625" spans="1:2">
      <c r="A6625" s="20"/>
      <c r="B6625" s="22"/>
    </row>
    <row r="6626" spans="1:2">
      <c r="A6626" s="20"/>
      <c r="B6626" s="22"/>
    </row>
    <row r="6627" spans="1:2">
      <c r="A6627" s="20"/>
      <c r="B6627" s="22"/>
    </row>
    <row r="6628" spans="1:2">
      <c r="A6628" s="20"/>
      <c r="B6628" s="22"/>
    </row>
    <row r="6629" spans="1:2">
      <c r="A6629" s="20"/>
      <c r="B6629" s="22"/>
    </row>
    <row r="6630" spans="1:2">
      <c r="A6630" s="20"/>
      <c r="B6630" s="22"/>
    </row>
    <row r="6631" spans="1:2">
      <c r="A6631" s="20"/>
      <c r="B6631" s="22"/>
    </row>
    <row r="6632" spans="1:2">
      <c r="A6632" s="20"/>
      <c r="B6632" s="22"/>
    </row>
    <row r="6633" spans="1:2">
      <c r="A6633" s="20"/>
      <c r="B6633" s="22"/>
    </row>
    <row r="6634" spans="1:2">
      <c r="A6634" s="20"/>
      <c r="B6634" s="22"/>
    </row>
    <row r="6635" spans="1:2">
      <c r="A6635" s="20"/>
      <c r="B6635" s="22"/>
    </row>
    <row r="6636" spans="1:2">
      <c r="A6636" s="20"/>
      <c r="B6636" s="22"/>
    </row>
    <row r="6637" spans="1:2">
      <c r="A6637" s="20"/>
      <c r="B6637" s="22"/>
    </row>
    <row r="6638" spans="1:2">
      <c r="A6638" s="20"/>
      <c r="B6638" s="22"/>
    </row>
    <row r="6639" spans="1:2">
      <c r="A6639" s="20"/>
      <c r="B6639" s="22"/>
    </row>
    <row r="6640" spans="1:2">
      <c r="A6640" s="20"/>
      <c r="B6640" s="22"/>
    </row>
    <row r="6641" spans="1:2">
      <c r="A6641" s="20"/>
      <c r="B6641" s="22"/>
    </row>
    <row r="6642" spans="1:2">
      <c r="A6642" s="20"/>
      <c r="B6642" s="22"/>
    </row>
    <row r="6643" spans="1:2">
      <c r="A6643" s="20"/>
      <c r="B6643" s="22"/>
    </row>
    <row r="6644" spans="1:2">
      <c r="A6644" s="20"/>
      <c r="B6644" s="22"/>
    </row>
    <row r="6645" spans="1:2">
      <c r="A6645" s="20"/>
      <c r="B6645" s="22"/>
    </row>
    <row r="6646" spans="1:2">
      <c r="A6646" s="20"/>
      <c r="B6646" s="22"/>
    </row>
    <row r="6647" spans="1:2">
      <c r="A6647" s="20"/>
      <c r="B6647" s="22"/>
    </row>
    <row r="6648" spans="1:2">
      <c r="A6648" s="20"/>
      <c r="B6648" s="22"/>
    </row>
    <row r="6649" spans="1:2">
      <c r="A6649" s="20"/>
      <c r="B6649" s="22"/>
    </row>
    <row r="6650" spans="1:2">
      <c r="A6650" s="20"/>
      <c r="B6650" s="22"/>
    </row>
    <row r="6651" spans="1:2">
      <c r="A6651" s="20"/>
      <c r="B6651" s="22"/>
    </row>
    <row r="6652" spans="1:2">
      <c r="A6652" s="20"/>
      <c r="B6652" s="22"/>
    </row>
    <row r="6653" spans="1:2">
      <c r="A6653" s="20"/>
      <c r="B6653" s="22"/>
    </row>
    <row r="6654" spans="1:2">
      <c r="A6654" s="20"/>
      <c r="B6654" s="22"/>
    </row>
    <row r="6655" spans="1:2">
      <c r="A6655" s="20"/>
      <c r="B6655" s="22"/>
    </row>
    <row r="6656" spans="1:2">
      <c r="A6656" s="20"/>
      <c r="B6656" s="22"/>
    </row>
    <row r="6657" spans="1:2">
      <c r="A6657" s="20"/>
      <c r="B6657" s="22"/>
    </row>
    <row r="6658" spans="1:2">
      <c r="A6658" s="20"/>
      <c r="B6658" s="22"/>
    </row>
    <row r="6659" spans="1:2">
      <c r="A6659" s="20"/>
      <c r="B6659" s="22"/>
    </row>
    <row r="6660" spans="1:2">
      <c r="A6660" s="20"/>
      <c r="B6660" s="22"/>
    </row>
    <row r="6661" spans="1:2">
      <c r="A6661" s="20"/>
      <c r="B6661" s="22"/>
    </row>
    <row r="6662" spans="1:2">
      <c r="A6662" s="20"/>
      <c r="B6662" s="22"/>
    </row>
    <row r="6663" spans="1:2">
      <c r="A6663" s="20"/>
      <c r="B6663" s="22"/>
    </row>
    <row r="6664" spans="1:2">
      <c r="A6664" s="20"/>
      <c r="B6664" s="22"/>
    </row>
    <row r="6665" spans="1:2">
      <c r="A6665" s="20"/>
      <c r="B6665" s="22"/>
    </row>
    <row r="6666" spans="1:2">
      <c r="A6666" s="20"/>
      <c r="B6666" s="22"/>
    </row>
    <row r="6667" spans="1:2">
      <c r="A6667" s="20"/>
      <c r="B6667" s="22"/>
    </row>
    <row r="6668" spans="1:2">
      <c r="A6668" s="20"/>
      <c r="B6668" s="22"/>
    </row>
    <row r="6669" spans="1:2">
      <c r="A6669" s="20"/>
      <c r="B6669" s="22"/>
    </row>
    <row r="6670" spans="1:2">
      <c r="A6670" s="20"/>
      <c r="B6670" s="22"/>
    </row>
    <row r="6671" spans="1:2">
      <c r="A6671" s="20"/>
      <c r="B6671" s="22"/>
    </row>
    <row r="6672" spans="1:2">
      <c r="A6672" s="20"/>
      <c r="B6672" s="22"/>
    </row>
    <row r="6673" spans="1:2">
      <c r="A6673" s="20"/>
      <c r="B6673" s="22"/>
    </row>
    <row r="6674" spans="1:2">
      <c r="A6674" s="20"/>
      <c r="B6674" s="22"/>
    </row>
    <row r="6675" spans="1:2">
      <c r="A6675" s="20"/>
      <c r="B6675" s="22"/>
    </row>
    <row r="6676" spans="1:2">
      <c r="A6676" s="20"/>
      <c r="B6676" s="22"/>
    </row>
    <row r="6677" spans="1:2">
      <c r="A6677" s="20"/>
      <c r="B6677" s="22"/>
    </row>
    <row r="6678" spans="1:2">
      <c r="A6678" s="20"/>
      <c r="B6678" s="22"/>
    </row>
    <row r="6679" spans="1:2">
      <c r="A6679" s="20"/>
      <c r="B6679" s="22"/>
    </row>
    <row r="6680" spans="1:2">
      <c r="A6680" s="20"/>
      <c r="B6680" s="22"/>
    </row>
    <row r="6681" spans="1:2">
      <c r="A6681" s="20"/>
      <c r="B6681" s="22"/>
    </row>
    <row r="6682" spans="1:2">
      <c r="A6682" s="20"/>
      <c r="B6682" s="22"/>
    </row>
    <row r="6683" spans="1:2">
      <c r="A6683" s="20"/>
      <c r="B6683" s="22"/>
    </row>
    <row r="6684" spans="1:2">
      <c r="A6684" s="20"/>
      <c r="B6684" s="22"/>
    </row>
    <row r="6685" spans="1:2">
      <c r="A6685" s="20"/>
      <c r="B6685" s="22"/>
    </row>
    <row r="6686" spans="1:2">
      <c r="A6686" s="20"/>
      <c r="B6686" s="22"/>
    </row>
    <row r="6687" spans="1:2">
      <c r="A6687" s="20"/>
      <c r="B6687" s="22"/>
    </row>
    <row r="6688" spans="1:2">
      <c r="A6688" s="20"/>
      <c r="B6688" s="22"/>
    </row>
    <row r="6689" spans="1:2">
      <c r="A6689" s="20"/>
      <c r="B6689" s="22"/>
    </row>
    <row r="6690" spans="1:2">
      <c r="A6690" s="20"/>
      <c r="B6690" s="22"/>
    </row>
    <row r="6691" spans="1:2">
      <c r="A6691" s="20"/>
      <c r="B6691" s="22"/>
    </row>
    <row r="6692" spans="1:2">
      <c r="A6692" s="20"/>
      <c r="B6692" s="22"/>
    </row>
    <row r="6693" spans="1:2">
      <c r="A6693" s="20"/>
      <c r="B6693" s="22"/>
    </row>
    <row r="6694" spans="1:2">
      <c r="A6694" s="20"/>
      <c r="B6694" s="22"/>
    </row>
    <row r="6695" spans="1:2">
      <c r="A6695" s="20"/>
      <c r="B6695" s="22"/>
    </row>
    <row r="6696" spans="1:2">
      <c r="A6696" s="20"/>
      <c r="B6696" s="22"/>
    </row>
    <row r="6697" spans="1:2">
      <c r="A6697" s="20"/>
      <c r="B6697" s="22"/>
    </row>
    <row r="6698" spans="1:2">
      <c r="A6698" s="20"/>
      <c r="B6698" s="22"/>
    </row>
    <row r="6699" spans="1:2">
      <c r="A6699" s="20"/>
      <c r="B6699" s="22"/>
    </row>
    <row r="6700" spans="1:2">
      <c r="A6700" s="20"/>
      <c r="B6700" s="22"/>
    </row>
    <row r="6701" spans="1:2">
      <c r="A6701" s="20"/>
      <c r="B6701" s="22"/>
    </row>
    <row r="6702" spans="1:2">
      <c r="A6702" s="20"/>
      <c r="B6702" s="22"/>
    </row>
    <row r="6703" spans="1:2">
      <c r="A6703" s="20"/>
      <c r="B6703" s="22"/>
    </row>
    <row r="6704" spans="1:2">
      <c r="A6704" s="20"/>
      <c r="B6704" s="22"/>
    </row>
    <row r="6705" spans="1:2">
      <c r="A6705" s="20"/>
      <c r="B6705" s="22"/>
    </row>
    <row r="6706" spans="1:2">
      <c r="A6706" s="20"/>
      <c r="B6706" s="22"/>
    </row>
    <row r="6707" spans="1:2">
      <c r="A6707" s="20"/>
      <c r="B6707" s="22"/>
    </row>
    <row r="6708" spans="1:2">
      <c r="A6708" s="20"/>
      <c r="B6708" s="22"/>
    </row>
    <row r="6709" spans="1:2">
      <c r="A6709" s="20"/>
      <c r="B6709" s="22"/>
    </row>
    <row r="6710" spans="1:2">
      <c r="A6710" s="20"/>
      <c r="B6710" s="22"/>
    </row>
    <row r="6711" spans="1:2">
      <c r="A6711" s="20"/>
      <c r="B6711" s="22"/>
    </row>
    <row r="6712" spans="1:2">
      <c r="A6712" s="20"/>
      <c r="B6712" s="22"/>
    </row>
    <row r="6713" spans="1:2">
      <c r="A6713" s="20"/>
      <c r="B6713" s="22"/>
    </row>
    <row r="6714" spans="1:2">
      <c r="A6714" s="20"/>
      <c r="B6714" s="22"/>
    </row>
    <row r="6715" spans="1:2">
      <c r="A6715" s="20"/>
      <c r="B6715" s="22"/>
    </row>
    <row r="6716" spans="1:2">
      <c r="A6716" s="20"/>
      <c r="B6716" s="22"/>
    </row>
    <row r="6717" spans="1:2">
      <c r="A6717" s="20"/>
      <c r="B6717" s="22"/>
    </row>
    <row r="6718" spans="1:2">
      <c r="A6718" s="20"/>
      <c r="B6718" s="22"/>
    </row>
    <row r="6719" spans="1:2">
      <c r="A6719" s="20"/>
      <c r="B6719" s="22"/>
    </row>
    <row r="6720" spans="1:2">
      <c r="A6720" s="20"/>
      <c r="B6720" s="22"/>
    </row>
    <row r="6721" spans="1:2">
      <c r="A6721" s="20"/>
      <c r="B6721" s="22"/>
    </row>
    <row r="6722" spans="1:2">
      <c r="A6722" s="20"/>
      <c r="B6722" s="22"/>
    </row>
    <row r="6723" spans="1:2">
      <c r="A6723" s="20"/>
      <c r="B6723" s="22"/>
    </row>
    <row r="6724" spans="1:2">
      <c r="A6724" s="20"/>
      <c r="B6724" s="22"/>
    </row>
    <row r="6725" spans="1:2">
      <c r="A6725" s="20"/>
      <c r="B6725" s="22"/>
    </row>
    <row r="6726" spans="1:2">
      <c r="A6726" s="20"/>
      <c r="B6726" s="22"/>
    </row>
    <row r="6727" spans="1:2">
      <c r="A6727" s="20"/>
      <c r="B6727" s="22"/>
    </row>
    <row r="6728" spans="1:2">
      <c r="A6728" s="20"/>
      <c r="B6728" s="22"/>
    </row>
    <row r="6729" spans="1:2">
      <c r="A6729" s="20"/>
      <c r="B6729" s="22"/>
    </row>
    <row r="6730" spans="1:2">
      <c r="A6730" s="20"/>
      <c r="B6730" s="22"/>
    </row>
    <row r="6731" spans="1:2">
      <c r="A6731" s="20"/>
      <c r="B6731" s="22"/>
    </row>
    <row r="6732" spans="1:2">
      <c r="A6732" s="20"/>
      <c r="B6732" s="22"/>
    </row>
    <row r="6733" spans="1:2">
      <c r="A6733" s="20"/>
      <c r="B6733" s="22"/>
    </row>
    <row r="6734" spans="1:2">
      <c r="A6734" s="20"/>
      <c r="B6734" s="22"/>
    </row>
    <row r="6735" spans="1:2">
      <c r="A6735" s="20"/>
      <c r="B6735" s="22"/>
    </row>
    <row r="6736" spans="1:2">
      <c r="A6736" s="20"/>
      <c r="B6736" s="22"/>
    </row>
    <row r="6737" spans="1:2">
      <c r="A6737" s="20"/>
      <c r="B6737" s="22"/>
    </row>
    <row r="6738" spans="1:2">
      <c r="A6738" s="20"/>
      <c r="B6738" s="22"/>
    </row>
    <row r="6739" spans="1:2">
      <c r="A6739" s="20"/>
      <c r="B6739" s="22"/>
    </row>
    <row r="6740" spans="1:2">
      <c r="A6740" s="20"/>
      <c r="B6740" s="22"/>
    </row>
    <row r="6741" spans="1:2">
      <c r="A6741" s="20"/>
      <c r="B6741" s="22"/>
    </row>
    <row r="6742" spans="1:2">
      <c r="A6742" s="20"/>
      <c r="B6742" s="22"/>
    </row>
    <row r="6743" spans="1:2">
      <c r="A6743" s="20"/>
      <c r="B6743" s="22"/>
    </row>
    <row r="6744" spans="1:2">
      <c r="A6744" s="20"/>
      <c r="B6744" s="22"/>
    </row>
    <row r="6745" spans="1:2">
      <c r="A6745" s="20"/>
      <c r="B6745" s="22"/>
    </row>
    <row r="6746" spans="1:2">
      <c r="A6746" s="20"/>
      <c r="B6746" s="22"/>
    </row>
    <row r="6747" spans="1:2">
      <c r="A6747" s="20"/>
      <c r="B6747" s="22"/>
    </row>
    <row r="6748" spans="1:2">
      <c r="A6748" s="20"/>
      <c r="B6748" s="22"/>
    </row>
    <row r="6749" spans="1:2">
      <c r="A6749" s="20"/>
      <c r="B6749" s="22"/>
    </row>
    <row r="6750" spans="1:2">
      <c r="A6750" s="20"/>
      <c r="B6750" s="22"/>
    </row>
    <row r="6751" spans="1:2">
      <c r="A6751" s="20"/>
      <c r="B6751" s="22"/>
    </row>
    <row r="6752" spans="1:2">
      <c r="A6752" s="20"/>
      <c r="B6752" s="22"/>
    </row>
    <row r="6753" spans="1:2">
      <c r="A6753" s="20"/>
      <c r="B6753" s="22"/>
    </row>
    <row r="6754" spans="1:2">
      <c r="A6754" s="20"/>
      <c r="B6754" s="22"/>
    </row>
    <row r="6755" spans="1:2">
      <c r="A6755" s="20"/>
      <c r="B6755" s="22"/>
    </row>
    <row r="6756" spans="1:2">
      <c r="A6756" s="20"/>
      <c r="B6756" s="22"/>
    </row>
    <row r="6757" spans="1:2">
      <c r="A6757" s="20"/>
      <c r="B6757" s="22"/>
    </row>
    <row r="6758" spans="1:2">
      <c r="A6758" s="20"/>
      <c r="B6758" s="22"/>
    </row>
    <row r="6759" spans="1:2">
      <c r="A6759" s="20"/>
      <c r="B6759" s="22"/>
    </row>
    <row r="6760" spans="1:2">
      <c r="A6760" s="20"/>
      <c r="B6760" s="22"/>
    </row>
    <row r="6761" spans="1:2">
      <c r="A6761" s="20"/>
      <c r="B6761" s="22"/>
    </row>
    <row r="6762" spans="1:2">
      <c r="A6762" s="20"/>
      <c r="B6762" s="22"/>
    </row>
    <row r="6763" spans="1:2">
      <c r="A6763" s="20"/>
      <c r="B6763" s="22"/>
    </row>
    <row r="6764" spans="1:2">
      <c r="A6764" s="20"/>
      <c r="B6764" s="22"/>
    </row>
    <row r="6765" spans="1:2">
      <c r="A6765" s="20"/>
      <c r="B6765" s="22"/>
    </row>
    <row r="6766" spans="1:2">
      <c r="A6766" s="20"/>
      <c r="B6766" s="22"/>
    </row>
    <row r="6767" spans="1:2">
      <c r="A6767" s="20"/>
      <c r="B6767" s="22"/>
    </row>
    <row r="6768" spans="1:2">
      <c r="A6768" s="20"/>
      <c r="B6768" s="22"/>
    </row>
    <row r="6769" spans="1:2">
      <c r="A6769" s="20"/>
      <c r="B6769" s="22"/>
    </row>
    <row r="6770" spans="1:2">
      <c r="A6770" s="20"/>
      <c r="B6770" s="22"/>
    </row>
    <row r="6771" spans="1:2">
      <c r="A6771" s="20"/>
      <c r="B6771" s="22"/>
    </row>
    <row r="6772" spans="1:2">
      <c r="A6772" s="20"/>
      <c r="B6772" s="22"/>
    </row>
    <row r="6773" spans="1:2">
      <c r="A6773" s="20"/>
      <c r="B6773" s="22"/>
    </row>
    <row r="6774" spans="1:2">
      <c r="A6774" s="20"/>
      <c r="B6774" s="22"/>
    </row>
    <row r="6775" spans="1:2">
      <c r="A6775" s="20"/>
      <c r="B6775" s="22"/>
    </row>
    <row r="6776" spans="1:2">
      <c r="A6776" s="20"/>
      <c r="B6776" s="22"/>
    </row>
    <row r="6777" spans="1:2">
      <c r="A6777" s="20"/>
      <c r="B6777" s="22"/>
    </row>
    <row r="6778" spans="1:2">
      <c r="A6778" s="20"/>
      <c r="B6778" s="22"/>
    </row>
    <row r="6779" spans="1:2">
      <c r="A6779" s="20"/>
      <c r="B6779" s="22"/>
    </row>
    <row r="6780" spans="1:2">
      <c r="A6780" s="20"/>
      <c r="B6780" s="22"/>
    </row>
    <row r="6781" spans="1:2">
      <c r="A6781" s="20"/>
      <c r="B6781" s="22"/>
    </row>
    <row r="6782" spans="1:2">
      <c r="A6782" s="20"/>
      <c r="B6782" s="22"/>
    </row>
    <row r="6783" spans="1:2">
      <c r="A6783" s="20"/>
      <c r="B6783" s="22"/>
    </row>
    <row r="6784" spans="1:2">
      <c r="A6784" s="20"/>
      <c r="B6784" s="22"/>
    </row>
    <row r="6785" spans="1:2">
      <c r="A6785" s="20"/>
      <c r="B6785" s="22"/>
    </row>
    <row r="6786" spans="1:2">
      <c r="A6786" s="20"/>
      <c r="B6786" s="22"/>
    </row>
    <row r="6787" spans="1:2">
      <c r="A6787" s="20"/>
      <c r="B6787" s="22"/>
    </row>
    <row r="6788" spans="1:2">
      <c r="A6788" s="20"/>
      <c r="B6788" s="22"/>
    </row>
    <row r="6789" spans="1:2">
      <c r="A6789" s="20"/>
      <c r="B6789" s="22"/>
    </row>
    <row r="6790" spans="1:2">
      <c r="A6790" s="20"/>
      <c r="B6790" s="22"/>
    </row>
    <row r="6791" spans="1:2">
      <c r="A6791" s="20"/>
      <c r="B6791" s="22"/>
    </row>
    <row r="6792" spans="1:2">
      <c r="A6792" s="20"/>
      <c r="B6792" s="22"/>
    </row>
    <row r="6793" spans="1:2">
      <c r="A6793" s="20"/>
      <c r="B6793" s="22"/>
    </row>
    <row r="6794" spans="1:2">
      <c r="A6794" s="20"/>
      <c r="B6794" s="22"/>
    </row>
    <row r="6795" spans="1:2">
      <c r="A6795" s="20"/>
      <c r="B6795" s="22"/>
    </row>
    <row r="6796" spans="1:2">
      <c r="A6796" s="20"/>
      <c r="B6796" s="22"/>
    </row>
    <row r="6797" spans="1:2">
      <c r="A6797" s="20"/>
      <c r="B6797" s="22"/>
    </row>
    <row r="6798" spans="1:2">
      <c r="A6798" s="20"/>
      <c r="B6798" s="22"/>
    </row>
    <row r="6799" spans="1:2">
      <c r="A6799" s="20"/>
      <c r="B6799" s="22"/>
    </row>
    <row r="6800" spans="1:2">
      <c r="A6800" s="20"/>
      <c r="B6800" s="22"/>
    </row>
    <row r="6801" spans="1:2">
      <c r="A6801" s="20"/>
      <c r="B6801" s="22"/>
    </row>
    <row r="6802" spans="1:2">
      <c r="A6802" s="20"/>
      <c r="B6802" s="22"/>
    </row>
    <row r="6803" spans="1:2">
      <c r="A6803" s="20"/>
      <c r="B6803" s="22"/>
    </row>
    <row r="6804" spans="1:2">
      <c r="A6804" s="20"/>
      <c r="B6804" s="22"/>
    </row>
    <row r="6805" spans="1:2">
      <c r="A6805" s="20"/>
      <c r="B6805" s="22"/>
    </row>
    <row r="6806" spans="1:2">
      <c r="A6806" s="20"/>
      <c r="B6806" s="22"/>
    </row>
    <row r="6807" spans="1:2">
      <c r="A6807" s="20"/>
      <c r="B6807" s="22"/>
    </row>
    <row r="6808" spans="1:2">
      <c r="A6808" s="20"/>
      <c r="B6808" s="22"/>
    </row>
    <row r="6809" spans="1:2">
      <c r="A6809" s="20"/>
      <c r="B6809" s="22"/>
    </row>
    <row r="6810" spans="1:2">
      <c r="A6810" s="20"/>
      <c r="B6810" s="22"/>
    </row>
    <row r="6811" spans="1:2">
      <c r="A6811" s="20"/>
      <c r="B6811" s="22"/>
    </row>
    <row r="6812" spans="1:2">
      <c r="A6812" s="20"/>
      <c r="B6812" s="22"/>
    </row>
    <row r="6813" spans="1:2">
      <c r="A6813" s="20"/>
      <c r="B6813" s="22"/>
    </row>
    <row r="6814" spans="1:2">
      <c r="A6814" s="20"/>
      <c r="B6814" s="22"/>
    </row>
    <row r="6815" spans="1:2">
      <c r="A6815" s="20"/>
      <c r="B6815" s="22"/>
    </row>
    <row r="6816" spans="1:2">
      <c r="A6816" s="20"/>
      <c r="B6816" s="22"/>
    </row>
    <row r="6817" spans="1:2">
      <c r="A6817" s="20"/>
      <c r="B6817" s="22"/>
    </row>
    <row r="6818" spans="1:2">
      <c r="A6818" s="20"/>
      <c r="B6818" s="22"/>
    </row>
    <row r="6819" spans="1:2">
      <c r="A6819" s="20"/>
      <c r="B6819" s="22"/>
    </row>
    <row r="6820" spans="1:2">
      <c r="A6820" s="20"/>
      <c r="B6820" s="22"/>
    </row>
    <row r="6821" spans="1:2">
      <c r="A6821" s="20"/>
      <c r="B6821" s="22"/>
    </row>
    <row r="6822" spans="1:2">
      <c r="A6822" s="20"/>
      <c r="B6822" s="22"/>
    </row>
    <row r="6823" spans="1:2">
      <c r="A6823" s="20"/>
      <c r="B6823" s="22"/>
    </row>
    <row r="6824" spans="1:2">
      <c r="A6824" s="20"/>
      <c r="B6824" s="22"/>
    </row>
    <row r="6825" spans="1:2">
      <c r="A6825" s="20"/>
      <c r="B6825" s="22"/>
    </row>
    <row r="6826" spans="1:2">
      <c r="A6826" s="20"/>
      <c r="B6826" s="22"/>
    </row>
    <row r="6827" spans="1:2">
      <c r="A6827" s="20"/>
      <c r="B6827" s="22"/>
    </row>
    <row r="6828" spans="1:2">
      <c r="A6828" s="20"/>
      <c r="B6828" s="22"/>
    </row>
    <row r="6829" spans="1:2">
      <c r="A6829" s="20"/>
      <c r="B6829" s="22"/>
    </row>
    <row r="6830" spans="1:2">
      <c r="A6830" s="20"/>
      <c r="B6830" s="22"/>
    </row>
    <row r="6831" spans="1:2">
      <c r="A6831" s="20"/>
      <c r="B6831" s="22"/>
    </row>
    <row r="6832" spans="1:2">
      <c r="A6832" s="20"/>
      <c r="B6832" s="22"/>
    </row>
    <row r="6833" spans="1:2">
      <c r="A6833" s="20"/>
      <c r="B6833" s="22"/>
    </row>
    <row r="6834" spans="1:2">
      <c r="A6834" s="20"/>
      <c r="B6834" s="22"/>
    </row>
    <row r="6835" spans="1:2">
      <c r="A6835" s="20"/>
      <c r="B6835" s="22"/>
    </row>
    <row r="6836" spans="1:2">
      <c r="A6836" s="20"/>
      <c r="B6836" s="22"/>
    </row>
    <row r="6837" spans="1:2">
      <c r="A6837" s="20"/>
      <c r="B6837" s="22"/>
    </row>
    <row r="6838" spans="1:2">
      <c r="A6838" s="20"/>
      <c r="B6838" s="22"/>
    </row>
    <row r="6839" spans="1:2">
      <c r="A6839" s="20"/>
      <c r="B6839" s="22"/>
    </row>
    <row r="6840" spans="1:2">
      <c r="A6840" s="20"/>
      <c r="B6840" s="22"/>
    </row>
    <row r="6841" spans="1:2">
      <c r="A6841" s="20"/>
      <c r="B6841" s="22"/>
    </row>
    <row r="6842" spans="1:2">
      <c r="A6842" s="20"/>
      <c r="B6842" s="22"/>
    </row>
    <row r="6843" spans="1:2">
      <c r="A6843" s="20"/>
      <c r="B6843" s="22"/>
    </row>
    <row r="6844" spans="1:2">
      <c r="A6844" s="20"/>
      <c r="B6844" s="22"/>
    </row>
    <row r="6845" spans="1:2">
      <c r="A6845" s="20"/>
      <c r="B6845" s="22"/>
    </row>
    <row r="6846" spans="1:2">
      <c r="A6846" s="20"/>
      <c r="B6846" s="22"/>
    </row>
    <row r="6847" spans="1:2">
      <c r="A6847" s="20"/>
      <c r="B6847" s="22"/>
    </row>
    <row r="6848" spans="1:2">
      <c r="A6848" s="20"/>
      <c r="B6848" s="22"/>
    </row>
    <row r="6849" spans="1:2">
      <c r="A6849" s="20"/>
      <c r="B6849" s="22"/>
    </row>
    <row r="6850" spans="1:2">
      <c r="A6850" s="20"/>
      <c r="B6850" s="22"/>
    </row>
    <row r="6851" spans="1:2">
      <c r="A6851" s="20"/>
      <c r="B6851" s="22"/>
    </row>
    <row r="6852" spans="1:2">
      <c r="A6852" s="20"/>
      <c r="B6852" s="22"/>
    </row>
    <row r="6853" spans="1:2">
      <c r="A6853" s="20"/>
      <c r="B6853" s="22"/>
    </row>
    <row r="6854" spans="1:2">
      <c r="A6854" s="20"/>
      <c r="B6854" s="22"/>
    </row>
    <row r="6855" spans="1:2">
      <c r="A6855" s="20"/>
      <c r="B6855" s="22"/>
    </row>
    <row r="6856" spans="1:2">
      <c r="A6856" s="20"/>
      <c r="B6856" s="22"/>
    </row>
    <row r="6857" spans="1:2">
      <c r="A6857" s="20"/>
      <c r="B6857" s="22"/>
    </row>
    <row r="6858" spans="1:2">
      <c r="A6858" s="20"/>
      <c r="B6858" s="22"/>
    </row>
    <row r="6859" spans="1:2">
      <c r="A6859" s="20"/>
      <c r="B6859" s="22"/>
    </row>
    <row r="6860" spans="1:2">
      <c r="A6860" s="20"/>
      <c r="B6860" s="22"/>
    </row>
    <row r="6861" spans="1:2">
      <c r="A6861" s="20"/>
      <c r="B6861" s="22"/>
    </row>
    <row r="6862" spans="1:2">
      <c r="A6862" s="20"/>
      <c r="B6862" s="22"/>
    </row>
    <row r="6863" spans="1:2">
      <c r="A6863" s="20"/>
      <c r="B6863" s="22"/>
    </row>
    <row r="6864" spans="1:2">
      <c r="A6864" s="20"/>
      <c r="B6864" s="22"/>
    </row>
    <row r="6865" spans="1:2">
      <c r="A6865" s="20"/>
      <c r="B6865" s="22"/>
    </row>
    <row r="6866" spans="1:2">
      <c r="A6866" s="20"/>
      <c r="B6866" s="22"/>
    </row>
    <row r="6867" spans="1:2">
      <c r="A6867" s="20"/>
      <c r="B6867" s="22"/>
    </row>
    <row r="6868" spans="1:2">
      <c r="A6868" s="20"/>
      <c r="B6868" s="22"/>
    </row>
    <row r="6869" spans="1:2">
      <c r="A6869" s="20"/>
      <c r="B6869" s="22"/>
    </row>
    <row r="6870" spans="1:2">
      <c r="A6870" s="20"/>
      <c r="B6870" s="22"/>
    </row>
    <row r="6871" spans="1:2">
      <c r="A6871" s="20"/>
      <c r="B6871" s="22"/>
    </row>
    <row r="6872" spans="1:2">
      <c r="A6872" s="20"/>
      <c r="B6872" s="22"/>
    </row>
    <row r="6873" spans="1:2">
      <c r="A6873" s="20"/>
      <c r="B6873" s="22"/>
    </row>
    <row r="6874" spans="1:2">
      <c r="A6874" s="20"/>
      <c r="B6874" s="22"/>
    </row>
    <row r="6875" spans="1:2">
      <c r="A6875" s="20"/>
      <c r="B6875" s="22"/>
    </row>
    <row r="6876" spans="1:2">
      <c r="A6876" s="20"/>
      <c r="B6876" s="22"/>
    </row>
    <row r="6877" spans="1:2">
      <c r="A6877" s="20"/>
      <c r="B6877" s="22"/>
    </row>
    <row r="6878" spans="1:2">
      <c r="A6878" s="20"/>
      <c r="B6878" s="22"/>
    </row>
    <row r="6879" spans="1:2">
      <c r="A6879" s="20"/>
      <c r="B6879" s="22"/>
    </row>
    <row r="6880" spans="1:2">
      <c r="A6880" s="20"/>
      <c r="B6880" s="22"/>
    </row>
    <row r="6881" spans="1:2">
      <c r="A6881" s="20"/>
      <c r="B6881" s="22"/>
    </row>
    <row r="6882" spans="1:2">
      <c r="A6882" s="20"/>
      <c r="B6882" s="22"/>
    </row>
    <row r="6883" spans="1:2">
      <c r="A6883" s="20"/>
      <c r="B6883" s="22"/>
    </row>
    <row r="6884" spans="1:2">
      <c r="A6884" s="20"/>
      <c r="B6884" s="22"/>
    </row>
    <row r="6885" spans="1:2">
      <c r="A6885" s="20"/>
      <c r="B6885" s="22"/>
    </row>
    <row r="6886" spans="1:2">
      <c r="A6886" s="20"/>
      <c r="B6886" s="22"/>
    </row>
    <row r="6887" spans="1:2">
      <c r="A6887" s="20"/>
      <c r="B6887" s="22"/>
    </row>
    <row r="6888" spans="1:2">
      <c r="A6888" s="20"/>
      <c r="B6888" s="22"/>
    </row>
    <row r="6889" spans="1:2">
      <c r="A6889" s="20"/>
      <c r="B6889" s="22"/>
    </row>
    <row r="6890" spans="1:2">
      <c r="A6890" s="20"/>
      <c r="B6890" s="22"/>
    </row>
    <row r="6891" spans="1:2">
      <c r="A6891" s="20"/>
      <c r="B6891" s="22"/>
    </row>
    <row r="6892" spans="1:2">
      <c r="A6892" s="20"/>
      <c r="B6892" s="22"/>
    </row>
    <row r="6893" spans="1:2">
      <c r="A6893" s="20"/>
      <c r="B6893" s="22"/>
    </row>
    <row r="6894" spans="1:2">
      <c r="A6894" s="20"/>
      <c r="B6894" s="22"/>
    </row>
    <row r="6895" spans="1:2">
      <c r="A6895" s="20"/>
      <c r="B6895" s="22"/>
    </row>
    <row r="6896" spans="1:2">
      <c r="A6896" s="20"/>
      <c r="B6896" s="22"/>
    </row>
    <row r="6897" spans="1:2">
      <c r="A6897" s="20"/>
      <c r="B6897" s="22"/>
    </row>
    <row r="6898" spans="1:2">
      <c r="A6898" s="20"/>
      <c r="B6898" s="22"/>
    </row>
    <row r="6899" spans="1:2">
      <c r="A6899" s="20"/>
      <c r="B6899" s="22"/>
    </row>
    <row r="6900" spans="1:2">
      <c r="A6900" s="20"/>
      <c r="B6900" s="22"/>
    </row>
    <row r="6901" spans="1:2">
      <c r="A6901" s="20"/>
      <c r="B6901" s="22"/>
    </row>
    <row r="6902" spans="1:2">
      <c r="A6902" s="20"/>
      <c r="B6902" s="22"/>
    </row>
    <row r="6903" spans="1:2">
      <c r="A6903" s="20"/>
      <c r="B6903" s="22"/>
    </row>
    <row r="6904" spans="1:2">
      <c r="A6904" s="20"/>
      <c r="B6904" s="22"/>
    </row>
    <row r="6905" spans="1:2">
      <c r="A6905" s="20"/>
      <c r="B6905" s="22"/>
    </row>
    <row r="6906" spans="1:2">
      <c r="A6906" s="20"/>
      <c r="B6906" s="22"/>
    </row>
    <row r="6907" spans="1:2">
      <c r="A6907" s="20"/>
      <c r="B6907" s="22"/>
    </row>
    <row r="6908" spans="1:2">
      <c r="A6908" s="20"/>
      <c r="B6908" s="22"/>
    </row>
    <row r="6909" spans="1:2">
      <c r="A6909" s="20"/>
      <c r="B6909" s="22"/>
    </row>
    <row r="6910" spans="1:2">
      <c r="A6910" s="20"/>
      <c r="B6910" s="22"/>
    </row>
    <row r="6911" spans="1:2">
      <c r="A6911" s="20"/>
      <c r="B6911" s="22"/>
    </row>
    <row r="6912" spans="1:2">
      <c r="A6912" s="20"/>
      <c r="B6912" s="22"/>
    </row>
    <row r="6913" spans="1:2">
      <c r="A6913" s="20"/>
      <c r="B6913" s="22"/>
    </row>
    <row r="6914" spans="1:2">
      <c r="A6914" s="20"/>
      <c r="B6914" s="22"/>
    </row>
    <row r="6915" spans="1:2">
      <c r="A6915" s="20"/>
      <c r="B6915" s="22"/>
    </row>
    <row r="6916" spans="1:2">
      <c r="A6916" s="20"/>
      <c r="B6916" s="22"/>
    </row>
    <row r="6917" spans="1:2">
      <c r="A6917" s="20"/>
      <c r="B6917" s="22"/>
    </row>
    <row r="6918" spans="1:2">
      <c r="A6918" s="20"/>
      <c r="B6918" s="22"/>
    </row>
    <row r="6919" spans="1:2">
      <c r="A6919" s="20"/>
      <c r="B6919" s="22"/>
    </row>
    <row r="6920" spans="1:2">
      <c r="A6920" s="20"/>
      <c r="B6920" s="22"/>
    </row>
    <row r="6921" spans="1:2">
      <c r="A6921" s="20"/>
      <c r="B6921" s="22"/>
    </row>
    <row r="6922" spans="1:2">
      <c r="A6922" s="20"/>
      <c r="B6922" s="22"/>
    </row>
    <row r="6923" spans="1:2">
      <c r="A6923" s="20"/>
      <c r="B6923" s="22"/>
    </row>
    <row r="6924" spans="1:2">
      <c r="A6924" s="20"/>
      <c r="B6924" s="22"/>
    </row>
    <row r="6925" spans="1:2">
      <c r="A6925" s="20"/>
      <c r="B6925" s="22"/>
    </row>
    <row r="6926" spans="1:2">
      <c r="A6926" s="20"/>
      <c r="B6926" s="22"/>
    </row>
    <row r="6927" spans="1:2">
      <c r="A6927" s="20"/>
      <c r="B6927" s="22"/>
    </row>
    <row r="6928" spans="1:2">
      <c r="A6928" s="20"/>
      <c r="B6928" s="22"/>
    </row>
    <row r="6929" spans="1:2">
      <c r="A6929" s="20"/>
      <c r="B6929" s="22"/>
    </row>
    <row r="6930" spans="1:2">
      <c r="A6930" s="20"/>
      <c r="B6930" s="22"/>
    </row>
    <row r="6931" spans="1:2">
      <c r="A6931" s="20"/>
      <c r="B6931" s="22"/>
    </row>
    <row r="6932" spans="1:2">
      <c r="A6932" s="20"/>
      <c r="B6932" s="22"/>
    </row>
    <row r="6933" spans="1:2">
      <c r="A6933" s="20"/>
      <c r="B6933" s="22"/>
    </row>
    <row r="6934" spans="1:2">
      <c r="A6934" s="20"/>
      <c r="B6934" s="22"/>
    </row>
    <row r="6935" spans="1:2">
      <c r="A6935" s="20"/>
      <c r="B6935" s="22"/>
    </row>
    <row r="6936" spans="1:2">
      <c r="A6936" s="20"/>
      <c r="B6936" s="22"/>
    </row>
    <row r="6937" spans="1:2">
      <c r="A6937" s="20"/>
      <c r="B6937" s="22"/>
    </row>
    <row r="6938" spans="1:2">
      <c r="A6938" s="20"/>
      <c r="B6938" s="22"/>
    </row>
    <row r="6939" spans="1:2">
      <c r="A6939" s="20"/>
      <c r="B6939" s="22"/>
    </row>
    <row r="6940" spans="1:2">
      <c r="A6940" s="20"/>
      <c r="B6940" s="22"/>
    </row>
    <row r="6941" spans="1:2">
      <c r="A6941" s="20"/>
      <c r="B6941" s="22"/>
    </row>
    <row r="6942" spans="1:2">
      <c r="A6942" s="20"/>
      <c r="B6942" s="22"/>
    </row>
    <row r="6943" spans="1:2">
      <c r="A6943" s="20"/>
      <c r="B6943" s="22"/>
    </row>
    <row r="6944" spans="1:2">
      <c r="A6944" s="20"/>
      <c r="B6944" s="22"/>
    </row>
    <row r="6945" spans="1:2">
      <c r="A6945" s="20"/>
      <c r="B6945" s="22"/>
    </row>
    <row r="6946" spans="1:2">
      <c r="A6946" s="20"/>
      <c r="B6946" s="22"/>
    </row>
    <row r="6947" spans="1:2">
      <c r="A6947" s="20"/>
      <c r="B6947" s="22"/>
    </row>
    <row r="6948" spans="1:2">
      <c r="A6948" s="20"/>
      <c r="B6948" s="22"/>
    </row>
    <row r="6949" spans="1:2">
      <c r="A6949" s="20"/>
      <c r="B6949" s="22"/>
    </row>
    <row r="6950" spans="1:2">
      <c r="A6950" s="20"/>
      <c r="B6950" s="22"/>
    </row>
    <row r="6951" spans="1:2">
      <c r="A6951" s="20"/>
      <c r="B6951" s="22"/>
    </row>
    <row r="6952" spans="1:2">
      <c r="A6952" s="20"/>
      <c r="B6952" s="22"/>
    </row>
    <row r="6953" spans="1:2">
      <c r="A6953" s="20"/>
      <c r="B6953" s="22"/>
    </row>
    <row r="6954" spans="1:2">
      <c r="A6954" s="20"/>
      <c r="B6954" s="22"/>
    </row>
    <row r="6955" spans="1:2">
      <c r="A6955" s="20"/>
      <c r="B6955" s="22"/>
    </row>
    <row r="6956" spans="1:2">
      <c r="A6956" s="20"/>
      <c r="B6956" s="22"/>
    </row>
    <row r="6957" spans="1:2">
      <c r="A6957" s="20"/>
      <c r="B6957" s="22"/>
    </row>
    <row r="6958" spans="1:2">
      <c r="A6958" s="20"/>
      <c r="B6958" s="22"/>
    </row>
    <row r="6959" spans="1:2">
      <c r="A6959" s="20"/>
      <c r="B6959" s="22"/>
    </row>
    <row r="6960" spans="1:2">
      <c r="A6960" s="20"/>
      <c r="B6960" s="22"/>
    </row>
    <row r="6961" spans="1:2">
      <c r="A6961" s="20"/>
      <c r="B6961" s="22"/>
    </row>
    <row r="6962" spans="1:2">
      <c r="A6962" s="20"/>
      <c r="B6962" s="22"/>
    </row>
    <row r="6963" spans="1:2">
      <c r="A6963" s="20"/>
      <c r="B6963" s="22"/>
    </row>
    <row r="6964" spans="1:2">
      <c r="A6964" s="20"/>
      <c r="B6964" s="22"/>
    </row>
    <row r="6965" spans="1:2">
      <c r="A6965" s="20"/>
      <c r="B6965" s="22"/>
    </row>
    <row r="6966" spans="1:2">
      <c r="A6966" s="20"/>
      <c r="B6966" s="22"/>
    </row>
    <row r="6967" spans="1:2">
      <c r="A6967" s="20"/>
      <c r="B6967" s="22"/>
    </row>
    <row r="6968" spans="1:2">
      <c r="A6968" s="20"/>
      <c r="B6968" s="22"/>
    </row>
    <row r="6969" spans="1:2">
      <c r="A6969" s="20"/>
      <c r="B6969" s="22"/>
    </row>
    <row r="6970" spans="1:2">
      <c r="A6970" s="20"/>
      <c r="B6970" s="22"/>
    </row>
    <row r="6971" spans="1:2">
      <c r="A6971" s="20"/>
      <c r="B6971" s="22"/>
    </row>
    <row r="6972" spans="1:2">
      <c r="A6972" s="20"/>
      <c r="B6972" s="22"/>
    </row>
    <row r="6973" spans="1:2">
      <c r="A6973" s="20"/>
      <c r="B6973" s="22"/>
    </row>
    <row r="6974" spans="1:2">
      <c r="A6974" s="20"/>
      <c r="B6974" s="22"/>
    </row>
    <row r="6975" spans="1:2">
      <c r="A6975" s="20"/>
      <c r="B6975" s="22"/>
    </row>
    <row r="6976" spans="1:2">
      <c r="A6976" s="20"/>
      <c r="B6976" s="22"/>
    </row>
    <row r="6977" spans="1:2">
      <c r="A6977" s="20"/>
      <c r="B6977" s="22"/>
    </row>
    <row r="6978" spans="1:2">
      <c r="A6978" s="20"/>
      <c r="B6978" s="22"/>
    </row>
    <row r="6979" spans="1:2">
      <c r="A6979" s="20"/>
      <c r="B6979" s="22"/>
    </row>
    <row r="6980" spans="1:2">
      <c r="A6980" s="20"/>
      <c r="B6980" s="22"/>
    </row>
    <row r="6981" spans="1:2">
      <c r="A6981" s="20"/>
      <c r="B6981" s="22"/>
    </row>
    <row r="6982" spans="1:2">
      <c r="A6982" s="20"/>
      <c r="B6982" s="22"/>
    </row>
    <row r="6983" spans="1:2">
      <c r="A6983" s="20"/>
      <c r="B6983" s="22"/>
    </row>
    <row r="6984" spans="1:2">
      <c r="A6984" s="20"/>
      <c r="B6984" s="22"/>
    </row>
    <row r="6985" spans="1:2">
      <c r="A6985" s="20"/>
      <c r="B6985" s="22"/>
    </row>
    <row r="6986" spans="1:2">
      <c r="A6986" s="20"/>
      <c r="B6986" s="22"/>
    </row>
    <row r="6987" spans="1:2">
      <c r="A6987" s="20"/>
      <c r="B6987" s="22"/>
    </row>
    <row r="6988" spans="1:2">
      <c r="A6988" s="20"/>
      <c r="B6988" s="22"/>
    </row>
    <row r="6989" spans="1:2">
      <c r="A6989" s="20"/>
      <c r="B6989" s="22"/>
    </row>
    <row r="6990" spans="1:2">
      <c r="A6990" s="20"/>
      <c r="B6990" s="22"/>
    </row>
    <row r="6991" spans="1:2">
      <c r="A6991" s="20"/>
      <c r="B6991" s="22"/>
    </row>
    <row r="6992" spans="1:2">
      <c r="A6992" s="20"/>
      <c r="B6992" s="22"/>
    </row>
    <row r="6993" spans="1:2">
      <c r="A6993" s="20"/>
      <c r="B6993" s="22"/>
    </row>
    <row r="6994" spans="1:2">
      <c r="A6994" s="20"/>
      <c r="B6994" s="22"/>
    </row>
    <row r="6995" spans="1:2">
      <c r="A6995" s="20"/>
      <c r="B6995" s="22"/>
    </row>
    <row r="6996" spans="1:2">
      <c r="A6996" s="20"/>
      <c r="B6996" s="22"/>
    </row>
    <row r="6997" spans="1:2">
      <c r="A6997" s="20"/>
      <c r="B6997" s="22"/>
    </row>
    <row r="6998" spans="1:2">
      <c r="A6998" s="20"/>
      <c r="B6998" s="22"/>
    </row>
    <row r="6999" spans="1:2">
      <c r="A6999" s="20"/>
      <c r="B6999" s="22"/>
    </row>
    <row r="7000" spans="1:2">
      <c r="A7000" s="20"/>
      <c r="B7000" s="22"/>
    </row>
    <row r="7001" spans="1:2">
      <c r="A7001" s="20"/>
      <c r="B7001" s="22"/>
    </row>
    <row r="7002" spans="1:2">
      <c r="A7002" s="20"/>
      <c r="B7002" s="22"/>
    </row>
    <row r="7003" spans="1:2">
      <c r="A7003" s="20"/>
      <c r="B7003" s="22"/>
    </row>
    <row r="7004" spans="1:2">
      <c r="A7004" s="20"/>
      <c r="B7004" s="22"/>
    </row>
    <row r="7005" spans="1:2">
      <c r="A7005" s="20"/>
      <c r="B7005" s="22"/>
    </row>
    <row r="7006" spans="1:2">
      <c r="A7006" s="20"/>
      <c r="B7006" s="22"/>
    </row>
    <row r="7007" spans="1:2">
      <c r="A7007" s="20"/>
      <c r="B7007" s="22"/>
    </row>
    <row r="7008" spans="1:2">
      <c r="A7008" s="20"/>
      <c r="B7008" s="22"/>
    </row>
    <row r="7009" spans="1:2">
      <c r="A7009" s="20"/>
      <c r="B7009" s="22"/>
    </row>
    <row r="7010" spans="1:2">
      <c r="A7010" s="20"/>
      <c r="B7010" s="22"/>
    </row>
    <row r="7011" spans="1:2">
      <c r="A7011" s="20"/>
      <c r="B7011" s="22"/>
    </row>
    <row r="7012" spans="1:2">
      <c r="A7012" s="20"/>
      <c r="B7012" s="22"/>
    </row>
    <row r="7013" spans="1:2">
      <c r="A7013" s="20"/>
      <c r="B7013" s="22"/>
    </row>
    <row r="7014" spans="1:2">
      <c r="A7014" s="20"/>
      <c r="B7014" s="22"/>
    </row>
    <row r="7015" spans="1:2">
      <c r="A7015" s="20"/>
      <c r="B7015" s="22"/>
    </row>
    <row r="7016" spans="1:2">
      <c r="A7016" s="20"/>
      <c r="B7016" s="22"/>
    </row>
    <row r="7017" spans="1:2">
      <c r="A7017" s="20"/>
      <c r="B7017" s="22"/>
    </row>
    <row r="7018" spans="1:2">
      <c r="A7018" s="20"/>
      <c r="B7018" s="22"/>
    </row>
    <row r="7019" spans="1:2">
      <c r="A7019" s="20"/>
      <c r="B7019" s="22"/>
    </row>
    <row r="7020" spans="1:2">
      <c r="A7020" s="20"/>
      <c r="B7020" s="22"/>
    </row>
    <row r="7021" spans="1:2">
      <c r="A7021" s="20"/>
      <c r="B7021" s="22"/>
    </row>
    <row r="7022" spans="1:2">
      <c r="A7022" s="20"/>
      <c r="B7022" s="22"/>
    </row>
    <row r="7023" spans="1:2">
      <c r="A7023" s="20"/>
      <c r="B7023" s="22"/>
    </row>
    <row r="7024" spans="1:2">
      <c r="A7024" s="20"/>
      <c r="B7024" s="22"/>
    </row>
    <row r="7025" spans="1:2">
      <c r="A7025" s="20"/>
      <c r="B7025" s="22"/>
    </row>
    <row r="7026" spans="1:2">
      <c r="A7026" s="20"/>
      <c r="B7026" s="22"/>
    </row>
    <row r="7027" spans="1:2">
      <c r="A7027" s="20"/>
      <c r="B7027" s="22"/>
    </row>
    <row r="7028" spans="1:2">
      <c r="A7028" s="20"/>
      <c r="B7028" s="22"/>
    </row>
    <row r="7029" spans="1:2">
      <c r="A7029" s="20"/>
      <c r="B7029" s="22"/>
    </row>
    <row r="7030" spans="1:2">
      <c r="A7030" s="20"/>
      <c r="B7030" s="22"/>
    </row>
    <row r="7031" spans="1:2">
      <c r="A7031" s="20"/>
      <c r="B7031" s="22"/>
    </row>
    <row r="7032" spans="1:2">
      <c r="A7032" s="20"/>
      <c r="B7032" s="22"/>
    </row>
    <row r="7033" spans="1:2">
      <c r="A7033" s="20"/>
      <c r="B7033" s="22"/>
    </row>
    <row r="7034" spans="1:2">
      <c r="A7034" s="20"/>
      <c r="B7034" s="22"/>
    </row>
    <row r="7035" spans="1:2">
      <c r="A7035" s="20"/>
      <c r="B7035" s="22"/>
    </row>
    <row r="7036" spans="1:2">
      <c r="A7036" s="20"/>
      <c r="B7036" s="22"/>
    </row>
    <row r="7037" spans="1:2">
      <c r="A7037" s="20"/>
      <c r="B7037" s="22"/>
    </row>
    <row r="7038" spans="1:2">
      <c r="A7038" s="20"/>
      <c r="B7038" s="22"/>
    </row>
    <row r="7039" spans="1:2">
      <c r="A7039" s="20"/>
      <c r="B7039" s="22"/>
    </row>
    <row r="7040" spans="1:2">
      <c r="A7040" s="20"/>
      <c r="B7040" s="22"/>
    </row>
    <row r="7041" spans="1:2">
      <c r="A7041" s="20"/>
      <c r="B7041" s="22"/>
    </row>
    <row r="7042" spans="1:2">
      <c r="A7042" s="20"/>
      <c r="B7042" s="22"/>
    </row>
    <row r="7043" spans="1:2">
      <c r="A7043" s="20"/>
      <c r="B7043" s="22"/>
    </row>
    <row r="7044" spans="1:2">
      <c r="A7044" s="20"/>
      <c r="B7044" s="22"/>
    </row>
    <row r="7045" spans="1:2">
      <c r="A7045" s="20"/>
      <c r="B7045" s="22"/>
    </row>
    <row r="7046" spans="1:2">
      <c r="A7046" s="20"/>
      <c r="B7046" s="22"/>
    </row>
    <row r="7047" spans="1:2">
      <c r="A7047" s="20"/>
      <c r="B7047" s="22"/>
    </row>
    <row r="7048" spans="1:2">
      <c r="A7048" s="20"/>
      <c r="B7048" s="22"/>
    </row>
    <row r="7049" spans="1:2">
      <c r="A7049" s="20"/>
      <c r="B7049" s="22"/>
    </row>
    <row r="7050" spans="1:2">
      <c r="A7050" s="20"/>
      <c r="B7050" s="22"/>
    </row>
    <row r="7051" spans="1:2">
      <c r="A7051" s="20"/>
      <c r="B7051" s="22"/>
    </row>
    <row r="7052" spans="1:2">
      <c r="A7052" s="20"/>
      <c r="B7052" s="22"/>
    </row>
    <row r="7053" spans="1:2">
      <c r="A7053" s="20"/>
      <c r="B7053" s="22"/>
    </row>
    <row r="7054" spans="1:2">
      <c r="A7054" s="20"/>
      <c r="B7054" s="22"/>
    </row>
    <row r="7055" spans="1:2">
      <c r="A7055" s="20"/>
      <c r="B7055" s="22"/>
    </row>
    <row r="7056" spans="1:2">
      <c r="A7056" s="20"/>
      <c r="B7056" s="22"/>
    </row>
    <row r="7057" spans="1:2">
      <c r="A7057" s="20"/>
      <c r="B7057" s="22"/>
    </row>
    <row r="7058" spans="1:2">
      <c r="A7058" s="20"/>
      <c r="B7058" s="22"/>
    </row>
    <row r="7059" spans="1:2">
      <c r="A7059" s="20"/>
      <c r="B7059" s="22"/>
    </row>
    <row r="7060" spans="1:2">
      <c r="A7060" s="20"/>
      <c r="B7060" s="22"/>
    </row>
    <row r="7061" spans="1:2">
      <c r="A7061" s="20"/>
      <c r="B7061" s="22"/>
    </row>
    <row r="7062" spans="1:2">
      <c r="A7062" s="20"/>
      <c r="B7062" s="22"/>
    </row>
    <row r="7063" spans="1:2">
      <c r="A7063" s="20"/>
      <c r="B7063" s="22"/>
    </row>
    <row r="7064" spans="1:2">
      <c r="A7064" s="20"/>
      <c r="B7064" s="22"/>
    </row>
    <row r="7065" spans="1:2">
      <c r="A7065" s="20"/>
      <c r="B7065" s="22"/>
    </row>
    <row r="7066" spans="1:2">
      <c r="A7066" s="20"/>
      <c r="B7066" s="22"/>
    </row>
    <row r="7067" spans="1:2">
      <c r="A7067" s="20"/>
      <c r="B7067" s="22"/>
    </row>
    <row r="7068" spans="1:2">
      <c r="A7068" s="20"/>
      <c r="B7068" s="22"/>
    </row>
    <row r="7069" spans="1:2">
      <c r="A7069" s="20"/>
      <c r="B7069" s="22"/>
    </row>
    <row r="7070" spans="1:2">
      <c r="A7070" s="20"/>
      <c r="B7070" s="22"/>
    </row>
    <row r="7071" spans="1:2">
      <c r="A7071" s="20"/>
      <c r="B7071" s="22"/>
    </row>
    <row r="7072" spans="1:2">
      <c r="A7072" s="20"/>
      <c r="B7072" s="22"/>
    </row>
    <row r="7073" spans="1:2">
      <c r="A7073" s="20"/>
      <c r="B7073" s="22"/>
    </row>
    <row r="7074" spans="1:2">
      <c r="A7074" s="20"/>
      <c r="B7074" s="22"/>
    </row>
    <row r="7075" spans="1:2">
      <c r="A7075" s="20"/>
      <c r="B7075" s="22"/>
    </row>
    <row r="7076" spans="1:2">
      <c r="A7076" s="20"/>
      <c r="B7076" s="22"/>
    </row>
    <row r="7077" spans="1:2">
      <c r="A7077" s="20"/>
      <c r="B7077" s="22"/>
    </row>
    <row r="7078" spans="1:2">
      <c r="A7078" s="20"/>
      <c r="B7078" s="22"/>
    </row>
    <row r="7079" spans="1:2">
      <c r="A7079" s="20"/>
      <c r="B7079" s="22"/>
    </row>
    <row r="7080" spans="1:2">
      <c r="A7080" s="20"/>
      <c r="B7080" s="22"/>
    </row>
    <row r="7081" spans="1:2">
      <c r="A7081" s="20"/>
      <c r="B7081" s="22"/>
    </row>
    <row r="7082" spans="1:2">
      <c r="A7082" s="20"/>
      <c r="B7082" s="22"/>
    </row>
    <row r="7083" spans="1:2">
      <c r="A7083" s="20"/>
      <c r="B7083" s="22"/>
    </row>
    <row r="7084" spans="1:2">
      <c r="A7084" s="20"/>
      <c r="B7084" s="22"/>
    </row>
    <row r="7085" spans="1:2">
      <c r="A7085" s="20"/>
      <c r="B7085" s="22"/>
    </row>
    <row r="7086" spans="1:2">
      <c r="A7086" s="20"/>
      <c r="B7086" s="22"/>
    </row>
    <row r="7087" spans="1:2">
      <c r="A7087" s="20"/>
      <c r="B7087" s="22"/>
    </row>
    <row r="7088" spans="1:2">
      <c r="A7088" s="20"/>
      <c r="B7088" s="22"/>
    </row>
    <row r="7089" spans="1:2">
      <c r="A7089" s="20"/>
      <c r="B7089" s="22"/>
    </row>
    <row r="7090" spans="1:2">
      <c r="A7090" s="20"/>
      <c r="B7090" s="22"/>
    </row>
    <row r="7091" spans="1:2">
      <c r="A7091" s="20"/>
      <c r="B7091" s="22"/>
    </row>
    <row r="7092" spans="1:2">
      <c r="A7092" s="20"/>
      <c r="B7092" s="22"/>
    </row>
    <row r="7093" spans="1:2">
      <c r="A7093" s="20"/>
      <c r="B7093" s="22"/>
    </row>
    <row r="7094" spans="1:2">
      <c r="A7094" s="20"/>
      <c r="B7094" s="22"/>
    </row>
    <row r="7095" spans="1:2">
      <c r="A7095" s="20"/>
      <c r="B7095" s="22"/>
    </row>
    <row r="7096" spans="1:2">
      <c r="A7096" s="20"/>
      <c r="B7096" s="22"/>
    </row>
    <row r="7097" spans="1:2">
      <c r="A7097" s="20"/>
      <c r="B7097" s="22"/>
    </row>
    <row r="7098" spans="1:2">
      <c r="A7098" s="20"/>
      <c r="B7098" s="22"/>
    </row>
    <row r="7099" spans="1:2">
      <c r="A7099" s="20"/>
      <c r="B7099" s="22"/>
    </row>
    <row r="7100" spans="1:2">
      <c r="A7100" s="20"/>
      <c r="B7100" s="22"/>
    </row>
    <row r="7101" spans="1:2">
      <c r="A7101" s="20"/>
      <c r="B7101" s="22"/>
    </row>
    <row r="7102" spans="1:2">
      <c r="A7102" s="20"/>
      <c r="B7102" s="22"/>
    </row>
    <row r="7103" spans="1:2">
      <c r="A7103" s="20"/>
      <c r="B7103" s="22"/>
    </row>
    <row r="7104" spans="1:2">
      <c r="A7104" s="20"/>
      <c r="B7104" s="22"/>
    </row>
    <row r="7105" spans="1:2">
      <c r="A7105" s="20"/>
      <c r="B7105" s="22"/>
    </row>
    <row r="7106" spans="1:2">
      <c r="A7106" s="20"/>
      <c r="B7106" s="22"/>
    </row>
    <row r="7107" spans="1:2">
      <c r="A7107" s="20"/>
      <c r="B7107" s="22"/>
    </row>
    <row r="7108" spans="1:2">
      <c r="A7108" s="20"/>
      <c r="B7108" s="22"/>
    </row>
    <row r="7109" spans="1:2">
      <c r="A7109" s="20"/>
      <c r="B7109" s="22"/>
    </row>
    <row r="7110" spans="1:2">
      <c r="A7110" s="20"/>
      <c r="B7110" s="22"/>
    </row>
    <row r="7111" spans="1:2">
      <c r="A7111" s="20"/>
      <c r="B7111" s="22"/>
    </row>
    <row r="7112" spans="1:2">
      <c r="A7112" s="20"/>
      <c r="B7112" s="22"/>
    </row>
    <row r="7113" spans="1:2">
      <c r="A7113" s="20"/>
      <c r="B7113" s="22"/>
    </row>
    <row r="7114" spans="1:2">
      <c r="A7114" s="20"/>
      <c r="B7114" s="22"/>
    </row>
    <row r="7115" spans="1:2">
      <c r="A7115" s="20"/>
      <c r="B7115" s="22"/>
    </row>
    <row r="7116" spans="1:2">
      <c r="A7116" s="20"/>
      <c r="B7116" s="22"/>
    </row>
    <row r="7117" spans="1:2">
      <c r="A7117" s="20"/>
      <c r="B7117" s="22"/>
    </row>
    <row r="7118" spans="1:2">
      <c r="A7118" s="20"/>
      <c r="B7118" s="22"/>
    </row>
    <row r="7119" spans="1:2">
      <c r="A7119" s="20"/>
      <c r="B7119" s="22"/>
    </row>
    <row r="7120" spans="1:2">
      <c r="A7120" s="20"/>
      <c r="B7120" s="22"/>
    </row>
    <row r="7121" spans="1:2">
      <c r="A7121" s="20"/>
      <c r="B7121" s="22"/>
    </row>
    <row r="7122" spans="1:2">
      <c r="A7122" s="20"/>
      <c r="B7122" s="22"/>
    </row>
    <row r="7123" spans="1:2">
      <c r="A7123" s="20"/>
      <c r="B7123" s="22"/>
    </row>
    <row r="7124" spans="1:2">
      <c r="A7124" s="20"/>
      <c r="B7124" s="22"/>
    </row>
    <row r="7125" spans="1:2">
      <c r="A7125" s="20"/>
      <c r="B7125" s="22"/>
    </row>
    <row r="7126" spans="1:2">
      <c r="A7126" s="20"/>
      <c r="B7126" s="22"/>
    </row>
    <row r="7127" spans="1:2">
      <c r="A7127" s="20"/>
      <c r="B7127" s="22"/>
    </row>
    <row r="7128" spans="1:2">
      <c r="A7128" s="20"/>
      <c r="B7128" s="22"/>
    </row>
    <row r="7129" spans="1:2">
      <c r="A7129" s="20"/>
      <c r="B7129" s="22"/>
    </row>
    <row r="7130" spans="1:2">
      <c r="A7130" s="20"/>
      <c r="B7130" s="22"/>
    </row>
    <row r="7131" spans="1:2">
      <c r="A7131" s="20"/>
      <c r="B7131" s="22"/>
    </row>
    <row r="7132" spans="1:2">
      <c r="A7132" s="20"/>
      <c r="B7132" s="22"/>
    </row>
    <row r="7133" spans="1:2">
      <c r="A7133" s="20"/>
      <c r="B7133" s="22"/>
    </row>
    <row r="7134" spans="1:2">
      <c r="A7134" s="20"/>
      <c r="B7134" s="22"/>
    </row>
    <row r="7135" spans="1:2">
      <c r="A7135" s="20"/>
      <c r="B7135" s="22"/>
    </row>
    <row r="7136" spans="1:2">
      <c r="A7136" s="20"/>
      <c r="B7136" s="22"/>
    </row>
    <row r="7137" spans="1:2">
      <c r="A7137" s="20"/>
      <c r="B7137" s="22"/>
    </row>
    <row r="7138" spans="1:2">
      <c r="A7138" s="20"/>
      <c r="B7138" s="22"/>
    </row>
    <row r="7139" spans="1:2">
      <c r="A7139" s="20"/>
      <c r="B7139" s="22"/>
    </row>
    <row r="7140" spans="1:2">
      <c r="A7140" s="20"/>
      <c r="B7140" s="22"/>
    </row>
    <row r="7141" spans="1:2">
      <c r="A7141" s="20"/>
      <c r="B7141" s="22"/>
    </row>
    <row r="7142" spans="1:2">
      <c r="A7142" s="20"/>
      <c r="B7142" s="22"/>
    </row>
    <row r="7143" spans="1:2">
      <c r="A7143" s="20"/>
      <c r="B7143" s="22"/>
    </row>
    <row r="7144" spans="1:2">
      <c r="A7144" s="20"/>
      <c r="B7144" s="22"/>
    </row>
    <row r="7145" spans="1:2">
      <c r="A7145" s="20"/>
      <c r="B7145" s="22"/>
    </row>
    <row r="7146" spans="1:2">
      <c r="A7146" s="20"/>
      <c r="B7146" s="22"/>
    </row>
    <row r="7147" spans="1:2">
      <c r="A7147" s="20"/>
      <c r="B7147" s="22"/>
    </row>
    <row r="7148" spans="1:2">
      <c r="A7148" s="20"/>
      <c r="B7148" s="22"/>
    </row>
    <row r="7149" spans="1:2">
      <c r="A7149" s="20"/>
      <c r="B7149" s="22"/>
    </row>
    <row r="7150" spans="1:2">
      <c r="A7150" s="20"/>
      <c r="B7150" s="22"/>
    </row>
    <row r="7151" spans="1:2">
      <c r="A7151" s="20"/>
      <c r="B7151" s="22"/>
    </row>
    <row r="7152" spans="1:2">
      <c r="A7152" s="20"/>
      <c r="B7152" s="22"/>
    </row>
    <row r="7153" spans="1:2">
      <c r="A7153" s="20"/>
      <c r="B7153" s="22"/>
    </row>
    <row r="7154" spans="1:2">
      <c r="A7154" s="20"/>
      <c r="B7154" s="22"/>
    </row>
    <row r="7155" spans="1:2">
      <c r="A7155" s="20"/>
      <c r="B7155" s="22"/>
    </row>
    <row r="7156" spans="1:2">
      <c r="A7156" s="20"/>
      <c r="B7156" s="22"/>
    </row>
    <row r="7157" spans="1:2">
      <c r="A7157" s="20"/>
      <c r="B7157" s="22"/>
    </row>
    <row r="7158" spans="1:2">
      <c r="A7158" s="20"/>
      <c r="B7158" s="22"/>
    </row>
    <row r="7159" spans="1:2">
      <c r="A7159" s="20"/>
      <c r="B7159" s="22"/>
    </row>
    <row r="7160" spans="1:2">
      <c r="A7160" s="20"/>
      <c r="B7160" s="22"/>
    </row>
    <row r="7161" spans="1:2">
      <c r="A7161" s="20"/>
      <c r="B7161" s="22"/>
    </row>
    <row r="7162" spans="1:2">
      <c r="A7162" s="20"/>
      <c r="B7162" s="22"/>
    </row>
    <row r="7163" spans="1:2">
      <c r="A7163" s="20"/>
      <c r="B7163" s="22"/>
    </row>
    <row r="7164" spans="1:2">
      <c r="A7164" s="20"/>
      <c r="B7164" s="22"/>
    </row>
    <row r="7165" spans="1:2">
      <c r="A7165" s="20"/>
      <c r="B7165" s="22"/>
    </row>
    <row r="7166" spans="1:2">
      <c r="A7166" s="20"/>
      <c r="B7166" s="22"/>
    </row>
    <row r="7167" spans="1:2">
      <c r="A7167" s="20"/>
      <c r="B7167" s="22"/>
    </row>
    <row r="7168" spans="1:2">
      <c r="A7168" s="20"/>
      <c r="B7168" s="22"/>
    </row>
    <row r="7169" spans="1:2">
      <c r="A7169" s="20"/>
      <c r="B7169" s="22"/>
    </row>
    <row r="7170" spans="1:2">
      <c r="A7170" s="20"/>
      <c r="B7170" s="22"/>
    </row>
    <row r="7171" spans="1:2">
      <c r="A7171" s="20"/>
      <c r="B7171" s="22"/>
    </row>
    <row r="7172" spans="1:2">
      <c r="A7172" s="20"/>
      <c r="B7172" s="22"/>
    </row>
    <row r="7173" spans="1:2">
      <c r="A7173" s="20"/>
      <c r="B7173" s="22"/>
    </row>
    <row r="7174" spans="1:2">
      <c r="A7174" s="20"/>
      <c r="B7174" s="22"/>
    </row>
    <row r="7175" spans="1:2">
      <c r="A7175" s="20"/>
      <c r="B7175" s="22"/>
    </row>
    <row r="7176" spans="1:2">
      <c r="A7176" s="20"/>
      <c r="B7176" s="22"/>
    </row>
    <row r="7177" spans="1:2">
      <c r="A7177" s="20"/>
      <c r="B7177" s="22"/>
    </row>
    <row r="7178" spans="1:2">
      <c r="A7178" s="20"/>
      <c r="B7178" s="22"/>
    </row>
    <row r="7179" spans="1:2">
      <c r="A7179" s="20"/>
      <c r="B7179" s="22"/>
    </row>
    <row r="7180" spans="1:2">
      <c r="A7180" s="20"/>
      <c r="B7180" s="22"/>
    </row>
    <row r="7181" spans="1:2">
      <c r="A7181" s="20"/>
      <c r="B7181" s="22"/>
    </row>
    <row r="7182" spans="1:2">
      <c r="A7182" s="20"/>
      <c r="B7182" s="22"/>
    </row>
    <row r="7183" spans="1:2">
      <c r="A7183" s="20"/>
      <c r="B7183" s="22"/>
    </row>
    <row r="7184" spans="1:2">
      <c r="A7184" s="20"/>
      <c r="B7184" s="22"/>
    </row>
    <row r="7185" spans="1:2">
      <c r="A7185" s="20"/>
      <c r="B7185" s="22"/>
    </row>
    <row r="7186" spans="1:2">
      <c r="A7186" s="20"/>
      <c r="B7186" s="22"/>
    </row>
    <row r="7187" spans="1:2">
      <c r="A7187" s="20"/>
      <c r="B7187" s="22"/>
    </row>
    <row r="7188" spans="1:2">
      <c r="A7188" s="20"/>
      <c r="B7188" s="22"/>
    </row>
    <row r="7189" spans="1:2">
      <c r="A7189" s="20"/>
      <c r="B7189" s="22"/>
    </row>
    <row r="7190" spans="1:2">
      <c r="A7190" s="20"/>
      <c r="B7190" s="22"/>
    </row>
    <row r="7191" spans="1:2">
      <c r="A7191" s="20"/>
      <c r="B7191" s="22"/>
    </row>
    <row r="7192" spans="1:2">
      <c r="A7192" s="20"/>
      <c r="B7192" s="22"/>
    </row>
    <row r="7193" spans="1:2">
      <c r="A7193" s="20"/>
      <c r="B7193" s="22"/>
    </row>
    <row r="7194" spans="1:2">
      <c r="A7194" s="20"/>
      <c r="B7194" s="22"/>
    </row>
    <row r="7195" spans="1:2">
      <c r="A7195" s="20"/>
      <c r="B7195" s="22"/>
    </row>
    <row r="7196" spans="1:2">
      <c r="A7196" s="20"/>
      <c r="B7196" s="22"/>
    </row>
    <row r="7197" spans="1:2">
      <c r="A7197" s="20"/>
      <c r="B7197" s="22"/>
    </row>
    <row r="7198" spans="1:2">
      <c r="A7198" s="20"/>
      <c r="B7198" s="22"/>
    </row>
    <row r="7199" spans="1:2">
      <c r="A7199" s="20"/>
      <c r="B7199" s="22"/>
    </row>
    <row r="7200" spans="1:2">
      <c r="A7200" s="20"/>
      <c r="B7200" s="22"/>
    </row>
    <row r="7201" spans="1:2">
      <c r="A7201" s="20"/>
      <c r="B7201" s="22"/>
    </row>
    <row r="7202" spans="1:2">
      <c r="A7202" s="20"/>
      <c r="B7202" s="22"/>
    </row>
    <row r="7203" spans="1:2">
      <c r="A7203" s="20"/>
      <c r="B7203" s="22"/>
    </row>
    <row r="7204" spans="1:2">
      <c r="A7204" s="20"/>
      <c r="B7204" s="22"/>
    </row>
    <row r="7205" spans="1:2">
      <c r="A7205" s="20"/>
      <c r="B7205" s="22"/>
    </row>
    <row r="7206" spans="1:2">
      <c r="A7206" s="20"/>
      <c r="B7206" s="22"/>
    </row>
    <row r="7207" spans="1:2">
      <c r="A7207" s="20"/>
      <c r="B7207" s="22"/>
    </row>
    <row r="7208" spans="1:2">
      <c r="A7208" s="20"/>
      <c r="B7208" s="22"/>
    </row>
    <row r="7209" spans="1:2">
      <c r="A7209" s="20"/>
      <c r="B7209" s="22"/>
    </row>
    <row r="7210" spans="1:2">
      <c r="A7210" s="20"/>
      <c r="B7210" s="22"/>
    </row>
    <row r="7211" spans="1:2">
      <c r="A7211" s="20"/>
      <c r="B7211" s="22"/>
    </row>
    <row r="7212" spans="1:2">
      <c r="A7212" s="20"/>
      <c r="B7212" s="22"/>
    </row>
    <row r="7213" spans="1:2">
      <c r="A7213" s="20"/>
      <c r="B7213" s="22"/>
    </row>
    <row r="7214" spans="1:2">
      <c r="A7214" s="20"/>
      <c r="B7214" s="22"/>
    </row>
    <row r="7215" spans="1:2">
      <c r="A7215" s="20"/>
      <c r="B7215" s="22"/>
    </row>
    <row r="7216" spans="1:2">
      <c r="A7216" s="20"/>
      <c r="B7216" s="22"/>
    </row>
    <row r="7217" spans="1:2">
      <c r="A7217" s="20"/>
      <c r="B7217" s="22"/>
    </row>
    <row r="7218" spans="1:2">
      <c r="A7218" s="20"/>
      <c r="B7218" s="22"/>
    </row>
    <row r="7219" spans="1:2">
      <c r="A7219" s="20"/>
      <c r="B7219" s="22"/>
    </row>
    <row r="7220" spans="1:2">
      <c r="A7220" s="20"/>
      <c r="B7220" s="22"/>
    </row>
    <row r="7221" spans="1:2">
      <c r="A7221" s="20"/>
      <c r="B7221" s="22"/>
    </row>
    <row r="7222" spans="1:2">
      <c r="A7222" s="20"/>
      <c r="B7222" s="22"/>
    </row>
    <row r="7223" spans="1:2">
      <c r="A7223" s="20"/>
      <c r="B7223" s="22"/>
    </row>
    <row r="7224" spans="1:2">
      <c r="A7224" s="20"/>
      <c r="B7224" s="22"/>
    </row>
    <row r="7225" spans="1:2">
      <c r="A7225" s="20"/>
      <c r="B7225" s="22"/>
    </row>
    <row r="7226" spans="1:2">
      <c r="A7226" s="20"/>
      <c r="B7226" s="22"/>
    </row>
    <row r="7227" spans="1:2">
      <c r="A7227" s="20"/>
      <c r="B7227" s="22"/>
    </row>
    <row r="7228" spans="1:2">
      <c r="A7228" s="20"/>
      <c r="B7228" s="22"/>
    </row>
    <row r="7229" spans="1:2">
      <c r="A7229" s="20"/>
      <c r="B7229" s="22"/>
    </row>
    <row r="7230" spans="1:2">
      <c r="A7230" s="20"/>
      <c r="B7230" s="22"/>
    </row>
    <row r="7231" spans="1:2">
      <c r="A7231" s="20"/>
      <c r="B7231" s="22"/>
    </row>
    <row r="7232" spans="1:2">
      <c r="A7232" s="20"/>
      <c r="B7232" s="22"/>
    </row>
    <row r="7233" spans="1:2">
      <c r="A7233" s="20"/>
      <c r="B7233" s="22"/>
    </row>
    <row r="7234" spans="1:2">
      <c r="A7234" s="20"/>
      <c r="B7234" s="22"/>
    </row>
    <row r="7235" spans="1:2">
      <c r="A7235" s="20"/>
      <c r="B7235" s="22"/>
    </row>
    <row r="7236" spans="1:2">
      <c r="A7236" s="20"/>
      <c r="B7236" s="22"/>
    </row>
    <row r="7237" spans="1:2">
      <c r="A7237" s="20"/>
      <c r="B7237" s="22"/>
    </row>
    <row r="7238" spans="1:2">
      <c r="A7238" s="20"/>
      <c r="B7238" s="22"/>
    </row>
    <row r="7239" spans="1:2">
      <c r="A7239" s="20"/>
      <c r="B7239" s="22"/>
    </row>
    <row r="7240" spans="1:2">
      <c r="A7240" s="20"/>
      <c r="B7240" s="22"/>
    </row>
    <row r="7241" spans="1:2">
      <c r="A7241" s="20"/>
      <c r="B7241" s="22"/>
    </row>
    <row r="7242" spans="1:2">
      <c r="A7242" s="20"/>
      <c r="B7242" s="22"/>
    </row>
    <row r="7243" spans="1:2">
      <c r="A7243" s="20"/>
      <c r="B7243" s="22"/>
    </row>
    <row r="7244" spans="1:2">
      <c r="A7244" s="20"/>
      <c r="B7244" s="22"/>
    </row>
    <row r="7245" spans="1:2">
      <c r="A7245" s="20"/>
      <c r="B7245" s="22"/>
    </row>
    <row r="7246" spans="1:2">
      <c r="A7246" s="20"/>
      <c r="B7246" s="22"/>
    </row>
    <row r="7247" spans="1:2">
      <c r="A7247" s="20"/>
      <c r="B7247" s="22"/>
    </row>
    <row r="7248" spans="1:2">
      <c r="A7248" s="20"/>
      <c r="B7248" s="22"/>
    </row>
    <row r="7249" spans="1:2">
      <c r="A7249" s="20"/>
      <c r="B7249" s="22"/>
    </row>
    <row r="7250" spans="1:2">
      <c r="A7250" s="20"/>
      <c r="B7250" s="22"/>
    </row>
    <row r="7251" spans="1:2">
      <c r="A7251" s="20"/>
      <c r="B7251" s="22"/>
    </row>
    <row r="7252" spans="1:2">
      <c r="A7252" s="20"/>
      <c r="B7252" s="22"/>
    </row>
    <row r="7253" spans="1:2">
      <c r="A7253" s="20"/>
      <c r="B7253" s="22"/>
    </row>
    <row r="7254" spans="1:2">
      <c r="A7254" s="20"/>
      <c r="B7254" s="22"/>
    </row>
    <row r="7255" spans="1:2">
      <c r="A7255" s="20"/>
      <c r="B7255" s="22"/>
    </row>
    <row r="7256" spans="1:2">
      <c r="A7256" s="20"/>
      <c r="B7256" s="22"/>
    </row>
    <row r="7257" spans="1:2">
      <c r="A7257" s="20"/>
      <c r="B7257" s="22"/>
    </row>
    <row r="7258" spans="1:2">
      <c r="A7258" s="20"/>
      <c r="B7258" s="22"/>
    </row>
    <row r="7259" spans="1:2">
      <c r="A7259" s="20"/>
      <c r="B7259" s="22"/>
    </row>
    <row r="7260" spans="1:2">
      <c r="A7260" s="20"/>
      <c r="B7260" s="22"/>
    </row>
    <row r="7261" spans="1:2">
      <c r="A7261" s="20"/>
      <c r="B7261" s="22"/>
    </row>
    <row r="7262" spans="1:2">
      <c r="A7262" s="20"/>
      <c r="B7262" s="22"/>
    </row>
    <row r="7263" spans="1:2">
      <c r="A7263" s="20"/>
      <c r="B7263" s="22"/>
    </row>
    <row r="7264" spans="1:2">
      <c r="A7264" s="20"/>
      <c r="B7264" s="22"/>
    </row>
    <row r="7265" spans="1:2">
      <c r="A7265" s="20"/>
      <c r="B7265" s="22"/>
    </row>
    <row r="7266" spans="1:2">
      <c r="A7266" s="20"/>
      <c r="B7266" s="22"/>
    </row>
    <row r="7267" spans="1:2">
      <c r="A7267" s="20"/>
      <c r="B7267" s="22"/>
    </row>
    <row r="7268" spans="1:2">
      <c r="A7268" s="20"/>
      <c r="B7268" s="22"/>
    </row>
    <row r="7269" spans="1:2">
      <c r="A7269" s="20"/>
      <c r="B7269" s="22"/>
    </row>
    <row r="7270" spans="1:2">
      <c r="A7270" s="20"/>
      <c r="B7270" s="22"/>
    </row>
    <row r="7271" spans="1:2">
      <c r="A7271" s="20"/>
      <c r="B7271" s="22"/>
    </row>
    <row r="7272" spans="1:2">
      <c r="A7272" s="20"/>
      <c r="B7272" s="22"/>
    </row>
    <row r="7273" spans="1:2">
      <c r="A7273" s="20"/>
      <c r="B7273" s="22"/>
    </row>
    <row r="7274" spans="1:2">
      <c r="A7274" s="20"/>
      <c r="B7274" s="22"/>
    </row>
    <row r="7275" spans="1:2">
      <c r="A7275" s="20"/>
      <c r="B7275" s="22"/>
    </row>
    <row r="7276" spans="1:2">
      <c r="A7276" s="20"/>
      <c r="B7276" s="22"/>
    </row>
    <row r="7277" spans="1:2">
      <c r="A7277" s="20"/>
      <c r="B7277" s="22"/>
    </row>
    <row r="7278" spans="1:2">
      <c r="A7278" s="20"/>
      <c r="B7278" s="22"/>
    </row>
    <row r="7279" spans="1:2">
      <c r="A7279" s="20"/>
      <c r="B7279" s="22"/>
    </row>
    <row r="7280" spans="1:2">
      <c r="A7280" s="20"/>
      <c r="B7280" s="22"/>
    </row>
    <row r="7281" spans="1:2">
      <c r="A7281" s="20"/>
      <c r="B7281" s="22"/>
    </row>
    <row r="7282" spans="1:2">
      <c r="A7282" s="20"/>
      <c r="B7282" s="22"/>
    </row>
    <row r="7283" spans="1:2">
      <c r="A7283" s="20"/>
      <c r="B7283" s="22"/>
    </row>
    <row r="7284" spans="1:2">
      <c r="A7284" s="20"/>
      <c r="B7284" s="22"/>
    </row>
    <row r="7285" spans="1:2">
      <c r="A7285" s="20"/>
      <c r="B7285" s="22"/>
    </row>
    <row r="7286" spans="1:2">
      <c r="A7286" s="20"/>
      <c r="B7286" s="22"/>
    </row>
    <row r="7287" spans="1:2">
      <c r="A7287" s="20"/>
      <c r="B7287" s="22"/>
    </row>
    <row r="7288" spans="1:2">
      <c r="A7288" s="20"/>
      <c r="B7288" s="22"/>
    </row>
    <row r="7289" spans="1:2">
      <c r="A7289" s="20"/>
      <c r="B7289" s="22"/>
    </row>
    <row r="7290" spans="1:2">
      <c r="A7290" s="20"/>
      <c r="B7290" s="22"/>
    </row>
    <row r="7291" spans="1:2">
      <c r="A7291" s="20"/>
      <c r="B7291" s="22"/>
    </row>
    <row r="7292" spans="1:2">
      <c r="A7292" s="20"/>
      <c r="B7292" s="22"/>
    </row>
    <row r="7293" spans="1:2">
      <c r="A7293" s="20"/>
      <c r="B7293" s="22"/>
    </row>
    <row r="7294" spans="1:2">
      <c r="A7294" s="20"/>
      <c r="B7294" s="22"/>
    </row>
    <row r="7295" spans="1:2">
      <c r="A7295" s="20"/>
      <c r="B7295" s="22"/>
    </row>
    <row r="7296" spans="1:2">
      <c r="A7296" s="20"/>
      <c r="B7296" s="22"/>
    </row>
    <row r="7297" spans="1:2">
      <c r="A7297" s="20"/>
      <c r="B7297" s="22"/>
    </row>
    <row r="7298" spans="1:2">
      <c r="A7298" s="20"/>
      <c r="B7298" s="22"/>
    </row>
    <row r="7299" spans="1:2">
      <c r="A7299" s="20"/>
      <c r="B7299" s="22"/>
    </row>
    <row r="7300" spans="1:2">
      <c r="A7300" s="20"/>
      <c r="B7300" s="22"/>
    </row>
    <row r="7301" spans="1:2">
      <c r="A7301" s="20"/>
      <c r="B7301" s="22"/>
    </row>
    <row r="7302" spans="1:2">
      <c r="A7302" s="20"/>
      <c r="B7302" s="22"/>
    </row>
    <row r="7303" spans="1:2">
      <c r="A7303" s="20"/>
      <c r="B7303" s="22"/>
    </row>
    <row r="7304" spans="1:2">
      <c r="A7304" s="20"/>
      <c r="B7304" s="22"/>
    </row>
    <row r="7305" spans="1:2">
      <c r="A7305" s="20"/>
      <c r="B7305" s="22"/>
    </row>
    <row r="7306" spans="1:2">
      <c r="A7306" s="20"/>
      <c r="B7306" s="22"/>
    </row>
    <row r="7307" spans="1:2">
      <c r="A7307" s="20"/>
      <c r="B7307" s="22"/>
    </row>
    <row r="7308" spans="1:2">
      <c r="A7308" s="20"/>
      <c r="B7308" s="22"/>
    </row>
    <row r="7309" spans="1:2">
      <c r="A7309" s="20"/>
      <c r="B7309" s="22"/>
    </row>
    <row r="7310" spans="1:2">
      <c r="A7310" s="20"/>
      <c r="B7310" s="22"/>
    </row>
    <row r="7311" spans="1:2">
      <c r="A7311" s="20"/>
      <c r="B7311" s="22"/>
    </row>
    <row r="7312" spans="1:2">
      <c r="A7312" s="20"/>
      <c r="B7312" s="22"/>
    </row>
    <row r="7313" spans="1:2">
      <c r="A7313" s="20"/>
      <c r="B7313" s="22"/>
    </row>
    <row r="7314" spans="1:2">
      <c r="A7314" s="20"/>
      <c r="B7314" s="22"/>
    </row>
    <row r="7315" spans="1:2">
      <c r="A7315" s="20"/>
      <c r="B7315" s="22"/>
    </row>
    <row r="7316" spans="1:2">
      <c r="A7316" s="20"/>
      <c r="B7316" s="22"/>
    </row>
    <row r="7317" spans="1:2">
      <c r="A7317" s="20"/>
      <c r="B7317" s="22"/>
    </row>
    <row r="7318" spans="1:2">
      <c r="A7318" s="20"/>
      <c r="B7318" s="22"/>
    </row>
    <row r="7319" spans="1:2">
      <c r="A7319" s="20"/>
      <c r="B7319" s="22"/>
    </row>
    <row r="7320" spans="1:2">
      <c r="A7320" s="20"/>
      <c r="B7320" s="22"/>
    </row>
    <row r="7321" spans="1:2">
      <c r="A7321" s="20"/>
      <c r="B7321" s="22"/>
    </row>
    <row r="7322" spans="1:2">
      <c r="A7322" s="20"/>
      <c r="B7322" s="22"/>
    </row>
    <row r="7323" spans="1:2">
      <c r="A7323" s="20"/>
      <c r="B7323" s="22"/>
    </row>
    <row r="7324" spans="1:2">
      <c r="A7324" s="20"/>
      <c r="B7324" s="22"/>
    </row>
    <row r="7325" spans="1:2">
      <c r="A7325" s="20"/>
      <c r="B7325" s="22"/>
    </row>
    <row r="7326" spans="1:2">
      <c r="A7326" s="20"/>
      <c r="B7326" s="22"/>
    </row>
    <row r="7327" spans="1:2">
      <c r="A7327" s="20"/>
      <c r="B7327" s="22"/>
    </row>
    <row r="7328" spans="1:2">
      <c r="A7328" s="20"/>
      <c r="B7328" s="22"/>
    </row>
    <row r="7329" spans="1:2">
      <c r="A7329" s="20"/>
      <c r="B7329" s="22"/>
    </row>
    <row r="7330" spans="1:2">
      <c r="A7330" s="20"/>
      <c r="B7330" s="22"/>
    </row>
    <row r="7331" spans="1:2">
      <c r="A7331" s="20"/>
      <c r="B7331" s="22"/>
    </row>
    <row r="7332" spans="1:2">
      <c r="A7332" s="20"/>
      <c r="B7332" s="22"/>
    </row>
    <row r="7333" spans="1:2">
      <c r="A7333" s="20"/>
      <c r="B7333" s="22"/>
    </row>
    <row r="7334" spans="1:2">
      <c r="A7334" s="20"/>
      <c r="B7334" s="22"/>
    </row>
    <row r="7335" spans="1:2">
      <c r="A7335" s="20"/>
      <c r="B7335" s="22"/>
    </row>
    <row r="7336" spans="1:2">
      <c r="A7336" s="20"/>
      <c r="B7336" s="22"/>
    </row>
    <row r="7337" spans="1:2">
      <c r="A7337" s="20"/>
      <c r="B7337" s="22"/>
    </row>
    <row r="7338" spans="1:2">
      <c r="A7338" s="20"/>
      <c r="B7338" s="22"/>
    </row>
    <row r="7339" spans="1:2">
      <c r="A7339" s="20"/>
      <c r="B7339" s="22"/>
    </row>
    <row r="7340" spans="1:2">
      <c r="A7340" s="20"/>
      <c r="B7340" s="22"/>
    </row>
    <row r="7341" spans="1:2">
      <c r="A7341" s="20"/>
      <c r="B7341" s="22"/>
    </row>
    <row r="7342" spans="1:2">
      <c r="A7342" s="20"/>
      <c r="B7342" s="22"/>
    </row>
    <row r="7343" spans="1:2">
      <c r="A7343" s="20"/>
      <c r="B7343" s="22"/>
    </row>
    <row r="7344" spans="1:2">
      <c r="A7344" s="20"/>
      <c r="B7344" s="22"/>
    </row>
    <row r="7345" spans="1:2">
      <c r="A7345" s="20"/>
      <c r="B7345" s="22"/>
    </row>
    <row r="7346" spans="1:2">
      <c r="A7346" s="20"/>
      <c r="B7346" s="22"/>
    </row>
    <row r="7347" spans="1:2">
      <c r="A7347" s="20"/>
      <c r="B7347" s="22"/>
    </row>
    <row r="7348" spans="1:2">
      <c r="A7348" s="20"/>
      <c r="B7348" s="22"/>
    </row>
    <row r="7349" spans="1:2">
      <c r="A7349" s="20"/>
      <c r="B7349" s="22"/>
    </row>
    <row r="7350" spans="1:2">
      <c r="A7350" s="20"/>
      <c r="B7350" s="22"/>
    </row>
    <row r="7351" spans="1:2">
      <c r="A7351" s="20"/>
      <c r="B7351" s="22"/>
    </row>
    <row r="7352" spans="1:2">
      <c r="A7352" s="20"/>
      <c r="B7352" s="22"/>
    </row>
    <row r="7353" spans="1:2">
      <c r="A7353" s="20"/>
      <c r="B7353" s="22"/>
    </row>
    <row r="7354" spans="1:2">
      <c r="A7354" s="20"/>
      <c r="B7354" s="22"/>
    </row>
    <row r="7355" spans="1:2">
      <c r="A7355" s="20"/>
      <c r="B7355" s="22"/>
    </row>
    <row r="7356" spans="1:2">
      <c r="A7356" s="20"/>
      <c r="B7356" s="22"/>
    </row>
    <row r="7357" spans="1:2">
      <c r="A7357" s="20"/>
      <c r="B7357" s="22"/>
    </row>
    <row r="7358" spans="1:2">
      <c r="A7358" s="20"/>
      <c r="B7358" s="22"/>
    </row>
    <row r="7359" spans="1:2">
      <c r="A7359" s="20"/>
      <c r="B7359" s="22"/>
    </row>
    <row r="7360" spans="1:2">
      <c r="A7360" s="20"/>
      <c r="B7360" s="22"/>
    </row>
    <row r="7361" spans="1:2">
      <c r="A7361" s="20"/>
      <c r="B7361" s="22"/>
    </row>
    <row r="7362" spans="1:2">
      <c r="A7362" s="20"/>
      <c r="B7362" s="22"/>
    </row>
    <row r="7363" spans="1:2">
      <c r="A7363" s="20"/>
      <c r="B7363" s="22"/>
    </row>
    <row r="7364" spans="1:2">
      <c r="A7364" s="20"/>
      <c r="B7364" s="22"/>
    </row>
    <row r="7365" spans="1:2">
      <c r="A7365" s="20"/>
      <c r="B7365" s="22"/>
    </row>
    <row r="7366" spans="1:2">
      <c r="A7366" s="20"/>
      <c r="B7366" s="22"/>
    </row>
    <row r="7367" spans="1:2">
      <c r="A7367" s="20"/>
      <c r="B7367" s="22"/>
    </row>
    <row r="7368" spans="1:2">
      <c r="A7368" s="20"/>
      <c r="B7368" s="22"/>
    </row>
    <row r="7369" spans="1:2">
      <c r="A7369" s="20"/>
      <c r="B7369" s="22"/>
    </row>
    <row r="7370" spans="1:2">
      <c r="A7370" s="20"/>
      <c r="B7370" s="22"/>
    </row>
    <row r="7371" spans="1:2">
      <c r="A7371" s="20"/>
      <c r="B7371" s="22"/>
    </row>
    <row r="7372" spans="1:2">
      <c r="A7372" s="20"/>
      <c r="B7372" s="22"/>
    </row>
    <row r="7373" spans="1:2">
      <c r="A7373" s="20"/>
      <c r="B7373" s="22"/>
    </row>
    <row r="7374" spans="1:2">
      <c r="A7374" s="20"/>
      <c r="B7374" s="22"/>
    </row>
    <row r="7375" spans="1:2">
      <c r="A7375" s="20"/>
      <c r="B7375" s="22"/>
    </row>
    <row r="7376" spans="1:2">
      <c r="A7376" s="20"/>
      <c r="B7376" s="22"/>
    </row>
    <row r="7377" spans="1:2">
      <c r="A7377" s="20"/>
      <c r="B7377" s="22"/>
    </row>
    <row r="7378" spans="1:2">
      <c r="A7378" s="20"/>
      <c r="B7378" s="22"/>
    </row>
    <row r="7379" spans="1:2">
      <c r="A7379" s="20"/>
      <c r="B7379" s="22"/>
    </row>
    <row r="7380" spans="1:2">
      <c r="A7380" s="20"/>
      <c r="B7380" s="22"/>
    </row>
    <row r="7381" spans="1:2">
      <c r="A7381" s="20"/>
      <c r="B7381" s="22"/>
    </row>
    <row r="7382" spans="1:2">
      <c r="A7382" s="20"/>
      <c r="B7382" s="22"/>
    </row>
    <row r="7383" spans="1:2">
      <c r="A7383" s="20"/>
      <c r="B7383" s="22"/>
    </row>
    <row r="7384" spans="1:2">
      <c r="A7384" s="20"/>
      <c r="B7384" s="22"/>
    </row>
    <row r="7385" spans="1:2">
      <c r="A7385" s="20"/>
      <c r="B7385" s="22"/>
    </row>
    <row r="7386" spans="1:2">
      <c r="A7386" s="20"/>
      <c r="B7386" s="22"/>
    </row>
    <row r="7387" spans="1:2">
      <c r="A7387" s="20"/>
      <c r="B7387" s="22"/>
    </row>
    <row r="7388" spans="1:2">
      <c r="A7388" s="20"/>
      <c r="B7388" s="22"/>
    </row>
    <row r="7389" spans="1:2">
      <c r="A7389" s="20"/>
      <c r="B7389" s="22"/>
    </row>
    <row r="7390" spans="1:2">
      <c r="A7390" s="20"/>
      <c r="B7390" s="22"/>
    </row>
    <row r="7391" spans="1:2">
      <c r="A7391" s="20"/>
      <c r="B7391" s="22"/>
    </row>
    <row r="7392" spans="1:2">
      <c r="A7392" s="20"/>
      <c r="B7392" s="22"/>
    </row>
    <row r="7393" spans="1:2">
      <c r="A7393" s="20"/>
      <c r="B7393" s="22"/>
    </row>
    <row r="7394" spans="1:2">
      <c r="A7394" s="20"/>
      <c r="B7394" s="22"/>
    </row>
    <row r="7395" spans="1:2">
      <c r="A7395" s="20"/>
      <c r="B7395" s="22"/>
    </row>
    <row r="7396" spans="1:2">
      <c r="A7396" s="20"/>
      <c r="B7396" s="22"/>
    </row>
    <row r="7397" spans="1:2">
      <c r="A7397" s="20"/>
      <c r="B7397" s="22"/>
    </row>
    <row r="7398" spans="1:2">
      <c r="A7398" s="20"/>
      <c r="B7398" s="22"/>
    </row>
    <row r="7399" spans="1:2">
      <c r="A7399" s="20"/>
      <c r="B7399" s="22"/>
    </row>
    <row r="7400" spans="1:2">
      <c r="A7400" s="20"/>
      <c r="B7400" s="22"/>
    </row>
    <row r="7401" spans="1:2">
      <c r="A7401" s="20"/>
      <c r="B7401" s="22"/>
    </row>
    <row r="7402" spans="1:2">
      <c r="A7402" s="20"/>
      <c r="B7402" s="22"/>
    </row>
    <row r="7403" spans="1:2">
      <c r="A7403" s="20"/>
      <c r="B7403" s="22"/>
    </row>
    <row r="7404" spans="1:2">
      <c r="A7404" s="20"/>
      <c r="B7404" s="22"/>
    </row>
    <row r="7405" spans="1:2">
      <c r="A7405" s="20"/>
      <c r="B7405" s="22"/>
    </row>
    <row r="7406" spans="1:2">
      <c r="A7406" s="20"/>
      <c r="B7406" s="22"/>
    </row>
    <row r="7407" spans="1:2">
      <c r="A7407" s="20"/>
      <c r="B7407" s="22"/>
    </row>
    <row r="7408" spans="1:2">
      <c r="A7408" s="20"/>
      <c r="B7408" s="22"/>
    </row>
    <row r="7409" spans="1:2">
      <c r="A7409" s="20"/>
      <c r="B7409" s="22"/>
    </row>
    <row r="7410" spans="1:2">
      <c r="A7410" s="20"/>
      <c r="B7410" s="22"/>
    </row>
    <row r="7411" spans="1:2">
      <c r="A7411" s="20"/>
      <c r="B7411" s="22"/>
    </row>
    <row r="7412" spans="1:2">
      <c r="A7412" s="20"/>
      <c r="B7412" s="22"/>
    </row>
    <row r="7413" spans="1:2">
      <c r="A7413" s="20"/>
      <c r="B7413" s="22"/>
    </row>
    <row r="7414" spans="1:2">
      <c r="A7414" s="20"/>
      <c r="B7414" s="22"/>
    </row>
    <row r="7415" spans="1:2">
      <c r="A7415" s="20"/>
      <c r="B7415" s="22"/>
    </row>
    <row r="7416" spans="1:2">
      <c r="A7416" s="20"/>
      <c r="B7416" s="22"/>
    </row>
    <row r="7417" spans="1:2">
      <c r="A7417" s="20"/>
      <c r="B7417" s="22"/>
    </row>
    <row r="7418" spans="1:2">
      <c r="A7418" s="20"/>
      <c r="B7418" s="22"/>
    </row>
    <row r="7419" spans="1:2">
      <c r="A7419" s="20"/>
      <c r="B7419" s="22"/>
    </row>
    <row r="7420" spans="1:2">
      <c r="A7420" s="20"/>
      <c r="B7420" s="22"/>
    </row>
    <row r="7421" spans="1:2">
      <c r="A7421" s="20"/>
      <c r="B7421" s="22"/>
    </row>
    <row r="7422" spans="1:2">
      <c r="A7422" s="20"/>
      <c r="B7422" s="22"/>
    </row>
    <row r="7423" spans="1:2">
      <c r="A7423" s="20"/>
      <c r="B7423" s="22"/>
    </row>
    <row r="7424" spans="1:2">
      <c r="A7424" s="20"/>
      <c r="B7424" s="22"/>
    </row>
    <row r="7425" spans="1:2">
      <c r="A7425" s="20"/>
      <c r="B7425" s="22"/>
    </row>
    <row r="7426" spans="1:2">
      <c r="A7426" s="20"/>
      <c r="B7426" s="22"/>
    </row>
    <row r="7427" spans="1:2">
      <c r="A7427" s="20"/>
      <c r="B7427" s="22"/>
    </row>
    <row r="7428" spans="1:2">
      <c r="A7428" s="20"/>
      <c r="B7428" s="22"/>
    </row>
    <row r="7429" spans="1:2">
      <c r="A7429" s="20"/>
      <c r="B7429" s="22"/>
    </row>
    <row r="7430" spans="1:2">
      <c r="A7430" s="20"/>
      <c r="B7430" s="22"/>
    </row>
    <row r="7431" spans="1:2">
      <c r="A7431" s="20"/>
      <c r="B7431" s="22"/>
    </row>
    <row r="7432" spans="1:2">
      <c r="A7432" s="20"/>
      <c r="B7432" s="22"/>
    </row>
    <row r="7433" spans="1:2">
      <c r="A7433" s="20"/>
      <c r="B7433" s="22"/>
    </row>
    <row r="7434" spans="1:2">
      <c r="A7434" s="20"/>
      <c r="B7434" s="22"/>
    </row>
    <row r="7435" spans="1:2">
      <c r="A7435" s="20"/>
      <c r="B7435" s="22"/>
    </row>
    <row r="7436" spans="1:2">
      <c r="A7436" s="20"/>
      <c r="B7436" s="22"/>
    </row>
    <row r="7437" spans="1:2">
      <c r="A7437" s="20"/>
      <c r="B7437" s="22"/>
    </row>
    <row r="7438" spans="1:2">
      <c r="A7438" s="20"/>
      <c r="B7438" s="22"/>
    </row>
    <row r="7439" spans="1:2">
      <c r="A7439" s="20"/>
      <c r="B7439" s="22"/>
    </row>
    <row r="7440" spans="1:2">
      <c r="A7440" s="20"/>
      <c r="B7440" s="22"/>
    </row>
    <row r="7441" spans="1:2">
      <c r="A7441" s="20"/>
      <c r="B7441" s="22"/>
    </row>
    <row r="7442" spans="1:2">
      <c r="A7442" s="20"/>
      <c r="B7442" s="22"/>
    </row>
    <row r="7443" spans="1:2">
      <c r="A7443" s="20"/>
      <c r="B7443" s="22"/>
    </row>
    <row r="7444" spans="1:2">
      <c r="A7444" s="20"/>
      <c r="B7444" s="22"/>
    </row>
    <row r="7445" spans="1:2">
      <c r="A7445" s="20"/>
      <c r="B7445" s="22"/>
    </row>
    <row r="7446" spans="1:2">
      <c r="A7446" s="20"/>
      <c r="B7446" s="22"/>
    </row>
    <row r="7447" spans="1:2">
      <c r="A7447" s="20"/>
      <c r="B7447" s="22"/>
    </row>
    <row r="7448" spans="1:2">
      <c r="A7448" s="20"/>
      <c r="B7448" s="22"/>
    </row>
    <row r="7449" spans="1:2">
      <c r="A7449" s="20"/>
      <c r="B7449" s="22"/>
    </row>
    <row r="7450" spans="1:2">
      <c r="A7450" s="20"/>
      <c r="B7450" s="22"/>
    </row>
    <row r="7451" spans="1:2">
      <c r="A7451" s="20"/>
      <c r="B7451" s="22"/>
    </row>
    <row r="7452" spans="1:2">
      <c r="A7452" s="20"/>
      <c r="B7452" s="22"/>
    </row>
    <row r="7453" spans="1:2">
      <c r="A7453" s="20"/>
      <c r="B7453" s="22"/>
    </row>
    <row r="7454" spans="1:2">
      <c r="A7454" s="20"/>
      <c r="B7454" s="22"/>
    </row>
    <row r="7455" spans="1:2">
      <c r="A7455" s="20"/>
      <c r="B7455" s="22"/>
    </row>
    <row r="7456" spans="1:2">
      <c r="A7456" s="20"/>
      <c r="B7456" s="22"/>
    </row>
    <row r="7457" spans="1:2">
      <c r="A7457" s="20"/>
      <c r="B7457" s="22"/>
    </row>
    <row r="7458" spans="1:2">
      <c r="A7458" s="20"/>
      <c r="B7458" s="22"/>
    </row>
    <row r="7459" spans="1:2">
      <c r="A7459" s="20"/>
      <c r="B7459" s="22"/>
    </row>
    <row r="7460" spans="1:2">
      <c r="A7460" s="20"/>
      <c r="B7460" s="22"/>
    </row>
    <row r="7461" spans="1:2">
      <c r="A7461" s="20"/>
      <c r="B7461" s="22"/>
    </row>
    <row r="7462" spans="1:2">
      <c r="A7462" s="20"/>
      <c r="B7462" s="22"/>
    </row>
    <row r="7463" spans="1:2">
      <c r="A7463" s="20"/>
      <c r="B7463" s="22"/>
    </row>
    <row r="7464" spans="1:2">
      <c r="A7464" s="20"/>
      <c r="B7464" s="22"/>
    </row>
    <row r="7465" spans="1:2">
      <c r="A7465" s="20"/>
      <c r="B7465" s="22"/>
    </row>
    <row r="7466" spans="1:2">
      <c r="A7466" s="20"/>
      <c r="B7466" s="22"/>
    </row>
    <row r="7467" spans="1:2">
      <c r="A7467" s="20"/>
      <c r="B7467" s="22"/>
    </row>
    <row r="7468" spans="1:2">
      <c r="A7468" s="20"/>
      <c r="B7468" s="22"/>
    </row>
    <row r="7469" spans="1:2">
      <c r="A7469" s="20"/>
      <c r="B7469" s="22"/>
    </row>
    <row r="7470" spans="1:2">
      <c r="A7470" s="20"/>
      <c r="B7470" s="22"/>
    </row>
    <row r="7471" spans="1:2">
      <c r="A7471" s="20"/>
      <c r="B7471" s="22"/>
    </row>
    <row r="7472" spans="1:2">
      <c r="A7472" s="20"/>
      <c r="B7472" s="22"/>
    </row>
    <row r="7473" spans="1:2">
      <c r="A7473" s="20"/>
      <c r="B7473" s="22"/>
    </row>
    <row r="7474" spans="1:2">
      <c r="A7474" s="20"/>
      <c r="B7474" s="22"/>
    </row>
    <row r="7475" spans="1:2">
      <c r="A7475" s="20"/>
      <c r="B7475" s="22"/>
    </row>
    <row r="7476" spans="1:2">
      <c r="A7476" s="20"/>
      <c r="B7476" s="22"/>
    </row>
    <row r="7477" spans="1:2">
      <c r="A7477" s="20"/>
      <c r="B7477" s="22"/>
    </row>
    <row r="7478" spans="1:2">
      <c r="A7478" s="20"/>
      <c r="B7478" s="22"/>
    </row>
    <row r="7479" spans="1:2">
      <c r="A7479" s="20"/>
      <c r="B7479" s="22"/>
    </row>
    <row r="7480" spans="1:2">
      <c r="A7480" s="20"/>
      <c r="B7480" s="22"/>
    </row>
    <row r="7481" spans="1:2">
      <c r="A7481" s="20"/>
      <c r="B7481" s="22"/>
    </row>
    <row r="7482" spans="1:2">
      <c r="A7482" s="20"/>
      <c r="B7482" s="22"/>
    </row>
    <row r="7483" spans="1:2">
      <c r="A7483" s="20"/>
      <c r="B7483" s="22"/>
    </row>
    <row r="7484" spans="1:2">
      <c r="A7484" s="20"/>
      <c r="B7484" s="22"/>
    </row>
    <row r="7485" spans="1:2">
      <c r="A7485" s="20"/>
      <c r="B7485" s="22"/>
    </row>
    <row r="7486" spans="1:2">
      <c r="A7486" s="20"/>
      <c r="B7486" s="22"/>
    </row>
    <row r="7487" spans="1:2">
      <c r="A7487" s="20"/>
      <c r="B7487" s="22"/>
    </row>
    <row r="7488" spans="1:2">
      <c r="A7488" s="20"/>
      <c r="B7488" s="22"/>
    </row>
    <row r="7489" spans="1:2">
      <c r="A7489" s="20"/>
      <c r="B7489" s="22"/>
    </row>
    <row r="7490" spans="1:2">
      <c r="A7490" s="20"/>
      <c r="B7490" s="22"/>
    </row>
    <row r="7491" spans="1:2">
      <c r="A7491" s="20"/>
      <c r="B7491" s="22"/>
    </row>
    <row r="7492" spans="1:2">
      <c r="A7492" s="20"/>
      <c r="B7492" s="22"/>
    </row>
    <row r="7493" spans="1:2">
      <c r="A7493" s="20"/>
      <c r="B7493" s="22"/>
    </row>
    <row r="7494" spans="1:2">
      <c r="A7494" s="20"/>
      <c r="B7494" s="22"/>
    </row>
    <row r="7495" spans="1:2">
      <c r="A7495" s="20"/>
      <c r="B7495" s="22"/>
    </row>
    <row r="7496" spans="1:2">
      <c r="A7496" s="20"/>
      <c r="B7496" s="22"/>
    </row>
    <row r="7497" spans="1:2">
      <c r="A7497" s="20"/>
      <c r="B7497" s="22"/>
    </row>
    <row r="7498" spans="1:2">
      <c r="A7498" s="20"/>
      <c r="B7498" s="22"/>
    </row>
    <row r="7499" spans="1:2">
      <c r="A7499" s="20"/>
      <c r="B7499" s="22"/>
    </row>
    <row r="7500" spans="1:2">
      <c r="A7500" s="20"/>
      <c r="B7500" s="22"/>
    </row>
    <row r="7501" spans="1:2">
      <c r="A7501" s="20"/>
      <c r="B7501" s="22"/>
    </row>
    <row r="7502" spans="1:2">
      <c r="A7502" s="20"/>
      <c r="B7502" s="22"/>
    </row>
    <row r="7503" spans="1:2">
      <c r="A7503" s="20"/>
      <c r="B7503" s="22"/>
    </row>
    <row r="7504" spans="1:2">
      <c r="A7504" s="20"/>
      <c r="B7504" s="22"/>
    </row>
    <row r="7505" spans="1:2">
      <c r="A7505" s="20"/>
      <c r="B7505" s="22"/>
    </row>
    <row r="7506" spans="1:2">
      <c r="A7506" s="20"/>
      <c r="B7506" s="22"/>
    </row>
    <row r="7507" spans="1:2">
      <c r="A7507" s="20"/>
      <c r="B7507" s="22"/>
    </row>
    <row r="7508" spans="1:2">
      <c r="A7508" s="20"/>
      <c r="B7508" s="22"/>
    </row>
    <row r="7509" spans="1:2">
      <c r="A7509" s="20"/>
      <c r="B7509" s="22"/>
    </row>
    <row r="7510" spans="1:2">
      <c r="A7510" s="20"/>
      <c r="B7510" s="22"/>
    </row>
    <row r="7511" spans="1:2">
      <c r="A7511" s="20"/>
      <c r="B7511" s="22"/>
    </row>
    <row r="7512" spans="1:2">
      <c r="A7512" s="20"/>
      <c r="B7512" s="22"/>
    </row>
    <row r="7513" spans="1:2">
      <c r="A7513" s="20"/>
      <c r="B7513" s="22"/>
    </row>
    <row r="7514" spans="1:2">
      <c r="A7514" s="20"/>
      <c r="B7514" s="22"/>
    </row>
    <row r="7515" spans="1:2">
      <c r="A7515" s="20"/>
      <c r="B7515" s="22"/>
    </row>
    <row r="7516" spans="1:2">
      <c r="A7516" s="20"/>
      <c r="B7516" s="22"/>
    </row>
    <row r="7517" spans="1:2">
      <c r="A7517" s="20"/>
      <c r="B7517" s="22"/>
    </row>
    <row r="7518" spans="1:2">
      <c r="A7518" s="20"/>
      <c r="B7518" s="22"/>
    </row>
    <row r="7519" spans="1:2">
      <c r="A7519" s="20"/>
      <c r="B7519" s="22"/>
    </row>
    <row r="7520" spans="1:2">
      <c r="A7520" s="20"/>
      <c r="B7520" s="22"/>
    </row>
    <row r="7521" spans="1:2">
      <c r="A7521" s="20"/>
      <c r="B7521" s="22"/>
    </row>
    <row r="7522" spans="1:2">
      <c r="A7522" s="20"/>
      <c r="B7522" s="22"/>
    </row>
    <row r="7523" spans="1:2">
      <c r="A7523" s="20"/>
      <c r="B7523" s="22"/>
    </row>
    <row r="7524" spans="1:2">
      <c r="A7524" s="20"/>
      <c r="B7524" s="22"/>
    </row>
    <row r="7525" spans="1:2">
      <c r="A7525" s="20"/>
      <c r="B7525" s="22"/>
    </row>
    <row r="7526" spans="1:2">
      <c r="A7526" s="20"/>
      <c r="B7526" s="22"/>
    </row>
    <row r="7527" spans="1:2">
      <c r="A7527" s="20"/>
      <c r="B7527" s="22"/>
    </row>
    <row r="7528" spans="1:2">
      <c r="A7528" s="20"/>
      <c r="B7528" s="22"/>
    </row>
    <row r="7529" spans="1:2">
      <c r="A7529" s="20"/>
      <c r="B7529" s="22"/>
    </row>
    <row r="7530" spans="1:2">
      <c r="A7530" s="20"/>
      <c r="B7530" s="22"/>
    </row>
    <row r="7531" spans="1:2">
      <c r="A7531" s="20"/>
      <c r="B7531" s="22"/>
    </row>
    <row r="7532" spans="1:2">
      <c r="A7532" s="20"/>
      <c r="B7532" s="22"/>
    </row>
    <row r="7533" spans="1:2">
      <c r="A7533" s="20"/>
      <c r="B7533" s="22"/>
    </row>
    <row r="7534" spans="1:2">
      <c r="A7534" s="20"/>
      <c r="B7534" s="22"/>
    </row>
    <row r="7535" spans="1:2">
      <c r="A7535" s="20"/>
      <c r="B7535" s="22"/>
    </row>
    <row r="7536" spans="1:2">
      <c r="A7536" s="20"/>
      <c r="B7536" s="22"/>
    </row>
    <row r="7537" spans="1:2">
      <c r="A7537" s="20"/>
      <c r="B7537" s="22"/>
    </row>
    <row r="7538" spans="1:2">
      <c r="A7538" s="20"/>
      <c r="B7538" s="22"/>
    </row>
    <row r="7539" spans="1:2">
      <c r="A7539" s="20"/>
      <c r="B7539" s="22"/>
    </row>
    <row r="7540" spans="1:2">
      <c r="A7540" s="20"/>
      <c r="B7540" s="22"/>
    </row>
    <row r="7541" spans="1:2">
      <c r="A7541" s="20"/>
      <c r="B7541" s="22"/>
    </row>
    <row r="7542" spans="1:2">
      <c r="A7542" s="20"/>
      <c r="B7542" s="22"/>
    </row>
    <row r="7543" spans="1:2">
      <c r="A7543" s="20"/>
      <c r="B7543" s="22"/>
    </row>
    <row r="7544" spans="1:2">
      <c r="A7544" s="20"/>
      <c r="B7544" s="22"/>
    </row>
    <row r="7545" spans="1:2">
      <c r="A7545" s="20"/>
      <c r="B7545" s="22"/>
    </row>
    <row r="7546" spans="1:2">
      <c r="A7546" s="20"/>
      <c r="B7546" s="22"/>
    </row>
    <row r="7547" spans="1:2">
      <c r="A7547" s="20"/>
      <c r="B7547" s="22"/>
    </row>
    <row r="7548" spans="1:2">
      <c r="A7548" s="20"/>
      <c r="B7548" s="22"/>
    </row>
    <row r="7549" spans="1:2">
      <c r="A7549" s="20"/>
      <c r="B7549" s="22"/>
    </row>
    <row r="7550" spans="1:2">
      <c r="A7550" s="20"/>
      <c r="B7550" s="22"/>
    </row>
    <row r="7551" spans="1:2">
      <c r="A7551" s="20"/>
      <c r="B7551" s="22"/>
    </row>
    <row r="7552" spans="1:2">
      <c r="A7552" s="20"/>
      <c r="B7552" s="22"/>
    </row>
    <row r="7553" spans="1:2">
      <c r="A7553" s="20"/>
      <c r="B7553" s="22"/>
    </row>
    <row r="7554" spans="1:2">
      <c r="A7554" s="20"/>
      <c r="B7554" s="22"/>
    </row>
    <row r="7555" spans="1:2">
      <c r="A7555" s="20"/>
      <c r="B7555" s="22"/>
    </row>
    <row r="7556" spans="1:2">
      <c r="A7556" s="20"/>
      <c r="B7556" s="22"/>
    </row>
    <row r="7557" spans="1:2">
      <c r="A7557" s="20"/>
      <c r="B7557" s="22"/>
    </row>
    <row r="7558" spans="1:2">
      <c r="A7558" s="20"/>
      <c r="B7558" s="22"/>
    </row>
    <row r="7559" spans="1:2">
      <c r="A7559" s="20"/>
      <c r="B7559" s="22"/>
    </row>
    <row r="7560" spans="1:2">
      <c r="A7560" s="20"/>
      <c r="B7560" s="22"/>
    </row>
    <row r="7561" spans="1:2">
      <c r="A7561" s="20"/>
      <c r="B7561" s="22"/>
    </row>
    <row r="7562" spans="1:2">
      <c r="A7562" s="20"/>
      <c r="B7562" s="22"/>
    </row>
    <row r="7563" spans="1:2">
      <c r="A7563" s="20"/>
      <c r="B7563" s="22"/>
    </row>
    <row r="7564" spans="1:2">
      <c r="A7564" s="20"/>
      <c r="B7564" s="22"/>
    </row>
    <row r="7565" spans="1:2">
      <c r="A7565" s="20"/>
      <c r="B7565" s="22"/>
    </row>
    <row r="7566" spans="1:2">
      <c r="A7566" s="20"/>
      <c r="B7566" s="22"/>
    </row>
    <row r="7567" spans="1:2">
      <c r="A7567" s="20"/>
      <c r="B7567" s="22"/>
    </row>
    <row r="7568" spans="1:2">
      <c r="A7568" s="20"/>
      <c r="B7568" s="22"/>
    </row>
    <row r="7569" spans="1:2">
      <c r="A7569" s="20"/>
      <c r="B7569" s="22"/>
    </row>
    <row r="7570" spans="1:2">
      <c r="A7570" s="20"/>
      <c r="B7570" s="22"/>
    </row>
    <row r="7571" spans="1:2">
      <c r="A7571" s="20"/>
      <c r="B7571" s="22"/>
    </row>
    <row r="7572" spans="1:2">
      <c r="A7572" s="20"/>
      <c r="B7572" s="22"/>
    </row>
    <row r="7573" spans="1:2">
      <c r="A7573" s="20"/>
      <c r="B7573" s="22"/>
    </row>
    <row r="7574" spans="1:2">
      <c r="A7574" s="20"/>
      <c r="B7574" s="22"/>
    </row>
    <row r="7575" spans="1:2">
      <c r="A7575" s="20"/>
      <c r="B7575" s="22"/>
    </row>
    <row r="7576" spans="1:2">
      <c r="A7576" s="20"/>
      <c r="B7576" s="22"/>
    </row>
    <row r="7577" spans="1:2">
      <c r="A7577" s="20"/>
      <c r="B7577" s="22"/>
    </row>
    <row r="7578" spans="1:2">
      <c r="A7578" s="20"/>
      <c r="B7578" s="22"/>
    </row>
    <row r="7579" spans="1:2">
      <c r="A7579" s="20"/>
      <c r="B7579" s="22"/>
    </row>
    <row r="7580" spans="1:2">
      <c r="A7580" s="20"/>
      <c r="B7580" s="22"/>
    </row>
    <row r="7581" spans="1:2">
      <c r="A7581" s="20"/>
      <c r="B7581" s="22"/>
    </row>
    <row r="7582" spans="1:2">
      <c r="A7582" s="20"/>
      <c r="B7582" s="22"/>
    </row>
    <row r="7583" spans="1:2">
      <c r="A7583" s="20"/>
      <c r="B7583" s="22"/>
    </row>
    <row r="7584" spans="1:2">
      <c r="A7584" s="20"/>
      <c r="B7584" s="22"/>
    </row>
    <row r="7585" spans="1:2">
      <c r="A7585" s="20"/>
      <c r="B7585" s="22"/>
    </row>
    <row r="7586" spans="1:2">
      <c r="A7586" s="20"/>
      <c r="B7586" s="22"/>
    </row>
    <row r="7587" spans="1:2">
      <c r="A7587" s="20"/>
      <c r="B7587" s="22"/>
    </row>
    <row r="7588" spans="1:2">
      <c r="A7588" s="20"/>
      <c r="B7588" s="22"/>
    </row>
    <row r="7589" spans="1:2">
      <c r="A7589" s="20"/>
      <c r="B7589" s="22"/>
    </row>
    <row r="7590" spans="1:2">
      <c r="A7590" s="20"/>
      <c r="B7590" s="22"/>
    </row>
    <row r="7591" spans="1:2">
      <c r="A7591" s="20"/>
      <c r="B7591" s="22"/>
    </row>
    <row r="7592" spans="1:2">
      <c r="A7592" s="20"/>
      <c r="B7592" s="22"/>
    </row>
    <row r="7593" spans="1:2">
      <c r="A7593" s="20"/>
      <c r="B7593" s="22"/>
    </row>
    <row r="7594" spans="1:2">
      <c r="A7594" s="20"/>
      <c r="B7594" s="22"/>
    </row>
    <row r="7595" spans="1:2">
      <c r="A7595" s="20"/>
      <c r="B7595" s="22"/>
    </row>
    <row r="7596" spans="1:2">
      <c r="A7596" s="20"/>
      <c r="B7596" s="22"/>
    </row>
    <row r="7597" spans="1:2">
      <c r="A7597" s="20"/>
      <c r="B7597" s="22"/>
    </row>
    <row r="7598" spans="1:2">
      <c r="A7598" s="20"/>
      <c r="B7598" s="22"/>
    </row>
    <row r="7599" spans="1:2">
      <c r="A7599" s="20"/>
      <c r="B7599" s="22"/>
    </row>
    <row r="7600" spans="1:2">
      <c r="A7600" s="20"/>
      <c r="B7600" s="22"/>
    </row>
    <row r="7601" spans="1:2">
      <c r="A7601" s="20"/>
      <c r="B7601" s="22"/>
    </row>
    <row r="7602" spans="1:2">
      <c r="A7602" s="20"/>
      <c r="B7602" s="22"/>
    </row>
    <row r="7603" spans="1:2">
      <c r="A7603" s="20"/>
      <c r="B7603" s="22"/>
    </row>
    <row r="7604" spans="1:2">
      <c r="A7604" s="20"/>
      <c r="B7604" s="22"/>
    </row>
    <row r="7605" spans="1:2">
      <c r="A7605" s="20"/>
      <c r="B7605" s="22"/>
    </row>
    <row r="7606" spans="1:2">
      <c r="A7606" s="20"/>
      <c r="B7606" s="22"/>
    </row>
    <row r="7607" spans="1:2">
      <c r="A7607" s="20"/>
      <c r="B7607" s="22"/>
    </row>
    <row r="7608" spans="1:2">
      <c r="A7608" s="20"/>
      <c r="B7608" s="22"/>
    </row>
    <row r="7609" spans="1:2">
      <c r="A7609" s="20"/>
      <c r="B7609" s="22"/>
    </row>
    <row r="7610" spans="1:2">
      <c r="A7610" s="20"/>
      <c r="B7610" s="22"/>
    </row>
    <row r="7611" spans="1:2">
      <c r="A7611" s="20"/>
      <c r="B7611" s="22"/>
    </row>
    <row r="7612" spans="1:2">
      <c r="A7612" s="20"/>
      <c r="B7612" s="22"/>
    </row>
    <row r="7613" spans="1:2">
      <c r="A7613" s="20"/>
      <c r="B7613" s="22"/>
    </row>
    <row r="7614" spans="1:2">
      <c r="A7614" s="20"/>
      <c r="B7614" s="22"/>
    </row>
    <row r="7615" spans="1:2">
      <c r="A7615" s="20"/>
      <c r="B7615" s="22"/>
    </row>
    <row r="7616" spans="1:2">
      <c r="A7616" s="20"/>
      <c r="B7616" s="22"/>
    </row>
    <row r="7617" spans="1:2">
      <c r="A7617" s="20"/>
      <c r="B7617" s="22"/>
    </row>
    <row r="7618" spans="1:2">
      <c r="A7618" s="20"/>
      <c r="B7618" s="22"/>
    </row>
    <row r="7619" spans="1:2">
      <c r="A7619" s="20"/>
      <c r="B7619" s="22"/>
    </row>
    <row r="7620" spans="1:2">
      <c r="A7620" s="20"/>
      <c r="B7620" s="22"/>
    </row>
    <row r="7621" spans="1:2">
      <c r="A7621" s="20"/>
      <c r="B7621" s="22"/>
    </row>
    <row r="7622" spans="1:2">
      <c r="A7622" s="20"/>
      <c r="B7622" s="22"/>
    </row>
    <row r="7623" spans="1:2">
      <c r="A7623" s="20"/>
      <c r="B7623" s="22"/>
    </row>
    <row r="7624" spans="1:2">
      <c r="A7624" s="20"/>
      <c r="B7624" s="22"/>
    </row>
    <row r="7625" spans="1:2">
      <c r="A7625" s="20"/>
      <c r="B7625" s="22"/>
    </row>
    <row r="7626" spans="1:2">
      <c r="A7626" s="20"/>
      <c r="B7626" s="22"/>
    </row>
    <row r="7627" spans="1:2">
      <c r="A7627" s="20"/>
      <c r="B7627" s="22"/>
    </row>
    <row r="7628" spans="1:2">
      <c r="A7628" s="20"/>
      <c r="B7628" s="22"/>
    </row>
    <row r="7629" spans="1:2">
      <c r="A7629" s="20"/>
      <c r="B7629" s="22"/>
    </row>
    <row r="7630" spans="1:2">
      <c r="A7630" s="20"/>
      <c r="B7630" s="22"/>
    </row>
    <row r="7631" spans="1:2">
      <c r="A7631" s="20"/>
      <c r="B7631" s="22"/>
    </row>
    <row r="7632" spans="1:2">
      <c r="A7632" s="20"/>
      <c r="B7632" s="22"/>
    </row>
    <row r="7633" spans="1:2">
      <c r="A7633" s="20"/>
      <c r="B7633" s="22"/>
    </row>
    <row r="7634" spans="1:2">
      <c r="A7634" s="20"/>
      <c r="B7634" s="22"/>
    </row>
    <row r="7635" spans="1:2">
      <c r="A7635" s="20"/>
      <c r="B7635" s="22"/>
    </row>
    <row r="7636" spans="1:2">
      <c r="A7636" s="20"/>
      <c r="B7636" s="22"/>
    </row>
    <row r="7637" spans="1:2">
      <c r="A7637" s="20"/>
      <c r="B7637" s="22"/>
    </row>
    <row r="7638" spans="1:2">
      <c r="A7638" s="20"/>
      <c r="B7638" s="22"/>
    </row>
    <row r="7639" spans="1:2">
      <c r="A7639" s="20"/>
      <c r="B7639" s="22"/>
    </row>
    <row r="7640" spans="1:2">
      <c r="A7640" s="20"/>
      <c r="B7640" s="22"/>
    </row>
    <row r="7641" spans="1:2">
      <c r="A7641" s="20"/>
      <c r="B7641" s="22"/>
    </row>
    <row r="7642" spans="1:2">
      <c r="A7642" s="20"/>
      <c r="B7642" s="22"/>
    </row>
    <row r="7643" spans="1:2">
      <c r="A7643" s="20"/>
      <c r="B7643" s="22"/>
    </row>
    <row r="7644" spans="1:2">
      <c r="A7644" s="20"/>
      <c r="B7644" s="22"/>
    </row>
    <row r="7645" spans="1:2">
      <c r="A7645" s="20"/>
      <c r="B7645" s="22"/>
    </row>
    <row r="7646" spans="1:2">
      <c r="A7646" s="20"/>
      <c r="B7646" s="22"/>
    </row>
    <row r="7647" spans="1:2">
      <c r="A7647" s="20"/>
      <c r="B7647" s="22"/>
    </row>
    <row r="7648" spans="1:2">
      <c r="A7648" s="20"/>
      <c r="B7648" s="22"/>
    </row>
    <row r="7649" spans="1:2">
      <c r="A7649" s="20"/>
      <c r="B7649" s="22"/>
    </row>
    <row r="7650" spans="1:2">
      <c r="A7650" s="20"/>
      <c r="B7650" s="22"/>
    </row>
    <row r="7651" spans="1:2">
      <c r="A7651" s="20"/>
      <c r="B7651" s="22"/>
    </row>
    <row r="7652" spans="1:2">
      <c r="A7652" s="20"/>
      <c r="B7652" s="22"/>
    </row>
    <row r="7653" spans="1:2">
      <c r="A7653" s="20"/>
      <c r="B7653" s="22"/>
    </row>
    <row r="7654" spans="1:2">
      <c r="A7654" s="20"/>
      <c r="B7654" s="22"/>
    </row>
    <row r="7655" spans="1:2">
      <c r="A7655" s="20"/>
      <c r="B7655" s="22"/>
    </row>
    <row r="7656" spans="1:2">
      <c r="A7656" s="20"/>
      <c r="B7656" s="22"/>
    </row>
    <row r="7657" spans="1:2">
      <c r="A7657" s="20"/>
      <c r="B7657" s="22"/>
    </row>
    <row r="7658" spans="1:2">
      <c r="A7658" s="20"/>
      <c r="B7658" s="22"/>
    </row>
    <row r="7659" spans="1:2">
      <c r="A7659" s="20"/>
      <c r="B7659" s="22"/>
    </row>
    <row r="7660" spans="1:2">
      <c r="A7660" s="20"/>
      <c r="B7660" s="22"/>
    </row>
    <row r="7661" spans="1:2">
      <c r="A7661" s="20"/>
      <c r="B7661" s="22"/>
    </row>
    <row r="7662" spans="1:2">
      <c r="A7662" s="20"/>
      <c r="B7662" s="22"/>
    </row>
    <row r="7663" spans="1:2">
      <c r="A7663" s="20"/>
      <c r="B7663" s="22"/>
    </row>
    <row r="7664" spans="1:2">
      <c r="A7664" s="20"/>
      <c r="B7664" s="22"/>
    </row>
    <row r="7665" spans="1:2">
      <c r="A7665" s="20"/>
      <c r="B7665" s="22"/>
    </row>
    <row r="7666" spans="1:2">
      <c r="A7666" s="20"/>
      <c r="B7666" s="22"/>
    </row>
    <row r="7667" spans="1:2">
      <c r="A7667" s="20"/>
      <c r="B7667" s="22"/>
    </row>
    <row r="7668" spans="1:2">
      <c r="A7668" s="20"/>
      <c r="B7668" s="22"/>
    </row>
    <row r="7669" spans="1:2">
      <c r="A7669" s="20"/>
      <c r="B7669" s="22"/>
    </row>
    <row r="7670" spans="1:2">
      <c r="A7670" s="20"/>
      <c r="B7670" s="22"/>
    </row>
    <row r="7671" spans="1:2">
      <c r="A7671" s="20"/>
      <c r="B7671" s="22"/>
    </row>
    <row r="7672" spans="1:2">
      <c r="A7672" s="20"/>
      <c r="B7672" s="22"/>
    </row>
    <row r="7673" spans="1:2">
      <c r="A7673" s="20"/>
      <c r="B7673" s="22"/>
    </row>
    <row r="7674" spans="1:2">
      <c r="A7674" s="20"/>
      <c r="B7674" s="22"/>
    </row>
    <row r="7675" spans="1:2">
      <c r="A7675" s="20"/>
      <c r="B7675" s="22"/>
    </row>
    <row r="7676" spans="1:2">
      <c r="A7676" s="20"/>
      <c r="B7676" s="22"/>
    </row>
    <row r="7677" spans="1:2">
      <c r="A7677" s="20"/>
      <c r="B7677" s="22"/>
    </row>
    <row r="7678" spans="1:2">
      <c r="A7678" s="20"/>
      <c r="B7678" s="22"/>
    </row>
    <row r="7679" spans="1:2">
      <c r="A7679" s="20"/>
      <c r="B7679" s="22"/>
    </row>
    <row r="7680" spans="1:2">
      <c r="A7680" s="20"/>
      <c r="B7680" s="22"/>
    </row>
    <row r="7681" spans="1:2">
      <c r="A7681" s="20"/>
      <c r="B7681" s="22"/>
    </row>
    <row r="7682" spans="1:2">
      <c r="A7682" s="20"/>
      <c r="B7682" s="22"/>
    </row>
    <row r="7683" spans="1:2">
      <c r="A7683" s="20"/>
      <c r="B7683" s="22"/>
    </row>
    <row r="7684" spans="1:2">
      <c r="A7684" s="20"/>
      <c r="B7684" s="22"/>
    </row>
    <row r="7685" spans="1:2">
      <c r="A7685" s="20"/>
      <c r="B7685" s="22"/>
    </row>
    <row r="7686" spans="1:2">
      <c r="A7686" s="20"/>
      <c r="B7686" s="22"/>
    </row>
    <row r="7687" spans="1:2">
      <c r="A7687" s="20"/>
      <c r="B7687" s="22"/>
    </row>
    <row r="7688" spans="1:2">
      <c r="A7688" s="20"/>
      <c r="B7688" s="22"/>
    </row>
    <row r="7689" spans="1:2">
      <c r="A7689" s="20"/>
      <c r="B7689" s="22"/>
    </row>
    <row r="7690" spans="1:2">
      <c r="A7690" s="20"/>
      <c r="B7690" s="22"/>
    </row>
    <row r="7691" spans="1:2">
      <c r="A7691" s="20"/>
      <c r="B7691" s="22"/>
    </row>
    <row r="7692" spans="1:2">
      <c r="A7692" s="20"/>
      <c r="B7692" s="22"/>
    </row>
    <row r="7693" spans="1:2">
      <c r="A7693" s="20"/>
      <c r="B7693" s="22"/>
    </row>
    <row r="7694" spans="1:2">
      <c r="A7694" s="20"/>
      <c r="B7694" s="22"/>
    </row>
    <row r="7695" spans="1:2">
      <c r="A7695" s="20"/>
      <c r="B7695" s="22"/>
    </row>
    <row r="7696" spans="1:2">
      <c r="A7696" s="20"/>
      <c r="B7696" s="22"/>
    </row>
    <row r="7697" spans="1:2">
      <c r="A7697" s="20"/>
      <c r="B7697" s="22"/>
    </row>
    <row r="7698" spans="1:2">
      <c r="A7698" s="20"/>
      <c r="B7698" s="22"/>
    </row>
    <row r="7699" spans="1:2">
      <c r="A7699" s="20"/>
      <c r="B7699" s="22"/>
    </row>
    <row r="7700" spans="1:2">
      <c r="A7700" s="20"/>
      <c r="B7700" s="22"/>
    </row>
    <row r="7701" spans="1:2">
      <c r="A7701" s="20"/>
      <c r="B7701" s="22"/>
    </row>
    <row r="7702" spans="1:2">
      <c r="A7702" s="20"/>
      <c r="B7702" s="22"/>
    </row>
    <row r="7703" spans="1:2">
      <c r="A7703" s="20"/>
      <c r="B7703" s="22"/>
    </row>
    <row r="7704" spans="1:2">
      <c r="A7704" s="20"/>
      <c r="B7704" s="22"/>
    </row>
    <row r="7705" spans="1:2">
      <c r="A7705" s="20"/>
      <c r="B7705" s="22"/>
    </row>
    <row r="7706" spans="1:2">
      <c r="A7706" s="20"/>
      <c r="B7706" s="22"/>
    </row>
    <row r="7707" spans="1:2">
      <c r="A7707" s="20"/>
      <c r="B7707" s="22"/>
    </row>
    <row r="7708" spans="1:2">
      <c r="A7708" s="20"/>
      <c r="B7708" s="22"/>
    </row>
    <row r="7709" spans="1:2">
      <c r="A7709" s="20"/>
      <c r="B7709" s="22"/>
    </row>
    <row r="7710" spans="1:2">
      <c r="A7710" s="20"/>
      <c r="B7710" s="22"/>
    </row>
    <row r="7711" spans="1:2">
      <c r="A7711" s="20"/>
      <c r="B7711" s="22"/>
    </row>
    <row r="7712" spans="1:2">
      <c r="A7712" s="20"/>
      <c r="B7712" s="22"/>
    </row>
    <row r="7713" spans="1:2">
      <c r="A7713" s="20"/>
      <c r="B7713" s="22"/>
    </row>
    <row r="7714" spans="1:2">
      <c r="A7714" s="20"/>
      <c r="B7714" s="22"/>
    </row>
    <row r="7715" spans="1:2">
      <c r="A7715" s="20"/>
      <c r="B7715" s="22"/>
    </row>
    <row r="7716" spans="1:2">
      <c r="A7716" s="20"/>
      <c r="B7716" s="22"/>
    </row>
    <row r="7717" spans="1:2">
      <c r="A7717" s="20"/>
      <c r="B7717" s="22"/>
    </row>
    <row r="7718" spans="1:2">
      <c r="A7718" s="20"/>
      <c r="B7718" s="22"/>
    </row>
    <row r="7719" spans="1:2">
      <c r="A7719" s="20"/>
      <c r="B7719" s="22"/>
    </row>
    <row r="7720" spans="1:2">
      <c r="A7720" s="20"/>
      <c r="B7720" s="22"/>
    </row>
    <row r="7721" spans="1:2">
      <c r="A7721" s="20"/>
      <c r="B7721" s="22"/>
    </row>
    <row r="7722" spans="1:2">
      <c r="A7722" s="20"/>
      <c r="B7722" s="22"/>
    </row>
    <row r="7723" spans="1:2">
      <c r="A7723" s="20"/>
      <c r="B7723" s="22"/>
    </row>
    <row r="7724" spans="1:2">
      <c r="A7724" s="20"/>
      <c r="B7724" s="22"/>
    </row>
    <row r="7725" spans="1:2">
      <c r="A7725" s="20"/>
      <c r="B7725" s="22"/>
    </row>
    <row r="7726" spans="1:2">
      <c r="A7726" s="20"/>
      <c r="B7726" s="22"/>
    </row>
    <row r="7727" spans="1:2">
      <c r="A7727" s="20"/>
      <c r="B7727" s="22"/>
    </row>
    <row r="7728" spans="1:2">
      <c r="A7728" s="20"/>
      <c r="B7728" s="22"/>
    </row>
    <row r="7729" spans="1:2">
      <c r="A7729" s="20"/>
      <c r="B7729" s="22"/>
    </row>
    <row r="7730" spans="1:2">
      <c r="A7730" s="20"/>
      <c r="B7730" s="22"/>
    </row>
    <row r="7731" spans="1:2">
      <c r="A7731" s="20"/>
      <c r="B7731" s="22"/>
    </row>
    <row r="7732" spans="1:2">
      <c r="A7732" s="20"/>
      <c r="B7732" s="22"/>
    </row>
    <row r="7733" spans="1:2">
      <c r="A7733" s="20"/>
      <c r="B7733" s="22"/>
    </row>
    <row r="7734" spans="1:2">
      <c r="A7734" s="20"/>
      <c r="B7734" s="22"/>
    </row>
    <row r="7735" spans="1:2">
      <c r="A7735" s="20"/>
      <c r="B7735" s="22"/>
    </row>
    <row r="7736" spans="1:2">
      <c r="A7736" s="20"/>
      <c r="B7736" s="22"/>
    </row>
    <row r="7737" spans="1:2">
      <c r="A7737" s="20"/>
      <c r="B7737" s="22"/>
    </row>
    <row r="7738" spans="1:2">
      <c r="A7738" s="20"/>
      <c r="B7738" s="22"/>
    </row>
    <row r="7739" spans="1:2">
      <c r="A7739" s="20"/>
      <c r="B7739" s="22"/>
    </row>
    <row r="7740" spans="1:2">
      <c r="A7740" s="20"/>
      <c r="B7740" s="22"/>
    </row>
    <row r="7741" spans="1:2">
      <c r="A7741" s="20"/>
      <c r="B7741" s="22"/>
    </row>
    <row r="7742" spans="1:2">
      <c r="A7742" s="20"/>
      <c r="B7742" s="22"/>
    </row>
    <row r="7743" spans="1:2">
      <c r="A7743" s="20"/>
      <c r="B7743" s="22"/>
    </row>
    <row r="7744" spans="1:2">
      <c r="A7744" s="20"/>
      <c r="B7744" s="22"/>
    </row>
    <row r="7745" spans="1:2">
      <c r="A7745" s="20"/>
      <c r="B7745" s="22"/>
    </row>
    <row r="7746" spans="1:2">
      <c r="A7746" s="20"/>
      <c r="B7746" s="22"/>
    </row>
    <row r="7747" spans="1:2">
      <c r="A7747" s="20"/>
      <c r="B7747" s="22"/>
    </row>
    <row r="7748" spans="1:2">
      <c r="A7748" s="20"/>
      <c r="B7748" s="22"/>
    </row>
    <row r="7749" spans="1:2">
      <c r="A7749" s="20"/>
      <c r="B7749" s="22"/>
    </row>
    <row r="7750" spans="1:2">
      <c r="A7750" s="20"/>
      <c r="B7750" s="22"/>
    </row>
    <row r="7751" spans="1:2">
      <c r="A7751" s="20"/>
      <c r="B7751" s="22"/>
    </row>
    <row r="7752" spans="1:2">
      <c r="A7752" s="20"/>
      <c r="B7752" s="22"/>
    </row>
    <row r="7753" spans="1:2">
      <c r="A7753" s="20"/>
      <c r="B7753" s="22"/>
    </row>
    <row r="7754" spans="1:2">
      <c r="A7754" s="20"/>
      <c r="B7754" s="22"/>
    </row>
    <row r="7755" spans="1:2">
      <c r="A7755" s="20"/>
      <c r="B7755" s="22"/>
    </row>
    <row r="7756" spans="1:2">
      <c r="A7756" s="20"/>
      <c r="B7756" s="22"/>
    </row>
    <row r="7757" spans="1:2">
      <c r="A7757" s="20"/>
      <c r="B7757" s="22"/>
    </row>
    <row r="7758" spans="1:2">
      <c r="A7758" s="20"/>
      <c r="B7758" s="22"/>
    </row>
    <row r="7759" spans="1:2">
      <c r="A7759" s="20"/>
      <c r="B7759" s="22"/>
    </row>
    <row r="7760" spans="1:2">
      <c r="A7760" s="20"/>
      <c r="B7760" s="22"/>
    </row>
    <row r="7761" spans="1:2">
      <c r="A7761" s="20"/>
      <c r="B7761" s="22"/>
    </row>
    <row r="7762" spans="1:2">
      <c r="A7762" s="20"/>
      <c r="B7762" s="22"/>
    </row>
    <row r="7763" spans="1:2">
      <c r="A7763" s="20"/>
      <c r="B7763" s="22"/>
    </row>
    <row r="7764" spans="1:2">
      <c r="A7764" s="20"/>
      <c r="B7764" s="22"/>
    </row>
    <row r="7765" spans="1:2">
      <c r="A7765" s="20"/>
      <c r="B7765" s="22"/>
    </row>
    <row r="7766" spans="1:2">
      <c r="A7766" s="20"/>
      <c r="B7766" s="22"/>
    </row>
    <row r="7767" spans="1:2">
      <c r="A7767" s="20"/>
      <c r="B7767" s="22"/>
    </row>
    <row r="7768" spans="1:2">
      <c r="A7768" s="20"/>
      <c r="B7768" s="22"/>
    </row>
    <row r="7769" spans="1:2">
      <c r="A7769" s="20"/>
      <c r="B7769" s="22"/>
    </row>
    <row r="7770" spans="1:2">
      <c r="A7770" s="20"/>
      <c r="B7770" s="22"/>
    </row>
    <row r="7771" spans="1:2">
      <c r="A7771" s="20"/>
      <c r="B7771" s="22"/>
    </row>
    <row r="7772" spans="1:2">
      <c r="A7772" s="20"/>
      <c r="B7772" s="22"/>
    </row>
    <row r="7773" spans="1:2">
      <c r="A7773" s="20"/>
      <c r="B7773" s="22"/>
    </row>
    <row r="7774" spans="1:2">
      <c r="A7774" s="20"/>
      <c r="B7774" s="22"/>
    </row>
    <row r="7775" spans="1:2">
      <c r="A7775" s="20"/>
      <c r="B7775" s="22"/>
    </row>
    <row r="7776" spans="1:2">
      <c r="A7776" s="20"/>
      <c r="B7776" s="22"/>
    </row>
    <row r="7777" spans="1:2">
      <c r="A7777" s="20"/>
      <c r="B7777" s="22"/>
    </row>
    <row r="7778" spans="1:2">
      <c r="A7778" s="20"/>
      <c r="B7778" s="22"/>
    </row>
    <row r="7779" spans="1:2">
      <c r="A7779" s="20"/>
      <c r="B7779" s="22"/>
    </row>
    <row r="7780" spans="1:2">
      <c r="A7780" s="20"/>
      <c r="B7780" s="22"/>
    </row>
    <row r="7781" spans="1:2">
      <c r="A7781" s="20"/>
      <c r="B7781" s="22"/>
    </row>
    <row r="7782" spans="1:2">
      <c r="A7782" s="20"/>
      <c r="B7782" s="22"/>
    </row>
    <row r="7783" spans="1:2">
      <c r="A7783" s="20"/>
      <c r="B7783" s="22"/>
    </row>
    <row r="7784" spans="1:2">
      <c r="A7784" s="20"/>
      <c r="B7784" s="22"/>
    </row>
    <row r="7785" spans="1:2">
      <c r="A7785" s="20"/>
      <c r="B7785" s="22"/>
    </row>
    <row r="7786" spans="1:2">
      <c r="A7786" s="20"/>
      <c r="B7786" s="22"/>
    </row>
    <row r="7787" spans="1:2">
      <c r="A7787" s="20"/>
      <c r="B7787" s="22"/>
    </row>
    <row r="7788" spans="1:2">
      <c r="A7788" s="20"/>
      <c r="B7788" s="22"/>
    </row>
    <row r="7789" spans="1:2">
      <c r="A7789" s="20"/>
      <c r="B7789" s="22"/>
    </row>
    <row r="7790" spans="1:2">
      <c r="A7790" s="20"/>
      <c r="B7790" s="22"/>
    </row>
    <row r="7791" spans="1:2">
      <c r="A7791" s="20"/>
      <c r="B7791" s="22"/>
    </row>
    <row r="7792" spans="1:2">
      <c r="A7792" s="20"/>
      <c r="B7792" s="22"/>
    </row>
    <row r="7793" spans="1:2">
      <c r="A7793" s="20"/>
      <c r="B7793" s="22"/>
    </row>
    <row r="7794" spans="1:2">
      <c r="A7794" s="20"/>
      <c r="B7794" s="22"/>
    </row>
    <row r="7795" spans="1:2">
      <c r="A7795" s="20"/>
      <c r="B7795" s="22"/>
    </row>
    <row r="7796" spans="1:2">
      <c r="A7796" s="20"/>
      <c r="B7796" s="22"/>
    </row>
    <row r="7797" spans="1:2">
      <c r="A7797" s="20"/>
      <c r="B7797" s="22"/>
    </row>
    <row r="7798" spans="1:2">
      <c r="A7798" s="20"/>
      <c r="B7798" s="22"/>
    </row>
    <row r="7799" spans="1:2">
      <c r="A7799" s="20"/>
      <c r="B7799" s="22"/>
    </row>
    <row r="7800" spans="1:2">
      <c r="A7800" s="20"/>
      <c r="B7800" s="22"/>
    </row>
    <row r="7801" spans="1:2">
      <c r="A7801" s="20"/>
      <c r="B7801" s="22"/>
    </row>
    <row r="7802" spans="1:2">
      <c r="A7802" s="20"/>
      <c r="B7802" s="22"/>
    </row>
    <row r="7803" spans="1:2">
      <c r="A7803" s="20"/>
      <c r="B7803" s="22"/>
    </row>
    <row r="7804" spans="1:2">
      <c r="A7804" s="20"/>
      <c r="B7804" s="22"/>
    </row>
    <row r="7805" spans="1:2">
      <c r="A7805" s="20"/>
      <c r="B7805" s="22"/>
    </row>
    <row r="7806" spans="1:2">
      <c r="A7806" s="20"/>
      <c r="B7806" s="22"/>
    </row>
    <row r="7807" spans="1:2">
      <c r="A7807" s="20"/>
      <c r="B7807" s="22"/>
    </row>
    <row r="7808" spans="1:2">
      <c r="A7808" s="20"/>
      <c r="B7808" s="22"/>
    </row>
    <row r="7809" spans="1:2">
      <c r="A7809" s="20"/>
      <c r="B7809" s="22"/>
    </row>
    <row r="7810" spans="1:2">
      <c r="A7810" s="20"/>
      <c r="B7810" s="22"/>
    </row>
    <row r="7811" spans="1:2">
      <c r="A7811" s="20"/>
      <c r="B7811" s="22"/>
    </row>
    <row r="7812" spans="1:2">
      <c r="A7812" s="20"/>
      <c r="B7812" s="22"/>
    </row>
    <row r="7813" spans="1:2">
      <c r="A7813" s="20"/>
      <c r="B7813" s="22"/>
    </row>
    <row r="7814" spans="1:2">
      <c r="A7814" s="20"/>
      <c r="B7814" s="22"/>
    </row>
    <row r="7815" spans="1:2">
      <c r="A7815" s="20"/>
      <c r="B7815" s="22"/>
    </row>
    <row r="7816" spans="1:2">
      <c r="A7816" s="20"/>
      <c r="B7816" s="22"/>
    </row>
    <row r="7817" spans="1:2">
      <c r="A7817" s="20"/>
      <c r="B7817" s="22"/>
    </row>
    <row r="7818" spans="1:2">
      <c r="A7818" s="20"/>
      <c r="B7818" s="22"/>
    </row>
    <row r="7819" spans="1:2">
      <c r="A7819" s="20"/>
      <c r="B7819" s="22"/>
    </row>
    <row r="7820" spans="1:2">
      <c r="A7820" s="20"/>
      <c r="B7820" s="22"/>
    </row>
    <row r="7821" spans="1:2">
      <c r="A7821" s="20"/>
      <c r="B7821" s="22"/>
    </row>
    <row r="7822" spans="1:2">
      <c r="A7822" s="20"/>
      <c r="B7822" s="22"/>
    </row>
    <row r="7823" spans="1:2">
      <c r="A7823" s="20"/>
      <c r="B7823" s="22"/>
    </row>
    <row r="7824" spans="1:2">
      <c r="A7824" s="20"/>
      <c r="B7824" s="22"/>
    </row>
    <row r="7825" spans="1:2">
      <c r="A7825" s="20"/>
      <c r="B7825" s="22"/>
    </row>
    <row r="7826" spans="1:2">
      <c r="A7826" s="20"/>
      <c r="B7826" s="22"/>
    </row>
    <row r="7827" spans="1:2">
      <c r="A7827" s="20"/>
      <c r="B7827" s="22"/>
    </row>
    <row r="7828" spans="1:2">
      <c r="A7828" s="20"/>
      <c r="B7828" s="22"/>
    </row>
    <row r="7829" spans="1:2">
      <c r="A7829" s="20"/>
      <c r="B7829" s="22"/>
    </row>
    <row r="7830" spans="1:2">
      <c r="A7830" s="20"/>
      <c r="B7830" s="22"/>
    </row>
    <row r="7831" spans="1:2">
      <c r="A7831" s="20"/>
      <c r="B7831" s="22"/>
    </row>
    <row r="7832" spans="1:2">
      <c r="A7832" s="20"/>
      <c r="B7832" s="22"/>
    </row>
    <row r="7833" spans="1:2">
      <c r="A7833" s="20"/>
      <c r="B7833" s="22"/>
    </row>
    <row r="7834" spans="1:2">
      <c r="A7834" s="20"/>
      <c r="B7834" s="22"/>
    </row>
    <row r="7835" spans="1:2">
      <c r="A7835" s="20"/>
      <c r="B7835" s="22"/>
    </row>
    <row r="7836" spans="1:2">
      <c r="A7836" s="20"/>
      <c r="B7836" s="22"/>
    </row>
    <row r="7837" spans="1:2">
      <c r="A7837" s="20"/>
      <c r="B7837" s="22"/>
    </row>
    <row r="7838" spans="1:2">
      <c r="A7838" s="20"/>
      <c r="B7838" s="22"/>
    </row>
    <row r="7839" spans="1:2">
      <c r="A7839" s="20"/>
      <c r="B7839" s="22"/>
    </row>
    <row r="7840" spans="1:2">
      <c r="A7840" s="20"/>
      <c r="B7840" s="22"/>
    </row>
    <row r="7841" spans="1:2">
      <c r="A7841" s="20"/>
      <c r="B7841" s="22"/>
    </row>
    <row r="7842" spans="1:2">
      <c r="A7842" s="20"/>
      <c r="B7842" s="22"/>
    </row>
    <row r="7843" spans="1:2">
      <c r="A7843" s="20"/>
      <c r="B7843" s="22"/>
    </row>
    <row r="7844" spans="1:2">
      <c r="A7844" s="20"/>
      <c r="B7844" s="22"/>
    </row>
    <row r="7845" spans="1:2">
      <c r="A7845" s="20"/>
      <c r="B7845" s="22"/>
    </row>
    <row r="7846" spans="1:2">
      <c r="A7846" s="20"/>
      <c r="B7846" s="22"/>
    </row>
    <row r="7847" spans="1:2">
      <c r="A7847" s="20"/>
      <c r="B7847" s="22"/>
    </row>
    <row r="7848" spans="1:2">
      <c r="A7848" s="20"/>
      <c r="B7848" s="22"/>
    </row>
    <row r="7849" spans="1:2">
      <c r="A7849" s="20"/>
      <c r="B7849" s="22"/>
    </row>
    <row r="7850" spans="1:2">
      <c r="A7850" s="20"/>
      <c r="B7850" s="22"/>
    </row>
    <row r="7851" spans="1:2">
      <c r="A7851" s="20"/>
      <c r="B7851" s="22"/>
    </row>
    <row r="7852" spans="1:2">
      <c r="A7852" s="20"/>
      <c r="B7852" s="22"/>
    </row>
    <row r="7853" spans="1:2">
      <c r="A7853" s="20"/>
      <c r="B7853" s="22"/>
    </row>
    <row r="7854" spans="1:2">
      <c r="A7854" s="20"/>
      <c r="B7854" s="22"/>
    </row>
    <row r="7855" spans="1:2">
      <c r="A7855" s="20"/>
      <c r="B7855" s="22"/>
    </row>
    <row r="7856" spans="1:2">
      <c r="A7856" s="20"/>
      <c r="B7856" s="22"/>
    </row>
    <row r="7857" spans="1:2">
      <c r="A7857" s="20"/>
      <c r="B7857" s="22"/>
    </row>
    <row r="7858" spans="1:2">
      <c r="A7858" s="20"/>
      <c r="B7858" s="22"/>
    </row>
    <row r="7859" spans="1:2">
      <c r="A7859" s="20"/>
      <c r="B7859" s="22"/>
    </row>
    <row r="7860" spans="1:2">
      <c r="A7860" s="20"/>
      <c r="B7860" s="22"/>
    </row>
    <row r="7861" spans="1:2">
      <c r="A7861" s="20"/>
      <c r="B7861" s="22"/>
    </row>
    <row r="7862" spans="1:2">
      <c r="A7862" s="20"/>
      <c r="B7862" s="22"/>
    </row>
    <row r="7863" spans="1:2">
      <c r="A7863" s="20"/>
      <c r="B7863" s="22"/>
    </row>
    <row r="7864" spans="1:2">
      <c r="A7864" s="20"/>
      <c r="B7864" s="22"/>
    </row>
    <row r="7865" spans="1:2">
      <c r="A7865" s="20"/>
      <c r="B7865" s="22"/>
    </row>
    <row r="7866" spans="1:2">
      <c r="A7866" s="20"/>
      <c r="B7866" s="22"/>
    </row>
    <row r="7867" spans="1:2">
      <c r="A7867" s="20"/>
      <c r="B7867" s="22"/>
    </row>
    <row r="7868" spans="1:2">
      <c r="A7868" s="20"/>
      <c r="B7868" s="22"/>
    </row>
    <row r="7869" spans="1:2">
      <c r="A7869" s="20"/>
      <c r="B7869" s="22"/>
    </row>
    <row r="7870" spans="1:2">
      <c r="A7870" s="20"/>
      <c r="B7870" s="22"/>
    </row>
    <row r="7871" spans="1:2">
      <c r="A7871" s="20"/>
      <c r="B7871" s="22"/>
    </row>
    <row r="7872" spans="1:2">
      <c r="A7872" s="20"/>
      <c r="B7872" s="22"/>
    </row>
    <row r="7873" spans="1:2">
      <c r="A7873" s="20"/>
      <c r="B7873" s="22"/>
    </row>
    <row r="7874" spans="1:2">
      <c r="A7874" s="20"/>
      <c r="B7874" s="22"/>
    </row>
    <row r="7875" spans="1:2">
      <c r="A7875" s="20"/>
      <c r="B7875" s="22"/>
    </row>
    <row r="7876" spans="1:2">
      <c r="A7876" s="20"/>
      <c r="B7876" s="22"/>
    </row>
    <row r="7877" spans="1:2">
      <c r="A7877" s="20"/>
      <c r="B7877" s="22"/>
    </row>
    <row r="7878" spans="1:2">
      <c r="A7878" s="20"/>
      <c r="B7878" s="22"/>
    </row>
    <row r="7879" spans="1:2">
      <c r="A7879" s="20"/>
      <c r="B7879" s="22"/>
    </row>
    <row r="7880" spans="1:2">
      <c r="A7880" s="20"/>
      <c r="B7880" s="22"/>
    </row>
    <row r="7881" spans="1:2">
      <c r="A7881" s="20"/>
      <c r="B7881" s="22"/>
    </row>
    <row r="7882" spans="1:2">
      <c r="A7882" s="20"/>
      <c r="B7882" s="22"/>
    </row>
    <row r="7883" spans="1:2">
      <c r="A7883" s="20"/>
      <c r="B7883" s="22"/>
    </row>
    <row r="7884" spans="1:2">
      <c r="A7884" s="20"/>
      <c r="B7884" s="22"/>
    </row>
    <row r="7885" spans="1:2">
      <c r="A7885" s="20"/>
      <c r="B7885" s="22"/>
    </row>
    <row r="7886" spans="1:2">
      <c r="A7886" s="20"/>
      <c r="B7886" s="22"/>
    </row>
    <row r="7887" spans="1:2">
      <c r="A7887" s="20"/>
      <c r="B7887" s="22"/>
    </row>
    <row r="7888" spans="1:2">
      <c r="A7888" s="20"/>
      <c r="B7888" s="22"/>
    </row>
    <row r="7889" spans="1:2">
      <c r="A7889" s="20"/>
      <c r="B7889" s="22"/>
    </row>
    <row r="7890" spans="1:2">
      <c r="A7890" s="20"/>
      <c r="B7890" s="22"/>
    </row>
    <row r="7891" spans="1:2">
      <c r="A7891" s="20"/>
      <c r="B7891" s="22"/>
    </row>
    <row r="7892" spans="1:2">
      <c r="A7892" s="20"/>
      <c r="B7892" s="22"/>
    </row>
    <row r="7893" spans="1:2">
      <c r="A7893" s="20"/>
      <c r="B7893" s="22"/>
    </row>
    <row r="7894" spans="1:2">
      <c r="A7894" s="20"/>
      <c r="B7894" s="22"/>
    </row>
    <row r="7895" spans="1:2">
      <c r="A7895" s="20"/>
      <c r="B7895" s="22"/>
    </row>
    <row r="7896" spans="1:2">
      <c r="A7896" s="20"/>
      <c r="B7896" s="22"/>
    </row>
    <row r="7897" spans="1:2">
      <c r="A7897" s="20"/>
      <c r="B7897" s="22"/>
    </row>
    <row r="7898" spans="1:2">
      <c r="A7898" s="20"/>
      <c r="B7898" s="22"/>
    </row>
    <row r="7899" spans="1:2">
      <c r="A7899" s="20"/>
      <c r="B7899" s="22"/>
    </row>
    <row r="7900" spans="1:2">
      <c r="A7900" s="20"/>
      <c r="B7900" s="22"/>
    </row>
    <row r="7901" spans="1:2">
      <c r="A7901" s="20"/>
      <c r="B7901" s="22"/>
    </row>
    <row r="7902" spans="1:2">
      <c r="A7902" s="20"/>
      <c r="B7902" s="22"/>
    </row>
    <row r="7903" spans="1:2">
      <c r="A7903" s="20"/>
      <c r="B7903" s="22"/>
    </row>
    <row r="7904" spans="1:2">
      <c r="A7904" s="20"/>
      <c r="B7904" s="22"/>
    </row>
    <row r="7905" spans="1:2">
      <c r="A7905" s="20"/>
      <c r="B7905" s="22"/>
    </row>
    <row r="7906" spans="1:2">
      <c r="A7906" s="20"/>
      <c r="B7906" s="22"/>
    </row>
    <row r="7907" spans="1:2">
      <c r="A7907" s="20"/>
      <c r="B7907" s="22"/>
    </row>
    <row r="7908" spans="1:2">
      <c r="A7908" s="20"/>
      <c r="B7908" s="22"/>
    </row>
    <row r="7909" spans="1:2">
      <c r="A7909" s="20"/>
      <c r="B7909" s="22"/>
    </row>
    <row r="7910" spans="1:2">
      <c r="A7910" s="20"/>
      <c r="B7910" s="22"/>
    </row>
    <row r="7911" spans="1:2">
      <c r="A7911" s="20"/>
      <c r="B7911" s="22"/>
    </row>
    <row r="7912" spans="1:2">
      <c r="A7912" s="20"/>
      <c r="B7912" s="22"/>
    </row>
    <row r="7913" spans="1:2">
      <c r="A7913" s="20"/>
      <c r="B7913" s="22"/>
    </row>
    <row r="7914" spans="1:2">
      <c r="A7914" s="20"/>
      <c r="B7914" s="22"/>
    </row>
    <row r="7915" spans="1:2">
      <c r="A7915" s="20"/>
      <c r="B7915" s="22"/>
    </row>
    <row r="7916" spans="1:2">
      <c r="A7916" s="20"/>
      <c r="B7916" s="22"/>
    </row>
    <row r="7917" spans="1:2">
      <c r="A7917" s="20"/>
      <c r="B7917" s="22"/>
    </row>
    <row r="7918" spans="1:2">
      <c r="A7918" s="20"/>
      <c r="B7918" s="22"/>
    </row>
    <row r="7919" spans="1:2">
      <c r="A7919" s="20"/>
      <c r="B7919" s="22"/>
    </row>
    <row r="7920" spans="1:2">
      <c r="A7920" s="20"/>
      <c r="B7920" s="22"/>
    </row>
    <row r="7921" spans="1:2">
      <c r="A7921" s="20"/>
      <c r="B7921" s="22"/>
    </row>
    <row r="7922" spans="1:2">
      <c r="A7922" s="20"/>
      <c r="B7922" s="22"/>
    </row>
    <row r="7923" spans="1:2">
      <c r="A7923" s="20"/>
      <c r="B7923" s="22"/>
    </row>
    <row r="7924" spans="1:2">
      <c r="A7924" s="20"/>
      <c r="B7924" s="22"/>
    </row>
    <row r="7925" spans="1:2">
      <c r="A7925" s="20"/>
      <c r="B7925" s="22"/>
    </row>
    <row r="7926" spans="1:2">
      <c r="A7926" s="20"/>
      <c r="B7926" s="22"/>
    </row>
    <row r="7927" spans="1:2">
      <c r="A7927" s="20"/>
      <c r="B7927" s="22"/>
    </row>
    <row r="7928" spans="1:2">
      <c r="A7928" s="20"/>
      <c r="B7928" s="22"/>
    </row>
    <row r="7929" spans="1:2">
      <c r="A7929" s="20"/>
      <c r="B7929" s="22"/>
    </row>
    <row r="7930" spans="1:2">
      <c r="A7930" s="20"/>
      <c r="B7930" s="22"/>
    </row>
    <row r="7931" spans="1:2">
      <c r="A7931" s="20"/>
      <c r="B7931" s="22"/>
    </row>
    <row r="7932" spans="1:2">
      <c r="A7932" s="20"/>
      <c r="B7932" s="22"/>
    </row>
    <row r="7933" spans="1:2">
      <c r="A7933" s="20"/>
      <c r="B7933" s="22"/>
    </row>
    <row r="7934" spans="1:2">
      <c r="A7934" s="20"/>
      <c r="B7934" s="22"/>
    </row>
    <row r="7935" spans="1:2">
      <c r="A7935" s="20"/>
      <c r="B7935" s="22"/>
    </row>
    <row r="7936" spans="1:2">
      <c r="A7936" s="20"/>
      <c r="B7936" s="22"/>
    </row>
    <row r="7937" spans="1:2">
      <c r="A7937" s="20"/>
      <c r="B7937" s="22"/>
    </row>
    <row r="7938" spans="1:2">
      <c r="A7938" s="20"/>
      <c r="B7938" s="22"/>
    </row>
    <row r="7939" spans="1:2">
      <c r="A7939" s="20"/>
      <c r="B7939" s="22"/>
    </row>
    <row r="7940" spans="1:2">
      <c r="A7940" s="20"/>
      <c r="B7940" s="22"/>
    </row>
    <row r="7941" spans="1:2">
      <c r="A7941" s="20"/>
      <c r="B7941" s="22"/>
    </row>
    <row r="7942" spans="1:2">
      <c r="A7942" s="20"/>
      <c r="B7942" s="22"/>
    </row>
    <row r="7943" spans="1:2">
      <c r="A7943" s="20"/>
      <c r="B7943" s="22"/>
    </row>
    <row r="7944" spans="1:2">
      <c r="A7944" s="20"/>
      <c r="B7944" s="22"/>
    </row>
    <row r="7945" spans="1:2">
      <c r="A7945" s="20"/>
      <c r="B7945" s="22"/>
    </row>
    <row r="7946" spans="1:2">
      <c r="A7946" s="20"/>
      <c r="B7946" s="22"/>
    </row>
    <row r="7947" spans="1:2">
      <c r="A7947" s="20"/>
      <c r="B7947" s="22"/>
    </row>
    <row r="7948" spans="1:2">
      <c r="A7948" s="20"/>
      <c r="B7948" s="22"/>
    </row>
    <row r="7949" spans="1:2">
      <c r="A7949" s="20"/>
      <c r="B7949" s="22"/>
    </row>
    <row r="7950" spans="1:2">
      <c r="A7950" s="20"/>
      <c r="B7950" s="22"/>
    </row>
    <row r="7951" spans="1:2">
      <c r="A7951" s="20"/>
      <c r="B7951" s="22"/>
    </row>
    <row r="7952" spans="1:2">
      <c r="A7952" s="20"/>
      <c r="B7952" s="22"/>
    </row>
    <row r="7953" spans="1:2">
      <c r="A7953" s="20"/>
      <c r="B7953" s="22"/>
    </row>
    <row r="7954" spans="1:2">
      <c r="A7954" s="20"/>
      <c r="B7954" s="22"/>
    </row>
    <row r="7955" spans="1:2">
      <c r="A7955" s="20"/>
      <c r="B7955" s="22"/>
    </row>
    <row r="7956" spans="1:2">
      <c r="A7956" s="20"/>
      <c r="B7956" s="22"/>
    </row>
    <row r="7957" spans="1:2">
      <c r="A7957" s="20"/>
      <c r="B7957" s="22"/>
    </row>
    <row r="7958" spans="1:2">
      <c r="A7958" s="20"/>
      <c r="B7958" s="22"/>
    </row>
    <row r="7959" spans="1:2">
      <c r="A7959" s="20"/>
      <c r="B7959" s="22"/>
    </row>
    <row r="7960" spans="1:2">
      <c r="A7960" s="20"/>
      <c r="B7960" s="22"/>
    </row>
    <row r="7961" spans="1:2">
      <c r="A7961" s="20"/>
      <c r="B7961" s="22"/>
    </row>
    <row r="7962" spans="1:2">
      <c r="A7962" s="20"/>
      <c r="B7962" s="22"/>
    </row>
    <row r="7963" spans="1:2">
      <c r="A7963" s="20"/>
      <c r="B7963" s="22"/>
    </row>
    <row r="7964" spans="1:2">
      <c r="A7964" s="20"/>
      <c r="B7964" s="22"/>
    </row>
    <row r="7965" spans="1:2">
      <c r="A7965" s="20"/>
      <c r="B7965" s="22"/>
    </row>
    <row r="7966" spans="1:2">
      <c r="A7966" s="20"/>
      <c r="B7966" s="22"/>
    </row>
    <row r="7967" spans="1:2">
      <c r="A7967" s="20"/>
      <c r="B7967" s="22"/>
    </row>
    <row r="7968" spans="1:2">
      <c r="A7968" s="20"/>
      <c r="B7968" s="22"/>
    </row>
    <row r="7969" spans="1:2">
      <c r="A7969" s="20"/>
      <c r="B7969" s="22"/>
    </row>
    <row r="7970" spans="1:2">
      <c r="A7970" s="20"/>
      <c r="B7970" s="22"/>
    </row>
    <row r="7971" spans="1:2">
      <c r="A7971" s="20"/>
      <c r="B7971" s="22"/>
    </row>
    <row r="7972" spans="1:2">
      <c r="A7972" s="20"/>
      <c r="B7972" s="22"/>
    </row>
    <row r="7973" spans="1:2">
      <c r="A7973" s="20"/>
      <c r="B7973" s="22"/>
    </row>
    <row r="7974" spans="1:2">
      <c r="A7974" s="20"/>
      <c r="B7974" s="22"/>
    </row>
    <row r="7975" spans="1:2">
      <c r="A7975" s="20"/>
      <c r="B7975" s="22"/>
    </row>
    <row r="7976" spans="1:2">
      <c r="A7976" s="20"/>
      <c r="B7976" s="22"/>
    </row>
    <row r="7977" spans="1:2">
      <c r="A7977" s="20"/>
      <c r="B7977" s="22"/>
    </row>
    <row r="7978" spans="1:2">
      <c r="A7978" s="20"/>
      <c r="B7978" s="22"/>
    </row>
    <row r="7979" spans="1:2">
      <c r="A7979" s="20"/>
      <c r="B7979" s="22"/>
    </row>
    <row r="7980" spans="1:2">
      <c r="A7980" s="20"/>
      <c r="B7980" s="22"/>
    </row>
    <row r="7981" spans="1:2">
      <c r="A7981" s="20"/>
      <c r="B7981" s="22"/>
    </row>
    <row r="7982" spans="1:2">
      <c r="A7982" s="20"/>
      <c r="B7982" s="22"/>
    </row>
    <row r="7983" spans="1:2">
      <c r="A7983" s="20"/>
      <c r="B7983" s="22"/>
    </row>
    <row r="7984" spans="1:2">
      <c r="A7984" s="20"/>
      <c r="B7984" s="22"/>
    </row>
    <row r="7985" spans="1:2">
      <c r="A7985" s="20"/>
      <c r="B7985" s="22"/>
    </row>
    <row r="7986" spans="1:2">
      <c r="A7986" s="20"/>
      <c r="B7986" s="22"/>
    </row>
    <row r="7987" spans="1:2">
      <c r="A7987" s="20"/>
      <c r="B7987" s="22"/>
    </row>
    <row r="7988" spans="1:2">
      <c r="A7988" s="20"/>
      <c r="B7988" s="22"/>
    </row>
    <row r="7989" spans="1:2">
      <c r="A7989" s="20"/>
      <c r="B7989" s="22"/>
    </row>
    <row r="7990" spans="1:2">
      <c r="A7990" s="20"/>
      <c r="B7990" s="22"/>
    </row>
    <row r="7991" spans="1:2">
      <c r="A7991" s="20"/>
      <c r="B7991" s="22"/>
    </row>
    <row r="7992" spans="1:2">
      <c r="A7992" s="20"/>
      <c r="B7992" s="22"/>
    </row>
    <row r="7993" spans="1:2">
      <c r="A7993" s="20"/>
      <c r="B7993" s="22"/>
    </row>
    <row r="7994" spans="1:2">
      <c r="A7994" s="20"/>
      <c r="B7994" s="22"/>
    </row>
    <row r="7995" spans="1:2">
      <c r="A7995" s="20"/>
      <c r="B7995" s="22"/>
    </row>
    <row r="7996" spans="1:2">
      <c r="A7996" s="20"/>
      <c r="B7996" s="22"/>
    </row>
    <row r="7997" spans="1:2">
      <c r="A7997" s="20"/>
      <c r="B7997" s="22"/>
    </row>
    <row r="7998" spans="1:2">
      <c r="A7998" s="20"/>
      <c r="B7998" s="22"/>
    </row>
    <row r="7999" spans="1:2">
      <c r="A7999" s="20"/>
      <c r="B7999" s="22"/>
    </row>
    <row r="8000" spans="1:2">
      <c r="A8000" s="20"/>
      <c r="B8000" s="22"/>
    </row>
    <row r="8001" spans="1:2">
      <c r="A8001" s="20"/>
      <c r="B8001" s="22"/>
    </row>
    <row r="8002" spans="1:2">
      <c r="A8002" s="20"/>
      <c r="B8002" s="22"/>
    </row>
    <row r="8003" spans="1:2">
      <c r="A8003" s="20"/>
      <c r="B8003" s="22"/>
    </row>
    <row r="8004" spans="1:2">
      <c r="A8004" s="20"/>
      <c r="B8004" s="22"/>
    </row>
    <row r="8005" spans="1:2">
      <c r="A8005" s="20"/>
      <c r="B8005" s="22"/>
    </row>
    <row r="8006" spans="1:2">
      <c r="A8006" s="20"/>
      <c r="B8006" s="22"/>
    </row>
    <row r="8007" spans="1:2">
      <c r="A8007" s="20"/>
      <c r="B8007" s="22"/>
    </row>
    <row r="8008" spans="1:2">
      <c r="A8008" s="20"/>
      <c r="B8008" s="22"/>
    </row>
    <row r="8009" spans="1:2">
      <c r="A8009" s="20"/>
      <c r="B8009" s="22"/>
    </row>
    <row r="8010" spans="1:2">
      <c r="A8010" s="20"/>
      <c r="B8010" s="22"/>
    </row>
    <row r="8011" spans="1:2">
      <c r="A8011" s="20"/>
      <c r="B8011" s="22"/>
    </row>
    <row r="8012" spans="1:2">
      <c r="A8012" s="20"/>
      <c r="B8012" s="22"/>
    </row>
    <row r="8013" spans="1:2">
      <c r="A8013" s="20"/>
      <c r="B8013" s="22"/>
    </row>
    <row r="8014" spans="1:2">
      <c r="A8014" s="20"/>
      <c r="B8014" s="22"/>
    </row>
    <row r="8015" spans="1:2">
      <c r="A8015" s="20"/>
      <c r="B8015" s="22"/>
    </row>
    <row r="8016" spans="1:2">
      <c r="A8016" s="20"/>
      <c r="B8016" s="22"/>
    </row>
    <row r="8017" spans="1:2">
      <c r="A8017" s="20"/>
      <c r="B8017" s="22"/>
    </row>
    <row r="8018" spans="1:2">
      <c r="A8018" s="20"/>
      <c r="B8018" s="22"/>
    </row>
    <row r="8019" spans="1:2">
      <c r="A8019" s="20"/>
      <c r="B8019" s="22"/>
    </row>
    <row r="8020" spans="1:2">
      <c r="A8020" s="20"/>
      <c r="B8020" s="22"/>
    </row>
    <row r="8021" spans="1:2">
      <c r="A8021" s="20"/>
      <c r="B8021" s="22"/>
    </row>
    <row r="8022" spans="1:2">
      <c r="A8022" s="20"/>
      <c r="B8022" s="22"/>
    </row>
    <row r="8023" spans="1:2">
      <c r="A8023" s="20"/>
      <c r="B8023" s="22"/>
    </row>
    <row r="8024" spans="1:2">
      <c r="A8024" s="20"/>
      <c r="B8024" s="22"/>
    </row>
    <row r="8025" spans="1:2">
      <c r="A8025" s="20"/>
      <c r="B8025" s="22"/>
    </row>
    <row r="8026" spans="1:2">
      <c r="A8026" s="20"/>
      <c r="B8026" s="22"/>
    </row>
    <row r="8027" spans="1:2">
      <c r="A8027" s="20"/>
      <c r="B8027" s="22"/>
    </row>
    <row r="8028" spans="1:2">
      <c r="A8028" s="20"/>
      <c r="B8028" s="22"/>
    </row>
    <row r="8029" spans="1:2">
      <c r="A8029" s="20"/>
      <c r="B8029" s="22"/>
    </row>
    <row r="8030" spans="1:2">
      <c r="A8030" s="20"/>
      <c r="B8030" s="22"/>
    </row>
    <row r="8031" spans="1:2">
      <c r="A8031" s="20"/>
      <c r="B8031" s="22"/>
    </row>
    <row r="8032" spans="1:2">
      <c r="A8032" s="20"/>
      <c r="B8032" s="22"/>
    </row>
    <row r="8033" spans="1:2">
      <c r="A8033" s="20"/>
      <c r="B8033" s="22"/>
    </row>
    <row r="8034" spans="1:2">
      <c r="A8034" s="20"/>
      <c r="B8034" s="22"/>
    </row>
    <row r="8035" spans="1:2">
      <c r="A8035" s="20"/>
      <c r="B8035" s="22"/>
    </row>
    <row r="8036" spans="1:2">
      <c r="A8036" s="20"/>
      <c r="B8036" s="22"/>
    </row>
    <row r="8037" spans="1:2">
      <c r="A8037" s="20"/>
      <c r="B8037" s="22"/>
    </row>
    <row r="8038" spans="1:2">
      <c r="A8038" s="20"/>
      <c r="B8038" s="22"/>
    </row>
    <row r="8039" spans="1:2">
      <c r="A8039" s="20"/>
      <c r="B8039" s="22"/>
    </row>
    <row r="8040" spans="1:2">
      <c r="A8040" s="20"/>
      <c r="B8040" s="22"/>
    </row>
    <row r="8041" spans="1:2">
      <c r="A8041" s="20"/>
      <c r="B8041" s="22"/>
    </row>
    <row r="8042" spans="1:2">
      <c r="A8042" s="20"/>
      <c r="B8042" s="22"/>
    </row>
    <row r="8043" spans="1:2">
      <c r="A8043" s="20"/>
      <c r="B8043" s="22"/>
    </row>
    <row r="8044" spans="1:2">
      <c r="A8044" s="20"/>
      <c r="B8044" s="22"/>
    </row>
    <row r="8045" spans="1:2">
      <c r="A8045" s="20"/>
      <c r="B8045" s="22"/>
    </row>
    <row r="8046" spans="1:2">
      <c r="A8046" s="20"/>
      <c r="B8046" s="22"/>
    </row>
    <row r="8047" spans="1:2">
      <c r="A8047" s="20"/>
      <c r="B8047" s="22"/>
    </row>
    <row r="8048" spans="1:2">
      <c r="A8048" s="20"/>
      <c r="B8048" s="22"/>
    </row>
    <row r="8049" spans="1:2">
      <c r="A8049" s="20"/>
      <c r="B8049" s="22"/>
    </row>
    <row r="8050" spans="1:2">
      <c r="A8050" s="20"/>
      <c r="B8050" s="22"/>
    </row>
    <row r="8051" spans="1:2">
      <c r="A8051" s="20"/>
      <c r="B8051" s="22"/>
    </row>
    <row r="8052" spans="1:2">
      <c r="A8052" s="20"/>
      <c r="B8052" s="22"/>
    </row>
    <row r="8053" spans="1:2">
      <c r="A8053" s="20"/>
      <c r="B8053" s="22"/>
    </row>
    <row r="8054" spans="1:2">
      <c r="A8054" s="20"/>
      <c r="B8054" s="22"/>
    </row>
    <row r="8055" spans="1:2">
      <c r="A8055" s="20"/>
      <c r="B8055" s="22"/>
    </row>
    <row r="8056" spans="1:2">
      <c r="A8056" s="20"/>
      <c r="B8056" s="22"/>
    </row>
    <row r="8057" spans="1:2">
      <c r="A8057" s="20"/>
      <c r="B8057" s="22"/>
    </row>
    <row r="8058" spans="1:2">
      <c r="A8058" s="20"/>
      <c r="B8058" s="22"/>
    </row>
    <row r="8059" spans="1:2">
      <c r="A8059" s="20"/>
      <c r="B8059" s="22"/>
    </row>
    <row r="8060" spans="1:2">
      <c r="A8060" s="20"/>
      <c r="B8060" s="22"/>
    </row>
    <row r="8061" spans="1:2">
      <c r="A8061" s="20"/>
      <c r="B8061" s="22"/>
    </row>
    <row r="8062" spans="1:2">
      <c r="A8062" s="20"/>
      <c r="B8062" s="22"/>
    </row>
    <row r="8063" spans="1:2">
      <c r="A8063" s="20"/>
      <c r="B8063" s="22"/>
    </row>
    <row r="8064" spans="1:2">
      <c r="A8064" s="20"/>
      <c r="B8064" s="22"/>
    </row>
    <row r="8065" spans="1:2">
      <c r="A8065" s="20"/>
      <c r="B8065" s="22"/>
    </row>
    <row r="8066" spans="1:2">
      <c r="A8066" s="20"/>
      <c r="B8066" s="22"/>
    </row>
    <row r="8067" spans="1:2">
      <c r="A8067" s="20"/>
      <c r="B8067" s="22"/>
    </row>
    <row r="8068" spans="1:2">
      <c r="A8068" s="20"/>
      <c r="B8068" s="22"/>
    </row>
    <row r="8069" spans="1:2">
      <c r="A8069" s="20"/>
      <c r="B8069" s="22"/>
    </row>
    <row r="8070" spans="1:2">
      <c r="A8070" s="20"/>
      <c r="B8070" s="22"/>
    </row>
    <row r="8071" spans="1:2">
      <c r="A8071" s="20"/>
      <c r="B8071" s="22"/>
    </row>
    <row r="8072" spans="1:2">
      <c r="A8072" s="20"/>
      <c r="B8072" s="22"/>
    </row>
    <row r="8073" spans="1:2">
      <c r="A8073" s="20"/>
      <c r="B8073" s="22"/>
    </row>
    <row r="8074" spans="1:2">
      <c r="A8074" s="20"/>
      <c r="B8074" s="22"/>
    </row>
    <row r="8075" spans="1:2">
      <c r="A8075" s="20"/>
      <c r="B8075" s="22"/>
    </row>
    <row r="8076" spans="1:2">
      <c r="A8076" s="20"/>
      <c r="B8076" s="22"/>
    </row>
    <row r="8077" spans="1:2">
      <c r="A8077" s="20"/>
      <c r="B8077" s="22"/>
    </row>
    <row r="8078" spans="1:2">
      <c r="A8078" s="20"/>
      <c r="B8078" s="22"/>
    </row>
    <row r="8079" spans="1:2">
      <c r="A8079" s="20"/>
      <c r="B8079" s="22"/>
    </row>
    <row r="8080" spans="1:2">
      <c r="A8080" s="20"/>
      <c r="B8080" s="22"/>
    </row>
    <row r="8081" spans="1:2">
      <c r="A8081" s="20"/>
      <c r="B8081" s="22"/>
    </row>
    <row r="8082" spans="1:2">
      <c r="A8082" s="20"/>
      <c r="B8082" s="22"/>
    </row>
    <row r="8083" spans="1:2">
      <c r="A8083" s="20"/>
      <c r="B8083" s="22"/>
    </row>
    <row r="8084" spans="1:2">
      <c r="A8084" s="20"/>
      <c r="B8084" s="22"/>
    </row>
    <row r="8085" spans="1:2">
      <c r="A8085" s="20"/>
      <c r="B8085" s="22"/>
    </row>
    <row r="8086" spans="1:2">
      <c r="A8086" s="20"/>
      <c r="B8086" s="22"/>
    </row>
    <row r="8087" spans="1:2">
      <c r="A8087" s="20"/>
      <c r="B8087" s="22"/>
    </row>
    <row r="8088" spans="1:2">
      <c r="A8088" s="20"/>
      <c r="B8088" s="22"/>
    </row>
    <row r="8089" spans="1:2">
      <c r="A8089" s="20"/>
      <c r="B8089" s="22"/>
    </row>
    <row r="8090" spans="1:2">
      <c r="A8090" s="20"/>
      <c r="B8090" s="22"/>
    </row>
    <row r="8091" spans="1:2">
      <c r="A8091" s="20"/>
      <c r="B8091" s="22"/>
    </row>
    <row r="8092" spans="1:2">
      <c r="A8092" s="20"/>
      <c r="B8092" s="22"/>
    </row>
    <row r="8093" spans="1:2">
      <c r="A8093" s="20"/>
      <c r="B8093" s="22"/>
    </row>
    <row r="8094" spans="1:2">
      <c r="A8094" s="20"/>
      <c r="B8094" s="22"/>
    </row>
    <row r="8095" spans="1:2">
      <c r="A8095" s="20"/>
      <c r="B8095" s="22"/>
    </row>
    <row r="8096" spans="1:2">
      <c r="A8096" s="20"/>
      <c r="B8096" s="22"/>
    </row>
    <row r="8097" spans="1:2">
      <c r="A8097" s="20"/>
      <c r="B8097" s="22"/>
    </row>
    <row r="8098" spans="1:2">
      <c r="A8098" s="20"/>
      <c r="B8098" s="22"/>
    </row>
    <row r="8099" spans="1:2">
      <c r="A8099" s="20"/>
      <c r="B8099" s="22"/>
    </row>
    <row r="8100" spans="1:2">
      <c r="A8100" s="20"/>
      <c r="B8100" s="22"/>
    </row>
    <row r="8101" spans="1:2">
      <c r="A8101" s="20"/>
      <c r="B8101" s="22"/>
    </row>
    <row r="8102" spans="1:2">
      <c r="A8102" s="20"/>
      <c r="B8102" s="22"/>
    </row>
    <row r="8103" spans="1:2">
      <c r="A8103" s="20"/>
      <c r="B8103" s="22"/>
    </row>
    <row r="8104" spans="1:2">
      <c r="A8104" s="20"/>
      <c r="B8104" s="22"/>
    </row>
    <row r="8105" spans="1:2">
      <c r="A8105" s="20"/>
      <c r="B8105" s="22"/>
    </row>
    <row r="8106" spans="1:2">
      <c r="A8106" s="20"/>
      <c r="B8106" s="22"/>
    </row>
    <row r="8107" spans="1:2">
      <c r="A8107" s="20"/>
      <c r="B8107" s="22"/>
    </row>
    <row r="8108" spans="1:2">
      <c r="A8108" s="20"/>
      <c r="B8108" s="22"/>
    </row>
    <row r="8109" spans="1:2">
      <c r="A8109" s="20"/>
      <c r="B8109" s="22"/>
    </row>
    <row r="8110" spans="1:2">
      <c r="A8110" s="20"/>
      <c r="B8110" s="22"/>
    </row>
    <row r="8111" spans="1:2">
      <c r="A8111" s="20"/>
      <c r="B8111" s="22"/>
    </row>
    <row r="8112" spans="1:2">
      <c r="A8112" s="20"/>
      <c r="B8112" s="22"/>
    </row>
    <row r="8113" spans="1:2">
      <c r="A8113" s="20"/>
      <c r="B8113" s="22"/>
    </row>
    <row r="8114" spans="1:2">
      <c r="A8114" s="20"/>
      <c r="B8114" s="22"/>
    </row>
    <row r="8115" spans="1:2">
      <c r="A8115" s="20"/>
      <c r="B8115" s="22"/>
    </row>
    <row r="8116" spans="1:2">
      <c r="A8116" s="20"/>
      <c r="B8116" s="22"/>
    </row>
    <row r="8117" spans="1:2">
      <c r="A8117" s="20"/>
      <c r="B8117" s="22"/>
    </row>
    <row r="8118" spans="1:2">
      <c r="A8118" s="20"/>
      <c r="B8118" s="22"/>
    </row>
    <row r="8119" spans="1:2">
      <c r="A8119" s="20"/>
      <c r="B8119" s="22"/>
    </row>
    <row r="8120" spans="1:2">
      <c r="A8120" s="20"/>
      <c r="B8120" s="22"/>
    </row>
    <row r="8121" spans="1:2">
      <c r="A8121" s="20"/>
      <c r="B8121" s="22"/>
    </row>
    <row r="8122" spans="1:2">
      <c r="A8122" s="20"/>
      <c r="B8122" s="22"/>
    </row>
    <row r="8123" spans="1:2">
      <c r="A8123" s="20"/>
      <c r="B8123" s="22"/>
    </row>
    <row r="8124" spans="1:2">
      <c r="A8124" s="20"/>
      <c r="B8124" s="22"/>
    </row>
    <row r="8125" spans="1:2">
      <c r="A8125" s="20"/>
      <c r="B8125" s="22"/>
    </row>
    <row r="8126" spans="1:2">
      <c r="A8126" s="20"/>
      <c r="B8126" s="22"/>
    </row>
    <row r="8127" spans="1:2">
      <c r="A8127" s="20"/>
      <c r="B8127" s="22"/>
    </row>
    <row r="8128" spans="1:2">
      <c r="A8128" s="20"/>
      <c r="B8128" s="22"/>
    </row>
    <row r="8129" spans="1:2">
      <c r="A8129" s="20"/>
      <c r="B8129" s="22"/>
    </row>
    <row r="8130" spans="1:2">
      <c r="A8130" s="20"/>
      <c r="B8130" s="22"/>
    </row>
    <row r="8131" spans="1:2">
      <c r="A8131" s="20"/>
      <c r="B8131" s="22"/>
    </row>
    <row r="8132" spans="1:2">
      <c r="A8132" s="20"/>
      <c r="B8132" s="22"/>
    </row>
    <row r="8133" spans="1:2">
      <c r="A8133" s="20"/>
      <c r="B8133" s="22"/>
    </row>
    <row r="8134" spans="1:2">
      <c r="A8134" s="20"/>
      <c r="B8134" s="22"/>
    </row>
    <row r="8135" spans="1:2">
      <c r="A8135" s="20"/>
      <c r="B8135" s="22"/>
    </row>
    <row r="8136" spans="1:2">
      <c r="A8136" s="20"/>
      <c r="B8136" s="22"/>
    </row>
    <row r="8137" spans="1:2">
      <c r="A8137" s="20"/>
      <c r="B8137" s="22"/>
    </row>
    <row r="8138" spans="1:2">
      <c r="A8138" s="20"/>
      <c r="B8138" s="22"/>
    </row>
    <row r="8139" spans="1:2">
      <c r="A8139" s="20"/>
      <c r="B8139" s="22"/>
    </row>
    <row r="8140" spans="1:2">
      <c r="A8140" s="20"/>
      <c r="B8140" s="22"/>
    </row>
    <row r="8141" spans="1:2">
      <c r="A8141" s="20"/>
      <c r="B8141" s="22"/>
    </row>
    <row r="8142" spans="1:2">
      <c r="A8142" s="20"/>
      <c r="B8142" s="22"/>
    </row>
    <row r="8143" spans="1:2">
      <c r="A8143" s="20"/>
      <c r="B8143" s="22"/>
    </row>
    <row r="8144" spans="1:2">
      <c r="A8144" s="20"/>
      <c r="B8144" s="22"/>
    </row>
    <row r="8145" spans="1:2">
      <c r="A8145" s="20"/>
      <c r="B8145" s="22"/>
    </row>
    <row r="8146" spans="1:2">
      <c r="A8146" s="20"/>
      <c r="B8146" s="22"/>
    </row>
    <row r="8147" spans="1:2">
      <c r="A8147" s="20"/>
      <c r="B8147" s="22"/>
    </row>
    <row r="8148" spans="1:2">
      <c r="A8148" s="20"/>
      <c r="B8148" s="22"/>
    </row>
    <row r="8149" spans="1:2">
      <c r="A8149" s="20"/>
      <c r="B8149" s="22"/>
    </row>
    <row r="8150" spans="1:2">
      <c r="A8150" s="20"/>
      <c r="B8150" s="22"/>
    </row>
    <row r="8151" spans="1:2">
      <c r="A8151" s="20"/>
      <c r="B8151" s="22"/>
    </row>
    <row r="8152" spans="1:2">
      <c r="A8152" s="20"/>
      <c r="B8152" s="22"/>
    </row>
    <row r="8153" spans="1:2">
      <c r="A8153" s="20"/>
      <c r="B8153" s="22"/>
    </row>
    <row r="8154" spans="1:2">
      <c r="A8154" s="20"/>
      <c r="B8154" s="22"/>
    </row>
    <row r="8155" spans="1:2">
      <c r="A8155" s="20"/>
      <c r="B8155" s="22"/>
    </row>
    <row r="8156" spans="1:2">
      <c r="A8156" s="20"/>
      <c r="B8156" s="22"/>
    </row>
    <row r="8157" spans="1:2">
      <c r="A8157" s="20"/>
      <c r="B8157" s="22"/>
    </row>
    <row r="8158" spans="1:2">
      <c r="A8158" s="20"/>
      <c r="B8158" s="22"/>
    </row>
    <row r="8159" spans="1:2">
      <c r="A8159" s="20"/>
      <c r="B8159" s="22"/>
    </row>
    <row r="8160" spans="1:2">
      <c r="A8160" s="20"/>
      <c r="B8160" s="22"/>
    </row>
    <row r="8161" spans="1:2">
      <c r="A8161" s="20"/>
      <c r="B8161" s="22"/>
    </row>
    <row r="8162" spans="1:2">
      <c r="A8162" s="20"/>
      <c r="B8162" s="22"/>
    </row>
    <row r="8163" spans="1:2">
      <c r="A8163" s="20"/>
      <c r="B8163" s="22"/>
    </row>
    <row r="8164" spans="1:2">
      <c r="A8164" s="20"/>
      <c r="B8164" s="22"/>
    </row>
    <row r="8165" spans="1:2">
      <c r="A8165" s="20"/>
      <c r="B8165" s="22"/>
    </row>
    <row r="8166" spans="1:2">
      <c r="A8166" s="20"/>
      <c r="B8166" s="22"/>
    </row>
    <row r="8167" spans="1:2">
      <c r="A8167" s="20"/>
      <c r="B8167" s="22"/>
    </row>
    <row r="8168" spans="1:2">
      <c r="A8168" s="20"/>
      <c r="B8168" s="22"/>
    </row>
    <row r="8169" spans="1:2">
      <c r="A8169" s="20"/>
      <c r="B8169" s="22"/>
    </row>
    <row r="8170" spans="1:2">
      <c r="A8170" s="20"/>
      <c r="B8170" s="22"/>
    </row>
    <row r="8171" spans="1:2">
      <c r="A8171" s="20"/>
      <c r="B8171" s="22"/>
    </row>
    <row r="8172" spans="1:2">
      <c r="A8172" s="20"/>
      <c r="B8172" s="22"/>
    </row>
    <row r="8173" spans="1:2">
      <c r="A8173" s="20"/>
      <c r="B8173" s="22"/>
    </row>
    <row r="8174" spans="1:2">
      <c r="A8174" s="20"/>
      <c r="B8174" s="22"/>
    </row>
    <row r="8175" spans="1:2">
      <c r="A8175" s="20"/>
      <c r="B8175" s="22"/>
    </row>
    <row r="8176" spans="1:2">
      <c r="A8176" s="20"/>
      <c r="B8176" s="22"/>
    </row>
    <row r="8177" spans="1:2">
      <c r="A8177" s="20"/>
      <c r="B8177" s="22"/>
    </row>
    <row r="8178" spans="1:2">
      <c r="A8178" s="20"/>
      <c r="B8178" s="22"/>
    </row>
    <row r="8179" spans="1:2">
      <c r="A8179" s="20"/>
      <c r="B8179" s="22"/>
    </row>
    <row r="8180" spans="1:2">
      <c r="A8180" s="20"/>
      <c r="B8180" s="22"/>
    </row>
    <row r="8181" spans="1:2">
      <c r="A8181" s="20"/>
      <c r="B8181" s="22"/>
    </row>
    <row r="8182" spans="1:2">
      <c r="A8182" s="20"/>
      <c r="B8182" s="22"/>
    </row>
    <row r="8183" spans="1:2">
      <c r="A8183" s="20"/>
      <c r="B8183" s="22"/>
    </row>
    <row r="8184" spans="1:2">
      <c r="A8184" s="20"/>
      <c r="B8184" s="22"/>
    </row>
    <row r="8185" spans="1:2">
      <c r="A8185" s="20"/>
      <c r="B8185" s="22"/>
    </row>
    <row r="8186" spans="1:2">
      <c r="A8186" s="20"/>
      <c r="B8186" s="22"/>
    </row>
    <row r="8187" spans="1:2">
      <c r="A8187" s="20"/>
      <c r="B8187" s="22"/>
    </row>
    <row r="8188" spans="1:2">
      <c r="A8188" s="20"/>
      <c r="B8188" s="22"/>
    </row>
    <row r="8189" spans="1:2">
      <c r="A8189" s="20"/>
      <c r="B8189" s="22"/>
    </row>
    <row r="8190" spans="1:2">
      <c r="A8190" s="20"/>
      <c r="B8190" s="22"/>
    </row>
    <row r="8191" spans="1:2">
      <c r="A8191" s="20"/>
      <c r="B8191" s="22"/>
    </row>
    <row r="8192" spans="1:2">
      <c r="A8192" s="20"/>
      <c r="B8192" s="22"/>
    </row>
    <row r="8193" spans="1:2">
      <c r="A8193" s="20"/>
      <c r="B8193" s="22"/>
    </row>
    <row r="8194" spans="1:2">
      <c r="A8194" s="20"/>
      <c r="B8194" s="22"/>
    </row>
    <row r="8195" spans="1:2">
      <c r="A8195" s="20"/>
      <c r="B8195" s="22"/>
    </row>
    <row r="8196" spans="1:2">
      <c r="A8196" s="20"/>
      <c r="B8196" s="22"/>
    </row>
    <row r="8197" spans="1:2">
      <c r="A8197" s="20"/>
      <c r="B8197" s="22"/>
    </row>
    <row r="8198" spans="1:2">
      <c r="A8198" s="20"/>
      <c r="B8198" s="22"/>
    </row>
    <row r="8199" spans="1:2">
      <c r="A8199" s="20"/>
      <c r="B8199" s="22"/>
    </row>
    <row r="8200" spans="1:2">
      <c r="A8200" s="20"/>
      <c r="B8200" s="22"/>
    </row>
    <row r="8201" spans="1:2">
      <c r="A8201" s="20"/>
      <c r="B8201" s="22"/>
    </row>
    <row r="8202" spans="1:2">
      <c r="A8202" s="20"/>
      <c r="B8202" s="22"/>
    </row>
    <row r="8203" spans="1:2">
      <c r="A8203" s="20"/>
      <c r="B8203" s="22"/>
    </row>
    <row r="8204" spans="1:2">
      <c r="A8204" s="20"/>
      <c r="B8204" s="22"/>
    </row>
    <row r="8205" spans="1:2">
      <c r="A8205" s="20"/>
      <c r="B8205" s="22"/>
    </row>
    <row r="8206" spans="1:2">
      <c r="A8206" s="20"/>
      <c r="B8206" s="22"/>
    </row>
    <row r="8207" spans="1:2">
      <c r="A8207" s="20"/>
      <c r="B8207" s="22"/>
    </row>
    <row r="8208" spans="1:2">
      <c r="A8208" s="20"/>
      <c r="B8208" s="22"/>
    </row>
    <row r="8209" spans="1:2">
      <c r="A8209" s="20"/>
      <c r="B8209" s="22"/>
    </row>
    <row r="8210" spans="1:2">
      <c r="A8210" s="20"/>
      <c r="B8210" s="22"/>
    </row>
    <row r="8211" spans="1:2">
      <c r="A8211" s="20"/>
      <c r="B8211" s="22"/>
    </row>
    <row r="8212" spans="1:2">
      <c r="A8212" s="20"/>
      <c r="B8212" s="22"/>
    </row>
    <row r="8213" spans="1:2">
      <c r="A8213" s="20"/>
      <c r="B8213" s="22"/>
    </row>
    <row r="8214" spans="1:2">
      <c r="A8214" s="20"/>
      <c r="B8214" s="22"/>
    </row>
    <row r="8215" spans="1:2">
      <c r="A8215" s="20"/>
      <c r="B8215" s="22"/>
    </row>
    <row r="8216" spans="1:2">
      <c r="A8216" s="20"/>
      <c r="B8216" s="22"/>
    </row>
    <row r="8217" spans="1:2">
      <c r="A8217" s="20"/>
      <c r="B8217" s="22"/>
    </row>
    <row r="8218" spans="1:2">
      <c r="A8218" s="20"/>
      <c r="B8218" s="22"/>
    </row>
    <row r="8219" spans="1:2">
      <c r="A8219" s="20"/>
      <c r="B8219" s="22"/>
    </row>
    <row r="8220" spans="1:2">
      <c r="A8220" s="20"/>
      <c r="B8220" s="22"/>
    </row>
    <row r="8221" spans="1:2">
      <c r="A8221" s="20"/>
      <c r="B8221" s="22"/>
    </row>
    <row r="8222" spans="1:2">
      <c r="A8222" s="20"/>
      <c r="B8222" s="22"/>
    </row>
    <row r="8223" spans="1:2">
      <c r="A8223" s="20"/>
      <c r="B8223" s="22"/>
    </row>
    <row r="8224" spans="1:2">
      <c r="A8224" s="20"/>
      <c r="B8224" s="22"/>
    </row>
    <row r="8225" spans="1:2">
      <c r="A8225" s="20"/>
      <c r="B8225" s="22"/>
    </row>
    <row r="8226" spans="1:2">
      <c r="A8226" s="20"/>
      <c r="B8226" s="22"/>
    </row>
    <row r="8227" spans="1:2">
      <c r="A8227" s="20"/>
      <c r="B8227" s="22"/>
    </row>
    <row r="8228" spans="1:2">
      <c r="A8228" s="20"/>
      <c r="B8228" s="22"/>
    </row>
    <row r="8229" spans="1:2">
      <c r="A8229" s="20"/>
      <c r="B8229" s="22"/>
    </row>
    <row r="8230" spans="1:2">
      <c r="A8230" s="20"/>
      <c r="B8230" s="22"/>
    </row>
    <row r="8231" spans="1:2">
      <c r="A8231" s="20"/>
      <c r="B8231" s="22"/>
    </row>
    <row r="8232" spans="1:2">
      <c r="A8232" s="20"/>
      <c r="B8232" s="22"/>
    </row>
    <row r="8233" spans="1:2">
      <c r="A8233" s="20"/>
      <c r="B8233" s="22"/>
    </row>
    <row r="8234" spans="1:2">
      <c r="A8234" s="20"/>
      <c r="B8234" s="22"/>
    </row>
    <row r="8235" spans="1:2">
      <c r="A8235" s="20"/>
      <c r="B8235" s="22"/>
    </row>
    <row r="8236" spans="1:2">
      <c r="A8236" s="20"/>
      <c r="B8236" s="22"/>
    </row>
    <row r="8237" spans="1:2">
      <c r="A8237" s="20"/>
      <c r="B8237" s="22"/>
    </row>
    <row r="8238" spans="1:2">
      <c r="A8238" s="20"/>
      <c r="B8238" s="22"/>
    </row>
    <row r="8239" spans="1:2">
      <c r="A8239" s="20"/>
      <c r="B8239" s="22"/>
    </row>
    <row r="8240" spans="1:2">
      <c r="A8240" s="20"/>
      <c r="B8240" s="22"/>
    </row>
    <row r="8241" spans="1:2">
      <c r="A8241" s="20"/>
      <c r="B8241" s="22"/>
    </row>
    <row r="8242" spans="1:2">
      <c r="A8242" s="20"/>
      <c r="B8242" s="22"/>
    </row>
    <row r="8243" spans="1:2">
      <c r="A8243" s="20"/>
      <c r="B8243" s="22"/>
    </row>
    <row r="8244" spans="1:2">
      <c r="A8244" s="20"/>
      <c r="B8244" s="22"/>
    </row>
    <row r="8245" spans="1:2">
      <c r="A8245" s="20"/>
      <c r="B8245" s="22"/>
    </row>
    <row r="8246" spans="1:2">
      <c r="A8246" s="20"/>
      <c r="B8246" s="22"/>
    </row>
    <row r="8247" spans="1:2">
      <c r="A8247" s="20"/>
      <c r="B8247" s="22"/>
    </row>
    <row r="8248" spans="1:2">
      <c r="A8248" s="20"/>
      <c r="B8248" s="22"/>
    </row>
    <row r="8249" spans="1:2">
      <c r="A8249" s="20"/>
      <c r="B8249" s="22"/>
    </row>
    <row r="8250" spans="1:2">
      <c r="A8250" s="20"/>
      <c r="B8250" s="22"/>
    </row>
    <row r="8251" spans="1:2">
      <c r="A8251" s="20"/>
      <c r="B8251" s="22"/>
    </row>
    <row r="8252" spans="1:2">
      <c r="A8252" s="20"/>
      <c r="B8252" s="22"/>
    </row>
    <row r="8253" spans="1:2">
      <c r="A8253" s="20"/>
      <c r="B8253" s="22"/>
    </row>
    <row r="8254" spans="1:2">
      <c r="A8254" s="20"/>
      <c r="B8254" s="22"/>
    </row>
    <row r="8255" spans="1:2">
      <c r="A8255" s="20"/>
      <c r="B8255" s="22"/>
    </row>
    <row r="8256" spans="1:2">
      <c r="A8256" s="20"/>
      <c r="B8256" s="22"/>
    </row>
    <row r="8257" spans="1:2">
      <c r="A8257" s="20"/>
      <c r="B8257" s="22"/>
    </row>
    <row r="8258" spans="1:2">
      <c r="A8258" s="20"/>
      <c r="B8258" s="22"/>
    </row>
    <row r="8259" spans="1:2">
      <c r="A8259" s="20"/>
      <c r="B8259" s="22"/>
    </row>
    <row r="8260" spans="1:2">
      <c r="A8260" s="20"/>
      <c r="B8260" s="22"/>
    </row>
    <row r="8261" spans="1:2">
      <c r="A8261" s="20"/>
      <c r="B8261" s="22"/>
    </row>
    <row r="8262" spans="1:2">
      <c r="A8262" s="20"/>
      <c r="B8262" s="22"/>
    </row>
    <row r="8263" spans="1:2">
      <c r="A8263" s="20"/>
      <c r="B8263" s="22"/>
    </row>
    <row r="8264" spans="1:2">
      <c r="A8264" s="20"/>
      <c r="B8264" s="22"/>
    </row>
    <row r="8265" spans="1:2">
      <c r="A8265" s="20"/>
      <c r="B8265" s="22"/>
    </row>
    <row r="8266" spans="1:2">
      <c r="A8266" s="20"/>
      <c r="B8266" s="22"/>
    </row>
    <row r="8267" spans="1:2">
      <c r="A8267" s="20"/>
      <c r="B8267" s="22"/>
    </row>
    <row r="8268" spans="1:2">
      <c r="A8268" s="20"/>
      <c r="B8268" s="22"/>
    </row>
    <row r="8269" spans="1:2">
      <c r="A8269" s="20"/>
      <c r="B8269" s="22"/>
    </row>
    <row r="8270" spans="1:2">
      <c r="A8270" s="20"/>
      <c r="B8270" s="22"/>
    </row>
    <row r="8271" spans="1:2">
      <c r="A8271" s="20"/>
      <c r="B8271" s="22"/>
    </row>
    <row r="8272" spans="1:2">
      <c r="A8272" s="20"/>
      <c r="B8272" s="22"/>
    </row>
    <row r="8273" spans="1:2">
      <c r="A8273" s="20"/>
      <c r="B8273" s="22"/>
    </row>
    <row r="8274" spans="1:2">
      <c r="A8274" s="20"/>
      <c r="B8274" s="22"/>
    </row>
    <row r="8275" spans="1:2">
      <c r="A8275" s="20"/>
      <c r="B8275" s="22"/>
    </row>
    <row r="8276" spans="1:2">
      <c r="A8276" s="20"/>
      <c r="B8276" s="22"/>
    </row>
    <row r="8277" spans="1:2">
      <c r="A8277" s="20"/>
      <c r="B8277" s="22"/>
    </row>
    <row r="8278" spans="1:2">
      <c r="A8278" s="20"/>
      <c r="B8278" s="22"/>
    </row>
    <row r="8279" spans="1:2">
      <c r="A8279" s="20"/>
      <c r="B8279" s="22"/>
    </row>
    <row r="8280" spans="1:2">
      <c r="A8280" s="20"/>
      <c r="B8280" s="22"/>
    </row>
    <row r="8281" spans="1:2">
      <c r="A8281" s="20"/>
      <c r="B8281" s="22"/>
    </row>
    <row r="8282" spans="1:2">
      <c r="A8282" s="20"/>
      <c r="B8282" s="22"/>
    </row>
    <row r="8283" spans="1:2">
      <c r="A8283" s="20"/>
      <c r="B8283" s="22"/>
    </row>
    <row r="8284" spans="1:2">
      <c r="A8284" s="20"/>
      <c r="B8284" s="22"/>
    </row>
    <row r="8285" spans="1:2">
      <c r="A8285" s="20"/>
      <c r="B8285" s="22"/>
    </row>
    <row r="8286" spans="1:2">
      <c r="A8286" s="20"/>
      <c r="B8286" s="22"/>
    </row>
    <row r="8287" spans="1:2">
      <c r="A8287" s="20"/>
      <c r="B8287" s="22"/>
    </row>
    <row r="8288" spans="1:2">
      <c r="A8288" s="20"/>
      <c r="B8288" s="22"/>
    </row>
    <row r="8289" spans="1:2">
      <c r="A8289" s="20"/>
      <c r="B8289" s="22"/>
    </row>
    <row r="8290" spans="1:2">
      <c r="A8290" s="20"/>
      <c r="B8290" s="22"/>
    </row>
    <row r="8291" spans="1:2">
      <c r="A8291" s="20"/>
      <c r="B8291" s="22"/>
    </row>
    <row r="8292" spans="1:2">
      <c r="A8292" s="20"/>
      <c r="B8292" s="22"/>
    </row>
    <row r="8293" spans="1:2">
      <c r="A8293" s="20"/>
      <c r="B8293" s="22"/>
    </row>
    <row r="8294" spans="1:2">
      <c r="A8294" s="20"/>
      <c r="B8294" s="22"/>
    </row>
    <row r="8295" spans="1:2">
      <c r="A8295" s="20"/>
      <c r="B8295" s="22"/>
    </row>
    <row r="8296" spans="1:2">
      <c r="A8296" s="20"/>
      <c r="B8296" s="22"/>
    </row>
    <row r="8297" spans="1:2">
      <c r="A8297" s="20"/>
      <c r="B8297" s="22"/>
    </row>
    <row r="8298" spans="1:2">
      <c r="A8298" s="20"/>
      <c r="B8298" s="22"/>
    </row>
    <row r="8299" spans="1:2">
      <c r="A8299" s="20"/>
      <c r="B8299" s="22"/>
    </row>
    <row r="8300" spans="1:2">
      <c r="A8300" s="20"/>
      <c r="B8300" s="22"/>
    </row>
    <row r="8301" spans="1:2">
      <c r="A8301" s="20"/>
      <c r="B8301" s="22"/>
    </row>
    <row r="8302" spans="1:2">
      <c r="A8302" s="20"/>
      <c r="B8302" s="22"/>
    </row>
    <row r="8303" spans="1:2">
      <c r="A8303" s="20"/>
      <c r="B8303" s="22"/>
    </row>
    <row r="8304" spans="1:2">
      <c r="A8304" s="20"/>
      <c r="B8304" s="22"/>
    </row>
    <row r="8305" spans="1:2">
      <c r="A8305" s="20"/>
      <c r="B8305" s="22"/>
    </row>
    <row r="8306" spans="1:2">
      <c r="A8306" s="20"/>
      <c r="B8306" s="22"/>
    </row>
    <row r="8307" spans="1:2">
      <c r="A8307" s="20"/>
      <c r="B8307" s="22"/>
    </row>
    <row r="8308" spans="1:2">
      <c r="A8308" s="20"/>
      <c r="B8308" s="22"/>
    </row>
    <row r="8309" spans="1:2">
      <c r="A8309" s="20"/>
      <c r="B8309" s="22"/>
    </row>
    <row r="8310" spans="1:2">
      <c r="A8310" s="20"/>
      <c r="B8310" s="22"/>
    </row>
    <row r="8311" spans="1:2">
      <c r="A8311" s="20"/>
      <c r="B8311" s="22"/>
    </row>
    <row r="8312" spans="1:2">
      <c r="A8312" s="20"/>
      <c r="B8312" s="22"/>
    </row>
    <row r="8313" spans="1:2">
      <c r="A8313" s="20"/>
      <c r="B8313" s="22"/>
    </row>
    <row r="8314" spans="1:2">
      <c r="A8314" s="20"/>
      <c r="B8314" s="22"/>
    </row>
    <row r="8315" spans="1:2">
      <c r="A8315" s="20"/>
      <c r="B8315" s="22"/>
    </row>
    <row r="8316" spans="1:2">
      <c r="A8316" s="20"/>
      <c r="B8316" s="22"/>
    </row>
    <row r="8317" spans="1:2">
      <c r="A8317" s="20"/>
      <c r="B8317" s="22"/>
    </row>
    <row r="8318" spans="1:2">
      <c r="A8318" s="20"/>
      <c r="B8318" s="22"/>
    </row>
    <row r="8319" spans="1:2">
      <c r="A8319" s="20"/>
      <c r="B8319" s="22"/>
    </row>
    <row r="8320" spans="1:2">
      <c r="A8320" s="20"/>
      <c r="B8320" s="22"/>
    </row>
    <row r="8321" spans="1:2">
      <c r="A8321" s="20"/>
      <c r="B8321" s="22"/>
    </row>
    <row r="8322" spans="1:2">
      <c r="A8322" s="20"/>
      <c r="B8322" s="22"/>
    </row>
    <row r="8323" spans="1:2">
      <c r="A8323" s="20"/>
      <c r="B8323" s="22"/>
    </row>
    <row r="8324" spans="1:2">
      <c r="A8324" s="20"/>
      <c r="B8324" s="22"/>
    </row>
    <row r="8325" spans="1:2">
      <c r="A8325" s="20"/>
      <c r="B8325" s="22"/>
    </row>
    <row r="8326" spans="1:2">
      <c r="A8326" s="20"/>
      <c r="B8326" s="22"/>
    </row>
    <row r="8327" spans="1:2">
      <c r="A8327" s="20"/>
      <c r="B8327" s="22"/>
    </row>
    <row r="8328" spans="1:2">
      <c r="A8328" s="20"/>
      <c r="B8328" s="22"/>
    </row>
    <row r="8329" spans="1:2">
      <c r="A8329" s="20"/>
      <c r="B8329" s="22"/>
    </row>
    <row r="8330" spans="1:2">
      <c r="A8330" s="20"/>
      <c r="B8330" s="22"/>
    </row>
    <row r="8331" spans="1:2">
      <c r="A8331" s="20"/>
      <c r="B8331" s="22"/>
    </row>
    <row r="8332" spans="1:2">
      <c r="A8332" s="20"/>
      <c r="B8332" s="22"/>
    </row>
    <row r="8333" spans="1:2">
      <c r="A8333" s="20"/>
      <c r="B8333" s="22"/>
    </row>
    <row r="8334" spans="1:2">
      <c r="A8334" s="20"/>
      <c r="B8334" s="22"/>
    </row>
    <row r="8335" spans="1:2">
      <c r="A8335" s="20"/>
      <c r="B8335" s="22"/>
    </row>
    <row r="8336" spans="1:2">
      <c r="A8336" s="20"/>
      <c r="B8336" s="22"/>
    </row>
    <row r="8337" spans="1:2">
      <c r="A8337" s="20"/>
      <c r="B8337" s="22"/>
    </row>
    <row r="8338" spans="1:2">
      <c r="A8338" s="20"/>
      <c r="B8338" s="22"/>
    </row>
    <row r="8339" spans="1:2">
      <c r="A8339" s="20"/>
      <c r="B8339" s="22"/>
    </row>
    <row r="8340" spans="1:2">
      <c r="A8340" s="20"/>
      <c r="B8340" s="22"/>
    </row>
    <row r="8341" spans="1:2">
      <c r="A8341" s="20"/>
      <c r="B8341" s="22"/>
    </row>
    <row r="8342" spans="1:2">
      <c r="A8342" s="20"/>
      <c r="B8342" s="22"/>
    </row>
    <row r="8343" spans="1:2">
      <c r="A8343" s="20"/>
      <c r="B8343" s="22"/>
    </row>
    <row r="8344" spans="1:2">
      <c r="A8344" s="20"/>
      <c r="B8344" s="22"/>
    </row>
    <row r="8345" spans="1:2">
      <c r="A8345" s="20"/>
      <c r="B8345" s="22"/>
    </row>
    <row r="8346" spans="1:2">
      <c r="A8346" s="20"/>
      <c r="B8346" s="22"/>
    </row>
    <row r="8347" spans="1:2">
      <c r="A8347" s="20"/>
      <c r="B8347" s="22"/>
    </row>
    <row r="8348" spans="1:2">
      <c r="A8348" s="20"/>
      <c r="B8348" s="22"/>
    </row>
    <row r="8349" spans="1:2">
      <c r="A8349" s="20"/>
      <c r="B8349" s="22"/>
    </row>
    <row r="8350" spans="1:2">
      <c r="A8350" s="20"/>
      <c r="B8350" s="22"/>
    </row>
    <row r="8351" spans="1:2">
      <c r="A8351" s="20"/>
      <c r="B8351" s="22"/>
    </row>
    <row r="8352" spans="1:2">
      <c r="A8352" s="20"/>
      <c r="B8352" s="22"/>
    </row>
    <row r="8353" spans="1:2">
      <c r="A8353" s="20"/>
      <c r="B8353" s="22"/>
    </row>
    <row r="8354" spans="1:2">
      <c r="A8354" s="20"/>
      <c r="B8354" s="22"/>
    </row>
    <row r="8355" spans="1:2">
      <c r="A8355" s="20"/>
      <c r="B8355" s="22"/>
    </row>
    <row r="8356" spans="1:2">
      <c r="A8356" s="20"/>
      <c r="B8356" s="22"/>
    </row>
    <row r="8357" spans="1:2">
      <c r="A8357" s="20"/>
      <c r="B8357" s="22"/>
    </row>
    <row r="8358" spans="1:2">
      <c r="A8358" s="20"/>
      <c r="B8358" s="22"/>
    </row>
    <row r="8359" spans="1:2">
      <c r="A8359" s="20"/>
      <c r="B8359" s="22"/>
    </row>
    <row r="8360" spans="1:2">
      <c r="A8360" s="20"/>
      <c r="B8360" s="22"/>
    </row>
    <row r="8361" spans="1:2">
      <c r="A8361" s="20"/>
      <c r="B8361" s="22"/>
    </row>
    <row r="8362" spans="1:2">
      <c r="A8362" s="20"/>
      <c r="B8362" s="22"/>
    </row>
    <row r="8363" spans="1:2">
      <c r="A8363" s="20"/>
      <c r="B8363" s="22"/>
    </row>
    <row r="8364" spans="1:2">
      <c r="A8364" s="20"/>
      <c r="B8364" s="22"/>
    </row>
    <row r="8365" spans="1:2">
      <c r="A8365" s="20"/>
      <c r="B8365" s="22"/>
    </row>
    <row r="8366" spans="1:2">
      <c r="A8366" s="20"/>
      <c r="B8366" s="22"/>
    </row>
    <row r="8367" spans="1:2">
      <c r="A8367" s="20"/>
      <c r="B8367" s="22"/>
    </row>
    <row r="8368" spans="1:2">
      <c r="A8368" s="20"/>
      <c r="B8368" s="22"/>
    </row>
    <row r="8369" spans="1:2">
      <c r="A8369" s="20"/>
      <c r="B8369" s="22"/>
    </row>
    <row r="8370" spans="1:2">
      <c r="A8370" s="20"/>
      <c r="B8370" s="22"/>
    </row>
    <row r="8371" spans="1:2">
      <c r="A8371" s="20"/>
      <c r="B8371" s="22"/>
    </row>
    <row r="8372" spans="1:2">
      <c r="A8372" s="20"/>
      <c r="B8372" s="22"/>
    </row>
    <row r="8373" spans="1:2">
      <c r="A8373" s="20"/>
      <c r="B8373" s="22"/>
    </row>
    <row r="8374" spans="1:2">
      <c r="A8374" s="20"/>
      <c r="B8374" s="22"/>
    </row>
    <row r="8375" spans="1:2">
      <c r="A8375" s="20"/>
      <c r="B8375" s="22"/>
    </row>
    <row r="8376" spans="1:2">
      <c r="A8376" s="20"/>
      <c r="B8376" s="22"/>
    </row>
    <row r="8377" spans="1:2">
      <c r="A8377" s="20"/>
      <c r="B8377" s="22"/>
    </row>
    <row r="8378" spans="1:2">
      <c r="A8378" s="20"/>
      <c r="B8378" s="22"/>
    </row>
    <row r="8379" spans="1:2">
      <c r="A8379" s="20"/>
      <c r="B8379" s="22"/>
    </row>
    <row r="8380" spans="1:2">
      <c r="A8380" s="20"/>
      <c r="B8380" s="22"/>
    </row>
    <row r="8381" spans="1:2">
      <c r="A8381" s="20"/>
      <c r="B8381" s="22"/>
    </row>
    <row r="8382" spans="1:2">
      <c r="A8382" s="20"/>
      <c r="B8382" s="22"/>
    </row>
    <row r="8383" spans="1:2">
      <c r="A8383" s="20"/>
      <c r="B8383" s="22"/>
    </row>
    <row r="8384" spans="1:2">
      <c r="A8384" s="20"/>
      <c r="B8384" s="22"/>
    </row>
    <row r="8385" spans="1:2">
      <c r="A8385" s="20"/>
      <c r="B8385" s="22"/>
    </row>
    <row r="8386" spans="1:2">
      <c r="A8386" s="20"/>
      <c r="B8386" s="22"/>
    </row>
    <row r="8387" spans="1:2">
      <c r="A8387" s="20"/>
      <c r="B8387" s="22"/>
    </row>
    <row r="8388" spans="1:2">
      <c r="A8388" s="20"/>
      <c r="B8388" s="22"/>
    </row>
    <row r="8389" spans="1:2">
      <c r="A8389" s="20"/>
      <c r="B8389" s="22"/>
    </row>
    <row r="8390" spans="1:2">
      <c r="A8390" s="20"/>
      <c r="B8390" s="22"/>
    </row>
    <row r="8391" spans="1:2">
      <c r="A8391" s="20"/>
      <c r="B8391" s="22"/>
    </row>
    <row r="8392" spans="1:2">
      <c r="A8392" s="20"/>
      <c r="B8392" s="22"/>
    </row>
    <row r="8393" spans="1:2">
      <c r="A8393" s="20"/>
      <c r="B8393" s="22"/>
    </row>
    <row r="8394" spans="1:2">
      <c r="A8394" s="20"/>
      <c r="B8394" s="22"/>
    </row>
    <row r="8395" spans="1:2">
      <c r="A8395" s="20"/>
      <c r="B8395" s="22"/>
    </row>
    <row r="8396" spans="1:2">
      <c r="A8396" s="20"/>
      <c r="B8396" s="22"/>
    </row>
    <row r="8397" spans="1:2">
      <c r="A8397" s="20"/>
      <c r="B8397" s="22"/>
    </row>
    <row r="8398" spans="1:2">
      <c r="A8398" s="20"/>
      <c r="B8398" s="22"/>
    </row>
    <row r="8399" spans="1:2">
      <c r="A8399" s="20"/>
      <c r="B8399" s="22"/>
    </row>
    <row r="8400" spans="1:2">
      <c r="A8400" s="20"/>
      <c r="B8400" s="22"/>
    </row>
    <row r="8401" spans="1:2">
      <c r="A8401" s="20"/>
      <c r="B8401" s="22"/>
    </row>
    <row r="8402" spans="1:2">
      <c r="A8402" s="20"/>
      <c r="B8402" s="22"/>
    </row>
    <row r="8403" spans="1:2">
      <c r="A8403" s="20"/>
      <c r="B8403" s="22"/>
    </row>
    <row r="8404" spans="1:2">
      <c r="A8404" s="20"/>
      <c r="B8404" s="22"/>
    </row>
    <row r="8405" spans="1:2">
      <c r="A8405" s="20"/>
      <c r="B8405" s="22"/>
    </row>
    <row r="8406" spans="1:2">
      <c r="A8406" s="20"/>
      <c r="B8406" s="22"/>
    </row>
    <row r="8407" spans="1:2">
      <c r="A8407" s="20"/>
      <c r="B8407" s="22"/>
    </row>
    <row r="8408" spans="1:2">
      <c r="A8408" s="20"/>
      <c r="B8408" s="22"/>
    </row>
    <row r="8409" spans="1:2">
      <c r="A8409" s="20"/>
      <c r="B8409" s="22"/>
    </row>
    <row r="8410" spans="1:2">
      <c r="A8410" s="20"/>
      <c r="B8410" s="22"/>
    </row>
    <row r="8411" spans="1:2">
      <c r="A8411" s="20"/>
      <c r="B8411" s="22"/>
    </row>
    <row r="8412" spans="1:2">
      <c r="A8412" s="20"/>
      <c r="B8412" s="22"/>
    </row>
    <row r="8413" spans="1:2">
      <c r="A8413" s="20"/>
      <c r="B8413" s="22"/>
    </row>
    <row r="8414" spans="1:2">
      <c r="A8414" s="20"/>
      <c r="B8414" s="22"/>
    </row>
    <row r="8415" spans="1:2">
      <c r="A8415" s="20"/>
      <c r="B8415" s="22"/>
    </row>
    <row r="8416" spans="1:2">
      <c r="A8416" s="20"/>
      <c r="B8416" s="22"/>
    </row>
    <row r="8417" spans="1:2">
      <c r="A8417" s="20"/>
      <c r="B8417" s="22"/>
    </row>
    <row r="8418" spans="1:2">
      <c r="A8418" s="20"/>
      <c r="B8418" s="22"/>
    </row>
    <row r="8419" spans="1:2">
      <c r="A8419" s="20"/>
      <c r="B8419" s="22"/>
    </row>
    <row r="8420" spans="1:2">
      <c r="A8420" s="20"/>
      <c r="B8420" s="22"/>
    </row>
    <row r="8421" spans="1:2">
      <c r="A8421" s="20"/>
      <c r="B8421" s="22"/>
    </row>
    <row r="8422" spans="1:2">
      <c r="A8422" s="20"/>
      <c r="B8422" s="22"/>
    </row>
    <row r="8423" spans="1:2">
      <c r="A8423" s="20"/>
      <c r="B8423" s="22"/>
    </row>
    <row r="8424" spans="1:2">
      <c r="A8424" s="20"/>
      <c r="B8424" s="22"/>
    </row>
    <row r="8425" spans="1:2">
      <c r="A8425" s="20"/>
      <c r="B8425" s="22"/>
    </row>
    <row r="8426" spans="1:2">
      <c r="A8426" s="20"/>
      <c r="B8426" s="22"/>
    </row>
    <row r="8427" spans="1:2">
      <c r="A8427" s="20"/>
      <c r="B8427" s="22"/>
    </row>
    <row r="8428" spans="1:2">
      <c r="A8428" s="20"/>
      <c r="B8428" s="22"/>
    </row>
    <row r="8429" spans="1:2">
      <c r="A8429" s="20"/>
      <c r="B8429" s="22"/>
    </row>
    <row r="8430" spans="1:2">
      <c r="A8430" s="20"/>
      <c r="B8430" s="22"/>
    </row>
    <row r="8431" spans="1:2">
      <c r="A8431" s="20"/>
      <c r="B8431" s="22"/>
    </row>
    <row r="8432" spans="1:2">
      <c r="A8432" s="20"/>
      <c r="B8432" s="22"/>
    </row>
    <row r="8433" spans="1:2">
      <c r="A8433" s="20"/>
      <c r="B8433" s="22"/>
    </row>
    <row r="8434" spans="1:2">
      <c r="A8434" s="20"/>
      <c r="B8434" s="22"/>
    </row>
    <row r="8435" spans="1:2">
      <c r="A8435" s="20"/>
      <c r="B8435" s="22"/>
    </row>
    <row r="8436" spans="1:2">
      <c r="A8436" s="20"/>
      <c r="B8436" s="22"/>
    </row>
    <row r="8437" spans="1:2">
      <c r="A8437" s="20"/>
      <c r="B8437" s="22"/>
    </row>
    <row r="8438" spans="1:2">
      <c r="A8438" s="20"/>
      <c r="B8438" s="22"/>
    </row>
    <row r="8439" spans="1:2">
      <c r="A8439" s="20"/>
      <c r="B8439" s="22"/>
    </row>
    <row r="8440" spans="1:2">
      <c r="A8440" s="20"/>
      <c r="B8440" s="22"/>
    </row>
    <row r="8441" spans="1:2">
      <c r="A8441" s="20"/>
      <c r="B8441" s="22"/>
    </row>
    <row r="8442" spans="1:2">
      <c r="A8442" s="20"/>
      <c r="B8442" s="22"/>
    </row>
    <row r="8443" spans="1:2">
      <c r="A8443" s="20"/>
      <c r="B8443" s="22"/>
    </row>
    <row r="8444" spans="1:2">
      <c r="A8444" s="20"/>
      <c r="B8444" s="22"/>
    </row>
    <row r="8445" spans="1:2">
      <c r="A8445" s="20"/>
      <c r="B8445" s="22"/>
    </row>
    <row r="8446" spans="1:2">
      <c r="A8446" s="20"/>
      <c r="B8446" s="22"/>
    </row>
    <row r="8447" spans="1:2">
      <c r="A8447" s="20"/>
      <c r="B8447" s="22"/>
    </row>
    <row r="8448" spans="1:2">
      <c r="A8448" s="20"/>
      <c r="B8448" s="22"/>
    </row>
    <row r="8449" spans="1:2">
      <c r="A8449" s="20"/>
      <c r="B8449" s="22"/>
    </row>
    <row r="8450" spans="1:2">
      <c r="A8450" s="20"/>
      <c r="B8450" s="22"/>
    </row>
    <row r="8451" spans="1:2">
      <c r="A8451" s="20"/>
      <c r="B8451" s="22"/>
    </row>
    <row r="8452" spans="1:2">
      <c r="A8452" s="20"/>
      <c r="B8452" s="22"/>
    </row>
    <row r="8453" spans="1:2">
      <c r="A8453" s="20"/>
      <c r="B8453" s="22"/>
    </row>
    <row r="8454" spans="1:2">
      <c r="A8454" s="20"/>
      <c r="B8454" s="22"/>
    </row>
    <row r="8455" spans="1:2">
      <c r="A8455" s="20"/>
      <c r="B8455" s="22"/>
    </row>
    <row r="8456" spans="1:2">
      <c r="A8456" s="20"/>
      <c r="B8456" s="22"/>
    </row>
    <row r="8457" spans="1:2">
      <c r="A8457" s="20"/>
      <c r="B8457" s="22"/>
    </row>
    <row r="8458" spans="1:2">
      <c r="A8458" s="20"/>
      <c r="B8458" s="22"/>
    </row>
    <row r="8459" spans="1:2">
      <c r="A8459" s="20"/>
      <c r="B8459" s="22"/>
    </row>
    <row r="8460" spans="1:2">
      <c r="A8460" s="20"/>
      <c r="B8460" s="22"/>
    </row>
    <row r="8461" spans="1:2">
      <c r="A8461" s="20"/>
      <c r="B8461" s="22"/>
    </row>
    <row r="8462" spans="1:2">
      <c r="A8462" s="20"/>
      <c r="B8462" s="22"/>
    </row>
    <row r="8463" spans="1:2">
      <c r="A8463" s="20"/>
      <c r="B8463" s="22"/>
    </row>
    <row r="8464" spans="1:2">
      <c r="A8464" s="20"/>
      <c r="B8464" s="22"/>
    </row>
    <row r="8465" spans="1:2">
      <c r="A8465" s="20"/>
      <c r="B8465" s="22"/>
    </row>
    <row r="8466" spans="1:2">
      <c r="A8466" s="20"/>
      <c r="B8466" s="22"/>
    </row>
    <row r="8467" spans="1:2">
      <c r="A8467" s="20"/>
      <c r="B8467" s="22"/>
    </row>
    <row r="8468" spans="1:2">
      <c r="A8468" s="20"/>
      <c r="B8468" s="22"/>
    </row>
    <row r="8469" spans="1:2">
      <c r="A8469" s="20"/>
      <c r="B8469" s="22"/>
    </row>
    <row r="8470" spans="1:2">
      <c r="A8470" s="20"/>
      <c r="B8470" s="22"/>
    </row>
    <row r="8471" spans="1:2">
      <c r="A8471" s="20"/>
      <c r="B8471" s="22"/>
    </row>
    <row r="8472" spans="1:2">
      <c r="A8472" s="20"/>
      <c r="B8472" s="22"/>
    </row>
    <row r="8473" spans="1:2">
      <c r="A8473" s="20"/>
      <c r="B8473" s="22"/>
    </row>
    <row r="8474" spans="1:2">
      <c r="A8474" s="20"/>
      <c r="B8474" s="22"/>
    </row>
    <row r="8475" spans="1:2">
      <c r="A8475" s="20"/>
      <c r="B8475" s="22"/>
    </row>
    <row r="8476" spans="1:2">
      <c r="A8476" s="20"/>
      <c r="B8476" s="22"/>
    </row>
    <row r="8477" spans="1:2">
      <c r="A8477" s="20"/>
      <c r="B8477" s="22"/>
    </row>
    <row r="8478" spans="1:2">
      <c r="A8478" s="20"/>
      <c r="B8478" s="22"/>
    </row>
    <row r="8479" spans="1:2">
      <c r="A8479" s="20"/>
      <c r="B8479" s="22"/>
    </row>
    <row r="8480" spans="1:2">
      <c r="A8480" s="20"/>
      <c r="B8480" s="22"/>
    </row>
    <row r="8481" spans="1:2">
      <c r="A8481" s="20"/>
      <c r="B8481" s="22"/>
    </row>
    <row r="8482" spans="1:2">
      <c r="A8482" s="20"/>
      <c r="B8482" s="22"/>
    </row>
    <row r="8483" spans="1:2">
      <c r="A8483" s="20"/>
      <c r="B8483" s="22"/>
    </row>
    <row r="8484" spans="1:2">
      <c r="A8484" s="20"/>
      <c r="B8484" s="22"/>
    </row>
    <row r="8485" spans="1:2">
      <c r="A8485" s="20"/>
      <c r="B8485" s="22"/>
    </row>
    <row r="8486" spans="1:2">
      <c r="A8486" s="20"/>
      <c r="B8486" s="22"/>
    </row>
    <row r="8487" spans="1:2">
      <c r="A8487" s="20"/>
      <c r="B8487" s="22"/>
    </row>
    <row r="8488" spans="1:2">
      <c r="A8488" s="20"/>
      <c r="B8488" s="22"/>
    </row>
    <row r="8489" spans="1:2">
      <c r="A8489" s="20"/>
      <c r="B8489" s="22"/>
    </row>
    <row r="8490" spans="1:2">
      <c r="A8490" s="20"/>
      <c r="B8490" s="22"/>
    </row>
    <row r="8491" spans="1:2">
      <c r="A8491" s="20"/>
      <c r="B8491" s="22"/>
    </row>
    <row r="8492" spans="1:2">
      <c r="A8492" s="20"/>
      <c r="B8492" s="22"/>
    </row>
    <row r="8493" spans="1:2">
      <c r="A8493" s="20"/>
      <c r="B8493" s="22"/>
    </row>
    <row r="8494" spans="1:2">
      <c r="A8494" s="20"/>
      <c r="B8494" s="22"/>
    </row>
    <row r="8495" spans="1:2">
      <c r="A8495" s="20"/>
      <c r="B8495" s="22"/>
    </row>
    <row r="8496" spans="1:2">
      <c r="A8496" s="20"/>
      <c r="B8496" s="22"/>
    </row>
    <row r="8497" spans="1:2">
      <c r="A8497" s="20"/>
      <c r="B8497" s="22"/>
    </row>
    <row r="8498" spans="1:2">
      <c r="A8498" s="20"/>
      <c r="B8498" s="22"/>
    </row>
    <row r="8499" spans="1:2">
      <c r="A8499" s="20"/>
      <c r="B8499" s="22"/>
    </row>
    <row r="8500" spans="1:2">
      <c r="A8500" s="20"/>
      <c r="B8500" s="22"/>
    </row>
    <row r="8501" spans="1:2">
      <c r="A8501" s="20"/>
      <c r="B8501" s="22"/>
    </row>
    <row r="8502" spans="1:2">
      <c r="A8502" s="20"/>
      <c r="B8502" s="22"/>
    </row>
    <row r="8503" spans="1:2">
      <c r="A8503" s="20"/>
      <c r="B8503" s="22"/>
    </row>
    <row r="8504" spans="1:2">
      <c r="A8504" s="20"/>
      <c r="B8504" s="22"/>
    </row>
    <row r="8505" spans="1:2">
      <c r="A8505" s="20"/>
      <c r="B8505" s="22"/>
    </row>
    <row r="8506" spans="1:2">
      <c r="A8506" s="20"/>
      <c r="B8506" s="22"/>
    </row>
    <row r="8507" spans="1:2">
      <c r="A8507" s="20"/>
      <c r="B8507" s="22"/>
    </row>
    <row r="8508" spans="1:2">
      <c r="A8508" s="20"/>
      <c r="B8508" s="22"/>
    </row>
    <row r="8509" spans="1:2">
      <c r="A8509" s="20"/>
      <c r="B8509" s="22"/>
    </row>
    <row r="8510" spans="1:2">
      <c r="A8510" s="20"/>
      <c r="B8510" s="22"/>
    </row>
    <row r="8511" spans="1:2">
      <c r="A8511" s="20"/>
      <c r="B8511" s="22"/>
    </row>
    <row r="8512" spans="1:2">
      <c r="A8512" s="20"/>
      <c r="B8512" s="22"/>
    </row>
    <row r="8513" spans="1:2">
      <c r="A8513" s="20"/>
      <c r="B8513" s="22"/>
    </row>
    <row r="8514" spans="1:2">
      <c r="A8514" s="20"/>
      <c r="B8514" s="22"/>
    </row>
    <row r="8515" spans="1:2">
      <c r="A8515" s="20"/>
      <c r="B8515" s="22"/>
    </row>
    <row r="8516" spans="1:2">
      <c r="A8516" s="20"/>
      <c r="B8516" s="22"/>
    </row>
    <row r="8517" spans="1:2">
      <c r="A8517" s="20"/>
      <c r="B8517" s="22"/>
    </row>
    <row r="8518" spans="1:2">
      <c r="A8518" s="20"/>
      <c r="B8518" s="22"/>
    </row>
    <row r="8519" spans="1:2">
      <c r="A8519" s="20"/>
      <c r="B8519" s="22"/>
    </row>
    <row r="8520" spans="1:2">
      <c r="A8520" s="20"/>
      <c r="B8520" s="22"/>
    </row>
    <row r="8521" spans="1:2">
      <c r="A8521" s="20"/>
      <c r="B8521" s="22"/>
    </row>
    <row r="8522" spans="1:2">
      <c r="A8522" s="20"/>
      <c r="B8522" s="22"/>
    </row>
    <row r="8523" spans="1:2">
      <c r="A8523" s="20"/>
      <c r="B8523" s="22"/>
    </row>
    <row r="8524" spans="1:2">
      <c r="A8524" s="20"/>
      <c r="B8524" s="22"/>
    </row>
    <row r="8525" spans="1:2">
      <c r="A8525" s="20"/>
      <c r="B8525" s="22"/>
    </row>
    <row r="8526" spans="1:2">
      <c r="A8526" s="20"/>
      <c r="B8526" s="22"/>
    </row>
    <row r="8527" spans="1:2">
      <c r="A8527" s="20"/>
      <c r="B8527" s="22"/>
    </row>
    <row r="8528" spans="1:2">
      <c r="A8528" s="20"/>
      <c r="B8528" s="22"/>
    </row>
    <row r="8529" spans="1:2">
      <c r="A8529" s="20"/>
      <c r="B8529" s="22"/>
    </row>
    <row r="8530" spans="1:2">
      <c r="A8530" s="20"/>
      <c r="B8530" s="22"/>
    </row>
    <row r="8531" spans="1:2">
      <c r="A8531" s="20"/>
      <c r="B8531" s="22"/>
    </row>
    <row r="8532" spans="1:2">
      <c r="A8532" s="20"/>
      <c r="B8532" s="22"/>
    </row>
    <row r="8533" spans="1:2">
      <c r="A8533" s="20"/>
      <c r="B8533" s="22"/>
    </row>
    <row r="8534" spans="1:2">
      <c r="A8534" s="20"/>
      <c r="B8534" s="22"/>
    </row>
    <row r="8535" spans="1:2">
      <c r="A8535" s="20"/>
      <c r="B8535" s="22"/>
    </row>
    <row r="8536" spans="1:2">
      <c r="A8536" s="20"/>
      <c r="B8536" s="22"/>
    </row>
    <row r="8537" spans="1:2">
      <c r="A8537" s="20"/>
      <c r="B8537" s="22"/>
    </row>
    <row r="8538" spans="1:2">
      <c r="A8538" s="20"/>
      <c r="B8538" s="22"/>
    </row>
    <row r="8539" spans="1:2">
      <c r="A8539" s="20"/>
      <c r="B8539" s="22"/>
    </row>
    <row r="8540" spans="1:2">
      <c r="A8540" s="20"/>
      <c r="B8540" s="22"/>
    </row>
    <row r="8541" spans="1:2">
      <c r="A8541" s="20"/>
      <c r="B8541" s="22"/>
    </row>
    <row r="8542" spans="1:2">
      <c r="A8542" s="20"/>
      <c r="B8542" s="22"/>
    </row>
    <row r="8543" spans="1:2">
      <c r="A8543" s="20"/>
      <c r="B8543" s="22"/>
    </row>
    <row r="8544" spans="1:2">
      <c r="A8544" s="20"/>
      <c r="B8544" s="22"/>
    </row>
    <row r="8545" spans="1:2">
      <c r="A8545" s="20"/>
      <c r="B8545" s="22"/>
    </row>
    <row r="8546" spans="1:2">
      <c r="A8546" s="20"/>
      <c r="B8546" s="22"/>
    </row>
    <row r="8547" spans="1:2">
      <c r="A8547" s="20"/>
      <c r="B8547" s="22"/>
    </row>
    <row r="8548" spans="1:2">
      <c r="A8548" s="20"/>
      <c r="B8548" s="22"/>
    </row>
    <row r="8549" spans="1:2">
      <c r="A8549" s="20"/>
      <c r="B8549" s="22"/>
    </row>
    <row r="8550" spans="1:2">
      <c r="A8550" s="20"/>
      <c r="B8550" s="22"/>
    </row>
    <row r="8551" spans="1:2">
      <c r="A8551" s="20"/>
      <c r="B8551" s="22"/>
    </row>
    <row r="8552" spans="1:2">
      <c r="A8552" s="20"/>
      <c r="B8552" s="22"/>
    </row>
    <row r="8553" spans="1:2">
      <c r="A8553" s="20"/>
      <c r="B8553" s="22"/>
    </row>
    <row r="8554" spans="1:2">
      <c r="A8554" s="20"/>
      <c r="B8554" s="22"/>
    </row>
    <row r="8555" spans="1:2">
      <c r="A8555" s="20"/>
      <c r="B8555" s="22"/>
    </row>
    <row r="8556" spans="1:2">
      <c r="A8556" s="20"/>
      <c r="B8556" s="22"/>
    </row>
    <row r="8557" spans="1:2">
      <c r="A8557" s="20"/>
      <c r="B8557" s="22"/>
    </row>
    <row r="8558" spans="1:2">
      <c r="A8558" s="20"/>
      <c r="B8558" s="22"/>
    </row>
    <row r="8559" spans="1:2">
      <c r="A8559" s="20"/>
      <c r="B8559" s="22"/>
    </row>
    <row r="8560" spans="1:2">
      <c r="A8560" s="20"/>
      <c r="B8560" s="22"/>
    </row>
    <row r="8561" spans="1:2">
      <c r="A8561" s="20"/>
      <c r="B8561" s="22"/>
    </row>
    <row r="8562" spans="1:2">
      <c r="A8562" s="20"/>
      <c r="B8562" s="22"/>
    </row>
    <row r="8563" spans="1:2">
      <c r="A8563" s="20"/>
      <c r="B8563" s="22"/>
    </row>
    <row r="8564" spans="1:2">
      <c r="A8564" s="20"/>
      <c r="B8564" s="22"/>
    </row>
    <row r="8565" spans="1:2">
      <c r="A8565" s="20"/>
      <c r="B8565" s="22"/>
    </row>
    <row r="8566" spans="1:2">
      <c r="A8566" s="20"/>
      <c r="B8566" s="22"/>
    </row>
    <row r="8567" spans="1:2">
      <c r="A8567" s="20"/>
      <c r="B8567" s="22"/>
    </row>
    <row r="8568" spans="1:2">
      <c r="A8568" s="20"/>
      <c r="B8568" s="22"/>
    </row>
    <row r="8569" spans="1:2">
      <c r="A8569" s="20"/>
      <c r="B8569" s="22"/>
    </row>
    <row r="8570" spans="1:2">
      <c r="A8570" s="20"/>
      <c r="B8570" s="22"/>
    </row>
    <row r="8571" spans="1:2">
      <c r="A8571" s="20"/>
      <c r="B8571" s="22"/>
    </row>
    <row r="8572" spans="1:2">
      <c r="A8572" s="20"/>
      <c r="B8572" s="22"/>
    </row>
    <row r="8573" spans="1:2">
      <c r="A8573" s="20"/>
      <c r="B8573" s="22"/>
    </row>
    <row r="8574" spans="1:2">
      <c r="A8574" s="20"/>
      <c r="B8574" s="22"/>
    </row>
    <row r="8575" spans="1:2">
      <c r="A8575" s="20"/>
      <c r="B8575" s="22"/>
    </row>
    <row r="8576" spans="1:2">
      <c r="A8576" s="20"/>
      <c r="B8576" s="22"/>
    </row>
    <row r="8577" spans="1:2">
      <c r="A8577" s="20"/>
      <c r="B8577" s="22"/>
    </row>
    <row r="8578" spans="1:2">
      <c r="A8578" s="20"/>
      <c r="B8578" s="22"/>
    </row>
    <row r="8579" spans="1:2">
      <c r="A8579" s="20"/>
      <c r="B8579" s="22"/>
    </row>
    <row r="8580" spans="1:2">
      <c r="A8580" s="20"/>
      <c r="B8580" s="22"/>
    </row>
    <row r="8581" spans="1:2">
      <c r="A8581" s="20"/>
      <c r="B8581" s="22"/>
    </row>
    <row r="8582" spans="1:2">
      <c r="A8582" s="20"/>
      <c r="B8582" s="22"/>
    </row>
    <row r="8583" spans="1:2">
      <c r="A8583" s="20"/>
      <c r="B8583" s="22"/>
    </row>
    <row r="8584" spans="1:2">
      <c r="A8584" s="20"/>
      <c r="B8584" s="22"/>
    </row>
    <row r="8585" spans="1:2">
      <c r="A8585" s="20"/>
      <c r="B8585" s="22"/>
    </row>
    <row r="8586" spans="1:2">
      <c r="A8586" s="20"/>
      <c r="B8586" s="22"/>
    </row>
    <row r="8587" spans="1:2">
      <c r="A8587" s="20"/>
      <c r="B8587" s="22"/>
    </row>
    <row r="8588" spans="1:2">
      <c r="A8588" s="20"/>
      <c r="B8588" s="22"/>
    </row>
    <row r="8589" spans="1:2">
      <c r="A8589" s="20"/>
      <c r="B8589" s="22"/>
    </row>
    <row r="8590" spans="1:2">
      <c r="A8590" s="20"/>
      <c r="B8590" s="22"/>
    </row>
    <row r="8591" spans="1:2">
      <c r="A8591" s="20"/>
      <c r="B8591" s="22"/>
    </row>
    <row r="8592" spans="1:2">
      <c r="A8592" s="20"/>
      <c r="B8592" s="22"/>
    </row>
    <row r="8593" spans="1:2">
      <c r="A8593" s="20"/>
      <c r="B8593" s="22"/>
    </row>
    <row r="8594" spans="1:2">
      <c r="A8594" s="20"/>
      <c r="B8594" s="22"/>
    </row>
    <row r="8595" spans="1:2">
      <c r="A8595" s="20"/>
      <c r="B8595" s="22"/>
    </row>
    <row r="8596" spans="1:2">
      <c r="A8596" s="20"/>
      <c r="B8596" s="22"/>
    </row>
    <row r="8597" spans="1:2">
      <c r="A8597" s="20"/>
      <c r="B8597" s="22"/>
    </row>
    <row r="8598" spans="1:2">
      <c r="A8598" s="20"/>
      <c r="B8598" s="22"/>
    </row>
    <row r="8599" spans="1:2">
      <c r="A8599" s="20"/>
      <c r="B8599" s="22"/>
    </row>
    <row r="8600" spans="1:2">
      <c r="A8600" s="20"/>
      <c r="B8600" s="22"/>
    </row>
    <row r="8601" spans="1:2">
      <c r="A8601" s="20"/>
      <c r="B8601" s="22"/>
    </row>
    <row r="8602" spans="1:2">
      <c r="A8602" s="20"/>
      <c r="B8602" s="22"/>
    </row>
    <row r="8603" spans="1:2">
      <c r="A8603" s="20"/>
      <c r="B8603" s="22"/>
    </row>
    <row r="8604" spans="1:2">
      <c r="A8604" s="20"/>
      <c r="B8604" s="22"/>
    </row>
    <row r="8605" spans="1:2">
      <c r="A8605" s="20"/>
      <c r="B8605" s="22"/>
    </row>
    <row r="8606" spans="1:2">
      <c r="A8606" s="20"/>
      <c r="B8606" s="22"/>
    </row>
    <row r="8607" spans="1:2">
      <c r="A8607" s="20"/>
      <c r="B8607" s="22"/>
    </row>
    <row r="8608" spans="1:2">
      <c r="A8608" s="20"/>
      <c r="B8608" s="22"/>
    </row>
    <row r="8609" spans="1:2">
      <c r="A8609" s="20"/>
      <c r="B8609" s="22"/>
    </row>
    <row r="8610" spans="1:2">
      <c r="A8610" s="20"/>
      <c r="B8610" s="22"/>
    </row>
    <row r="8611" spans="1:2">
      <c r="A8611" s="20"/>
      <c r="B8611" s="22"/>
    </row>
    <row r="8612" spans="1:2">
      <c r="A8612" s="20"/>
      <c r="B8612" s="22"/>
    </row>
    <row r="8613" spans="1:2">
      <c r="A8613" s="20"/>
      <c r="B8613" s="22"/>
    </row>
    <row r="8614" spans="1:2">
      <c r="A8614" s="20"/>
      <c r="B8614" s="22"/>
    </row>
    <row r="8615" spans="1:2">
      <c r="A8615" s="20"/>
      <c r="B8615" s="22"/>
    </row>
    <row r="8616" spans="1:2">
      <c r="A8616" s="20"/>
      <c r="B8616" s="22"/>
    </row>
    <row r="8617" spans="1:2">
      <c r="A8617" s="20"/>
      <c r="B8617" s="22"/>
    </row>
    <row r="8618" spans="1:2">
      <c r="A8618" s="20"/>
      <c r="B8618" s="22"/>
    </row>
    <row r="8619" spans="1:2">
      <c r="A8619" s="20"/>
      <c r="B8619" s="22"/>
    </row>
    <row r="8620" spans="1:2">
      <c r="A8620" s="20"/>
      <c r="B8620" s="22"/>
    </row>
    <row r="8621" spans="1:2">
      <c r="A8621" s="20"/>
      <c r="B8621" s="22"/>
    </row>
    <row r="8622" spans="1:2">
      <c r="A8622" s="20"/>
      <c r="B8622" s="22"/>
    </row>
    <row r="8623" spans="1:2">
      <c r="A8623" s="20"/>
      <c r="B8623" s="22"/>
    </row>
    <row r="8624" spans="1:2">
      <c r="A8624" s="20"/>
      <c r="B8624" s="22"/>
    </row>
    <row r="8625" spans="1:2">
      <c r="A8625" s="20"/>
      <c r="B8625" s="22"/>
    </row>
    <row r="8626" spans="1:2">
      <c r="A8626" s="20"/>
      <c r="B8626" s="22"/>
    </row>
    <row r="8627" spans="1:2">
      <c r="A8627" s="20"/>
      <c r="B8627" s="22"/>
    </row>
    <row r="8628" spans="1:2">
      <c r="A8628" s="20"/>
      <c r="B8628" s="22"/>
    </row>
    <row r="8629" spans="1:2">
      <c r="A8629" s="20"/>
      <c r="B8629" s="22"/>
    </row>
    <row r="8630" spans="1:2">
      <c r="A8630" s="20"/>
      <c r="B8630" s="22"/>
    </row>
    <row r="8631" spans="1:2">
      <c r="A8631" s="20"/>
      <c r="B8631" s="22"/>
    </row>
    <row r="8632" spans="1:2">
      <c r="A8632" s="20"/>
      <c r="B8632" s="22"/>
    </row>
    <row r="8633" spans="1:2">
      <c r="A8633" s="20"/>
      <c r="B8633" s="22"/>
    </row>
    <row r="8634" spans="1:2">
      <c r="A8634" s="20"/>
      <c r="B8634" s="22"/>
    </row>
    <row r="8635" spans="1:2">
      <c r="A8635" s="20"/>
      <c r="B8635" s="22"/>
    </row>
    <row r="8636" spans="1:2">
      <c r="A8636" s="20"/>
      <c r="B8636" s="22"/>
    </row>
    <row r="8637" spans="1:2">
      <c r="A8637" s="20"/>
      <c r="B8637" s="22"/>
    </row>
    <row r="8638" spans="1:2">
      <c r="A8638" s="20"/>
      <c r="B8638" s="22"/>
    </row>
    <row r="8639" spans="1:2">
      <c r="A8639" s="20"/>
      <c r="B8639" s="22"/>
    </row>
    <row r="8640" spans="1:2">
      <c r="A8640" s="20"/>
      <c r="B8640" s="22"/>
    </row>
    <row r="8641" spans="1:2">
      <c r="A8641" s="20"/>
      <c r="B8641" s="22"/>
    </row>
    <row r="8642" spans="1:2">
      <c r="A8642" s="20"/>
      <c r="B8642" s="22"/>
    </row>
    <row r="8643" spans="1:2">
      <c r="A8643" s="20"/>
      <c r="B8643" s="22"/>
    </row>
    <row r="8644" spans="1:2">
      <c r="A8644" s="20"/>
      <c r="B8644" s="22"/>
    </row>
    <row r="8645" spans="1:2">
      <c r="A8645" s="20"/>
      <c r="B8645" s="22"/>
    </row>
    <row r="8646" spans="1:2">
      <c r="A8646" s="20"/>
      <c r="B8646" s="22"/>
    </row>
    <row r="8647" spans="1:2">
      <c r="A8647" s="20"/>
      <c r="B8647" s="22"/>
    </row>
    <row r="8648" spans="1:2">
      <c r="A8648" s="20"/>
      <c r="B8648" s="22"/>
    </row>
    <row r="8649" spans="1:2">
      <c r="A8649" s="20"/>
      <c r="B8649" s="22"/>
    </row>
    <row r="8650" spans="1:2">
      <c r="A8650" s="20"/>
      <c r="B8650" s="22"/>
    </row>
    <row r="8651" spans="1:2">
      <c r="A8651" s="20"/>
      <c r="B8651" s="22"/>
    </row>
    <row r="8652" spans="1:2">
      <c r="A8652" s="20"/>
      <c r="B8652" s="22"/>
    </row>
    <row r="8653" spans="1:2">
      <c r="A8653" s="20"/>
      <c r="B8653" s="22"/>
    </row>
    <row r="8654" spans="1:2">
      <c r="A8654" s="20"/>
      <c r="B8654" s="22"/>
    </row>
    <row r="8655" spans="1:2">
      <c r="A8655" s="20"/>
      <c r="B8655" s="22"/>
    </row>
    <row r="8656" spans="1:2">
      <c r="A8656" s="20"/>
      <c r="B8656" s="22"/>
    </row>
    <row r="8657" spans="1:2">
      <c r="A8657" s="20"/>
      <c r="B8657" s="22"/>
    </row>
    <row r="8658" spans="1:2">
      <c r="A8658" s="20"/>
      <c r="B8658" s="22"/>
    </row>
    <row r="8659" spans="1:2">
      <c r="A8659" s="20"/>
      <c r="B8659" s="22"/>
    </row>
    <row r="8660" spans="1:2">
      <c r="A8660" s="20"/>
      <c r="B8660" s="22"/>
    </row>
    <row r="8661" spans="1:2">
      <c r="A8661" s="20"/>
      <c r="B8661" s="22"/>
    </row>
    <row r="8662" spans="1:2">
      <c r="A8662" s="20"/>
      <c r="B8662" s="22"/>
    </row>
    <row r="8663" spans="1:2">
      <c r="A8663" s="20"/>
      <c r="B8663" s="22"/>
    </row>
    <row r="8664" spans="1:2">
      <c r="A8664" s="20"/>
      <c r="B8664" s="22"/>
    </row>
    <row r="8665" spans="1:2">
      <c r="A8665" s="20"/>
      <c r="B8665" s="22"/>
    </row>
    <row r="8666" spans="1:2">
      <c r="A8666" s="20"/>
      <c r="B8666" s="22"/>
    </row>
    <row r="8667" spans="1:2">
      <c r="A8667" s="20"/>
      <c r="B8667" s="22"/>
    </row>
    <row r="8668" spans="1:2">
      <c r="A8668" s="20"/>
      <c r="B8668" s="22"/>
    </row>
    <row r="8669" spans="1:2">
      <c r="A8669" s="20"/>
      <c r="B8669" s="22"/>
    </row>
    <row r="8670" spans="1:2">
      <c r="A8670" s="20"/>
      <c r="B8670" s="22"/>
    </row>
    <row r="8671" spans="1:2">
      <c r="A8671" s="20"/>
      <c r="B8671" s="22"/>
    </row>
    <row r="8672" spans="1:2">
      <c r="A8672" s="20"/>
      <c r="B8672" s="22"/>
    </row>
    <row r="8673" spans="1:2">
      <c r="A8673" s="20"/>
      <c r="B8673" s="22"/>
    </row>
    <row r="8674" spans="1:2">
      <c r="A8674" s="20"/>
      <c r="B8674" s="22"/>
    </row>
    <row r="8675" spans="1:2">
      <c r="A8675" s="20"/>
      <c r="B8675" s="22"/>
    </row>
    <row r="8676" spans="1:2">
      <c r="A8676" s="20"/>
      <c r="B8676" s="22"/>
    </row>
    <row r="8677" spans="1:2">
      <c r="A8677" s="20"/>
      <c r="B8677" s="22"/>
    </row>
    <row r="8678" spans="1:2">
      <c r="A8678" s="20"/>
      <c r="B8678" s="22"/>
    </row>
    <row r="8679" spans="1:2">
      <c r="A8679" s="20"/>
      <c r="B8679" s="22"/>
    </row>
    <row r="8680" spans="1:2">
      <c r="A8680" s="20"/>
      <c r="B8680" s="22"/>
    </row>
    <row r="8681" spans="1:2">
      <c r="A8681" s="20"/>
      <c r="B8681" s="22"/>
    </row>
    <row r="8682" spans="1:2">
      <c r="A8682" s="20"/>
      <c r="B8682" s="22"/>
    </row>
    <row r="8683" spans="1:2">
      <c r="A8683" s="20"/>
      <c r="B8683" s="22"/>
    </row>
    <row r="8684" spans="1:2">
      <c r="A8684" s="20"/>
      <c r="B8684" s="22"/>
    </row>
    <row r="8685" spans="1:2">
      <c r="A8685" s="20"/>
      <c r="B8685" s="22"/>
    </row>
    <row r="8686" spans="1:2">
      <c r="A8686" s="20"/>
      <c r="B8686" s="22"/>
    </row>
    <row r="8687" spans="1:2">
      <c r="A8687" s="20"/>
      <c r="B8687" s="22"/>
    </row>
    <row r="8688" spans="1:2">
      <c r="A8688" s="20"/>
      <c r="B8688" s="22"/>
    </row>
    <row r="8689" spans="1:2">
      <c r="A8689" s="20"/>
      <c r="B8689" s="22"/>
    </row>
    <row r="8690" spans="1:2">
      <c r="A8690" s="20"/>
      <c r="B8690" s="22"/>
    </row>
    <row r="8691" spans="1:2">
      <c r="A8691" s="20"/>
      <c r="B8691" s="22"/>
    </row>
    <row r="8692" spans="1:2">
      <c r="A8692" s="20"/>
      <c r="B8692" s="22"/>
    </row>
    <row r="8693" spans="1:2">
      <c r="A8693" s="20"/>
      <c r="B8693" s="22"/>
    </row>
    <row r="8694" spans="1:2">
      <c r="A8694" s="20"/>
      <c r="B8694" s="22"/>
    </row>
    <row r="8695" spans="1:2">
      <c r="A8695" s="20"/>
      <c r="B8695" s="22"/>
    </row>
    <row r="8696" spans="1:2">
      <c r="A8696" s="20"/>
      <c r="B8696" s="22"/>
    </row>
    <row r="8697" spans="1:2">
      <c r="A8697" s="20"/>
      <c r="B8697" s="22"/>
    </row>
    <row r="8698" spans="1:2">
      <c r="A8698" s="20"/>
      <c r="B8698" s="22"/>
    </row>
    <row r="8699" spans="1:2">
      <c r="A8699" s="20"/>
      <c r="B8699" s="22"/>
    </row>
    <row r="8700" spans="1:2">
      <c r="A8700" s="20"/>
      <c r="B8700" s="22"/>
    </row>
    <row r="8701" spans="1:2">
      <c r="A8701" s="20"/>
      <c r="B8701" s="22"/>
    </row>
    <row r="8702" spans="1:2">
      <c r="A8702" s="20"/>
      <c r="B8702" s="22"/>
    </row>
    <row r="8703" spans="1:2">
      <c r="A8703" s="20"/>
      <c r="B8703" s="22"/>
    </row>
    <row r="8704" spans="1:2">
      <c r="A8704" s="20"/>
      <c r="B8704" s="22"/>
    </row>
    <row r="8705" spans="1:2">
      <c r="A8705" s="20"/>
      <c r="B8705" s="22"/>
    </row>
    <row r="8706" spans="1:2">
      <c r="A8706" s="20"/>
      <c r="B8706" s="22"/>
    </row>
    <row r="8707" spans="1:2">
      <c r="A8707" s="20"/>
      <c r="B8707" s="22"/>
    </row>
    <row r="8708" spans="1:2">
      <c r="A8708" s="20"/>
      <c r="B8708" s="22"/>
    </row>
    <row r="8709" spans="1:2">
      <c r="A8709" s="20"/>
      <c r="B8709" s="22"/>
    </row>
    <row r="8710" spans="1:2">
      <c r="A8710" s="20"/>
      <c r="B8710" s="22"/>
    </row>
    <row r="8711" spans="1:2">
      <c r="A8711" s="20"/>
      <c r="B8711" s="22"/>
    </row>
    <row r="8712" spans="1:2">
      <c r="A8712" s="20"/>
      <c r="B8712" s="22"/>
    </row>
    <row r="8713" spans="1:2">
      <c r="A8713" s="20"/>
      <c r="B8713" s="22"/>
    </row>
    <row r="8714" spans="1:2">
      <c r="A8714" s="20"/>
      <c r="B8714" s="22"/>
    </row>
    <row r="8715" spans="1:2">
      <c r="A8715" s="20"/>
      <c r="B8715" s="22"/>
    </row>
    <row r="8716" spans="1:2">
      <c r="A8716" s="20"/>
      <c r="B8716" s="22"/>
    </row>
    <row r="8717" spans="1:2">
      <c r="A8717" s="20"/>
      <c r="B8717" s="22"/>
    </row>
    <row r="8718" spans="1:2">
      <c r="A8718" s="20"/>
      <c r="B8718" s="22"/>
    </row>
    <row r="8719" spans="1:2">
      <c r="A8719" s="20"/>
      <c r="B8719" s="22"/>
    </row>
    <row r="8720" spans="1:2">
      <c r="A8720" s="20"/>
      <c r="B8720" s="22"/>
    </row>
    <row r="8721" spans="1:2">
      <c r="A8721" s="20"/>
      <c r="B8721" s="22"/>
    </row>
    <row r="8722" spans="1:2">
      <c r="A8722" s="20"/>
      <c r="B8722" s="22"/>
    </row>
    <row r="8723" spans="1:2">
      <c r="A8723" s="20"/>
      <c r="B8723" s="22"/>
    </row>
    <row r="8724" spans="1:2">
      <c r="A8724" s="20"/>
      <c r="B8724" s="22"/>
    </row>
    <row r="8725" spans="1:2">
      <c r="A8725" s="20"/>
      <c r="B8725" s="22"/>
    </row>
    <row r="8726" spans="1:2">
      <c r="A8726" s="20"/>
      <c r="B8726" s="22"/>
    </row>
    <row r="8727" spans="1:2">
      <c r="A8727" s="20"/>
      <c r="B8727" s="22"/>
    </row>
    <row r="8728" spans="1:2">
      <c r="A8728" s="20"/>
      <c r="B8728" s="22"/>
    </row>
    <row r="8729" spans="1:2">
      <c r="A8729" s="20"/>
      <c r="B8729" s="22"/>
    </row>
    <row r="8730" spans="1:2">
      <c r="A8730" s="20"/>
      <c r="B8730" s="22"/>
    </row>
    <row r="8731" spans="1:2">
      <c r="A8731" s="20"/>
      <c r="B8731" s="22"/>
    </row>
    <row r="8732" spans="1:2">
      <c r="A8732" s="20"/>
      <c r="B8732" s="22"/>
    </row>
    <row r="8733" spans="1:2">
      <c r="A8733" s="20"/>
      <c r="B8733" s="22"/>
    </row>
    <row r="8734" spans="1:2">
      <c r="A8734" s="20"/>
      <c r="B8734" s="22"/>
    </row>
    <row r="8735" spans="1:2">
      <c r="A8735" s="20"/>
      <c r="B8735" s="22"/>
    </row>
    <row r="8736" spans="1:2">
      <c r="A8736" s="20"/>
      <c r="B8736" s="22"/>
    </row>
    <row r="8737" spans="1:2">
      <c r="A8737" s="20"/>
      <c r="B8737" s="22"/>
    </row>
    <row r="8738" spans="1:2">
      <c r="A8738" s="20"/>
      <c r="B8738" s="22"/>
    </row>
    <row r="8739" spans="1:2">
      <c r="A8739" s="20"/>
      <c r="B8739" s="22"/>
    </row>
    <row r="8740" spans="1:2">
      <c r="A8740" s="20"/>
      <c r="B8740" s="22"/>
    </row>
    <row r="8741" spans="1:2">
      <c r="A8741" s="20"/>
      <c r="B8741" s="22"/>
    </row>
    <row r="8742" spans="1:2">
      <c r="A8742" s="20"/>
      <c r="B8742" s="22"/>
    </row>
    <row r="8743" spans="1:2">
      <c r="A8743" s="20"/>
      <c r="B8743" s="22"/>
    </row>
    <row r="8744" spans="1:2">
      <c r="A8744" s="20"/>
      <c r="B8744" s="22"/>
    </row>
    <row r="8745" spans="1:2">
      <c r="A8745" s="20"/>
      <c r="B8745" s="22"/>
    </row>
    <row r="8746" spans="1:2">
      <c r="A8746" s="20"/>
      <c r="B8746" s="22"/>
    </row>
    <row r="8747" spans="1:2">
      <c r="A8747" s="20"/>
      <c r="B8747" s="22"/>
    </row>
    <row r="8748" spans="1:2">
      <c r="A8748" s="20"/>
      <c r="B8748" s="22"/>
    </row>
    <row r="8749" spans="1:2">
      <c r="A8749" s="20"/>
      <c r="B8749" s="22"/>
    </row>
    <row r="8750" spans="1:2">
      <c r="A8750" s="20"/>
      <c r="B8750" s="22"/>
    </row>
    <row r="8751" spans="1:2">
      <c r="A8751" s="20"/>
      <c r="B8751" s="22"/>
    </row>
    <row r="8752" spans="1:2">
      <c r="A8752" s="20"/>
      <c r="B8752" s="22"/>
    </row>
    <row r="8753" spans="1:2">
      <c r="A8753" s="20"/>
      <c r="B8753" s="22"/>
    </row>
    <row r="8754" spans="1:2">
      <c r="A8754" s="20"/>
      <c r="B8754" s="22"/>
    </row>
    <row r="8755" spans="1:2">
      <c r="A8755" s="20"/>
      <c r="B8755" s="22"/>
    </row>
    <row r="8756" spans="1:2">
      <c r="A8756" s="20"/>
      <c r="B8756" s="22"/>
    </row>
    <row r="8757" spans="1:2">
      <c r="A8757" s="20"/>
      <c r="B8757" s="22"/>
    </row>
    <row r="8758" spans="1:2">
      <c r="A8758" s="20"/>
      <c r="B8758" s="22"/>
    </row>
    <row r="8759" spans="1:2">
      <c r="A8759" s="20"/>
      <c r="B8759" s="22"/>
    </row>
    <row r="8760" spans="1:2">
      <c r="A8760" s="20"/>
      <c r="B8760" s="22"/>
    </row>
    <row r="8761" spans="1:2">
      <c r="A8761" s="20"/>
      <c r="B8761" s="22"/>
    </row>
    <row r="8762" spans="1:2">
      <c r="A8762" s="20"/>
      <c r="B8762" s="22"/>
    </row>
    <row r="8763" spans="1:2">
      <c r="A8763" s="20"/>
      <c r="B8763" s="22"/>
    </row>
    <row r="8764" spans="1:2">
      <c r="A8764" s="20"/>
      <c r="B8764" s="22"/>
    </row>
    <row r="8765" spans="1:2">
      <c r="A8765" s="20"/>
      <c r="B8765" s="22"/>
    </row>
    <row r="8766" spans="1:2">
      <c r="A8766" s="20"/>
      <c r="B8766" s="22"/>
    </row>
    <row r="8767" spans="1:2">
      <c r="A8767" s="20"/>
      <c r="B8767" s="22"/>
    </row>
    <row r="8768" spans="1:2">
      <c r="A8768" s="20"/>
      <c r="B8768" s="22"/>
    </row>
    <row r="8769" spans="1:2">
      <c r="A8769" s="20"/>
      <c r="B8769" s="22"/>
    </row>
    <row r="8770" spans="1:2">
      <c r="A8770" s="20"/>
      <c r="B8770" s="22"/>
    </row>
    <row r="8771" spans="1:2">
      <c r="A8771" s="20"/>
      <c r="B8771" s="22"/>
    </row>
    <row r="8772" spans="1:2">
      <c r="A8772" s="20"/>
      <c r="B8772" s="22"/>
    </row>
    <row r="8773" spans="1:2">
      <c r="A8773" s="20"/>
      <c r="B8773" s="22"/>
    </row>
    <row r="8774" spans="1:2">
      <c r="A8774" s="20"/>
      <c r="B8774" s="22"/>
    </row>
    <row r="8775" spans="1:2">
      <c r="A8775" s="20"/>
      <c r="B8775" s="22"/>
    </row>
    <row r="8776" spans="1:2">
      <c r="A8776" s="20"/>
      <c r="B8776" s="22"/>
    </row>
    <row r="8777" spans="1:2">
      <c r="A8777" s="20"/>
      <c r="B8777" s="22"/>
    </row>
    <row r="8778" spans="1:2">
      <c r="A8778" s="20"/>
      <c r="B8778" s="22"/>
    </row>
    <row r="8779" spans="1:2">
      <c r="A8779" s="20"/>
      <c r="B8779" s="22"/>
    </row>
    <row r="8780" spans="1:2">
      <c r="A8780" s="20"/>
      <c r="B8780" s="22"/>
    </row>
    <row r="8781" spans="1:2">
      <c r="A8781" s="20"/>
      <c r="B8781" s="22"/>
    </row>
    <row r="8782" spans="1:2">
      <c r="A8782" s="20"/>
      <c r="B8782" s="22"/>
    </row>
    <row r="8783" spans="1:2">
      <c r="A8783" s="20"/>
      <c r="B8783" s="22"/>
    </row>
    <row r="8784" spans="1:2">
      <c r="A8784" s="20"/>
      <c r="B8784" s="22"/>
    </row>
    <row r="8785" spans="1:2">
      <c r="A8785" s="20"/>
      <c r="B8785" s="22"/>
    </row>
    <row r="8786" spans="1:2">
      <c r="A8786" s="20"/>
      <c r="B8786" s="22"/>
    </row>
    <row r="8787" spans="1:2">
      <c r="A8787" s="20"/>
      <c r="B8787" s="22"/>
    </row>
    <row r="8788" spans="1:2">
      <c r="A8788" s="20"/>
      <c r="B8788" s="22"/>
    </row>
    <row r="8789" spans="1:2">
      <c r="A8789" s="20"/>
      <c r="B8789" s="22"/>
    </row>
    <row r="8790" spans="1:2">
      <c r="A8790" s="20"/>
      <c r="B8790" s="22"/>
    </row>
    <row r="8791" spans="1:2">
      <c r="A8791" s="20"/>
      <c r="B8791" s="22"/>
    </row>
    <row r="8792" spans="1:2">
      <c r="A8792" s="20"/>
      <c r="B8792" s="22"/>
    </row>
    <row r="8793" spans="1:2">
      <c r="A8793" s="20"/>
      <c r="B8793" s="22"/>
    </row>
    <row r="8794" spans="1:2">
      <c r="A8794" s="20"/>
      <c r="B8794" s="22"/>
    </row>
    <row r="8795" spans="1:2">
      <c r="A8795" s="20"/>
      <c r="B8795" s="22"/>
    </row>
    <row r="8796" spans="1:2">
      <c r="A8796" s="20"/>
      <c r="B8796" s="22"/>
    </row>
    <row r="8797" spans="1:2">
      <c r="A8797" s="20"/>
      <c r="B8797" s="22"/>
    </row>
    <row r="8798" spans="1:2">
      <c r="A8798" s="20"/>
      <c r="B8798" s="22"/>
    </row>
    <row r="8799" spans="1:2">
      <c r="A8799" s="20"/>
      <c r="B8799" s="22"/>
    </row>
    <row r="8800" spans="1:2">
      <c r="A8800" s="20"/>
      <c r="B8800" s="22"/>
    </row>
    <row r="8801" spans="1:2">
      <c r="A8801" s="20"/>
      <c r="B8801" s="22"/>
    </row>
    <row r="8802" spans="1:2">
      <c r="A8802" s="20"/>
      <c r="B8802" s="22"/>
    </row>
    <row r="8803" spans="1:2">
      <c r="A8803" s="20"/>
      <c r="B8803" s="22"/>
    </row>
    <row r="8804" spans="1:2">
      <c r="A8804" s="20"/>
      <c r="B8804" s="22"/>
    </row>
    <row r="8805" spans="1:2">
      <c r="A8805" s="20"/>
      <c r="B8805" s="22"/>
    </row>
    <row r="8806" spans="1:2">
      <c r="A8806" s="20"/>
      <c r="B8806" s="22"/>
    </row>
    <row r="8807" spans="1:2">
      <c r="A8807" s="20"/>
      <c r="B8807" s="22"/>
    </row>
    <row r="8808" spans="1:2">
      <c r="A8808" s="20"/>
      <c r="B8808" s="22"/>
    </row>
    <row r="8809" spans="1:2">
      <c r="A8809" s="20"/>
      <c r="B8809" s="22"/>
    </row>
    <row r="8810" spans="1:2">
      <c r="A8810" s="20"/>
      <c r="B8810" s="22"/>
    </row>
    <row r="8811" spans="1:2">
      <c r="A8811" s="20"/>
      <c r="B8811" s="22"/>
    </row>
    <row r="8812" spans="1:2">
      <c r="A8812" s="20"/>
      <c r="B8812" s="22"/>
    </row>
    <row r="8813" spans="1:2">
      <c r="A8813" s="20"/>
      <c r="B8813" s="22"/>
    </row>
    <row r="8814" spans="1:2">
      <c r="A8814" s="20"/>
      <c r="B8814" s="22"/>
    </row>
    <row r="8815" spans="1:2">
      <c r="A8815" s="20"/>
      <c r="B8815" s="22"/>
    </row>
    <row r="8816" spans="1:2">
      <c r="A8816" s="20"/>
      <c r="B8816" s="22"/>
    </row>
    <row r="8817" spans="1:2">
      <c r="A8817" s="20"/>
      <c r="B8817" s="22"/>
    </row>
    <row r="8818" spans="1:2">
      <c r="A8818" s="20"/>
      <c r="B8818" s="22"/>
    </row>
    <row r="8819" spans="1:2">
      <c r="A8819" s="20"/>
      <c r="B8819" s="22"/>
    </row>
    <row r="8820" spans="1:2">
      <c r="A8820" s="20"/>
      <c r="B8820" s="22"/>
    </row>
    <row r="8821" spans="1:2">
      <c r="A8821" s="20"/>
      <c r="B8821" s="22"/>
    </row>
    <row r="8822" spans="1:2">
      <c r="A8822" s="20"/>
      <c r="B8822" s="22"/>
    </row>
    <row r="8823" spans="1:2">
      <c r="A8823" s="20"/>
      <c r="B8823" s="22"/>
    </row>
    <row r="8824" spans="1:2">
      <c r="A8824" s="20"/>
      <c r="B8824" s="22"/>
    </row>
    <row r="8825" spans="1:2">
      <c r="A8825" s="20"/>
      <c r="B8825" s="22"/>
    </row>
    <row r="8826" spans="1:2">
      <c r="A8826" s="20"/>
      <c r="B8826" s="22"/>
    </row>
    <row r="8827" spans="1:2">
      <c r="A8827" s="20"/>
      <c r="B8827" s="22"/>
    </row>
    <row r="8828" spans="1:2">
      <c r="A8828" s="20"/>
      <c r="B8828" s="22"/>
    </row>
    <row r="8829" spans="1:2">
      <c r="A8829" s="20"/>
      <c r="B8829" s="22"/>
    </row>
    <row r="8830" spans="1:2">
      <c r="A8830" s="20"/>
      <c r="B8830" s="22"/>
    </row>
    <row r="8831" spans="1:2">
      <c r="A8831" s="20"/>
      <c r="B8831" s="22"/>
    </row>
    <row r="8832" spans="1:2">
      <c r="A8832" s="20"/>
      <c r="B8832" s="22"/>
    </row>
    <row r="8833" spans="1:2">
      <c r="A8833" s="20"/>
      <c r="B8833" s="22"/>
    </row>
    <row r="8834" spans="1:2">
      <c r="A8834" s="20"/>
      <c r="B8834" s="22"/>
    </row>
    <row r="8835" spans="1:2">
      <c r="A8835" s="20"/>
      <c r="B8835" s="22"/>
    </row>
    <row r="8836" spans="1:2">
      <c r="A8836" s="20"/>
      <c r="B8836" s="22"/>
    </row>
    <row r="8837" spans="1:2">
      <c r="A8837" s="20"/>
      <c r="B8837" s="22"/>
    </row>
    <row r="8838" spans="1:2">
      <c r="A8838" s="20"/>
      <c r="B8838" s="22"/>
    </row>
    <row r="8839" spans="1:2">
      <c r="A8839" s="20"/>
      <c r="B8839" s="22"/>
    </row>
    <row r="8840" spans="1:2">
      <c r="A8840" s="20"/>
      <c r="B8840" s="22"/>
    </row>
    <row r="8841" spans="1:2">
      <c r="A8841" s="20"/>
      <c r="B8841" s="22"/>
    </row>
    <row r="8842" spans="1:2">
      <c r="A8842" s="20"/>
      <c r="B8842" s="22"/>
    </row>
    <row r="8843" spans="1:2">
      <c r="A8843" s="20"/>
      <c r="B8843" s="22"/>
    </row>
    <row r="8844" spans="1:2">
      <c r="A8844" s="20"/>
      <c r="B8844" s="22"/>
    </row>
    <row r="8845" spans="1:2">
      <c r="A8845" s="20"/>
      <c r="B8845" s="22"/>
    </row>
    <row r="8846" spans="1:2">
      <c r="A8846" s="20"/>
      <c r="B8846" s="22"/>
    </row>
    <row r="8847" spans="1:2">
      <c r="A8847" s="20"/>
      <c r="B8847" s="22"/>
    </row>
    <row r="8848" spans="1:2">
      <c r="A8848" s="20"/>
      <c r="B8848" s="22"/>
    </row>
    <row r="8849" spans="1:2">
      <c r="A8849" s="20"/>
      <c r="B8849" s="22"/>
    </row>
    <row r="8850" spans="1:2">
      <c r="A8850" s="20"/>
      <c r="B8850" s="22"/>
    </row>
    <row r="8851" spans="1:2">
      <c r="A8851" s="20"/>
      <c r="B8851" s="22"/>
    </row>
    <row r="8852" spans="1:2">
      <c r="A8852" s="20"/>
      <c r="B8852" s="22"/>
    </row>
    <row r="8853" spans="1:2">
      <c r="A8853" s="20"/>
      <c r="B8853" s="22"/>
    </row>
    <row r="8854" spans="1:2">
      <c r="A8854" s="20"/>
      <c r="B8854" s="22"/>
    </row>
    <row r="8855" spans="1:2">
      <c r="A8855" s="20"/>
      <c r="B8855" s="22"/>
    </row>
    <row r="8856" spans="1:2">
      <c r="A8856" s="20"/>
      <c r="B8856" s="22"/>
    </row>
    <row r="8857" spans="1:2">
      <c r="A8857" s="20"/>
      <c r="B8857" s="22"/>
    </row>
    <row r="8858" spans="1:2">
      <c r="A8858" s="20"/>
      <c r="B8858" s="22"/>
    </row>
    <row r="8859" spans="1:2">
      <c r="A8859" s="20"/>
      <c r="B8859" s="22"/>
    </row>
    <row r="8860" spans="1:2">
      <c r="A8860" s="20"/>
      <c r="B8860" s="22"/>
    </row>
    <row r="8861" spans="1:2">
      <c r="A8861" s="20"/>
      <c r="B8861" s="22"/>
    </row>
    <row r="8862" spans="1:2">
      <c r="A8862" s="20"/>
      <c r="B8862" s="22"/>
    </row>
    <row r="8863" spans="1:2">
      <c r="A8863" s="20"/>
      <c r="B8863" s="22"/>
    </row>
    <row r="8864" spans="1:2">
      <c r="A8864" s="20"/>
      <c r="B8864" s="22"/>
    </row>
    <row r="8865" spans="1:2">
      <c r="A8865" s="20"/>
      <c r="B8865" s="22"/>
    </row>
    <row r="8866" spans="1:2">
      <c r="A8866" s="20"/>
      <c r="B8866" s="22"/>
    </row>
    <row r="8867" spans="1:2">
      <c r="A8867" s="20"/>
      <c r="B8867" s="22"/>
    </row>
    <row r="8868" spans="1:2">
      <c r="A8868" s="20"/>
      <c r="B8868" s="22"/>
    </row>
    <row r="8869" spans="1:2">
      <c r="A8869" s="20"/>
      <c r="B8869" s="22"/>
    </row>
    <row r="8870" spans="1:2">
      <c r="A8870" s="20"/>
      <c r="B8870" s="22"/>
    </row>
    <row r="8871" spans="1:2">
      <c r="A8871" s="20"/>
      <c r="B8871" s="22"/>
    </row>
    <row r="8872" spans="1:2">
      <c r="A8872" s="20"/>
      <c r="B8872" s="22"/>
    </row>
    <row r="8873" spans="1:2">
      <c r="A8873" s="20"/>
      <c r="B8873" s="22"/>
    </row>
    <row r="8874" spans="1:2">
      <c r="A8874" s="20"/>
      <c r="B8874" s="22"/>
    </row>
    <row r="8875" spans="1:2">
      <c r="A8875" s="20"/>
      <c r="B8875" s="22"/>
    </row>
    <row r="8876" spans="1:2">
      <c r="A8876" s="20"/>
      <c r="B8876" s="22"/>
    </row>
    <row r="8877" spans="1:2">
      <c r="A8877" s="20"/>
      <c r="B8877" s="22"/>
    </row>
    <row r="8878" spans="1:2">
      <c r="A8878" s="20"/>
      <c r="B8878" s="22"/>
    </row>
    <row r="8879" spans="1:2">
      <c r="A8879" s="20"/>
      <c r="B8879" s="22"/>
    </row>
    <row r="8880" spans="1:2">
      <c r="A8880" s="20"/>
      <c r="B8880" s="22"/>
    </row>
    <row r="8881" spans="1:2">
      <c r="A8881" s="20"/>
      <c r="B8881" s="22"/>
    </row>
    <row r="8882" spans="1:2">
      <c r="A8882" s="20"/>
      <c r="B8882" s="22"/>
    </row>
    <row r="8883" spans="1:2">
      <c r="A8883" s="20"/>
      <c r="B8883" s="22"/>
    </row>
    <row r="8884" spans="1:2">
      <c r="A8884" s="20"/>
      <c r="B8884" s="22"/>
    </row>
    <row r="8885" spans="1:2">
      <c r="A8885" s="20"/>
      <c r="B8885" s="22"/>
    </row>
    <row r="8886" spans="1:2">
      <c r="A8886" s="20"/>
      <c r="B8886" s="22"/>
    </row>
    <row r="8887" spans="1:2">
      <c r="A8887" s="20"/>
      <c r="B8887" s="22"/>
    </row>
    <row r="8888" spans="1:2">
      <c r="A8888" s="20"/>
      <c r="B8888" s="22"/>
    </row>
    <row r="8889" spans="1:2">
      <c r="A8889" s="20"/>
      <c r="B8889" s="22"/>
    </row>
    <row r="8890" spans="1:2">
      <c r="A8890" s="20"/>
      <c r="B8890" s="22"/>
    </row>
    <row r="8891" spans="1:2">
      <c r="A8891" s="20"/>
      <c r="B8891" s="22"/>
    </row>
    <row r="8892" spans="1:2">
      <c r="A8892" s="20"/>
      <c r="B8892" s="22"/>
    </row>
    <row r="8893" spans="1:2">
      <c r="A8893" s="20"/>
      <c r="B8893" s="22"/>
    </row>
    <row r="8894" spans="1:2">
      <c r="A8894" s="20"/>
      <c r="B8894" s="22"/>
    </row>
    <row r="8895" spans="1:2">
      <c r="A8895" s="20"/>
      <c r="B8895" s="22"/>
    </row>
    <row r="8896" spans="1:2">
      <c r="A8896" s="20"/>
      <c r="B8896" s="22"/>
    </row>
    <row r="8897" spans="1:2">
      <c r="A8897" s="20"/>
      <c r="B8897" s="22"/>
    </row>
    <row r="8898" spans="1:2">
      <c r="A8898" s="20"/>
      <c r="B8898" s="22"/>
    </row>
    <row r="8899" spans="1:2">
      <c r="A8899" s="20"/>
      <c r="B8899" s="22"/>
    </row>
    <row r="8900" spans="1:2">
      <c r="A8900" s="20"/>
      <c r="B8900" s="22"/>
    </row>
    <row r="8901" spans="1:2">
      <c r="A8901" s="20"/>
      <c r="B8901" s="22"/>
    </row>
    <row r="8902" spans="1:2">
      <c r="A8902" s="20"/>
      <c r="B8902" s="22"/>
    </row>
    <row r="8903" spans="1:2">
      <c r="A8903" s="20"/>
      <c r="B8903" s="22"/>
    </row>
    <row r="8904" spans="1:2">
      <c r="A8904" s="20"/>
      <c r="B8904" s="22"/>
    </row>
    <row r="8905" spans="1:2">
      <c r="A8905" s="20"/>
      <c r="B8905" s="22"/>
    </row>
    <row r="8906" spans="1:2">
      <c r="A8906" s="20"/>
      <c r="B8906" s="22"/>
    </row>
    <row r="8907" spans="1:2">
      <c r="A8907" s="20"/>
      <c r="B8907" s="22"/>
    </row>
    <row r="8908" spans="1:2">
      <c r="A8908" s="20"/>
      <c r="B8908" s="22"/>
    </row>
    <row r="8909" spans="1:2">
      <c r="A8909" s="20"/>
      <c r="B8909" s="22"/>
    </row>
    <row r="8910" spans="1:2">
      <c r="A8910" s="20"/>
      <c r="B8910" s="22"/>
    </row>
    <row r="8911" spans="1:2">
      <c r="A8911" s="20"/>
      <c r="B8911" s="22"/>
    </row>
    <row r="8912" spans="1:2">
      <c r="A8912" s="20"/>
      <c r="B8912" s="22"/>
    </row>
    <row r="8913" spans="1:2">
      <c r="A8913" s="20"/>
      <c r="B8913" s="22"/>
    </row>
    <row r="8914" spans="1:2">
      <c r="A8914" s="20"/>
      <c r="B8914" s="22"/>
    </row>
    <row r="8915" spans="1:2">
      <c r="A8915" s="20"/>
      <c r="B8915" s="22"/>
    </row>
    <row r="8916" spans="1:2">
      <c r="A8916" s="20"/>
      <c r="B8916" s="22"/>
    </row>
    <row r="8917" spans="1:2">
      <c r="A8917" s="20"/>
      <c r="B8917" s="22"/>
    </row>
    <row r="8918" spans="1:2">
      <c r="A8918" s="20"/>
      <c r="B8918" s="22"/>
    </row>
    <row r="8919" spans="1:2">
      <c r="A8919" s="20"/>
      <c r="B8919" s="22"/>
    </row>
    <row r="8920" spans="1:2">
      <c r="A8920" s="20"/>
      <c r="B8920" s="22"/>
    </row>
    <row r="8921" spans="1:2">
      <c r="A8921" s="20"/>
      <c r="B8921" s="22"/>
    </row>
    <row r="8922" spans="1:2">
      <c r="A8922" s="20"/>
      <c r="B8922" s="22"/>
    </row>
    <row r="8923" spans="1:2">
      <c r="A8923" s="20"/>
      <c r="B8923" s="22"/>
    </row>
    <row r="8924" spans="1:2">
      <c r="A8924" s="20"/>
      <c r="B8924" s="22"/>
    </row>
    <row r="8925" spans="1:2">
      <c r="A8925" s="20"/>
      <c r="B8925" s="22"/>
    </row>
    <row r="8926" spans="1:2">
      <c r="A8926" s="20"/>
      <c r="B8926" s="22"/>
    </row>
    <row r="8927" spans="1:2">
      <c r="A8927" s="20"/>
      <c r="B8927" s="22"/>
    </row>
    <row r="8928" spans="1:2">
      <c r="A8928" s="20"/>
      <c r="B8928" s="22"/>
    </row>
    <row r="8929" spans="1:2">
      <c r="A8929" s="20"/>
      <c r="B8929" s="22"/>
    </row>
    <row r="8930" spans="1:2">
      <c r="A8930" s="20"/>
      <c r="B8930" s="22"/>
    </row>
    <row r="8931" spans="1:2">
      <c r="A8931" s="20"/>
      <c r="B8931" s="22"/>
    </row>
    <row r="8932" spans="1:2">
      <c r="A8932" s="20"/>
      <c r="B8932" s="22"/>
    </row>
    <row r="8933" spans="1:2">
      <c r="A8933" s="20"/>
      <c r="B8933" s="22"/>
    </row>
    <row r="8934" spans="1:2">
      <c r="A8934" s="20"/>
      <c r="B8934" s="22"/>
    </row>
    <row r="8935" spans="1:2">
      <c r="A8935" s="20"/>
      <c r="B8935" s="22"/>
    </row>
    <row r="8936" spans="1:2">
      <c r="A8936" s="20"/>
      <c r="B8936" s="22"/>
    </row>
    <row r="8937" spans="1:2">
      <c r="A8937" s="20"/>
      <c r="B8937" s="22"/>
    </row>
    <row r="8938" spans="1:2">
      <c r="A8938" s="20"/>
      <c r="B8938" s="22"/>
    </row>
    <row r="8939" spans="1:2">
      <c r="A8939" s="20"/>
      <c r="B8939" s="22"/>
    </row>
    <row r="8940" spans="1:2">
      <c r="A8940" s="20"/>
      <c r="B8940" s="22"/>
    </row>
    <row r="8941" spans="1:2">
      <c r="A8941" s="20"/>
      <c r="B8941" s="22"/>
    </row>
    <row r="8942" spans="1:2">
      <c r="A8942" s="20"/>
      <c r="B8942" s="22"/>
    </row>
    <row r="8943" spans="1:2">
      <c r="A8943" s="20"/>
      <c r="B8943" s="22"/>
    </row>
    <row r="8944" spans="1:2">
      <c r="A8944" s="20"/>
      <c r="B8944" s="22"/>
    </row>
    <row r="8945" spans="1:2">
      <c r="A8945" s="20"/>
      <c r="B8945" s="22"/>
    </row>
    <row r="8946" spans="1:2">
      <c r="A8946" s="20"/>
      <c r="B8946" s="22"/>
    </row>
    <row r="8947" spans="1:2">
      <c r="A8947" s="20"/>
      <c r="B8947" s="22"/>
    </row>
    <row r="8948" spans="1:2">
      <c r="A8948" s="20"/>
      <c r="B8948" s="22"/>
    </row>
    <row r="8949" spans="1:2">
      <c r="A8949" s="20"/>
      <c r="B8949" s="22"/>
    </row>
    <row r="8950" spans="1:2">
      <c r="A8950" s="20"/>
      <c r="B8950" s="22"/>
    </row>
    <row r="8951" spans="1:2">
      <c r="A8951" s="20"/>
      <c r="B8951" s="22"/>
    </row>
    <row r="8952" spans="1:2">
      <c r="A8952" s="20"/>
      <c r="B8952" s="22"/>
    </row>
    <row r="8953" spans="1:2">
      <c r="A8953" s="20"/>
      <c r="B8953" s="22"/>
    </row>
    <row r="8954" spans="1:2">
      <c r="A8954" s="20"/>
      <c r="B8954" s="22"/>
    </row>
    <row r="8955" spans="1:2">
      <c r="A8955" s="20"/>
      <c r="B8955" s="22"/>
    </row>
    <row r="8956" spans="1:2">
      <c r="A8956" s="20"/>
      <c r="B8956" s="22"/>
    </row>
    <row r="8957" spans="1:2">
      <c r="A8957" s="20"/>
      <c r="B8957" s="22"/>
    </row>
    <row r="8958" spans="1:2">
      <c r="A8958" s="20"/>
      <c r="B8958" s="22"/>
    </row>
    <row r="8959" spans="1:2">
      <c r="A8959" s="20"/>
      <c r="B8959" s="22"/>
    </row>
    <row r="8960" spans="1:2">
      <c r="A8960" s="20"/>
      <c r="B8960" s="22"/>
    </row>
    <row r="8961" spans="1:2">
      <c r="A8961" s="20"/>
      <c r="B8961" s="22"/>
    </row>
    <row r="8962" spans="1:2">
      <c r="A8962" s="20"/>
      <c r="B8962" s="22"/>
    </row>
    <row r="8963" spans="1:2">
      <c r="A8963" s="20"/>
      <c r="B8963" s="22"/>
    </row>
    <row r="8964" spans="1:2">
      <c r="A8964" s="20"/>
      <c r="B8964" s="22"/>
    </row>
    <row r="8965" spans="1:2">
      <c r="A8965" s="20"/>
      <c r="B8965" s="22"/>
    </row>
    <row r="8966" spans="1:2">
      <c r="A8966" s="20"/>
      <c r="B8966" s="22"/>
    </row>
    <row r="8967" spans="1:2">
      <c r="A8967" s="20"/>
      <c r="B8967" s="22"/>
    </row>
    <row r="8968" spans="1:2">
      <c r="A8968" s="20"/>
      <c r="B8968" s="22"/>
    </row>
    <row r="8969" spans="1:2">
      <c r="A8969" s="20"/>
      <c r="B8969" s="22"/>
    </row>
    <row r="8970" spans="1:2">
      <c r="A8970" s="20"/>
      <c r="B8970" s="22"/>
    </row>
    <row r="8971" spans="1:2">
      <c r="A8971" s="20"/>
      <c r="B8971" s="22"/>
    </row>
    <row r="8972" spans="1:2">
      <c r="A8972" s="20"/>
      <c r="B8972" s="22"/>
    </row>
    <row r="8973" spans="1:2">
      <c r="A8973" s="20"/>
      <c r="B8973" s="22"/>
    </row>
    <row r="8974" spans="1:2">
      <c r="A8974" s="20"/>
      <c r="B8974" s="22"/>
    </row>
    <row r="8975" spans="1:2">
      <c r="A8975" s="20"/>
      <c r="B8975" s="22"/>
    </row>
    <row r="8976" spans="1:2">
      <c r="A8976" s="20"/>
      <c r="B8976" s="22"/>
    </row>
    <row r="8977" spans="1:2">
      <c r="A8977" s="20"/>
      <c r="B8977" s="22"/>
    </row>
    <row r="8978" spans="1:2">
      <c r="A8978" s="20"/>
      <c r="B8978" s="22"/>
    </row>
    <row r="8979" spans="1:2">
      <c r="A8979" s="20"/>
      <c r="B8979" s="22"/>
    </row>
    <row r="8980" spans="1:2">
      <c r="A8980" s="20"/>
      <c r="B8980" s="22"/>
    </row>
    <row r="8981" spans="1:2">
      <c r="A8981" s="20"/>
      <c r="B8981" s="22"/>
    </row>
    <row r="8982" spans="1:2">
      <c r="A8982" s="20"/>
      <c r="B8982" s="22"/>
    </row>
    <row r="8983" spans="1:2">
      <c r="A8983" s="20"/>
      <c r="B8983" s="22"/>
    </row>
    <row r="8984" spans="1:2">
      <c r="A8984" s="20"/>
      <c r="B8984" s="22"/>
    </row>
    <row r="8985" spans="1:2">
      <c r="A8985" s="20"/>
      <c r="B8985" s="22"/>
    </row>
    <row r="8986" spans="1:2">
      <c r="A8986" s="20"/>
      <c r="B8986" s="22"/>
    </row>
    <row r="8987" spans="1:2">
      <c r="A8987" s="20"/>
      <c r="B8987" s="22"/>
    </row>
    <row r="8988" spans="1:2">
      <c r="A8988" s="20"/>
      <c r="B8988" s="22"/>
    </row>
    <row r="8989" spans="1:2">
      <c r="A8989" s="20"/>
      <c r="B8989" s="22"/>
    </row>
    <row r="8990" spans="1:2">
      <c r="A8990" s="20"/>
      <c r="B8990" s="22"/>
    </row>
    <row r="8991" spans="1:2">
      <c r="A8991" s="20"/>
      <c r="B8991" s="22"/>
    </row>
    <row r="8992" spans="1:2">
      <c r="A8992" s="20"/>
      <c r="B8992" s="22"/>
    </row>
    <row r="8993" spans="1:2">
      <c r="A8993" s="20"/>
      <c r="B8993" s="22"/>
    </row>
    <row r="8994" spans="1:2">
      <c r="A8994" s="20"/>
      <c r="B8994" s="22"/>
    </row>
    <row r="8995" spans="1:2">
      <c r="A8995" s="20"/>
      <c r="B8995" s="22"/>
    </row>
    <row r="8996" spans="1:2">
      <c r="A8996" s="20"/>
      <c r="B8996" s="22"/>
    </row>
    <row r="8997" spans="1:2">
      <c r="A8997" s="20"/>
      <c r="B8997" s="22"/>
    </row>
    <row r="8998" spans="1:2">
      <c r="A8998" s="20"/>
      <c r="B8998" s="22"/>
    </row>
    <row r="8999" spans="1:2">
      <c r="A8999" s="20"/>
      <c r="B8999" s="22"/>
    </row>
    <row r="9000" spans="1:2">
      <c r="A9000" s="20"/>
      <c r="B9000" s="22"/>
    </row>
    <row r="9001" spans="1:2">
      <c r="A9001" s="20"/>
      <c r="B9001" s="22"/>
    </row>
    <row r="9002" spans="1:2">
      <c r="A9002" s="20"/>
      <c r="B9002" s="22"/>
    </row>
    <row r="9003" spans="1:2">
      <c r="A9003" s="20"/>
      <c r="B9003" s="22"/>
    </row>
    <row r="9004" spans="1:2">
      <c r="A9004" s="20"/>
      <c r="B9004" s="22"/>
    </row>
    <row r="9005" spans="1:2">
      <c r="A9005" s="20"/>
      <c r="B9005" s="22"/>
    </row>
    <row r="9006" spans="1:2">
      <c r="A9006" s="20"/>
      <c r="B9006" s="22"/>
    </row>
    <row r="9007" spans="1:2">
      <c r="A9007" s="20"/>
      <c r="B9007" s="22"/>
    </row>
    <row r="9008" spans="1:2">
      <c r="A9008" s="20"/>
      <c r="B9008" s="22"/>
    </row>
    <row r="9009" spans="1:2">
      <c r="A9009" s="20"/>
      <c r="B9009" s="22"/>
    </row>
    <row r="9010" spans="1:2">
      <c r="A9010" s="20"/>
      <c r="B9010" s="22"/>
    </row>
    <row r="9011" spans="1:2">
      <c r="A9011" s="20"/>
      <c r="B9011" s="22"/>
    </row>
    <row r="9012" spans="1:2">
      <c r="A9012" s="20"/>
      <c r="B9012" s="22"/>
    </row>
    <row r="9013" spans="1:2">
      <c r="A9013" s="20"/>
      <c r="B9013" s="22"/>
    </row>
    <row r="9014" spans="1:2">
      <c r="A9014" s="20"/>
      <c r="B9014" s="22"/>
    </row>
    <row r="9015" spans="1:2">
      <c r="A9015" s="20"/>
      <c r="B9015" s="22"/>
    </row>
    <row r="9016" spans="1:2">
      <c r="A9016" s="20"/>
      <c r="B9016" s="22"/>
    </row>
    <row r="9017" spans="1:2">
      <c r="A9017" s="20"/>
      <c r="B9017" s="22"/>
    </row>
    <row r="9018" spans="1:2">
      <c r="A9018" s="20"/>
      <c r="B9018" s="22"/>
    </row>
    <row r="9019" spans="1:2">
      <c r="A9019" s="20"/>
      <c r="B9019" s="22"/>
    </row>
    <row r="9020" spans="1:2">
      <c r="A9020" s="20"/>
      <c r="B9020" s="22"/>
    </row>
    <row r="9021" spans="1:2">
      <c r="A9021" s="20"/>
      <c r="B9021" s="22"/>
    </row>
    <row r="9022" spans="1:2">
      <c r="A9022" s="20"/>
      <c r="B9022" s="22"/>
    </row>
    <row r="9023" spans="1:2">
      <c r="A9023" s="20"/>
      <c r="B9023" s="22"/>
    </row>
    <row r="9024" spans="1:2">
      <c r="A9024" s="20"/>
      <c r="B9024" s="22"/>
    </row>
    <row r="9025" spans="1:2">
      <c r="A9025" s="20"/>
      <c r="B9025" s="22"/>
    </row>
    <row r="9026" spans="1:2">
      <c r="A9026" s="20"/>
      <c r="B9026" s="22"/>
    </row>
    <row r="9027" spans="1:2">
      <c r="A9027" s="20"/>
      <c r="B9027" s="22"/>
    </row>
    <row r="9028" spans="1:2">
      <c r="A9028" s="20"/>
      <c r="B9028" s="22"/>
    </row>
    <row r="9029" spans="1:2">
      <c r="A9029" s="20"/>
      <c r="B9029" s="22"/>
    </row>
    <row r="9030" spans="1:2">
      <c r="A9030" s="20"/>
      <c r="B9030" s="22"/>
    </row>
    <row r="9031" spans="1:2">
      <c r="A9031" s="20"/>
      <c r="B9031" s="22"/>
    </row>
    <row r="9032" spans="1:2">
      <c r="A9032" s="20"/>
      <c r="B9032" s="22"/>
    </row>
    <row r="9033" spans="1:2">
      <c r="A9033" s="20"/>
      <c r="B9033" s="22"/>
    </row>
    <row r="9034" spans="1:2">
      <c r="A9034" s="20"/>
      <c r="B9034" s="22"/>
    </row>
    <row r="9035" spans="1:2">
      <c r="A9035" s="20"/>
      <c r="B9035" s="22"/>
    </row>
    <row r="9036" spans="1:2">
      <c r="A9036" s="20"/>
      <c r="B9036" s="22"/>
    </row>
    <row r="9037" spans="1:2">
      <c r="A9037" s="20"/>
      <c r="B9037" s="22"/>
    </row>
    <row r="9038" spans="1:2">
      <c r="A9038" s="20"/>
      <c r="B9038" s="22"/>
    </row>
    <row r="9039" spans="1:2">
      <c r="A9039" s="20"/>
      <c r="B9039" s="22"/>
    </row>
    <row r="9040" spans="1:2">
      <c r="A9040" s="20"/>
      <c r="B9040" s="22"/>
    </row>
    <row r="9041" spans="1:2">
      <c r="A9041" s="20"/>
      <c r="B9041" s="22"/>
    </row>
    <row r="9042" spans="1:2">
      <c r="A9042" s="20"/>
      <c r="B9042" s="22"/>
    </row>
    <row r="9043" spans="1:2">
      <c r="A9043" s="20"/>
      <c r="B9043" s="22"/>
    </row>
    <row r="9044" spans="1:2">
      <c r="A9044" s="20"/>
      <c r="B9044" s="22"/>
    </row>
    <row r="9045" spans="1:2">
      <c r="A9045" s="20"/>
      <c r="B9045" s="22"/>
    </row>
    <row r="9046" spans="1:2">
      <c r="A9046" s="20"/>
      <c r="B9046" s="22"/>
    </row>
    <row r="9047" spans="1:2">
      <c r="A9047" s="20"/>
      <c r="B9047" s="22"/>
    </row>
    <row r="9048" spans="1:2">
      <c r="A9048" s="20"/>
      <c r="B9048" s="22"/>
    </row>
    <row r="9049" spans="1:2">
      <c r="A9049" s="20"/>
      <c r="B9049" s="22"/>
    </row>
    <row r="9050" spans="1:2">
      <c r="A9050" s="20"/>
      <c r="B9050" s="22"/>
    </row>
    <row r="9051" spans="1:2">
      <c r="A9051" s="20"/>
      <c r="B9051" s="22"/>
    </row>
    <row r="9052" spans="1:2">
      <c r="A9052" s="20"/>
      <c r="B9052" s="22"/>
    </row>
    <row r="9053" spans="1:2">
      <c r="A9053" s="20"/>
      <c r="B9053" s="22"/>
    </row>
    <row r="9054" spans="1:2">
      <c r="A9054" s="20"/>
      <c r="B9054" s="22"/>
    </row>
    <row r="9055" spans="1:2">
      <c r="A9055" s="20"/>
      <c r="B9055" s="22"/>
    </row>
    <row r="9056" spans="1:2">
      <c r="A9056" s="20"/>
      <c r="B9056" s="22"/>
    </row>
    <row r="9057" spans="1:2">
      <c r="A9057" s="20"/>
      <c r="B9057" s="22"/>
    </row>
    <row r="9058" spans="1:2">
      <c r="A9058" s="20"/>
      <c r="B9058" s="22"/>
    </row>
    <row r="9059" spans="1:2">
      <c r="A9059" s="20"/>
      <c r="B9059" s="22"/>
    </row>
    <row r="9060" spans="1:2">
      <c r="A9060" s="20"/>
      <c r="B9060" s="22"/>
    </row>
    <row r="9061" spans="1:2">
      <c r="A9061" s="20"/>
      <c r="B9061" s="22"/>
    </row>
    <row r="9062" spans="1:2">
      <c r="A9062" s="20"/>
      <c r="B9062" s="22"/>
    </row>
    <row r="9063" spans="1:2">
      <c r="A9063" s="20"/>
      <c r="B9063" s="22"/>
    </row>
    <row r="9064" spans="1:2">
      <c r="A9064" s="20"/>
      <c r="B9064" s="22"/>
    </row>
    <row r="9065" spans="1:2">
      <c r="A9065" s="20"/>
      <c r="B9065" s="22"/>
    </row>
    <row r="9066" spans="1:2">
      <c r="A9066" s="20"/>
      <c r="B9066" s="22"/>
    </row>
    <row r="9067" spans="1:2">
      <c r="A9067" s="20"/>
      <c r="B9067" s="22"/>
    </row>
    <row r="9068" spans="1:2">
      <c r="A9068" s="20"/>
      <c r="B9068" s="22"/>
    </row>
    <row r="9069" spans="1:2">
      <c r="A9069" s="20"/>
      <c r="B9069" s="22"/>
    </row>
    <row r="9070" spans="1:2">
      <c r="A9070" s="20"/>
      <c r="B9070" s="22"/>
    </row>
    <row r="9071" spans="1:2">
      <c r="A9071" s="20"/>
      <c r="B9071" s="22"/>
    </row>
    <row r="9072" spans="1:2">
      <c r="A9072" s="20"/>
      <c r="B9072" s="22"/>
    </row>
    <row r="9073" spans="1:2">
      <c r="A9073" s="20"/>
      <c r="B9073" s="22"/>
    </row>
    <row r="9074" spans="1:2">
      <c r="A9074" s="20"/>
      <c r="B9074" s="22"/>
    </row>
    <row r="9075" spans="1:2">
      <c r="A9075" s="20"/>
      <c r="B9075" s="22"/>
    </row>
    <row r="9076" spans="1:2">
      <c r="A9076" s="20"/>
      <c r="B9076" s="22"/>
    </row>
    <row r="9077" spans="1:2">
      <c r="A9077" s="20"/>
      <c r="B9077" s="22"/>
    </row>
    <row r="9078" spans="1:2">
      <c r="A9078" s="20"/>
      <c r="B9078" s="22"/>
    </row>
    <row r="9079" spans="1:2">
      <c r="A9079" s="20"/>
      <c r="B9079" s="22"/>
    </row>
    <row r="9080" spans="1:2">
      <c r="A9080" s="20"/>
      <c r="B9080" s="22"/>
    </row>
    <row r="9081" spans="1:2">
      <c r="A9081" s="20"/>
      <c r="B9081" s="22"/>
    </row>
    <row r="9082" spans="1:2">
      <c r="A9082" s="20"/>
      <c r="B9082" s="22"/>
    </row>
    <row r="9083" spans="1:2">
      <c r="A9083" s="20"/>
      <c r="B9083" s="22"/>
    </row>
    <row r="9084" spans="1:2">
      <c r="A9084" s="20"/>
      <c r="B9084" s="22"/>
    </row>
    <row r="9085" spans="1:2">
      <c r="A9085" s="20"/>
      <c r="B9085" s="22"/>
    </row>
    <row r="9086" spans="1:2">
      <c r="A9086" s="20"/>
      <c r="B9086" s="22"/>
    </row>
    <row r="9087" spans="1:2">
      <c r="A9087" s="20"/>
      <c r="B9087" s="22"/>
    </row>
    <row r="9088" spans="1:2">
      <c r="A9088" s="20"/>
      <c r="B9088" s="22"/>
    </row>
    <row r="9089" spans="1:2">
      <c r="A9089" s="20"/>
      <c r="B9089" s="22"/>
    </row>
    <row r="9090" spans="1:2">
      <c r="A9090" s="20"/>
      <c r="B9090" s="22"/>
    </row>
    <row r="9091" spans="1:2">
      <c r="A9091" s="20"/>
      <c r="B9091" s="22"/>
    </row>
    <row r="9092" spans="1:2">
      <c r="A9092" s="20"/>
      <c r="B9092" s="22"/>
    </row>
    <row r="9093" spans="1:2">
      <c r="A9093" s="20"/>
      <c r="B9093" s="22"/>
    </row>
    <row r="9094" spans="1:2">
      <c r="A9094" s="20"/>
      <c r="B9094" s="22"/>
    </row>
    <row r="9095" spans="1:2">
      <c r="A9095" s="20"/>
      <c r="B9095" s="22"/>
    </row>
    <row r="9096" spans="1:2">
      <c r="A9096" s="20"/>
      <c r="B9096" s="22"/>
    </row>
    <row r="9097" spans="1:2">
      <c r="A9097" s="20"/>
      <c r="B9097" s="22"/>
    </row>
    <row r="9098" spans="1:2">
      <c r="A9098" s="20"/>
      <c r="B9098" s="22"/>
    </row>
    <row r="9099" spans="1:2">
      <c r="A9099" s="20"/>
      <c r="B9099" s="22"/>
    </row>
    <row r="9100" spans="1:2">
      <c r="A9100" s="20"/>
      <c r="B9100" s="22"/>
    </row>
    <row r="9101" spans="1:2">
      <c r="A9101" s="20"/>
      <c r="B9101" s="22"/>
    </row>
    <row r="9102" spans="1:2">
      <c r="A9102" s="20"/>
      <c r="B9102" s="22"/>
    </row>
    <row r="9103" spans="1:2">
      <c r="A9103" s="20"/>
      <c r="B9103" s="22"/>
    </row>
    <row r="9104" spans="1:2">
      <c r="A9104" s="20"/>
      <c r="B9104" s="22"/>
    </row>
    <row r="9105" spans="1:2">
      <c r="A9105" s="20"/>
      <c r="B9105" s="22"/>
    </row>
    <row r="9106" spans="1:2">
      <c r="A9106" s="20"/>
      <c r="B9106" s="22"/>
    </row>
    <row r="9107" spans="1:2">
      <c r="A9107" s="20"/>
      <c r="B9107" s="22"/>
    </row>
    <row r="9108" spans="1:2">
      <c r="A9108" s="20"/>
      <c r="B9108" s="22"/>
    </row>
    <row r="9109" spans="1:2">
      <c r="A9109" s="20"/>
      <c r="B9109" s="22"/>
    </row>
    <row r="9110" spans="1:2">
      <c r="A9110" s="20"/>
      <c r="B9110" s="22"/>
    </row>
    <row r="9111" spans="1:2">
      <c r="A9111" s="20"/>
      <c r="B9111" s="22"/>
    </row>
    <row r="9112" spans="1:2">
      <c r="A9112" s="20"/>
      <c r="B9112" s="22"/>
    </row>
    <row r="9113" spans="1:2">
      <c r="A9113" s="20"/>
      <c r="B9113" s="22"/>
    </row>
    <row r="9114" spans="1:2">
      <c r="A9114" s="20"/>
      <c r="B9114" s="22"/>
    </row>
    <row r="9115" spans="1:2">
      <c r="A9115" s="20"/>
      <c r="B9115" s="22"/>
    </row>
    <row r="9116" spans="1:2">
      <c r="A9116" s="20"/>
      <c r="B9116" s="22"/>
    </row>
    <row r="9117" spans="1:2">
      <c r="A9117" s="20"/>
      <c r="B9117" s="22"/>
    </row>
    <row r="9118" spans="1:2">
      <c r="A9118" s="20"/>
      <c r="B9118" s="22"/>
    </row>
    <row r="9119" spans="1:2">
      <c r="A9119" s="20"/>
      <c r="B9119" s="22"/>
    </row>
    <row r="9120" spans="1:2">
      <c r="A9120" s="20"/>
      <c r="B9120" s="22"/>
    </row>
    <row r="9121" spans="1:2">
      <c r="A9121" s="20"/>
      <c r="B9121" s="22"/>
    </row>
    <row r="9122" spans="1:2">
      <c r="A9122" s="20"/>
      <c r="B9122" s="22"/>
    </row>
    <row r="9123" spans="1:2">
      <c r="A9123" s="20"/>
      <c r="B9123" s="22"/>
    </row>
    <row r="9124" spans="1:2">
      <c r="A9124" s="20"/>
      <c r="B9124" s="22"/>
    </row>
    <row r="9125" spans="1:2">
      <c r="A9125" s="20"/>
      <c r="B9125" s="22"/>
    </row>
    <row r="9126" spans="1:2">
      <c r="A9126" s="20"/>
      <c r="B9126" s="22"/>
    </row>
    <row r="9127" spans="1:2">
      <c r="A9127" s="20"/>
      <c r="B9127" s="22"/>
    </row>
    <row r="9128" spans="1:2">
      <c r="A9128" s="20"/>
      <c r="B9128" s="22"/>
    </row>
    <row r="9129" spans="1:2">
      <c r="A9129" s="20"/>
      <c r="B9129" s="22"/>
    </row>
    <row r="9130" spans="1:2">
      <c r="A9130" s="20"/>
      <c r="B9130" s="22"/>
    </row>
    <row r="9131" spans="1:2">
      <c r="A9131" s="20"/>
      <c r="B9131" s="22"/>
    </row>
    <row r="9132" spans="1:2">
      <c r="A9132" s="20"/>
      <c r="B9132" s="22"/>
    </row>
    <row r="9133" spans="1:2">
      <c r="A9133" s="20"/>
      <c r="B9133" s="22"/>
    </row>
    <row r="9134" spans="1:2">
      <c r="A9134" s="20"/>
      <c r="B9134" s="22"/>
    </row>
    <row r="9135" spans="1:2">
      <c r="A9135" s="20"/>
      <c r="B9135" s="22"/>
    </row>
    <row r="9136" spans="1:2">
      <c r="A9136" s="20"/>
      <c r="B9136" s="22"/>
    </row>
    <row r="9137" spans="1:2">
      <c r="A9137" s="20"/>
      <c r="B9137" s="22"/>
    </row>
    <row r="9138" spans="1:2">
      <c r="A9138" s="20"/>
      <c r="B9138" s="22"/>
    </row>
    <row r="9139" spans="1:2">
      <c r="A9139" s="20"/>
      <c r="B9139" s="22"/>
    </row>
    <row r="9140" spans="1:2">
      <c r="A9140" s="20"/>
      <c r="B9140" s="22"/>
    </row>
    <row r="9141" spans="1:2">
      <c r="A9141" s="20"/>
      <c r="B9141" s="22"/>
    </row>
    <row r="9142" spans="1:2">
      <c r="A9142" s="20"/>
      <c r="B9142" s="22"/>
    </row>
    <row r="9143" spans="1:2">
      <c r="A9143" s="20"/>
      <c r="B9143" s="22"/>
    </row>
    <row r="9144" spans="1:2">
      <c r="A9144" s="20"/>
      <c r="B9144" s="22"/>
    </row>
    <row r="9145" spans="1:2">
      <c r="A9145" s="20"/>
      <c r="B9145" s="22"/>
    </row>
    <row r="9146" spans="1:2">
      <c r="A9146" s="20"/>
      <c r="B9146" s="22"/>
    </row>
    <row r="9147" spans="1:2">
      <c r="A9147" s="20"/>
      <c r="B9147" s="22"/>
    </row>
    <row r="9148" spans="1:2">
      <c r="A9148" s="20"/>
      <c r="B9148" s="22"/>
    </row>
    <row r="9149" spans="1:2">
      <c r="A9149" s="20"/>
      <c r="B9149" s="22"/>
    </row>
    <row r="9150" spans="1:2">
      <c r="A9150" s="20"/>
      <c r="B9150" s="22"/>
    </row>
    <row r="9151" spans="1:2">
      <c r="A9151" s="20"/>
      <c r="B9151" s="22"/>
    </row>
    <row r="9152" spans="1:2">
      <c r="A9152" s="20"/>
      <c r="B9152" s="22"/>
    </row>
    <row r="9153" spans="1:2">
      <c r="A9153" s="20"/>
      <c r="B9153" s="22"/>
    </row>
    <row r="9154" spans="1:2">
      <c r="A9154" s="20"/>
      <c r="B9154" s="22"/>
    </row>
    <row r="9155" spans="1:2">
      <c r="A9155" s="20"/>
      <c r="B9155" s="22"/>
    </row>
    <row r="9156" spans="1:2">
      <c r="A9156" s="20"/>
      <c r="B9156" s="22"/>
    </row>
    <row r="9157" spans="1:2">
      <c r="A9157" s="20"/>
      <c r="B9157" s="22"/>
    </row>
    <row r="9158" spans="1:2">
      <c r="A9158" s="20"/>
      <c r="B9158" s="22"/>
    </row>
    <row r="9159" spans="1:2">
      <c r="A9159" s="20"/>
      <c r="B9159" s="22"/>
    </row>
    <row r="9160" spans="1:2">
      <c r="A9160" s="20"/>
      <c r="B9160" s="22"/>
    </row>
    <row r="9161" spans="1:2">
      <c r="A9161" s="20"/>
      <c r="B9161" s="22"/>
    </row>
    <row r="9162" spans="1:2">
      <c r="A9162" s="20"/>
      <c r="B9162" s="22"/>
    </row>
    <row r="9163" spans="1:2">
      <c r="A9163" s="20"/>
      <c r="B9163" s="22"/>
    </row>
    <row r="9164" spans="1:2">
      <c r="A9164" s="20"/>
      <c r="B9164" s="22"/>
    </row>
    <row r="9165" spans="1:2">
      <c r="A9165" s="20"/>
      <c r="B9165" s="22"/>
    </row>
    <row r="9166" spans="1:2">
      <c r="A9166" s="20"/>
      <c r="B9166" s="22"/>
    </row>
    <row r="9167" spans="1:2">
      <c r="A9167" s="20"/>
      <c r="B9167" s="22"/>
    </row>
    <row r="9168" spans="1:2">
      <c r="A9168" s="20"/>
      <c r="B9168" s="22"/>
    </row>
    <row r="9169" spans="1:2">
      <c r="A9169" s="20"/>
      <c r="B9169" s="22"/>
    </row>
    <row r="9170" spans="1:2">
      <c r="A9170" s="20"/>
      <c r="B9170" s="22"/>
    </row>
    <row r="9171" spans="1:2">
      <c r="A9171" s="20"/>
      <c r="B9171" s="22"/>
    </row>
    <row r="9172" spans="1:2">
      <c r="A9172" s="20"/>
      <c r="B9172" s="22"/>
    </row>
    <row r="9173" spans="1:2">
      <c r="A9173" s="20"/>
      <c r="B9173" s="22"/>
    </row>
    <row r="9174" spans="1:2">
      <c r="A9174" s="20"/>
      <c r="B9174" s="22"/>
    </row>
    <row r="9175" spans="1:2">
      <c r="A9175" s="20"/>
      <c r="B9175" s="22"/>
    </row>
    <row r="9176" spans="1:2">
      <c r="A9176" s="20"/>
      <c r="B9176" s="22"/>
    </row>
    <row r="9177" spans="1:2">
      <c r="A9177" s="20"/>
      <c r="B9177" s="22"/>
    </row>
    <row r="9178" spans="1:2">
      <c r="A9178" s="20"/>
      <c r="B9178" s="22"/>
    </row>
    <row r="9179" spans="1:2">
      <c r="A9179" s="20"/>
      <c r="B9179" s="22"/>
    </row>
    <row r="9180" spans="1:2">
      <c r="A9180" s="20"/>
      <c r="B9180" s="22"/>
    </row>
    <row r="9181" spans="1:2">
      <c r="A9181" s="20"/>
      <c r="B9181" s="22"/>
    </row>
    <row r="9182" spans="1:2">
      <c r="A9182" s="20"/>
      <c r="B9182" s="22"/>
    </row>
    <row r="9183" spans="1:2">
      <c r="A9183" s="20"/>
      <c r="B9183" s="22"/>
    </row>
    <row r="9184" spans="1:2">
      <c r="A9184" s="20"/>
      <c r="B9184" s="22"/>
    </row>
    <row r="9185" spans="1:2">
      <c r="A9185" s="20"/>
      <c r="B9185" s="22"/>
    </row>
    <row r="9186" spans="1:2">
      <c r="A9186" s="20"/>
      <c r="B9186" s="22"/>
    </row>
    <row r="9187" spans="1:2">
      <c r="A9187" s="20"/>
      <c r="B9187" s="22"/>
    </row>
    <row r="9188" spans="1:2">
      <c r="A9188" s="20"/>
      <c r="B9188" s="22"/>
    </row>
    <row r="9189" spans="1:2">
      <c r="A9189" s="20"/>
      <c r="B9189" s="22"/>
    </row>
    <row r="9190" spans="1:2">
      <c r="A9190" s="20"/>
      <c r="B9190" s="22"/>
    </row>
    <row r="9191" spans="1:2">
      <c r="A9191" s="20"/>
      <c r="B9191" s="22"/>
    </row>
    <row r="9192" spans="1:2">
      <c r="A9192" s="20"/>
      <c r="B9192" s="22"/>
    </row>
    <row r="9193" spans="1:2">
      <c r="A9193" s="20"/>
      <c r="B9193" s="22"/>
    </row>
    <row r="9194" spans="1:2">
      <c r="A9194" s="20"/>
      <c r="B9194" s="22"/>
    </row>
    <row r="9195" spans="1:2">
      <c r="A9195" s="20"/>
      <c r="B9195" s="22"/>
    </row>
    <row r="9196" spans="1:2">
      <c r="A9196" s="20"/>
      <c r="B9196" s="22"/>
    </row>
    <row r="9197" spans="1:2">
      <c r="A9197" s="20"/>
      <c r="B9197" s="22"/>
    </row>
    <row r="9198" spans="1:2">
      <c r="A9198" s="20"/>
      <c r="B9198" s="22"/>
    </row>
    <row r="9199" spans="1:2">
      <c r="A9199" s="20"/>
      <c r="B9199" s="22"/>
    </row>
    <row r="9200" spans="1:2">
      <c r="A9200" s="20"/>
      <c r="B9200" s="22"/>
    </row>
    <row r="9201" spans="1:2">
      <c r="A9201" s="20"/>
      <c r="B9201" s="22"/>
    </row>
    <row r="9202" spans="1:2">
      <c r="A9202" s="20"/>
      <c r="B9202" s="22"/>
    </row>
    <row r="9203" spans="1:2">
      <c r="A9203" s="20"/>
      <c r="B9203" s="22"/>
    </row>
    <row r="9204" spans="1:2">
      <c r="A9204" s="20"/>
      <c r="B9204" s="22"/>
    </row>
    <row r="9205" spans="1:2">
      <c r="A9205" s="20"/>
      <c r="B9205" s="22"/>
    </row>
    <row r="9206" spans="1:2">
      <c r="A9206" s="20"/>
      <c r="B9206" s="22"/>
    </row>
    <row r="9207" spans="1:2">
      <c r="A9207" s="20"/>
      <c r="B9207" s="22"/>
    </row>
    <row r="9208" spans="1:2">
      <c r="A9208" s="20"/>
      <c r="B9208" s="22"/>
    </row>
    <row r="9209" spans="1:2">
      <c r="A9209" s="20"/>
      <c r="B9209" s="22"/>
    </row>
    <row r="9210" spans="1:2">
      <c r="A9210" s="20"/>
      <c r="B9210" s="22"/>
    </row>
    <row r="9211" spans="1:2">
      <c r="A9211" s="20"/>
      <c r="B9211" s="22"/>
    </row>
    <row r="9212" spans="1:2">
      <c r="A9212" s="20"/>
      <c r="B9212" s="22"/>
    </row>
    <row r="9213" spans="1:2">
      <c r="A9213" s="20"/>
      <c r="B9213" s="22"/>
    </row>
    <row r="9214" spans="1:2">
      <c r="A9214" s="20"/>
      <c r="B9214" s="22"/>
    </row>
    <row r="9215" spans="1:2">
      <c r="A9215" s="20"/>
      <c r="B9215" s="22"/>
    </row>
    <row r="9216" spans="1:2">
      <c r="A9216" s="20"/>
      <c r="B9216" s="22"/>
    </row>
    <row r="9217" spans="1:2">
      <c r="A9217" s="20"/>
      <c r="B9217" s="22"/>
    </row>
    <row r="9218" spans="1:2">
      <c r="A9218" s="20"/>
      <c r="B9218" s="22"/>
    </row>
    <row r="9219" spans="1:2">
      <c r="A9219" s="20"/>
      <c r="B9219" s="22"/>
    </row>
    <row r="9220" spans="1:2">
      <c r="A9220" s="20"/>
      <c r="B9220" s="22"/>
    </row>
    <row r="9221" spans="1:2">
      <c r="A9221" s="20"/>
      <c r="B9221" s="22"/>
    </row>
    <row r="9222" spans="1:2">
      <c r="A9222" s="20"/>
      <c r="B9222" s="22"/>
    </row>
    <row r="9223" spans="1:2">
      <c r="A9223" s="20"/>
      <c r="B9223" s="22"/>
    </row>
    <row r="9224" spans="1:2">
      <c r="A9224" s="20"/>
      <c r="B9224" s="22"/>
    </row>
    <row r="9225" spans="1:2">
      <c r="A9225" s="20"/>
      <c r="B9225" s="22"/>
    </row>
    <row r="9226" spans="1:2">
      <c r="A9226" s="20"/>
      <c r="B9226" s="22"/>
    </row>
    <row r="9227" spans="1:2">
      <c r="A9227" s="20"/>
      <c r="B9227" s="22"/>
    </row>
    <row r="9228" spans="1:2">
      <c r="A9228" s="20"/>
      <c r="B9228" s="22"/>
    </row>
    <row r="9229" spans="1:2">
      <c r="A9229" s="20"/>
      <c r="B9229" s="22"/>
    </row>
    <row r="9230" spans="1:2">
      <c r="A9230" s="20"/>
      <c r="B9230" s="22"/>
    </row>
    <row r="9231" spans="1:2">
      <c r="A9231" s="20"/>
      <c r="B9231" s="22"/>
    </row>
    <row r="9232" spans="1:2">
      <c r="A9232" s="20"/>
      <c r="B9232" s="22"/>
    </row>
    <row r="9233" spans="1:2">
      <c r="A9233" s="20"/>
      <c r="B9233" s="22"/>
    </row>
    <row r="9234" spans="1:2">
      <c r="A9234" s="20"/>
      <c r="B9234" s="22"/>
    </row>
    <row r="9235" spans="1:2">
      <c r="A9235" s="20"/>
      <c r="B9235" s="22"/>
    </row>
    <row r="9236" spans="1:2">
      <c r="A9236" s="20"/>
      <c r="B9236" s="22"/>
    </row>
    <row r="9237" spans="1:2">
      <c r="A9237" s="20"/>
      <c r="B9237" s="22"/>
    </row>
    <row r="9238" spans="1:2">
      <c r="A9238" s="20"/>
      <c r="B9238" s="22"/>
    </row>
    <row r="9239" spans="1:2">
      <c r="A9239" s="20"/>
      <c r="B9239" s="22"/>
    </row>
    <row r="9240" spans="1:2">
      <c r="A9240" s="20"/>
      <c r="B9240" s="22"/>
    </row>
    <row r="9241" spans="1:2">
      <c r="A9241" s="20"/>
      <c r="B9241" s="22"/>
    </row>
    <row r="9242" spans="1:2">
      <c r="A9242" s="20"/>
      <c r="B9242" s="22"/>
    </row>
    <row r="9243" spans="1:2">
      <c r="A9243" s="20"/>
      <c r="B9243" s="22"/>
    </row>
    <row r="9244" spans="1:2">
      <c r="A9244" s="20"/>
      <c r="B9244" s="22"/>
    </row>
    <row r="9245" spans="1:2">
      <c r="A9245" s="20"/>
      <c r="B9245" s="22"/>
    </row>
    <row r="9246" spans="1:2">
      <c r="A9246" s="20"/>
      <c r="B9246" s="22"/>
    </row>
    <row r="9247" spans="1:2">
      <c r="A9247" s="20"/>
      <c r="B9247" s="22"/>
    </row>
    <row r="9248" spans="1:2">
      <c r="A9248" s="20"/>
      <c r="B9248" s="22"/>
    </row>
    <row r="9249" spans="1:2">
      <c r="A9249" s="20"/>
      <c r="B9249" s="22"/>
    </row>
    <row r="9250" spans="1:2">
      <c r="A9250" s="20"/>
      <c r="B9250" s="22"/>
    </row>
    <row r="9251" spans="1:2">
      <c r="A9251" s="20"/>
      <c r="B9251" s="22"/>
    </row>
    <row r="9252" spans="1:2">
      <c r="A9252" s="20"/>
      <c r="B9252" s="22"/>
    </row>
    <row r="9253" spans="1:2">
      <c r="A9253" s="20"/>
      <c r="B9253" s="22"/>
    </row>
    <row r="9254" spans="1:2">
      <c r="A9254" s="20"/>
      <c r="B9254" s="22"/>
    </row>
    <row r="9255" spans="1:2">
      <c r="A9255" s="20"/>
      <c r="B9255" s="22"/>
    </row>
    <row r="9256" spans="1:2">
      <c r="A9256" s="20"/>
      <c r="B9256" s="22"/>
    </row>
    <row r="9257" spans="1:2">
      <c r="A9257" s="20"/>
      <c r="B9257" s="22"/>
    </row>
    <row r="9258" spans="1:2">
      <c r="A9258" s="20"/>
      <c r="B9258" s="22"/>
    </row>
    <row r="9259" spans="1:2">
      <c r="A9259" s="20"/>
      <c r="B9259" s="22"/>
    </row>
    <row r="9260" spans="1:2">
      <c r="A9260" s="20"/>
      <c r="B9260" s="22"/>
    </row>
    <row r="9261" spans="1:2">
      <c r="A9261" s="20"/>
      <c r="B9261" s="22"/>
    </row>
    <row r="9262" spans="1:2">
      <c r="A9262" s="20"/>
      <c r="B9262" s="22"/>
    </row>
    <row r="9263" spans="1:2">
      <c r="A9263" s="20"/>
      <c r="B9263" s="22"/>
    </row>
    <row r="9264" spans="1:2">
      <c r="A9264" s="20"/>
      <c r="B9264" s="22"/>
    </row>
    <row r="9265" spans="1:2">
      <c r="A9265" s="20"/>
      <c r="B9265" s="22"/>
    </row>
    <row r="9266" spans="1:2">
      <c r="A9266" s="20"/>
      <c r="B9266" s="22"/>
    </row>
    <row r="9267" spans="1:2">
      <c r="A9267" s="20"/>
      <c r="B9267" s="22"/>
    </row>
    <row r="9268" spans="1:2">
      <c r="A9268" s="20"/>
      <c r="B9268" s="22"/>
    </row>
    <row r="9269" spans="1:2">
      <c r="A9269" s="20"/>
      <c r="B9269" s="22"/>
    </row>
    <row r="9270" spans="1:2">
      <c r="A9270" s="20"/>
      <c r="B9270" s="22"/>
    </row>
    <row r="9271" spans="1:2">
      <c r="A9271" s="20"/>
      <c r="B9271" s="22"/>
    </row>
    <row r="9272" spans="1:2">
      <c r="A9272" s="20"/>
      <c r="B9272" s="22"/>
    </row>
    <row r="9273" spans="1:2">
      <c r="A9273" s="20"/>
      <c r="B9273" s="22"/>
    </row>
    <row r="9274" spans="1:2">
      <c r="A9274" s="20"/>
      <c r="B9274" s="22"/>
    </row>
    <row r="9275" spans="1:2">
      <c r="A9275" s="20"/>
      <c r="B9275" s="22"/>
    </row>
    <row r="9276" spans="1:2">
      <c r="A9276" s="20"/>
      <c r="B9276" s="22"/>
    </row>
    <row r="9277" spans="1:2">
      <c r="A9277" s="20"/>
      <c r="B9277" s="22"/>
    </row>
    <row r="9278" spans="1:2">
      <c r="A9278" s="20"/>
      <c r="B9278" s="22"/>
    </row>
    <row r="9279" spans="1:2">
      <c r="A9279" s="20"/>
      <c r="B9279" s="22"/>
    </row>
    <row r="9280" spans="1:2">
      <c r="A9280" s="20"/>
      <c r="B9280" s="22"/>
    </row>
    <row r="9281" spans="1:2">
      <c r="A9281" s="20"/>
      <c r="B9281" s="22"/>
    </row>
    <row r="9282" spans="1:2">
      <c r="A9282" s="20"/>
      <c r="B9282" s="22"/>
    </row>
    <row r="9283" spans="1:2">
      <c r="A9283" s="20"/>
      <c r="B9283" s="22"/>
    </row>
    <row r="9284" spans="1:2">
      <c r="A9284" s="20"/>
      <c r="B9284" s="22"/>
    </row>
    <row r="9285" spans="1:2">
      <c r="A9285" s="20"/>
      <c r="B9285" s="22"/>
    </row>
    <row r="9286" spans="1:2">
      <c r="A9286" s="20"/>
      <c r="B9286" s="22"/>
    </row>
    <row r="9287" spans="1:2">
      <c r="A9287" s="20"/>
      <c r="B9287" s="22"/>
    </row>
    <row r="9288" spans="1:2">
      <c r="A9288" s="20"/>
      <c r="B9288" s="22"/>
    </row>
    <row r="9289" spans="1:2">
      <c r="A9289" s="20"/>
      <c r="B9289" s="22"/>
    </row>
    <row r="9290" spans="1:2">
      <c r="A9290" s="20"/>
      <c r="B9290" s="22"/>
    </row>
    <row r="9291" spans="1:2">
      <c r="A9291" s="20"/>
      <c r="B9291" s="22"/>
    </row>
    <row r="9292" spans="1:2">
      <c r="A9292" s="20"/>
      <c r="B9292" s="22"/>
    </row>
    <row r="9293" spans="1:2">
      <c r="A9293" s="20"/>
      <c r="B9293" s="22"/>
    </row>
    <row r="9294" spans="1:2">
      <c r="A9294" s="20"/>
      <c r="B9294" s="22"/>
    </row>
    <row r="9295" spans="1:2">
      <c r="A9295" s="20"/>
      <c r="B9295" s="22"/>
    </row>
    <row r="9296" spans="1:2">
      <c r="A9296" s="20"/>
      <c r="B9296" s="22"/>
    </row>
    <row r="9297" spans="1:2">
      <c r="A9297" s="20"/>
      <c r="B9297" s="22"/>
    </row>
    <row r="9298" spans="1:2">
      <c r="A9298" s="20"/>
      <c r="B9298" s="22"/>
    </row>
    <row r="9299" spans="1:2">
      <c r="A9299" s="20"/>
      <c r="B9299" s="22"/>
    </row>
    <row r="9300" spans="1:2">
      <c r="A9300" s="20"/>
      <c r="B9300" s="22"/>
    </row>
    <row r="9301" spans="1:2">
      <c r="A9301" s="20"/>
      <c r="B9301" s="22"/>
    </row>
    <row r="9302" spans="1:2">
      <c r="A9302" s="20"/>
      <c r="B9302" s="22"/>
    </row>
    <row r="9303" spans="1:2">
      <c r="A9303" s="20"/>
      <c r="B9303" s="22"/>
    </row>
    <row r="9304" spans="1:2">
      <c r="A9304" s="20"/>
      <c r="B9304" s="22"/>
    </row>
    <row r="9305" spans="1:2">
      <c r="A9305" s="20"/>
      <c r="B9305" s="22"/>
    </row>
    <row r="9306" spans="1:2">
      <c r="A9306" s="20"/>
      <c r="B9306" s="22"/>
    </row>
    <row r="9307" spans="1:2">
      <c r="A9307" s="20"/>
      <c r="B9307" s="22"/>
    </row>
    <row r="9308" spans="1:2">
      <c r="A9308" s="20"/>
      <c r="B9308" s="22"/>
    </row>
    <row r="9309" spans="1:2">
      <c r="A9309" s="20"/>
      <c r="B9309" s="22"/>
    </row>
    <row r="9310" spans="1:2">
      <c r="A9310" s="20"/>
      <c r="B9310" s="22"/>
    </row>
    <row r="9311" spans="1:2">
      <c r="A9311" s="20"/>
      <c r="B9311" s="22"/>
    </row>
    <row r="9312" spans="1:2">
      <c r="A9312" s="20"/>
      <c r="B9312" s="22"/>
    </row>
    <row r="9313" spans="1:2">
      <c r="A9313" s="20"/>
      <c r="B9313" s="22"/>
    </row>
    <row r="9314" spans="1:2">
      <c r="A9314" s="20"/>
      <c r="B9314" s="22"/>
    </row>
    <row r="9315" spans="1:2">
      <c r="A9315" s="20"/>
      <c r="B9315" s="22"/>
    </row>
    <row r="9316" spans="1:2">
      <c r="A9316" s="20"/>
      <c r="B9316" s="22"/>
    </row>
    <row r="9317" spans="1:2">
      <c r="A9317" s="20"/>
      <c r="B9317" s="22"/>
    </row>
    <row r="9318" spans="1:2">
      <c r="A9318" s="20"/>
      <c r="B9318" s="22"/>
    </row>
    <row r="9319" spans="1:2">
      <c r="A9319" s="20"/>
      <c r="B9319" s="22"/>
    </row>
    <row r="9320" spans="1:2">
      <c r="A9320" s="20"/>
      <c r="B9320" s="22"/>
    </row>
    <row r="9321" spans="1:2">
      <c r="A9321" s="20"/>
      <c r="B9321" s="22"/>
    </row>
    <row r="9322" spans="1:2">
      <c r="A9322" s="20"/>
      <c r="B9322" s="22"/>
    </row>
    <row r="9323" spans="1:2">
      <c r="A9323" s="20"/>
      <c r="B9323" s="22"/>
    </row>
    <row r="9324" spans="1:2">
      <c r="A9324" s="20"/>
      <c r="B9324" s="22"/>
    </row>
    <row r="9325" spans="1:2">
      <c r="A9325" s="20"/>
      <c r="B9325" s="22"/>
    </row>
    <row r="9326" spans="1:2">
      <c r="A9326" s="20"/>
      <c r="B9326" s="22"/>
    </row>
    <row r="9327" spans="1:2">
      <c r="A9327" s="20"/>
      <c r="B9327" s="22"/>
    </row>
    <row r="9328" spans="1:2">
      <c r="A9328" s="20"/>
      <c r="B9328" s="22"/>
    </row>
    <row r="9329" spans="1:2">
      <c r="A9329" s="20"/>
      <c r="B9329" s="22"/>
    </row>
    <row r="9330" spans="1:2">
      <c r="A9330" s="20"/>
      <c r="B9330" s="22"/>
    </row>
    <row r="9331" spans="1:2">
      <c r="A9331" s="20"/>
      <c r="B9331" s="22"/>
    </row>
    <row r="9332" spans="1:2">
      <c r="A9332" s="20"/>
      <c r="B9332" s="22"/>
    </row>
    <row r="9333" spans="1:2">
      <c r="A9333" s="20"/>
      <c r="B9333" s="22"/>
    </row>
    <row r="9334" spans="1:2">
      <c r="A9334" s="20"/>
      <c r="B9334" s="22"/>
    </row>
    <row r="9335" spans="1:2">
      <c r="A9335" s="20"/>
      <c r="B9335" s="22"/>
    </row>
    <row r="9336" spans="1:2">
      <c r="A9336" s="20"/>
      <c r="B9336" s="22"/>
    </row>
    <row r="9337" spans="1:2">
      <c r="A9337" s="20"/>
      <c r="B9337" s="22"/>
    </row>
    <row r="9338" spans="1:2">
      <c r="A9338" s="20"/>
      <c r="B9338" s="22"/>
    </row>
    <row r="9339" spans="1:2">
      <c r="A9339" s="20"/>
      <c r="B9339" s="22"/>
    </row>
    <row r="9340" spans="1:2">
      <c r="A9340" s="20"/>
      <c r="B9340" s="22"/>
    </row>
    <row r="9341" spans="1:2">
      <c r="A9341" s="20"/>
      <c r="B9341" s="22"/>
    </row>
    <row r="9342" spans="1:2">
      <c r="A9342" s="20"/>
      <c r="B9342" s="22"/>
    </row>
    <row r="9343" spans="1:2">
      <c r="A9343" s="20"/>
      <c r="B9343" s="22"/>
    </row>
    <row r="9344" spans="1:2">
      <c r="A9344" s="20"/>
      <c r="B9344" s="22"/>
    </row>
    <row r="9345" spans="1:2">
      <c r="A9345" s="20"/>
      <c r="B9345" s="22"/>
    </row>
    <row r="9346" spans="1:2">
      <c r="A9346" s="20"/>
      <c r="B9346" s="22"/>
    </row>
    <row r="9347" spans="1:2">
      <c r="A9347" s="20"/>
      <c r="B9347" s="22"/>
    </row>
    <row r="9348" spans="1:2">
      <c r="A9348" s="20"/>
      <c r="B9348" s="22"/>
    </row>
    <row r="9349" spans="1:2">
      <c r="A9349" s="20"/>
      <c r="B9349" s="22"/>
    </row>
    <row r="9350" spans="1:2">
      <c r="A9350" s="20"/>
      <c r="B9350" s="22"/>
    </row>
    <row r="9351" spans="1:2">
      <c r="A9351" s="20"/>
      <c r="B9351" s="22"/>
    </row>
    <row r="9352" spans="1:2">
      <c r="A9352" s="20"/>
      <c r="B9352" s="22"/>
    </row>
    <row r="9353" spans="1:2">
      <c r="A9353" s="20"/>
      <c r="B9353" s="22"/>
    </row>
    <row r="9354" spans="1:2">
      <c r="A9354" s="20"/>
      <c r="B9354" s="22"/>
    </row>
    <row r="9355" spans="1:2">
      <c r="A9355" s="20"/>
      <c r="B9355" s="22"/>
    </row>
    <row r="9356" spans="1:2">
      <c r="A9356" s="20"/>
      <c r="B9356" s="22"/>
    </row>
    <row r="9357" spans="1:2">
      <c r="A9357" s="20"/>
      <c r="B9357" s="22"/>
    </row>
    <row r="9358" spans="1:2">
      <c r="A9358" s="20"/>
      <c r="B9358" s="22"/>
    </row>
    <row r="9359" spans="1:2">
      <c r="A9359" s="20"/>
      <c r="B9359" s="22"/>
    </row>
    <row r="9360" spans="1:2">
      <c r="A9360" s="20"/>
      <c r="B9360" s="22"/>
    </row>
    <row r="9361" spans="1:2">
      <c r="A9361" s="20"/>
      <c r="B9361" s="22"/>
    </row>
    <row r="9362" spans="1:2">
      <c r="A9362" s="20"/>
      <c r="B9362" s="22"/>
    </row>
    <row r="9363" spans="1:2">
      <c r="A9363" s="20"/>
      <c r="B9363" s="22"/>
    </row>
    <row r="9364" spans="1:2">
      <c r="A9364" s="20"/>
      <c r="B9364" s="22"/>
    </row>
    <row r="9365" spans="1:2">
      <c r="A9365" s="20"/>
      <c r="B9365" s="22"/>
    </row>
    <row r="9366" spans="1:2">
      <c r="A9366" s="20"/>
      <c r="B9366" s="22"/>
    </row>
    <row r="9367" spans="1:2">
      <c r="A9367" s="20"/>
      <c r="B9367" s="22"/>
    </row>
    <row r="9368" spans="1:2">
      <c r="A9368" s="20"/>
      <c r="B9368" s="22"/>
    </row>
    <row r="9369" spans="1:2">
      <c r="A9369" s="20"/>
      <c r="B9369" s="22"/>
    </row>
    <row r="9370" spans="1:2">
      <c r="A9370" s="20"/>
      <c r="B9370" s="22"/>
    </row>
    <row r="9371" spans="1:2">
      <c r="A9371" s="20"/>
      <c r="B9371" s="22"/>
    </row>
    <row r="9372" spans="1:2">
      <c r="A9372" s="20"/>
      <c r="B9372" s="22"/>
    </row>
    <row r="9373" spans="1:2">
      <c r="A9373" s="20"/>
      <c r="B9373" s="22"/>
    </row>
    <row r="9374" spans="1:2">
      <c r="A9374" s="20"/>
      <c r="B9374" s="22"/>
    </row>
    <row r="9375" spans="1:2">
      <c r="A9375" s="20"/>
      <c r="B9375" s="22"/>
    </row>
    <row r="9376" spans="1:2">
      <c r="A9376" s="20"/>
      <c r="B9376" s="22"/>
    </row>
    <row r="9377" spans="1:2">
      <c r="A9377" s="20"/>
      <c r="B9377" s="22"/>
    </row>
    <row r="9378" spans="1:2">
      <c r="A9378" s="20"/>
      <c r="B9378" s="22"/>
    </row>
    <row r="9379" spans="1:2">
      <c r="A9379" s="20"/>
      <c r="B9379" s="22"/>
    </row>
    <row r="9380" spans="1:2">
      <c r="A9380" s="20"/>
      <c r="B9380" s="22"/>
    </row>
    <row r="9381" spans="1:2">
      <c r="A9381" s="20"/>
      <c r="B9381" s="22"/>
    </row>
    <row r="9382" spans="1:2">
      <c r="A9382" s="20"/>
      <c r="B9382" s="22"/>
    </row>
    <row r="9383" spans="1:2">
      <c r="A9383" s="20"/>
      <c r="B9383" s="22"/>
    </row>
    <row r="9384" spans="1:2">
      <c r="A9384" s="20"/>
      <c r="B9384" s="22"/>
    </row>
    <row r="9385" spans="1:2">
      <c r="A9385" s="20"/>
      <c r="B9385" s="22"/>
    </row>
    <row r="9386" spans="1:2">
      <c r="A9386" s="20"/>
      <c r="B9386" s="22"/>
    </row>
    <row r="9387" spans="1:2">
      <c r="A9387" s="20"/>
      <c r="B9387" s="22"/>
    </row>
    <row r="9388" spans="1:2">
      <c r="A9388" s="20"/>
      <c r="B9388" s="22"/>
    </row>
    <row r="9389" spans="1:2">
      <c r="A9389" s="20"/>
      <c r="B9389" s="22"/>
    </row>
    <row r="9390" spans="1:2">
      <c r="A9390" s="20"/>
      <c r="B9390" s="22"/>
    </row>
    <row r="9391" spans="1:2">
      <c r="A9391" s="20"/>
      <c r="B9391" s="22"/>
    </row>
    <row r="9392" spans="1:2">
      <c r="A9392" s="20"/>
      <c r="B9392" s="22"/>
    </row>
    <row r="9393" spans="1:2">
      <c r="A9393" s="20"/>
      <c r="B9393" s="22"/>
    </row>
    <row r="9394" spans="1:2">
      <c r="A9394" s="20"/>
      <c r="B9394" s="22"/>
    </row>
    <row r="9395" spans="1:2">
      <c r="A9395" s="20"/>
      <c r="B9395" s="22"/>
    </row>
    <row r="9396" spans="1:2">
      <c r="A9396" s="20"/>
      <c r="B9396" s="22"/>
    </row>
    <row r="9397" spans="1:2">
      <c r="A9397" s="20"/>
      <c r="B9397" s="22"/>
    </row>
    <row r="9398" spans="1:2">
      <c r="A9398" s="20"/>
      <c r="B9398" s="22"/>
    </row>
    <row r="9399" spans="1:2">
      <c r="A9399" s="20"/>
      <c r="B9399" s="22"/>
    </row>
    <row r="9400" spans="1:2">
      <c r="A9400" s="20"/>
      <c r="B9400" s="22"/>
    </row>
    <row r="9401" spans="1:2">
      <c r="A9401" s="20"/>
      <c r="B9401" s="22"/>
    </row>
    <row r="9402" spans="1:2">
      <c r="A9402" s="20"/>
      <c r="B9402" s="22"/>
    </row>
    <row r="9403" spans="1:2">
      <c r="A9403" s="20"/>
      <c r="B9403" s="22"/>
    </row>
    <row r="9404" spans="1:2">
      <c r="A9404" s="20"/>
      <c r="B9404" s="22"/>
    </row>
    <row r="9405" spans="1:2">
      <c r="A9405" s="20"/>
      <c r="B9405" s="22"/>
    </row>
    <row r="9406" spans="1:2">
      <c r="A9406" s="20"/>
      <c r="B9406" s="22"/>
    </row>
    <row r="9407" spans="1:2">
      <c r="A9407" s="20"/>
      <c r="B9407" s="22"/>
    </row>
    <row r="9408" spans="1:2">
      <c r="A9408" s="20"/>
      <c r="B9408" s="22"/>
    </row>
    <row r="9409" spans="1:2">
      <c r="A9409" s="20"/>
      <c r="B9409" s="22"/>
    </row>
    <row r="9410" spans="1:2">
      <c r="A9410" s="20"/>
      <c r="B9410" s="22"/>
    </row>
    <row r="9411" spans="1:2">
      <c r="A9411" s="20"/>
      <c r="B9411" s="22"/>
    </row>
    <row r="9412" spans="1:2">
      <c r="A9412" s="20"/>
      <c r="B9412" s="22"/>
    </row>
    <row r="9413" spans="1:2">
      <c r="A9413" s="20"/>
      <c r="B9413" s="22"/>
    </row>
    <row r="9414" spans="1:2">
      <c r="A9414" s="20"/>
      <c r="B9414" s="22"/>
    </row>
    <row r="9415" spans="1:2">
      <c r="A9415" s="20"/>
      <c r="B9415" s="22"/>
    </row>
    <row r="9416" spans="1:2">
      <c r="A9416" s="20"/>
      <c r="B9416" s="22"/>
    </row>
    <row r="9417" spans="1:2">
      <c r="A9417" s="20"/>
      <c r="B9417" s="22"/>
    </row>
    <row r="9418" spans="1:2">
      <c r="A9418" s="20"/>
      <c r="B9418" s="22"/>
    </row>
    <row r="9419" spans="1:2">
      <c r="A9419" s="20"/>
      <c r="B9419" s="22"/>
    </row>
    <row r="9420" spans="1:2">
      <c r="A9420" s="20"/>
      <c r="B9420" s="22"/>
    </row>
    <row r="9421" spans="1:2">
      <c r="A9421" s="20"/>
      <c r="B9421" s="22"/>
    </row>
    <row r="9422" spans="1:2">
      <c r="A9422" s="20"/>
      <c r="B9422" s="22"/>
    </row>
    <row r="9423" spans="1:2">
      <c r="A9423" s="20"/>
      <c r="B9423" s="22"/>
    </row>
    <row r="9424" spans="1:2">
      <c r="A9424" s="20"/>
      <c r="B9424" s="22"/>
    </row>
    <row r="9425" spans="1:2">
      <c r="A9425" s="20"/>
      <c r="B9425" s="22"/>
    </row>
    <row r="9426" spans="1:2">
      <c r="A9426" s="20"/>
      <c r="B9426" s="22"/>
    </row>
    <row r="9427" spans="1:2">
      <c r="A9427" s="20"/>
      <c r="B9427" s="22"/>
    </row>
    <row r="9428" spans="1:2">
      <c r="A9428" s="20"/>
      <c r="B9428" s="22"/>
    </row>
    <row r="9429" spans="1:2">
      <c r="A9429" s="20"/>
      <c r="B9429" s="22"/>
    </row>
    <row r="9430" spans="1:2">
      <c r="A9430" s="20"/>
      <c r="B9430" s="22"/>
    </row>
    <row r="9431" spans="1:2">
      <c r="A9431" s="20"/>
      <c r="B9431" s="22"/>
    </row>
    <row r="9432" spans="1:2">
      <c r="A9432" s="20"/>
      <c r="B9432" s="22"/>
    </row>
    <row r="9433" spans="1:2">
      <c r="A9433" s="20"/>
      <c r="B9433" s="22"/>
    </row>
    <row r="9434" spans="1:2">
      <c r="A9434" s="20"/>
      <c r="B9434" s="22"/>
    </row>
    <row r="9435" spans="1:2">
      <c r="A9435" s="20"/>
      <c r="B9435" s="22"/>
    </row>
    <row r="9436" spans="1:2">
      <c r="A9436" s="20"/>
      <c r="B9436" s="22"/>
    </row>
    <row r="9437" spans="1:2">
      <c r="A9437" s="20"/>
      <c r="B9437" s="22"/>
    </row>
    <row r="9438" spans="1:2">
      <c r="A9438" s="20"/>
      <c r="B9438" s="22"/>
    </row>
    <row r="9439" spans="1:2">
      <c r="A9439" s="20"/>
      <c r="B9439" s="22"/>
    </row>
    <row r="9440" spans="1:2">
      <c r="A9440" s="20"/>
      <c r="B9440" s="22"/>
    </row>
    <row r="9441" spans="1:2">
      <c r="A9441" s="20"/>
      <c r="B9441" s="22"/>
    </row>
    <row r="9442" spans="1:2">
      <c r="A9442" s="20"/>
      <c r="B9442" s="22"/>
    </row>
    <row r="9443" spans="1:2">
      <c r="A9443" s="20"/>
      <c r="B9443" s="22"/>
    </row>
    <row r="9444" spans="1:2">
      <c r="A9444" s="20"/>
      <c r="B9444" s="22"/>
    </row>
    <row r="9445" spans="1:2">
      <c r="A9445" s="20"/>
      <c r="B9445" s="22"/>
    </row>
    <row r="9446" spans="1:2">
      <c r="A9446" s="20"/>
      <c r="B9446" s="22"/>
    </row>
    <row r="9447" spans="1:2">
      <c r="A9447" s="20"/>
      <c r="B9447" s="22"/>
    </row>
    <row r="9448" spans="1:2">
      <c r="A9448" s="20"/>
      <c r="B9448" s="22"/>
    </row>
    <row r="9449" spans="1:2">
      <c r="A9449" s="20"/>
      <c r="B9449" s="22"/>
    </row>
    <row r="9450" spans="1:2">
      <c r="A9450" s="20"/>
      <c r="B9450" s="22"/>
    </row>
    <row r="9451" spans="1:2">
      <c r="A9451" s="20"/>
      <c r="B9451" s="22"/>
    </row>
    <row r="9452" spans="1:2">
      <c r="A9452" s="20"/>
      <c r="B9452" s="22"/>
    </row>
    <row r="9453" spans="1:2">
      <c r="A9453" s="20"/>
      <c r="B9453" s="22"/>
    </row>
    <row r="9454" spans="1:2">
      <c r="A9454" s="20"/>
      <c r="B9454" s="22"/>
    </row>
    <row r="9455" spans="1:2">
      <c r="A9455" s="20"/>
      <c r="B9455" s="22"/>
    </row>
    <row r="9456" spans="1:2">
      <c r="A9456" s="20"/>
      <c r="B9456" s="22"/>
    </row>
    <row r="9457" spans="1:2">
      <c r="A9457" s="20"/>
      <c r="B9457" s="22"/>
    </row>
    <row r="9458" spans="1:2">
      <c r="A9458" s="20"/>
      <c r="B9458" s="22"/>
    </row>
    <row r="9459" spans="1:2">
      <c r="A9459" s="20"/>
      <c r="B9459" s="22"/>
    </row>
    <row r="9460" spans="1:2">
      <c r="A9460" s="20"/>
      <c r="B9460" s="22"/>
    </row>
    <row r="9461" spans="1:2">
      <c r="A9461" s="20"/>
      <c r="B9461" s="22"/>
    </row>
    <row r="9462" spans="1:2">
      <c r="A9462" s="20"/>
      <c r="B9462" s="22"/>
    </row>
    <row r="9463" spans="1:2">
      <c r="A9463" s="20"/>
      <c r="B9463" s="22"/>
    </row>
    <row r="9464" spans="1:2">
      <c r="A9464" s="20"/>
      <c r="B9464" s="22"/>
    </row>
    <row r="9465" spans="1:2">
      <c r="A9465" s="20"/>
      <c r="B9465" s="22"/>
    </row>
    <row r="9466" spans="1:2">
      <c r="A9466" s="20"/>
      <c r="B9466" s="22"/>
    </row>
    <row r="9467" spans="1:2">
      <c r="A9467" s="20"/>
      <c r="B9467" s="22"/>
    </row>
    <row r="9468" spans="1:2">
      <c r="A9468" s="20"/>
      <c r="B9468" s="22"/>
    </row>
    <row r="9469" spans="1:2">
      <c r="A9469" s="20"/>
      <c r="B9469" s="22"/>
    </row>
    <row r="9470" spans="1:2">
      <c r="A9470" s="20"/>
      <c r="B9470" s="22"/>
    </row>
    <row r="9471" spans="1:2">
      <c r="A9471" s="20"/>
      <c r="B9471" s="22"/>
    </row>
    <row r="9472" spans="1:2">
      <c r="A9472" s="20"/>
      <c r="B9472" s="22"/>
    </row>
    <row r="9473" spans="1:2">
      <c r="A9473" s="20"/>
      <c r="B9473" s="22"/>
    </row>
    <row r="9474" spans="1:2">
      <c r="A9474" s="20"/>
      <c r="B9474" s="22"/>
    </row>
    <row r="9475" spans="1:2">
      <c r="A9475" s="20"/>
      <c r="B9475" s="22"/>
    </row>
    <row r="9476" spans="1:2">
      <c r="A9476" s="20"/>
      <c r="B9476" s="22"/>
    </row>
    <row r="9477" spans="1:2">
      <c r="A9477" s="20"/>
      <c r="B9477" s="22"/>
    </row>
    <row r="9478" spans="1:2">
      <c r="A9478" s="20"/>
      <c r="B9478" s="22"/>
    </row>
    <row r="9479" spans="1:2">
      <c r="A9479" s="20"/>
      <c r="B9479" s="22"/>
    </row>
    <row r="9480" spans="1:2">
      <c r="A9480" s="20"/>
      <c r="B9480" s="22"/>
    </row>
    <row r="9481" spans="1:2">
      <c r="A9481" s="20"/>
      <c r="B9481" s="22"/>
    </row>
    <row r="9482" spans="1:2">
      <c r="A9482" s="20"/>
      <c r="B9482" s="22"/>
    </row>
    <row r="9483" spans="1:2">
      <c r="A9483" s="20"/>
      <c r="B9483" s="22"/>
    </row>
    <row r="9484" spans="1:2">
      <c r="A9484" s="20"/>
      <c r="B9484" s="22"/>
    </row>
    <row r="9485" spans="1:2">
      <c r="A9485" s="20"/>
      <c r="B9485" s="22"/>
    </row>
    <row r="9486" spans="1:2">
      <c r="A9486" s="20"/>
      <c r="B9486" s="22"/>
    </row>
    <row r="9487" spans="1:2">
      <c r="A9487" s="20"/>
      <c r="B9487" s="22"/>
    </row>
    <row r="9488" spans="1:2">
      <c r="A9488" s="20"/>
      <c r="B9488" s="22"/>
    </row>
    <row r="9489" spans="1:2">
      <c r="A9489" s="20"/>
      <c r="B9489" s="22"/>
    </row>
    <row r="9490" spans="1:2">
      <c r="A9490" s="20"/>
      <c r="B9490" s="22"/>
    </row>
    <row r="9491" spans="1:2">
      <c r="A9491" s="20"/>
      <c r="B9491" s="22"/>
    </row>
    <row r="9492" spans="1:2">
      <c r="A9492" s="20"/>
      <c r="B9492" s="22"/>
    </row>
    <row r="9493" spans="1:2">
      <c r="A9493" s="20"/>
      <c r="B9493" s="22"/>
    </row>
    <row r="9494" spans="1:2">
      <c r="A9494" s="20"/>
      <c r="B9494" s="22"/>
    </row>
    <row r="9495" spans="1:2">
      <c r="A9495" s="20"/>
      <c r="B9495" s="22"/>
    </row>
    <row r="9496" spans="1:2">
      <c r="A9496" s="20"/>
      <c r="B9496" s="22"/>
    </row>
    <row r="9497" spans="1:2">
      <c r="A9497" s="20"/>
      <c r="B9497" s="22"/>
    </row>
    <row r="9498" spans="1:2">
      <c r="A9498" s="20"/>
      <c r="B9498" s="22"/>
    </row>
    <row r="9499" spans="1:2">
      <c r="A9499" s="20"/>
      <c r="B9499" s="22"/>
    </row>
    <row r="9500" spans="1:2">
      <c r="A9500" s="20"/>
      <c r="B9500" s="22"/>
    </row>
    <row r="9501" spans="1:2">
      <c r="A9501" s="20"/>
      <c r="B9501" s="22"/>
    </row>
    <row r="9502" spans="1:2">
      <c r="A9502" s="20"/>
      <c r="B9502" s="22"/>
    </row>
    <row r="9503" spans="1:2">
      <c r="A9503" s="20"/>
      <c r="B9503" s="22"/>
    </row>
    <row r="9504" spans="1:2">
      <c r="A9504" s="20"/>
      <c r="B9504" s="22"/>
    </row>
    <row r="9505" spans="1:2">
      <c r="A9505" s="20"/>
      <c r="B9505" s="22"/>
    </row>
    <row r="9506" spans="1:2">
      <c r="A9506" s="20"/>
      <c r="B9506" s="22"/>
    </row>
    <row r="9507" spans="1:2">
      <c r="A9507" s="20"/>
      <c r="B9507" s="22"/>
    </row>
    <row r="9508" spans="1:2">
      <c r="A9508" s="20"/>
      <c r="B9508" s="22"/>
    </row>
    <row r="9509" spans="1:2">
      <c r="A9509" s="20"/>
      <c r="B9509" s="22"/>
    </row>
    <row r="9510" spans="1:2">
      <c r="A9510" s="20"/>
      <c r="B9510" s="22"/>
    </row>
    <row r="9511" spans="1:2">
      <c r="A9511" s="20"/>
      <c r="B9511" s="22"/>
    </row>
    <row r="9512" spans="1:2">
      <c r="A9512" s="20"/>
      <c r="B9512" s="22"/>
    </row>
    <row r="9513" spans="1:2">
      <c r="A9513" s="20"/>
      <c r="B9513" s="22"/>
    </row>
    <row r="9514" spans="1:2">
      <c r="A9514" s="20"/>
      <c r="B9514" s="22"/>
    </row>
    <row r="9515" spans="1:2">
      <c r="A9515" s="20"/>
      <c r="B9515" s="22"/>
    </row>
    <row r="9516" spans="1:2">
      <c r="A9516" s="20"/>
      <c r="B9516" s="22"/>
    </row>
    <row r="9517" spans="1:2">
      <c r="A9517" s="20"/>
      <c r="B9517" s="22"/>
    </row>
    <row r="9518" spans="1:2">
      <c r="A9518" s="20"/>
      <c r="B9518" s="22"/>
    </row>
    <row r="9519" spans="1:2">
      <c r="A9519" s="20"/>
      <c r="B9519" s="22"/>
    </row>
    <row r="9520" spans="1:2">
      <c r="A9520" s="20"/>
      <c r="B9520" s="22"/>
    </row>
    <row r="9521" spans="1:2">
      <c r="A9521" s="20"/>
      <c r="B9521" s="22"/>
    </row>
    <row r="9522" spans="1:2">
      <c r="A9522" s="20"/>
      <c r="B9522" s="22"/>
    </row>
    <row r="9523" spans="1:2">
      <c r="A9523" s="20"/>
      <c r="B9523" s="22"/>
    </row>
    <row r="9524" spans="1:2">
      <c r="A9524" s="20"/>
      <c r="B9524" s="22"/>
    </row>
    <row r="9525" spans="1:2">
      <c r="A9525" s="20"/>
      <c r="B9525" s="22"/>
    </row>
    <row r="9526" spans="1:2">
      <c r="A9526" s="20"/>
      <c r="B9526" s="22"/>
    </row>
    <row r="9527" spans="1:2">
      <c r="A9527" s="20"/>
      <c r="B9527" s="22"/>
    </row>
    <row r="9528" spans="1:2">
      <c r="A9528" s="20"/>
      <c r="B9528" s="22"/>
    </row>
    <row r="9529" spans="1:2">
      <c r="A9529" s="20"/>
      <c r="B9529" s="22"/>
    </row>
    <row r="9530" spans="1:2">
      <c r="A9530" s="20"/>
      <c r="B9530" s="22"/>
    </row>
    <row r="9531" spans="1:2">
      <c r="A9531" s="20"/>
      <c r="B9531" s="22"/>
    </row>
    <row r="9532" spans="1:2">
      <c r="A9532" s="20"/>
      <c r="B9532" s="22"/>
    </row>
    <row r="9533" spans="1:2">
      <c r="A9533" s="20"/>
      <c r="B9533" s="22"/>
    </row>
    <row r="9534" spans="1:2">
      <c r="A9534" s="20"/>
      <c r="B9534" s="22"/>
    </row>
    <row r="9535" spans="1:2">
      <c r="A9535" s="20"/>
      <c r="B9535" s="22"/>
    </row>
    <row r="9536" spans="1:2">
      <c r="A9536" s="20"/>
      <c r="B9536" s="22"/>
    </row>
    <row r="9537" spans="1:2">
      <c r="A9537" s="20"/>
      <c r="B9537" s="22"/>
    </row>
    <row r="9538" spans="1:2">
      <c r="A9538" s="20"/>
      <c r="B9538" s="22"/>
    </row>
    <row r="9539" spans="1:2">
      <c r="A9539" s="20"/>
      <c r="B9539" s="22"/>
    </row>
    <row r="9540" spans="1:2">
      <c r="A9540" s="20"/>
      <c r="B9540" s="22"/>
    </row>
    <row r="9541" spans="1:2">
      <c r="A9541" s="20"/>
      <c r="B9541" s="22"/>
    </row>
    <row r="9542" spans="1:2">
      <c r="A9542" s="20"/>
      <c r="B9542" s="22"/>
    </row>
    <row r="9543" spans="1:2">
      <c r="A9543" s="20"/>
      <c r="B9543" s="22"/>
    </row>
    <row r="9544" spans="1:2">
      <c r="A9544" s="20"/>
      <c r="B9544" s="22"/>
    </row>
    <row r="9545" spans="1:2">
      <c r="A9545" s="20"/>
      <c r="B9545" s="22"/>
    </row>
    <row r="9546" spans="1:2">
      <c r="A9546" s="20"/>
      <c r="B9546" s="22"/>
    </row>
    <row r="9547" spans="1:2">
      <c r="A9547" s="20"/>
      <c r="B9547" s="22"/>
    </row>
    <row r="9548" spans="1:2">
      <c r="A9548" s="20"/>
      <c r="B9548" s="22"/>
    </row>
    <row r="9549" spans="1:2">
      <c r="A9549" s="20"/>
      <c r="B9549" s="22"/>
    </row>
    <row r="9550" spans="1:2">
      <c r="A9550" s="20"/>
      <c r="B9550" s="22"/>
    </row>
    <row r="9551" spans="1:2">
      <c r="A9551" s="20"/>
      <c r="B9551" s="22"/>
    </row>
    <row r="9552" spans="1:2">
      <c r="A9552" s="20"/>
      <c r="B9552" s="22"/>
    </row>
    <row r="9553" spans="1:2">
      <c r="A9553" s="20"/>
      <c r="B9553" s="22"/>
    </row>
    <row r="9554" spans="1:2">
      <c r="A9554" s="20"/>
      <c r="B9554" s="22"/>
    </row>
    <row r="9555" spans="1:2">
      <c r="A9555" s="20"/>
      <c r="B9555" s="22"/>
    </row>
    <row r="9556" spans="1:2">
      <c r="A9556" s="20"/>
      <c r="B9556" s="22"/>
    </row>
    <row r="9557" spans="1:2">
      <c r="A9557" s="20"/>
      <c r="B9557" s="22"/>
    </row>
    <row r="9558" spans="1:2">
      <c r="A9558" s="20"/>
      <c r="B9558" s="22"/>
    </row>
    <row r="9559" spans="1:2">
      <c r="A9559" s="20"/>
      <c r="B9559" s="22"/>
    </row>
    <row r="9560" spans="1:2">
      <c r="A9560" s="20"/>
      <c r="B9560" s="22"/>
    </row>
    <row r="9561" spans="1:2">
      <c r="A9561" s="20"/>
      <c r="B9561" s="22"/>
    </row>
    <row r="9562" spans="1:2">
      <c r="A9562" s="20"/>
      <c r="B9562" s="22"/>
    </row>
    <row r="9563" spans="1:2">
      <c r="A9563" s="20"/>
      <c r="B9563" s="22"/>
    </row>
    <row r="9564" spans="1:2">
      <c r="A9564" s="20"/>
      <c r="B9564" s="22"/>
    </row>
    <row r="9565" spans="1:2">
      <c r="A9565" s="20"/>
      <c r="B9565" s="22"/>
    </row>
    <row r="9566" spans="1:2">
      <c r="A9566" s="20"/>
      <c r="B9566" s="22"/>
    </row>
    <row r="9567" spans="1:2">
      <c r="A9567" s="20"/>
      <c r="B9567" s="22"/>
    </row>
    <row r="9568" spans="1:2">
      <c r="A9568" s="20"/>
      <c r="B9568" s="22"/>
    </row>
    <row r="9569" spans="1:2">
      <c r="A9569" s="20"/>
      <c r="B9569" s="22"/>
    </row>
    <row r="9570" spans="1:2">
      <c r="A9570" s="20"/>
      <c r="B9570" s="22"/>
    </row>
    <row r="9571" spans="1:2">
      <c r="A9571" s="20"/>
      <c r="B9571" s="22"/>
    </row>
    <row r="9572" spans="1:2">
      <c r="A9572" s="20"/>
      <c r="B9572" s="22"/>
    </row>
    <row r="9573" spans="1:2">
      <c r="A9573" s="20"/>
      <c r="B9573" s="22"/>
    </row>
    <row r="9574" spans="1:2">
      <c r="A9574" s="20"/>
      <c r="B9574" s="22"/>
    </row>
    <row r="9575" spans="1:2">
      <c r="A9575" s="20"/>
      <c r="B9575" s="22"/>
    </row>
    <row r="9576" spans="1:2">
      <c r="A9576" s="20"/>
      <c r="B9576" s="22"/>
    </row>
    <row r="9577" spans="1:2">
      <c r="A9577" s="20"/>
      <c r="B9577" s="22"/>
    </row>
    <row r="9578" spans="1:2">
      <c r="A9578" s="20"/>
      <c r="B9578" s="22"/>
    </row>
    <row r="9579" spans="1:2">
      <c r="A9579" s="20"/>
      <c r="B9579" s="22"/>
    </row>
    <row r="9580" spans="1:2">
      <c r="A9580" s="20"/>
      <c r="B9580" s="22"/>
    </row>
    <row r="9581" spans="1:2">
      <c r="A9581" s="20"/>
      <c r="B9581" s="22"/>
    </row>
    <row r="9582" spans="1:2">
      <c r="A9582" s="20"/>
      <c r="B9582" s="22"/>
    </row>
    <row r="9583" spans="1:2">
      <c r="A9583" s="20"/>
      <c r="B9583" s="22"/>
    </row>
    <row r="9584" spans="1:2">
      <c r="A9584" s="20"/>
      <c r="B9584" s="22"/>
    </row>
    <row r="9585" spans="1:2">
      <c r="A9585" s="20"/>
      <c r="B9585" s="22"/>
    </row>
    <row r="9586" spans="1:2">
      <c r="A9586" s="20"/>
      <c r="B9586" s="22"/>
    </row>
    <row r="9587" spans="1:2">
      <c r="A9587" s="20"/>
      <c r="B9587" s="22"/>
    </row>
    <row r="9588" spans="1:2">
      <c r="A9588" s="20"/>
      <c r="B9588" s="22"/>
    </row>
    <row r="9589" spans="1:2">
      <c r="A9589" s="20"/>
      <c r="B9589" s="22"/>
    </row>
    <row r="9590" spans="1:2">
      <c r="A9590" s="20"/>
      <c r="B9590" s="22"/>
    </row>
    <row r="9591" spans="1:2">
      <c r="A9591" s="20"/>
      <c r="B9591" s="22"/>
    </row>
    <row r="9592" spans="1:2">
      <c r="A9592" s="20"/>
      <c r="B9592" s="22"/>
    </row>
    <row r="9593" spans="1:2">
      <c r="A9593" s="20"/>
      <c r="B9593" s="22"/>
    </row>
    <row r="9594" spans="1:2">
      <c r="A9594" s="20"/>
      <c r="B9594" s="22"/>
    </row>
    <row r="9595" spans="1:2">
      <c r="A9595" s="20"/>
      <c r="B9595" s="22"/>
    </row>
    <row r="9596" spans="1:2">
      <c r="A9596" s="20"/>
      <c r="B9596" s="22"/>
    </row>
    <row r="9597" spans="1:2">
      <c r="A9597" s="20"/>
      <c r="B9597" s="22"/>
    </row>
    <row r="9598" spans="1:2">
      <c r="A9598" s="20"/>
      <c r="B9598" s="22"/>
    </row>
    <row r="9599" spans="1:2">
      <c r="A9599" s="20"/>
      <c r="B9599" s="22"/>
    </row>
    <row r="9600" spans="1:2">
      <c r="A9600" s="20"/>
      <c r="B9600" s="22"/>
    </row>
    <row r="9601" spans="1:2">
      <c r="A9601" s="20"/>
      <c r="B9601" s="22"/>
    </row>
    <row r="9602" spans="1:2">
      <c r="A9602" s="20"/>
      <c r="B9602" s="22"/>
    </row>
    <row r="9603" spans="1:2">
      <c r="A9603" s="20"/>
      <c r="B9603" s="22"/>
    </row>
    <row r="9604" spans="1:2">
      <c r="A9604" s="20"/>
      <c r="B9604" s="22"/>
    </row>
    <row r="9605" spans="1:2">
      <c r="A9605" s="20"/>
      <c r="B9605" s="22"/>
    </row>
    <row r="9606" spans="1:2">
      <c r="A9606" s="20"/>
      <c r="B9606" s="22"/>
    </row>
    <row r="9607" spans="1:2">
      <c r="A9607" s="20"/>
      <c r="B9607" s="22"/>
    </row>
    <row r="9608" spans="1:2">
      <c r="A9608" s="20"/>
      <c r="B9608" s="22"/>
    </row>
    <row r="9609" spans="1:2">
      <c r="A9609" s="20"/>
      <c r="B9609" s="22"/>
    </row>
    <row r="9610" spans="1:2">
      <c r="A9610" s="20"/>
      <c r="B9610" s="22"/>
    </row>
    <row r="9611" spans="1:2">
      <c r="A9611" s="20"/>
      <c r="B9611" s="22"/>
    </row>
    <row r="9612" spans="1:2">
      <c r="A9612" s="20"/>
      <c r="B9612" s="22"/>
    </row>
    <row r="9613" spans="1:2">
      <c r="A9613" s="20"/>
      <c r="B9613" s="22"/>
    </row>
    <row r="9614" spans="1:2">
      <c r="A9614" s="20"/>
      <c r="B9614" s="22"/>
    </row>
    <row r="9615" spans="1:2">
      <c r="A9615" s="20"/>
      <c r="B9615" s="22"/>
    </row>
    <row r="9616" spans="1:2">
      <c r="A9616" s="20"/>
      <c r="B9616" s="22"/>
    </row>
    <row r="9617" spans="1:2">
      <c r="A9617" s="20"/>
      <c r="B9617" s="22"/>
    </row>
    <row r="9618" spans="1:2">
      <c r="A9618" s="20"/>
      <c r="B9618" s="22"/>
    </row>
    <row r="9619" spans="1:2">
      <c r="A9619" s="20"/>
      <c r="B9619" s="22"/>
    </row>
    <row r="9620" spans="1:2">
      <c r="A9620" s="20"/>
      <c r="B9620" s="22"/>
    </row>
    <row r="9621" spans="1:2">
      <c r="A9621" s="20"/>
      <c r="B9621" s="22"/>
    </row>
    <row r="9622" spans="1:2">
      <c r="A9622" s="20"/>
      <c r="B9622" s="22"/>
    </row>
    <row r="9623" spans="1:2">
      <c r="A9623" s="20"/>
      <c r="B9623" s="22"/>
    </row>
    <row r="9624" spans="1:2">
      <c r="A9624" s="20"/>
      <c r="B9624" s="22"/>
    </row>
    <row r="9625" spans="1:2">
      <c r="A9625" s="20"/>
      <c r="B9625" s="22"/>
    </row>
    <row r="9626" spans="1:2">
      <c r="A9626" s="20"/>
      <c r="B9626" s="22"/>
    </row>
    <row r="9627" spans="1:2">
      <c r="A9627" s="20"/>
      <c r="B9627" s="22"/>
    </row>
    <row r="9628" spans="1:2">
      <c r="A9628" s="20"/>
      <c r="B9628" s="22"/>
    </row>
    <row r="9629" spans="1:2">
      <c r="A9629" s="20"/>
      <c r="B9629" s="22"/>
    </row>
    <row r="9630" spans="1:2">
      <c r="A9630" s="20"/>
      <c r="B9630" s="22"/>
    </row>
    <row r="9631" spans="1:2">
      <c r="A9631" s="20"/>
      <c r="B9631" s="22"/>
    </row>
    <row r="9632" spans="1:2">
      <c r="A9632" s="20"/>
      <c r="B9632" s="22"/>
    </row>
    <row r="9633" spans="1:2">
      <c r="A9633" s="20"/>
      <c r="B9633" s="22"/>
    </row>
    <row r="9634" spans="1:2">
      <c r="A9634" s="20"/>
      <c r="B9634" s="22"/>
    </row>
    <row r="9635" spans="1:2">
      <c r="A9635" s="20"/>
      <c r="B9635" s="22"/>
    </row>
    <row r="9636" spans="1:2">
      <c r="A9636" s="20"/>
      <c r="B9636" s="22"/>
    </row>
    <row r="9637" spans="1:2">
      <c r="A9637" s="20"/>
      <c r="B9637" s="22"/>
    </row>
    <row r="9638" spans="1:2">
      <c r="A9638" s="20"/>
      <c r="B9638" s="22"/>
    </row>
    <row r="9639" spans="1:2">
      <c r="A9639" s="20"/>
      <c r="B9639" s="22"/>
    </row>
    <row r="9640" spans="1:2">
      <c r="A9640" s="20"/>
      <c r="B9640" s="22"/>
    </row>
    <row r="9641" spans="1:2">
      <c r="A9641" s="20"/>
      <c r="B9641" s="22"/>
    </row>
    <row r="9642" spans="1:2">
      <c r="A9642" s="20"/>
      <c r="B9642" s="22"/>
    </row>
    <row r="9643" spans="1:2">
      <c r="A9643" s="20"/>
      <c r="B9643" s="22"/>
    </row>
    <row r="9644" spans="1:2">
      <c r="A9644" s="20"/>
      <c r="B9644" s="22"/>
    </row>
    <row r="9645" spans="1:2">
      <c r="A9645" s="20"/>
      <c r="B9645" s="22"/>
    </row>
    <row r="9646" spans="1:2">
      <c r="A9646" s="20"/>
      <c r="B9646" s="22"/>
    </row>
    <row r="9647" spans="1:2">
      <c r="A9647" s="20"/>
      <c r="B9647" s="22"/>
    </row>
    <row r="9648" spans="1:2">
      <c r="A9648" s="20"/>
      <c r="B9648" s="22"/>
    </row>
    <row r="9649" spans="1:2">
      <c r="A9649" s="20"/>
      <c r="B9649" s="22"/>
    </row>
    <row r="9650" spans="1:2">
      <c r="A9650" s="20"/>
      <c r="B9650" s="22"/>
    </row>
    <row r="9651" spans="1:2">
      <c r="A9651" s="20"/>
      <c r="B9651" s="22"/>
    </row>
    <row r="9652" spans="1:2">
      <c r="A9652" s="20"/>
      <c r="B9652" s="22"/>
    </row>
    <row r="9653" spans="1:2">
      <c r="A9653" s="20"/>
      <c r="B9653" s="22"/>
    </row>
    <row r="9654" spans="1:2">
      <c r="A9654" s="20"/>
      <c r="B9654" s="22"/>
    </row>
    <row r="9655" spans="1:2">
      <c r="A9655" s="20"/>
      <c r="B9655" s="22"/>
    </row>
    <row r="9656" spans="1:2">
      <c r="A9656" s="20"/>
      <c r="B9656" s="22"/>
    </row>
    <row r="9657" spans="1:2">
      <c r="A9657" s="20"/>
      <c r="B9657" s="22"/>
    </row>
    <row r="9658" spans="1:2">
      <c r="A9658" s="20"/>
      <c r="B9658" s="22"/>
    </row>
    <row r="9659" spans="1:2">
      <c r="A9659" s="20"/>
      <c r="B9659" s="22"/>
    </row>
    <row r="9660" spans="1:2">
      <c r="A9660" s="20"/>
      <c r="B9660" s="22"/>
    </row>
    <row r="9661" spans="1:2">
      <c r="A9661" s="20"/>
      <c r="B9661" s="22"/>
    </row>
    <row r="9662" spans="1:2">
      <c r="A9662" s="20"/>
      <c r="B9662" s="22"/>
    </row>
    <row r="9663" spans="1:2">
      <c r="A9663" s="20"/>
      <c r="B9663" s="22"/>
    </row>
    <row r="9664" spans="1:2">
      <c r="A9664" s="20"/>
      <c r="B9664" s="22"/>
    </row>
    <row r="9665" spans="1:2">
      <c r="A9665" s="20"/>
      <c r="B9665" s="22"/>
    </row>
    <row r="9666" spans="1:2">
      <c r="A9666" s="20"/>
      <c r="B9666" s="22"/>
    </row>
    <row r="9667" spans="1:2">
      <c r="A9667" s="20"/>
      <c r="B9667" s="22"/>
    </row>
    <row r="9668" spans="1:2">
      <c r="A9668" s="20"/>
      <c r="B9668" s="22"/>
    </row>
    <row r="9669" spans="1:2">
      <c r="A9669" s="20"/>
      <c r="B9669" s="22"/>
    </row>
    <row r="9670" spans="1:2">
      <c r="A9670" s="20"/>
      <c r="B9670" s="22"/>
    </row>
    <row r="9671" spans="1:2">
      <c r="A9671" s="20"/>
      <c r="B9671" s="22"/>
    </row>
    <row r="9672" spans="1:2">
      <c r="A9672" s="20"/>
      <c r="B9672" s="22"/>
    </row>
    <row r="9673" spans="1:2">
      <c r="A9673" s="20"/>
      <c r="B9673" s="22"/>
    </row>
    <row r="9674" spans="1:2">
      <c r="A9674" s="20"/>
      <c r="B9674" s="22"/>
    </row>
    <row r="9675" spans="1:2">
      <c r="A9675" s="20"/>
      <c r="B9675" s="22"/>
    </row>
    <row r="9676" spans="1:2">
      <c r="A9676" s="20"/>
      <c r="B9676" s="22"/>
    </row>
    <row r="9677" spans="1:2">
      <c r="A9677" s="20"/>
      <c r="B9677" s="22"/>
    </row>
    <row r="9678" spans="1:2">
      <c r="A9678" s="20"/>
      <c r="B9678" s="22"/>
    </row>
    <row r="9679" spans="1:2">
      <c r="A9679" s="20"/>
      <c r="B9679" s="22"/>
    </row>
    <row r="9680" spans="1:2">
      <c r="A9680" s="20"/>
      <c r="B9680" s="22"/>
    </row>
    <row r="9681" spans="1:2">
      <c r="A9681" s="20"/>
      <c r="B9681" s="22"/>
    </row>
    <row r="9682" spans="1:2">
      <c r="A9682" s="20"/>
      <c r="B9682" s="22"/>
    </row>
    <row r="9683" spans="1:2">
      <c r="A9683" s="20"/>
      <c r="B9683" s="22"/>
    </row>
    <row r="9684" spans="1:2">
      <c r="A9684" s="20"/>
      <c r="B9684" s="22"/>
    </row>
    <row r="9685" spans="1:2">
      <c r="A9685" s="20"/>
      <c r="B9685" s="22"/>
    </row>
    <row r="9686" spans="1:2">
      <c r="A9686" s="20"/>
      <c r="B9686" s="22"/>
    </row>
    <row r="9687" spans="1:2">
      <c r="A9687" s="20"/>
      <c r="B9687" s="22"/>
    </row>
    <row r="9688" spans="1:2">
      <c r="A9688" s="20"/>
      <c r="B9688" s="22"/>
    </row>
    <row r="9689" spans="1:2">
      <c r="A9689" s="20"/>
      <c r="B9689" s="22"/>
    </row>
    <row r="9690" spans="1:2">
      <c r="A9690" s="20"/>
      <c r="B9690" s="22"/>
    </row>
    <row r="9691" spans="1:2">
      <c r="A9691" s="20"/>
      <c r="B9691" s="22"/>
    </row>
    <row r="9692" spans="1:2">
      <c r="A9692" s="20"/>
      <c r="B9692" s="22"/>
    </row>
    <row r="9693" spans="1:2">
      <c r="A9693" s="20"/>
      <c r="B9693" s="22"/>
    </row>
    <row r="9694" spans="1:2">
      <c r="A9694" s="20"/>
      <c r="B9694" s="22"/>
    </row>
    <row r="9695" spans="1:2">
      <c r="A9695" s="20"/>
      <c r="B9695" s="22"/>
    </row>
    <row r="9696" spans="1:2">
      <c r="A9696" s="20"/>
      <c r="B9696" s="22"/>
    </row>
    <row r="9697" spans="1:2">
      <c r="A9697" s="20"/>
      <c r="B9697" s="22"/>
    </row>
    <row r="9698" spans="1:2">
      <c r="A9698" s="20"/>
      <c r="B9698" s="22"/>
    </row>
    <row r="9699" spans="1:2">
      <c r="A9699" s="20"/>
      <c r="B9699" s="22"/>
    </row>
    <row r="9700" spans="1:2">
      <c r="A9700" s="20"/>
      <c r="B9700" s="22"/>
    </row>
    <row r="9701" spans="1:2">
      <c r="A9701" s="20"/>
      <c r="B9701" s="22"/>
    </row>
    <row r="9702" spans="1:2">
      <c r="A9702" s="20"/>
      <c r="B9702" s="22"/>
    </row>
    <row r="9703" spans="1:2">
      <c r="A9703" s="20"/>
      <c r="B9703" s="22"/>
    </row>
    <row r="9704" spans="1:2">
      <c r="A9704" s="20"/>
      <c r="B9704" s="22"/>
    </row>
    <row r="9705" spans="1:2">
      <c r="A9705" s="20"/>
      <c r="B9705" s="22"/>
    </row>
    <row r="9706" spans="1:2">
      <c r="A9706" s="20"/>
      <c r="B9706" s="22"/>
    </row>
    <row r="9707" spans="1:2">
      <c r="A9707" s="20"/>
      <c r="B9707" s="22"/>
    </row>
    <row r="9708" spans="1:2">
      <c r="A9708" s="20"/>
      <c r="B9708" s="22"/>
    </row>
    <row r="9709" spans="1:2">
      <c r="A9709" s="20"/>
      <c r="B9709" s="22"/>
    </row>
    <row r="9710" spans="1:2">
      <c r="A9710" s="20"/>
      <c r="B9710" s="22"/>
    </row>
    <row r="9711" spans="1:2">
      <c r="A9711" s="20"/>
      <c r="B9711" s="22"/>
    </row>
    <row r="9712" spans="1:2">
      <c r="A9712" s="20"/>
      <c r="B9712" s="22"/>
    </row>
    <row r="9713" spans="1:2">
      <c r="A9713" s="20"/>
      <c r="B9713" s="22"/>
    </row>
    <row r="9714" spans="1:2">
      <c r="A9714" s="20"/>
      <c r="B9714" s="22"/>
    </row>
    <row r="9715" spans="1:2">
      <c r="A9715" s="20"/>
      <c r="B9715" s="22"/>
    </row>
    <row r="9716" spans="1:2">
      <c r="A9716" s="20"/>
      <c r="B9716" s="22"/>
    </row>
    <row r="9717" spans="1:2">
      <c r="A9717" s="20"/>
      <c r="B9717" s="22"/>
    </row>
    <row r="9718" spans="1:2">
      <c r="A9718" s="20"/>
      <c r="B9718" s="22"/>
    </row>
    <row r="9719" spans="1:2">
      <c r="A9719" s="20"/>
      <c r="B9719" s="22"/>
    </row>
    <row r="9720" spans="1:2">
      <c r="A9720" s="20"/>
      <c r="B9720" s="22"/>
    </row>
    <row r="9721" spans="1:2">
      <c r="A9721" s="20"/>
      <c r="B9721" s="22"/>
    </row>
    <row r="9722" spans="1:2">
      <c r="A9722" s="20"/>
      <c r="B9722" s="22"/>
    </row>
    <row r="9723" spans="1:2">
      <c r="A9723" s="20"/>
      <c r="B9723" s="22"/>
    </row>
    <row r="9724" spans="1:2">
      <c r="A9724" s="20"/>
      <c r="B9724" s="22"/>
    </row>
    <row r="9725" spans="1:2">
      <c r="A9725" s="20"/>
      <c r="B9725" s="22"/>
    </row>
    <row r="9726" spans="1:2">
      <c r="A9726" s="20"/>
      <c r="B9726" s="22"/>
    </row>
    <row r="9727" spans="1:2">
      <c r="A9727" s="20"/>
      <c r="B9727" s="22"/>
    </row>
    <row r="9728" spans="1:2">
      <c r="A9728" s="20"/>
      <c r="B9728" s="22"/>
    </row>
    <row r="9729" spans="1:2">
      <c r="A9729" s="20"/>
      <c r="B9729" s="22"/>
    </row>
    <row r="9730" spans="1:2">
      <c r="A9730" s="20"/>
      <c r="B9730" s="22"/>
    </row>
    <row r="9731" spans="1:2">
      <c r="A9731" s="20"/>
      <c r="B9731" s="22"/>
    </row>
    <row r="9732" spans="1:2">
      <c r="A9732" s="20"/>
      <c r="B9732" s="22"/>
    </row>
    <row r="9733" spans="1:2">
      <c r="A9733" s="20"/>
      <c r="B9733" s="22"/>
    </row>
    <row r="9734" spans="1:2">
      <c r="A9734" s="20"/>
      <c r="B9734" s="22"/>
    </row>
    <row r="9735" spans="1:2">
      <c r="A9735" s="20"/>
      <c r="B9735" s="22"/>
    </row>
    <row r="9736" spans="1:2">
      <c r="A9736" s="20"/>
      <c r="B9736" s="22"/>
    </row>
    <row r="9737" spans="1:2">
      <c r="A9737" s="20"/>
      <c r="B9737" s="22"/>
    </row>
    <row r="9738" spans="1:2">
      <c r="A9738" s="20"/>
      <c r="B9738" s="22"/>
    </row>
    <row r="9739" spans="1:2">
      <c r="A9739" s="20"/>
      <c r="B9739" s="22"/>
    </row>
    <row r="9740" spans="1:2">
      <c r="A9740" s="20"/>
      <c r="B9740" s="22"/>
    </row>
    <row r="9741" spans="1:2">
      <c r="A9741" s="20"/>
      <c r="B9741" s="22"/>
    </row>
    <row r="9742" spans="1:2">
      <c r="A9742" s="20"/>
      <c r="B9742" s="22"/>
    </row>
    <row r="9743" spans="1:2">
      <c r="A9743" s="20"/>
      <c r="B9743" s="22"/>
    </row>
    <row r="9744" spans="1:2">
      <c r="A9744" s="20"/>
      <c r="B9744" s="22"/>
    </row>
    <row r="9745" spans="1:2">
      <c r="A9745" s="20"/>
      <c r="B9745" s="22"/>
    </row>
    <row r="9746" spans="1:2">
      <c r="A9746" s="20"/>
      <c r="B9746" s="22"/>
    </row>
    <row r="9747" spans="1:2">
      <c r="A9747" s="20"/>
      <c r="B9747" s="22"/>
    </row>
    <row r="9748" spans="1:2">
      <c r="A9748" s="20"/>
      <c r="B9748" s="22"/>
    </row>
    <row r="9749" spans="1:2">
      <c r="A9749" s="20"/>
      <c r="B9749" s="22"/>
    </row>
    <row r="9750" spans="1:2">
      <c r="A9750" s="20"/>
      <c r="B9750" s="22"/>
    </row>
    <row r="9751" spans="1:2">
      <c r="A9751" s="20"/>
      <c r="B9751" s="22"/>
    </row>
    <row r="9752" spans="1:2">
      <c r="A9752" s="20"/>
      <c r="B9752" s="22"/>
    </row>
    <row r="9753" spans="1:2">
      <c r="A9753" s="20"/>
      <c r="B9753" s="22"/>
    </row>
    <row r="9754" spans="1:2">
      <c r="A9754" s="20"/>
      <c r="B9754" s="22"/>
    </row>
    <row r="9755" spans="1:2">
      <c r="A9755" s="20"/>
      <c r="B9755" s="22"/>
    </row>
    <row r="9756" spans="1:2">
      <c r="A9756" s="20"/>
      <c r="B9756" s="22"/>
    </row>
    <row r="9757" spans="1:2">
      <c r="A9757" s="20"/>
      <c r="B9757" s="22"/>
    </row>
    <row r="9758" spans="1:2">
      <c r="A9758" s="20"/>
      <c r="B9758" s="22"/>
    </row>
    <row r="9759" spans="1:2">
      <c r="A9759" s="20"/>
      <c r="B9759" s="22"/>
    </row>
    <row r="9760" spans="1:2">
      <c r="A9760" s="20"/>
      <c r="B9760" s="22"/>
    </row>
    <row r="9761" spans="1:2">
      <c r="A9761" s="20"/>
      <c r="B9761" s="22"/>
    </row>
    <row r="9762" spans="1:2">
      <c r="A9762" s="20"/>
      <c r="B9762" s="22"/>
    </row>
    <row r="9763" spans="1:2">
      <c r="A9763" s="20"/>
      <c r="B9763" s="22"/>
    </row>
    <row r="9764" spans="1:2">
      <c r="A9764" s="20"/>
      <c r="B9764" s="22"/>
    </row>
    <row r="9765" spans="1:2">
      <c r="A9765" s="20"/>
      <c r="B9765" s="22"/>
    </row>
    <row r="9766" spans="1:2">
      <c r="A9766" s="20"/>
      <c r="B9766" s="22"/>
    </row>
    <row r="9767" spans="1:2">
      <c r="A9767" s="20"/>
      <c r="B9767" s="22"/>
    </row>
    <row r="9768" spans="1:2">
      <c r="A9768" s="20"/>
      <c r="B9768" s="22"/>
    </row>
    <row r="9769" spans="1:2">
      <c r="A9769" s="20"/>
      <c r="B9769" s="22"/>
    </row>
    <row r="9770" spans="1:2">
      <c r="A9770" s="20"/>
      <c r="B9770" s="22"/>
    </row>
    <row r="9771" spans="1:2">
      <c r="A9771" s="20"/>
      <c r="B9771" s="22"/>
    </row>
    <row r="9772" spans="1:2">
      <c r="A9772" s="20"/>
      <c r="B9772" s="22"/>
    </row>
    <row r="9773" spans="1:2">
      <c r="A9773" s="20"/>
      <c r="B9773" s="22"/>
    </row>
    <row r="9774" spans="1:2">
      <c r="A9774" s="20"/>
      <c r="B9774" s="22"/>
    </row>
    <row r="9775" spans="1:2">
      <c r="A9775" s="20"/>
      <c r="B9775" s="22"/>
    </row>
    <row r="9776" spans="1:2">
      <c r="A9776" s="20"/>
      <c r="B9776" s="22"/>
    </row>
    <row r="9777" spans="1:2">
      <c r="A9777" s="20"/>
      <c r="B9777" s="22"/>
    </row>
    <row r="9778" spans="1:2">
      <c r="A9778" s="20"/>
      <c r="B9778" s="22"/>
    </row>
    <row r="9779" spans="1:2">
      <c r="A9779" s="20"/>
      <c r="B9779" s="22"/>
    </row>
    <row r="9780" spans="1:2">
      <c r="A9780" s="20"/>
      <c r="B9780" s="22"/>
    </row>
    <row r="9781" spans="1:2">
      <c r="A9781" s="20"/>
      <c r="B9781" s="22"/>
    </row>
    <row r="9782" spans="1:2">
      <c r="A9782" s="20"/>
      <c r="B9782" s="22"/>
    </row>
    <row r="9783" spans="1:2">
      <c r="A9783" s="20"/>
      <c r="B9783" s="22"/>
    </row>
    <row r="9784" spans="1:2">
      <c r="A9784" s="20"/>
      <c r="B9784" s="22"/>
    </row>
    <row r="9785" spans="1:2">
      <c r="A9785" s="20"/>
      <c r="B9785" s="22"/>
    </row>
    <row r="9786" spans="1:2">
      <c r="A9786" s="20"/>
      <c r="B9786" s="22"/>
    </row>
    <row r="9787" spans="1:2">
      <c r="A9787" s="20"/>
      <c r="B9787" s="22"/>
    </row>
    <row r="9788" spans="1:2">
      <c r="A9788" s="20"/>
      <c r="B9788" s="22"/>
    </row>
    <row r="9789" spans="1:2">
      <c r="A9789" s="20"/>
      <c r="B9789" s="22"/>
    </row>
    <row r="9790" spans="1:2">
      <c r="A9790" s="20"/>
      <c r="B9790" s="22"/>
    </row>
    <row r="9791" spans="1:2">
      <c r="A9791" s="20"/>
      <c r="B9791" s="22"/>
    </row>
    <row r="9792" spans="1:2">
      <c r="A9792" s="20"/>
      <c r="B9792" s="22"/>
    </row>
    <row r="9793" spans="1:2">
      <c r="A9793" s="20"/>
      <c r="B9793" s="22"/>
    </row>
    <row r="9794" spans="1:2">
      <c r="A9794" s="20"/>
      <c r="B9794" s="22"/>
    </row>
    <row r="9795" spans="1:2">
      <c r="A9795" s="20"/>
      <c r="B9795" s="22"/>
    </row>
    <row r="9796" spans="1:2">
      <c r="A9796" s="20"/>
      <c r="B9796" s="22"/>
    </row>
    <row r="9797" spans="1:2">
      <c r="A9797" s="20"/>
      <c r="B9797" s="22"/>
    </row>
    <row r="9798" spans="1:2">
      <c r="A9798" s="20"/>
      <c r="B9798" s="22"/>
    </row>
    <row r="9799" spans="1:2">
      <c r="A9799" s="20"/>
      <c r="B9799" s="22"/>
    </row>
    <row r="9800" spans="1:2">
      <c r="A9800" s="20"/>
      <c r="B9800" s="22"/>
    </row>
    <row r="9801" spans="1:2">
      <c r="A9801" s="20"/>
      <c r="B9801" s="22"/>
    </row>
    <row r="9802" spans="1:2">
      <c r="A9802" s="20"/>
      <c r="B9802" s="22"/>
    </row>
    <row r="9803" spans="1:2">
      <c r="A9803" s="20"/>
      <c r="B9803" s="22"/>
    </row>
    <row r="9804" spans="1:2">
      <c r="A9804" s="20"/>
      <c r="B9804" s="22"/>
    </row>
    <row r="9805" spans="1:2">
      <c r="A9805" s="20"/>
      <c r="B9805" s="22"/>
    </row>
    <row r="9806" spans="1:2">
      <c r="A9806" s="20"/>
      <c r="B9806" s="22"/>
    </row>
    <row r="9807" spans="1:2">
      <c r="A9807" s="20"/>
      <c r="B9807" s="22"/>
    </row>
    <row r="9808" spans="1:2">
      <c r="A9808" s="20"/>
      <c r="B9808" s="22"/>
    </row>
    <row r="9809" spans="1:2">
      <c r="A9809" s="20"/>
      <c r="B9809" s="22"/>
    </row>
    <row r="9810" spans="1:2">
      <c r="A9810" s="20"/>
      <c r="B9810" s="22"/>
    </row>
    <row r="9811" spans="1:2">
      <c r="A9811" s="20"/>
      <c r="B9811" s="22"/>
    </row>
    <row r="9812" spans="1:2">
      <c r="A9812" s="20"/>
      <c r="B9812" s="22"/>
    </row>
    <row r="9813" spans="1:2">
      <c r="A9813" s="20"/>
      <c r="B9813" s="22"/>
    </row>
    <row r="9814" spans="1:2">
      <c r="A9814" s="20"/>
      <c r="B9814" s="22"/>
    </row>
    <row r="9815" spans="1:2">
      <c r="A9815" s="20"/>
      <c r="B9815" s="22"/>
    </row>
    <row r="9816" spans="1:2">
      <c r="A9816" s="20"/>
      <c r="B9816" s="22"/>
    </row>
    <row r="9817" spans="1:2">
      <c r="A9817" s="20"/>
      <c r="B9817" s="22"/>
    </row>
    <row r="9818" spans="1:2">
      <c r="A9818" s="20"/>
      <c r="B9818" s="22"/>
    </row>
    <row r="9819" spans="1:2">
      <c r="A9819" s="20"/>
      <c r="B9819" s="22"/>
    </row>
    <row r="9820" spans="1:2">
      <c r="A9820" s="20"/>
      <c r="B9820" s="22"/>
    </row>
    <row r="9821" spans="1:2">
      <c r="A9821" s="20"/>
      <c r="B9821" s="22"/>
    </row>
    <row r="9822" spans="1:2">
      <c r="A9822" s="20"/>
      <c r="B9822" s="22"/>
    </row>
    <row r="9823" spans="1:2">
      <c r="A9823" s="20"/>
      <c r="B9823" s="22"/>
    </row>
    <row r="9824" spans="1:2">
      <c r="A9824" s="20"/>
      <c r="B9824" s="22"/>
    </row>
    <row r="9825" spans="1:2">
      <c r="A9825" s="20"/>
      <c r="B9825" s="22"/>
    </row>
    <row r="9826" spans="1:2">
      <c r="A9826" s="20"/>
      <c r="B9826" s="22"/>
    </row>
    <row r="9827" spans="1:2">
      <c r="A9827" s="20"/>
      <c r="B9827" s="22"/>
    </row>
    <row r="9828" spans="1:2">
      <c r="A9828" s="20"/>
      <c r="B9828" s="22"/>
    </row>
    <row r="9829" spans="1:2">
      <c r="A9829" s="20"/>
      <c r="B9829" s="22"/>
    </row>
    <row r="9830" spans="1:2">
      <c r="A9830" s="20"/>
      <c r="B9830" s="22"/>
    </row>
    <row r="9831" spans="1:2">
      <c r="A9831" s="20"/>
      <c r="B9831" s="22"/>
    </row>
    <row r="9832" spans="1:2">
      <c r="A9832" s="20"/>
      <c r="B9832" s="22"/>
    </row>
    <row r="9833" spans="1:2">
      <c r="A9833" s="20"/>
      <c r="B9833" s="22"/>
    </row>
    <row r="9834" spans="1:2">
      <c r="A9834" s="20"/>
      <c r="B9834" s="22"/>
    </row>
    <row r="9835" spans="1:2">
      <c r="A9835" s="20"/>
      <c r="B9835" s="22"/>
    </row>
    <row r="9836" spans="1:2">
      <c r="A9836" s="20"/>
      <c r="B9836" s="22"/>
    </row>
    <row r="9837" spans="1:2">
      <c r="A9837" s="20"/>
      <c r="B9837" s="22"/>
    </row>
    <row r="9838" spans="1:2">
      <c r="A9838" s="20"/>
      <c r="B9838" s="22"/>
    </row>
    <row r="9839" spans="1:2">
      <c r="A9839" s="20"/>
      <c r="B9839" s="22"/>
    </row>
    <row r="9840" spans="1:2">
      <c r="A9840" s="20"/>
      <c r="B9840" s="22"/>
    </row>
    <row r="9841" spans="1:2">
      <c r="A9841" s="20"/>
      <c r="B9841" s="22"/>
    </row>
    <row r="9842" spans="1:2">
      <c r="A9842" s="20"/>
      <c r="B9842" s="22"/>
    </row>
    <row r="9843" spans="1:2">
      <c r="A9843" s="20"/>
      <c r="B9843" s="22"/>
    </row>
    <row r="9844" spans="1:2">
      <c r="A9844" s="20"/>
      <c r="B9844" s="22"/>
    </row>
    <row r="9845" spans="1:2">
      <c r="A9845" s="20"/>
      <c r="B9845" s="22"/>
    </row>
    <row r="9846" spans="1:2">
      <c r="A9846" s="20"/>
      <c r="B9846" s="22"/>
    </row>
    <row r="9847" spans="1:2">
      <c r="A9847" s="20"/>
      <c r="B9847" s="22"/>
    </row>
    <row r="9848" spans="1:2">
      <c r="A9848" s="20"/>
      <c r="B9848" s="22"/>
    </row>
    <row r="9849" spans="1:2">
      <c r="A9849" s="20"/>
      <c r="B9849" s="22"/>
    </row>
    <row r="9850" spans="1:2">
      <c r="A9850" s="20"/>
      <c r="B9850" s="22"/>
    </row>
    <row r="9851" spans="1:2">
      <c r="A9851" s="20"/>
      <c r="B9851" s="22"/>
    </row>
    <row r="9852" spans="1:2">
      <c r="A9852" s="20"/>
      <c r="B9852" s="22"/>
    </row>
    <row r="9853" spans="1:2">
      <c r="A9853" s="20"/>
      <c r="B9853" s="22"/>
    </row>
    <row r="9854" spans="1:2">
      <c r="A9854" s="20"/>
      <c r="B9854" s="22"/>
    </row>
    <row r="9855" spans="1:2">
      <c r="A9855" s="20"/>
      <c r="B9855" s="22"/>
    </row>
    <row r="9856" spans="1:2">
      <c r="A9856" s="20"/>
      <c r="B9856" s="22"/>
    </row>
    <row r="9857" spans="1:2">
      <c r="A9857" s="20"/>
      <c r="B9857" s="22"/>
    </row>
    <row r="9858" spans="1:2">
      <c r="A9858" s="20"/>
      <c r="B9858" s="22"/>
    </row>
    <row r="9859" spans="1:2">
      <c r="A9859" s="20"/>
      <c r="B9859" s="22"/>
    </row>
    <row r="9860" spans="1:2">
      <c r="A9860" s="20"/>
      <c r="B9860" s="22"/>
    </row>
    <row r="9861" spans="1:2">
      <c r="A9861" s="20"/>
      <c r="B9861" s="22"/>
    </row>
    <row r="9862" spans="1:2">
      <c r="A9862" s="20"/>
      <c r="B9862" s="22"/>
    </row>
    <row r="9863" spans="1:2">
      <c r="A9863" s="20"/>
      <c r="B9863" s="22"/>
    </row>
    <row r="9864" spans="1:2">
      <c r="A9864" s="20"/>
      <c r="B9864" s="22"/>
    </row>
    <row r="9865" spans="1:2">
      <c r="A9865" s="20"/>
      <c r="B9865" s="22"/>
    </row>
    <row r="9866" spans="1:2">
      <c r="A9866" s="20"/>
      <c r="B9866" s="22"/>
    </row>
    <row r="9867" spans="1:2">
      <c r="A9867" s="20"/>
      <c r="B9867" s="22"/>
    </row>
    <row r="9868" spans="1:2">
      <c r="A9868" s="20"/>
      <c r="B9868" s="22"/>
    </row>
    <row r="9869" spans="1:2">
      <c r="A9869" s="20"/>
      <c r="B9869" s="22"/>
    </row>
    <row r="9870" spans="1:2">
      <c r="A9870" s="20"/>
      <c r="B9870" s="22"/>
    </row>
    <row r="9871" spans="1:2">
      <c r="A9871" s="20"/>
      <c r="B9871" s="22"/>
    </row>
    <row r="9872" spans="1:2">
      <c r="A9872" s="20"/>
      <c r="B9872" s="22"/>
    </row>
    <row r="9873" spans="1:2">
      <c r="A9873" s="20"/>
      <c r="B9873" s="22"/>
    </row>
    <row r="9874" spans="1:2">
      <c r="A9874" s="20"/>
      <c r="B9874" s="22"/>
    </row>
    <row r="9875" spans="1:2">
      <c r="A9875" s="20"/>
      <c r="B9875" s="22"/>
    </row>
    <row r="9876" spans="1:2">
      <c r="A9876" s="20"/>
      <c r="B9876" s="22"/>
    </row>
    <row r="9877" spans="1:2">
      <c r="A9877" s="20"/>
      <c r="B9877" s="22"/>
    </row>
    <row r="9878" spans="1:2">
      <c r="A9878" s="20"/>
      <c r="B9878" s="22"/>
    </row>
    <row r="9879" spans="1:2">
      <c r="A9879" s="20"/>
      <c r="B9879" s="22"/>
    </row>
    <row r="9880" spans="1:2">
      <c r="A9880" s="20"/>
      <c r="B9880" s="22"/>
    </row>
    <row r="9881" spans="1:2">
      <c r="A9881" s="20"/>
      <c r="B9881" s="22"/>
    </row>
    <row r="9882" spans="1:2">
      <c r="A9882" s="20"/>
      <c r="B9882" s="22"/>
    </row>
    <row r="9883" spans="1:2">
      <c r="A9883" s="20"/>
      <c r="B9883" s="22"/>
    </row>
    <row r="9884" spans="1:2">
      <c r="A9884" s="20"/>
      <c r="B9884" s="22"/>
    </row>
    <row r="9885" spans="1:2">
      <c r="A9885" s="20"/>
      <c r="B9885" s="22"/>
    </row>
    <row r="9886" spans="1:2">
      <c r="A9886" s="20"/>
      <c r="B9886" s="22"/>
    </row>
    <row r="9887" spans="1:2">
      <c r="A9887" s="20"/>
      <c r="B9887" s="22"/>
    </row>
    <row r="9888" spans="1:2">
      <c r="A9888" s="20"/>
      <c r="B9888" s="22"/>
    </row>
    <row r="9889" spans="1:2">
      <c r="A9889" s="20"/>
      <c r="B9889" s="22"/>
    </row>
    <row r="9890" spans="1:2">
      <c r="A9890" s="20"/>
      <c r="B9890" s="22"/>
    </row>
    <row r="9891" spans="1:2">
      <c r="A9891" s="20"/>
      <c r="B9891" s="22"/>
    </row>
    <row r="9892" spans="1:2">
      <c r="A9892" s="20"/>
      <c r="B9892" s="22"/>
    </row>
    <row r="9893" spans="1:2">
      <c r="A9893" s="20"/>
      <c r="B9893" s="22"/>
    </row>
    <row r="9894" spans="1:2">
      <c r="A9894" s="20"/>
      <c r="B9894" s="22"/>
    </row>
    <row r="9895" spans="1:2">
      <c r="A9895" s="20"/>
      <c r="B9895" s="22"/>
    </row>
    <row r="9896" spans="1:2">
      <c r="A9896" s="20"/>
      <c r="B9896" s="22"/>
    </row>
    <row r="9897" spans="1:2">
      <c r="A9897" s="20"/>
      <c r="B9897" s="22"/>
    </row>
    <row r="9898" spans="1:2">
      <c r="A9898" s="20"/>
      <c r="B9898" s="22"/>
    </row>
    <row r="9899" spans="1:2">
      <c r="A9899" s="20"/>
      <c r="B9899" s="22"/>
    </row>
    <row r="9900" spans="1:2">
      <c r="A9900" s="20"/>
      <c r="B9900" s="22"/>
    </row>
    <row r="9901" spans="1:2">
      <c r="A9901" s="20"/>
      <c r="B9901" s="22"/>
    </row>
    <row r="9902" spans="1:2">
      <c r="A9902" s="20"/>
      <c r="B9902" s="22"/>
    </row>
    <row r="9903" spans="1:2">
      <c r="A9903" s="20"/>
      <c r="B9903" s="22"/>
    </row>
    <row r="9904" spans="1:2">
      <c r="A9904" s="20"/>
      <c r="B9904" s="22"/>
    </row>
    <row r="9905" spans="1:2">
      <c r="A9905" s="20"/>
      <c r="B9905" s="22"/>
    </row>
    <row r="9906" spans="1:2">
      <c r="A9906" s="20"/>
      <c r="B9906" s="22"/>
    </row>
    <row r="9907" spans="1:2">
      <c r="A9907" s="20"/>
      <c r="B9907" s="22"/>
    </row>
    <row r="9908" spans="1:2">
      <c r="A9908" s="20"/>
      <c r="B9908" s="22"/>
    </row>
    <row r="9909" spans="1:2">
      <c r="A9909" s="20"/>
      <c r="B9909" s="22"/>
    </row>
    <row r="9910" spans="1:2">
      <c r="A9910" s="20"/>
      <c r="B9910" s="22"/>
    </row>
    <row r="9911" spans="1:2">
      <c r="A9911" s="20"/>
      <c r="B9911" s="22"/>
    </row>
    <row r="9912" spans="1:2">
      <c r="A9912" s="20"/>
      <c r="B9912" s="22"/>
    </row>
    <row r="9913" spans="1:2">
      <c r="A9913" s="20"/>
      <c r="B9913" s="22"/>
    </row>
    <row r="9914" spans="1:2">
      <c r="A9914" s="20"/>
      <c r="B9914" s="22"/>
    </row>
    <row r="9915" spans="1:2">
      <c r="A9915" s="20"/>
      <c r="B9915" s="22"/>
    </row>
    <row r="9916" spans="1:2">
      <c r="A9916" s="20"/>
      <c r="B9916" s="22"/>
    </row>
    <row r="9917" spans="1:2">
      <c r="A9917" s="20"/>
      <c r="B9917" s="22"/>
    </row>
    <row r="9918" spans="1:2">
      <c r="A9918" s="20"/>
      <c r="B9918" s="22"/>
    </row>
    <row r="9919" spans="1:2">
      <c r="A9919" s="20"/>
      <c r="B9919" s="22"/>
    </row>
    <row r="9920" spans="1:2">
      <c r="A9920" s="20"/>
      <c r="B9920" s="22"/>
    </row>
    <row r="9921" spans="1:2">
      <c r="A9921" s="20"/>
      <c r="B9921" s="22"/>
    </row>
    <row r="9922" spans="1:2">
      <c r="A9922" s="20"/>
      <c r="B9922" s="22"/>
    </row>
    <row r="9923" spans="1:2">
      <c r="A9923" s="20"/>
      <c r="B9923" s="22"/>
    </row>
    <row r="9924" spans="1:2">
      <c r="A9924" s="20"/>
      <c r="B9924" s="22"/>
    </row>
    <row r="9925" spans="1:2">
      <c r="A9925" s="20"/>
      <c r="B9925" s="22"/>
    </row>
    <row r="9926" spans="1:2">
      <c r="A9926" s="20"/>
      <c r="B9926" s="22"/>
    </row>
    <row r="9927" spans="1:2">
      <c r="A9927" s="20"/>
      <c r="B9927" s="22"/>
    </row>
    <row r="9928" spans="1:2">
      <c r="A9928" s="20"/>
      <c r="B9928" s="22"/>
    </row>
    <row r="9929" spans="1:2">
      <c r="A9929" s="20"/>
      <c r="B9929" s="22"/>
    </row>
    <row r="9930" spans="1:2">
      <c r="A9930" s="20"/>
      <c r="B9930" s="22"/>
    </row>
    <row r="9931" spans="1:2">
      <c r="A9931" s="20"/>
      <c r="B9931" s="22"/>
    </row>
    <row r="9932" spans="1:2">
      <c r="A9932" s="20"/>
      <c r="B9932" s="22"/>
    </row>
    <row r="9933" spans="1:2">
      <c r="A9933" s="20"/>
      <c r="B9933" s="22"/>
    </row>
    <row r="9934" spans="1:2">
      <c r="A9934" s="20"/>
      <c r="B9934" s="22"/>
    </row>
    <row r="9935" spans="1:2">
      <c r="A9935" s="20"/>
      <c r="B9935" s="22"/>
    </row>
    <row r="9936" spans="1:2">
      <c r="A9936" s="20"/>
      <c r="B9936" s="22"/>
    </row>
    <row r="9937" spans="1:2">
      <c r="A9937" s="20"/>
      <c r="B9937" s="22"/>
    </row>
    <row r="9938" spans="1:2">
      <c r="A9938" s="20"/>
      <c r="B9938" s="22"/>
    </row>
    <row r="9939" spans="1:2">
      <c r="A9939" s="20"/>
      <c r="B9939" s="22"/>
    </row>
    <row r="9940" spans="1:2">
      <c r="A9940" s="20"/>
      <c r="B9940" s="22"/>
    </row>
    <row r="9941" spans="1:2">
      <c r="A9941" s="20"/>
      <c r="B9941" s="22"/>
    </row>
    <row r="9942" spans="1:2">
      <c r="A9942" s="20"/>
      <c r="B9942" s="22"/>
    </row>
    <row r="9943" spans="1:2">
      <c r="A9943" s="20"/>
      <c r="B9943" s="22"/>
    </row>
    <row r="9944" spans="1:2">
      <c r="A9944" s="20"/>
      <c r="B9944" s="22"/>
    </row>
    <row r="9945" spans="1:2">
      <c r="A9945" s="20"/>
      <c r="B9945" s="22"/>
    </row>
    <row r="9946" spans="1:2">
      <c r="A9946" s="20"/>
      <c r="B9946" s="22"/>
    </row>
    <row r="9947" spans="1:2">
      <c r="A9947" s="20"/>
      <c r="B9947" s="22"/>
    </row>
    <row r="9948" spans="1:2">
      <c r="A9948" s="20"/>
      <c r="B9948" s="22"/>
    </row>
    <row r="9949" spans="1:2">
      <c r="A9949" s="20"/>
      <c r="B9949" s="22"/>
    </row>
    <row r="9950" spans="1:2">
      <c r="A9950" s="20"/>
      <c r="B9950" s="22"/>
    </row>
    <row r="9951" spans="1:2">
      <c r="A9951" s="20"/>
      <c r="B9951" s="22"/>
    </row>
    <row r="9952" spans="1:2">
      <c r="A9952" s="20"/>
      <c r="B9952" s="22"/>
    </row>
    <row r="9953" spans="1:2">
      <c r="A9953" s="20"/>
      <c r="B9953" s="22"/>
    </row>
    <row r="9954" spans="1:2">
      <c r="A9954" s="20"/>
      <c r="B9954" s="22"/>
    </row>
    <row r="9955" spans="1:2">
      <c r="A9955" s="20"/>
      <c r="B9955" s="22"/>
    </row>
    <row r="9956" spans="1:2">
      <c r="A9956" s="20"/>
      <c r="B9956" s="22"/>
    </row>
    <row r="9957" spans="1:2">
      <c r="A9957" s="20"/>
      <c r="B9957" s="22"/>
    </row>
    <row r="9958" spans="1:2">
      <c r="A9958" s="20"/>
      <c r="B9958" s="22"/>
    </row>
    <row r="9959" spans="1:2">
      <c r="A9959" s="20"/>
      <c r="B9959" s="22"/>
    </row>
    <row r="9960" spans="1:2">
      <c r="A9960" s="20"/>
      <c r="B9960" s="22"/>
    </row>
    <row r="9961" spans="1:2">
      <c r="A9961" s="20"/>
      <c r="B9961" s="22"/>
    </row>
    <row r="9962" spans="1:2">
      <c r="A9962" s="20"/>
      <c r="B9962" s="22"/>
    </row>
    <row r="9963" spans="1:2">
      <c r="A9963" s="20"/>
      <c r="B9963" s="22"/>
    </row>
    <row r="9964" spans="1:2">
      <c r="A9964" s="20"/>
      <c r="B9964" s="22"/>
    </row>
    <row r="9965" spans="1:2">
      <c r="A9965" s="20"/>
      <c r="B9965" s="22"/>
    </row>
    <row r="9966" spans="1:2">
      <c r="A9966" s="20"/>
      <c r="B9966" s="22"/>
    </row>
    <row r="9967" spans="1:2">
      <c r="A9967" s="20"/>
      <c r="B9967" s="22"/>
    </row>
    <row r="9968" spans="1:2">
      <c r="A9968" s="20"/>
      <c r="B9968" s="22"/>
    </row>
    <row r="9969" spans="1:2">
      <c r="A9969" s="20"/>
      <c r="B9969" s="22"/>
    </row>
    <row r="9970" spans="1:2">
      <c r="A9970" s="20"/>
      <c r="B9970" s="22"/>
    </row>
    <row r="9971" spans="1:2">
      <c r="A9971" s="20"/>
      <c r="B9971" s="22"/>
    </row>
    <row r="9972" spans="1:2">
      <c r="A9972" s="20"/>
      <c r="B9972" s="22"/>
    </row>
    <row r="9973" spans="1:2">
      <c r="A9973" s="20"/>
      <c r="B9973" s="22"/>
    </row>
    <row r="9974" spans="1:2">
      <c r="A9974" s="20"/>
      <c r="B9974" s="22"/>
    </row>
    <row r="9975" spans="1:2">
      <c r="A9975" s="20"/>
      <c r="B9975" s="22"/>
    </row>
    <row r="9976" spans="1:2">
      <c r="A9976" s="20"/>
      <c r="B9976" s="22"/>
    </row>
    <row r="9977" spans="1:2">
      <c r="A9977" s="20"/>
      <c r="B9977" s="22"/>
    </row>
    <row r="9978" spans="1:2">
      <c r="A9978" s="20"/>
      <c r="B9978" s="22"/>
    </row>
    <row r="9979" spans="1:2">
      <c r="A9979" s="20"/>
      <c r="B9979" s="22"/>
    </row>
    <row r="9980" spans="1:2">
      <c r="A9980" s="20"/>
      <c r="B9980" s="22"/>
    </row>
    <row r="9981" spans="1:2">
      <c r="A9981" s="20"/>
      <c r="B9981" s="22"/>
    </row>
    <row r="9982" spans="1:2">
      <c r="A9982" s="20"/>
      <c r="B9982" s="22"/>
    </row>
    <row r="9983" spans="1:2">
      <c r="A9983" s="20"/>
      <c r="B9983" s="22"/>
    </row>
    <row r="9984" spans="1:2">
      <c r="A9984" s="20"/>
      <c r="B9984" s="22"/>
    </row>
    <row r="9985" spans="1:2">
      <c r="A9985" s="20"/>
      <c r="B9985" s="22"/>
    </row>
    <row r="9986" spans="1:2">
      <c r="A9986" s="20"/>
      <c r="B9986" s="22"/>
    </row>
    <row r="9987" spans="1:2">
      <c r="A9987" s="20"/>
      <c r="B9987" s="22"/>
    </row>
    <row r="9988" spans="1:2">
      <c r="A9988" s="20"/>
      <c r="B9988" s="22"/>
    </row>
    <row r="9989" spans="1:2">
      <c r="A9989" s="20"/>
      <c r="B9989" s="22"/>
    </row>
    <row r="9990" spans="1:2">
      <c r="A9990" s="20"/>
      <c r="B9990" s="22"/>
    </row>
    <row r="9991" spans="1:2">
      <c r="A9991" s="20"/>
      <c r="B9991" s="22"/>
    </row>
    <row r="9992" spans="1:2">
      <c r="A9992" s="20"/>
      <c r="B9992" s="22"/>
    </row>
    <row r="9993" spans="1:2">
      <c r="A9993" s="20"/>
      <c r="B9993" s="22"/>
    </row>
    <row r="9994" spans="1:2">
      <c r="A9994" s="20"/>
      <c r="B9994" s="22"/>
    </row>
    <row r="9995" spans="1:2">
      <c r="A9995" s="20"/>
      <c r="B9995" s="22"/>
    </row>
    <row r="9996" spans="1:2">
      <c r="A9996" s="20"/>
      <c r="B9996" s="22"/>
    </row>
    <row r="9997" spans="1:2">
      <c r="A9997" s="20"/>
      <c r="B9997" s="22"/>
    </row>
    <row r="9998" spans="1:2">
      <c r="A9998" s="20"/>
      <c r="B9998" s="22"/>
    </row>
    <row r="9999" spans="1:2">
      <c r="A9999" s="20"/>
      <c r="B9999" s="22"/>
    </row>
    <row r="10000" spans="1:2">
      <c r="A10000" s="20"/>
      <c r="B10000" s="22"/>
    </row>
    <row r="10001" spans="1:2">
      <c r="A10001" s="20"/>
      <c r="B10001" s="22"/>
    </row>
    <row r="10002" spans="1:2">
      <c r="A10002" s="20"/>
      <c r="B10002" s="22"/>
    </row>
    <row r="10003" spans="1:2">
      <c r="A10003" s="20"/>
      <c r="B10003" s="22"/>
    </row>
    <row r="10004" spans="1:2">
      <c r="A10004" s="20"/>
      <c r="B10004" s="22"/>
    </row>
  </sheetData>
  <phoneticPr fontId="30" type="noConversion"/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S44"/>
  <sheetViews>
    <sheetView topLeftCell="A14" workbookViewId="0">
      <selection activeCell="F10" sqref="F10"/>
    </sheetView>
  </sheetViews>
  <sheetFormatPr baseColWidth="10" defaultColWidth="11.5" defaultRowHeight="15"/>
  <cols>
    <col min="1" max="1" width="20.6640625" style="32" bestFit="1" customWidth="1"/>
    <col min="2" max="2" width="18.6640625" style="32" bestFit="1" customWidth="1"/>
    <col min="3" max="3" width="11.5" style="32"/>
    <col min="4" max="4" width="12.6640625" style="32" customWidth="1"/>
    <col min="5" max="5" width="17.6640625" style="32" customWidth="1"/>
    <col min="6" max="6" width="11.5" style="32"/>
    <col min="7" max="15" width="10.5" style="32" customWidth="1"/>
    <col min="16" max="16384" width="11.5" style="32"/>
  </cols>
  <sheetData>
    <row r="1" spans="1:19" ht="19">
      <c r="A1" s="31" t="s">
        <v>142</v>
      </c>
    </row>
    <row r="2" spans="1:19">
      <c r="A2" s="38" t="s">
        <v>134</v>
      </c>
      <c r="B2" s="34">
        <v>100</v>
      </c>
      <c r="E2" s="32" t="s">
        <v>178</v>
      </c>
    </row>
    <row r="3" spans="1:19">
      <c r="A3" s="56" t="s">
        <v>140</v>
      </c>
      <c r="B3" s="34">
        <v>1</v>
      </c>
      <c r="E3" s="32" t="s">
        <v>143</v>
      </c>
    </row>
    <row r="4" spans="1:19">
      <c r="A4" s="56" t="s">
        <v>139</v>
      </c>
      <c r="B4" s="35">
        <f>1/12</f>
        <v>8.3333333333333329E-2</v>
      </c>
      <c r="C4" s="8" t="str" cm="1">
        <f t="array" aca="1" ref="C4" ca="1">getformula(B4)</f>
        <v>&lt;--  =1/12</v>
      </c>
    </row>
    <row r="5" spans="1:19">
      <c r="A5" s="56" t="s">
        <v>135</v>
      </c>
      <c r="B5" s="36">
        <v>0.2</v>
      </c>
    </row>
    <row r="6" spans="1:19">
      <c r="A6" s="56" t="s">
        <v>136</v>
      </c>
      <c r="B6" s="36">
        <v>0.4</v>
      </c>
    </row>
    <row r="8" spans="1:19">
      <c r="A8" s="37" t="s">
        <v>141</v>
      </c>
      <c r="B8" s="38" t="s">
        <v>138</v>
      </c>
      <c r="C8" s="39" t="s">
        <v>137</v>
      </c>
      <c r="E8" s="39" t="s">
        <v>147</v>
      </c>
      <c r="L8" s="40" t="s">
        <v>148</v>
      </c>
      <c r="M8" s="41"/>
      <c r="N8" s="41"/>
      <c r="O8" s="41"/>
      <c r="P8" s="41"/>
      <c r="Q8" s="41"/>
      <c r="R8" s="41"/>
      <c r="S8" s="42"/>
    </row>
    <row r="9" spans="1:19">
      <c r="A9" s="33">
        <v>0</v>
      </c>
      <c r="B9" s="33"/>
      <c r="C9" s="32">
        <f>B2</f>
        <v>100</v>
      </c>
      <c r="E9" s="39" t="s">
        <v>144</v>
      </c>
      <c r="F9" s="39" t="s">
        <v>145</v>
      </c>
      <c r="L9" s="43" t="s">
        <v>150</v>
      </c>
      <c r="M9" s="44"/>
      <c r="N9" s="44"/>
      <c r="O9" s="44"/>
      <c r="P9" s="44"/>
      <c r="Q9" s="44"/>
      <c r="R9" s="44"/>
      <c r="S9" s="45"/>
    </row>
    <row r="10" spans="1:19">
      <c r="A10" s="33">
        <v>1</v>
      </c>
      <c r="B10" s="46">
        <v>0.33289941184969457</v>
      </c>
      <c r="C10" s="47">
        <f>C9*EXP(($B$5-$B$6^2/2)*$B$4+$B$6*B10*SQRT($B$4))</f>
        <v>104.96323006787551</v>
      </c>
      <c r="E10" s="48"/>
      <c r="F10" s="49">
        <f>C21</f>
        <v>183.93030077827532</v>
      </c>
      <c r="G10" s="50" t="str" cm="1">
        <f t="array" aca="1" ref="G10" ca="1">getformula(F10)</f>
        <v>&lt;--  =C21</v>
      </c>
      <c r="H10" s="39" t="s">
        <v>146</v>
      </c>
      <c r="L10" s="43" t="s">
        <v>149</v>
      </c>
      <c r="M10" s="44"/>
      <c r="N10" s="44"/>
      <c r="O10" s="44"/>
      <c r="P10" s="44"/>
      <c r="Q10" s="44"/>
      <c r="R10" s="44"/>
      <c r="S10" s="45"/>
    </row>
    <row r="11" spans="1:19">
      <c r="A11" s="33">
        <v>2</v>
      </c>
      <c r="B11" s="46">
        <v>-0.86261966543866531</v>
      </c>
      <c r="C11" s="47">
        <f t="shared" ref="C11:C21" si="0">C10*EXP(($B$5-$B$6^2/2)*$B$4+$B$6*B11*SQRT($B$4))</f>
        <v>95.966901865623171</v>
      </c>
      <c r="E11" s="51">
        <v>0.05</v>
      </c>
      <c r="F11" s="47">
        <f t="dataTable" ref="F11:F19" dt2D="0" dtr="0" r1="B5"/>
        <v>158.31027698612155</v>
      </c>
      <c r="L11" s="43" t="s">
        <v>151</v>
      </c>
      <c r="M11" s="44"/>
      <c r="N11" s="44"/>
      <c r="O11" s="44"/>
      <c r="P11" s="44"/>
      <c r="Q11" s="44"/>
      <c r="R11" s="44"/>
      <c r="S11" s="45"/>
    </row>
    <row r="12" spans="1:19">
      <c r="A12" s="33">
        <v>3</v>
      </c>
      <c r="B12" s="46">
        <v>0.19548139885183557</v>
      </c>
      <c r="C12" s="47">
        <f t="shared" si="0"/>
        <v>99.144224925699447</v>
      </c>
      <c r="E12" s="51">
        <v>0.1</v>
      </c>
      <c r="F12" s="47">
        <v>166.42701845479206</v>
      </c>
      <c r="L12" s="43" t="s">
        <v>152</v>
      </c>
      <c r="M12" s="44"/>
      <c r="N12" s="44"/>
      <c r="O12" s="44"/>
      <c r="P12" s="44"/>
      <c r="Q12" s="44"/>
      <c r="R12" s="44"/>
      <c r="S12" s="45"/>
    </row>
    <row r="13" spans="1:19">
      <c r="A13" s="33">
        <v>4</v>
      </c>
      <c r="B13" s="46">
        <v>0.55888390812986288</v>
      </c>
      <c r="C13" s="47">
        <f t="shared" si="0"/>
        <v>106.81623866549387</v>
      </c>
      <c r="E13" s="51">
        <v>0.15</v>
      </c>
      <c r="F13" s="47">
        <v>174.95991415756203</v>
      </c>
      <c r="L13" s="43" t="s">
        <v>153</v>
      </c>
      <c r="M13" s="44"/>
      <c r="N13" s="44"/>
      <c r="O13" s="44"/>
      <c r="P13" s="44"/>
      <c r="Q13" s="44"/>
      <c r="R13" s="44"/>
      <c r="S13" s="45"/>
    </row>
    <row r="14" spans="1:19">
      <c r="A14" s="33">
        <v>5</v>
      </c>
      <c r="B14" s="46">
        <v>-0.46776699102230163</v>
      </c>
      <c r="C14" s="47">
        <f t="shared" si="0"/>
        <v>102.2168853448359</v>
      </c>
      <c r="E14" s="51">
        <v>0.25</v>
      </c>
      <c r="F14" s="47">
        <v>193.36060895594935</v>
      </c>
      <c r="L14" s="43" t="s">
        <v>154</v>
      </c>
      <c r="M14" s="44"/>
      <c r="N14" s="44"/>
      <c r="O14" s="44"/>
      <c r="P14" s="44"/>
      <c r="Q14" s="44"/>
      <c r="R14" s="44"/>
      <c r="S14" s="45"/>
    </row>
    <row r="15" spans="1:19">
      <c r="A15" s="33">
        <v>6</v>
      </c>
      <c r="B15" s="46">
        <v>1.3699467724639276</v>
      </c>
      <c r="C15" s="47">
        <f t="shared" si="0"/>
        <v>120.93880941048947</v>
      </c>
      <c r="E15" s="51">
        <v>0.3</v>
      </c>
      <c r="F15" s="47">
        <v>203.27441937305647</v>
      </c>
      <c r="L15" s="43" t="s">
        <v>155</v>
      </c>
      <c r="M15" s="44"/>
      <c r="N15" s="44"/>
      <c r="O15" s="44"/>
      <c r="P15" s="44"/>
      <c r="Q15" s="44"/>
      <c r="R15" s="44"/>
      <c r="S15" s="45"/>
    </row>
    <row r="16" spans="1:19">
      <c r="A16" s="33">
        <v>7</v>
      </c>
      <c r="B16" s="46">
        <v>0.85503440548829601</v>
      </c>
      <c r="C16" s="47">
        <f t="shared" si="0"/>
        <v>134.83011508033331</v>
      </c>
      <c r="E16" s="51">
        <v>0.35</v>
      </c>
      <c r="F16" s="47">
        <v>213.69652171951279</v>
      </c>
      <c r="L16" s="43" t="s">
        <v>156</v>
      </c>
      <c r="M16" s="44"/>
      <c r="N16" s="44"/>
      <c r="O16" s="44"/>
      <c r="P16" s="44"/>
      <c r="Q16" s="44"/>
      <c r="R16" s="44"/>
      <c r="S16" s="45"/>
    </row>
    <row r="17" spans="1:19">
      <c r="A17" s="33">
        <v>8</v>
      </c>
      <c r="B17" s="46">
        <v>1.5026752620092108</v>
      </c>
      <c r="C17" s="47">
        <f t="shared" si="0"/>
        <v>161.98918481012163</v>
      </c>
      <c r="E17" s="51">
        <v>0.4</v>
      </c>
      <c r="F17" s="47">
        <v>224.65297667981511</v>
      </c>
      <c r="L17" s="43" t="s">
        <v>157</v>
      </c>
      <c r="M17" s="44"/>
      <c r="N17" s="44"/>
      <c r="O17" s="44"/>
      <c r="P17" s="44"/>
      <c r="Q17" s="44"/>
      <c r="R17" s="44"/>
      <c r="S17" s="45"/>
    </row>
    <row r="18" spans="1:19">
      <c r="A18" s="33">
        <v>9</v>
      </c>
      <c r="B18" s="46">
        <v>0.82579724085301154</v>
      </c>
      <c r="C18" s="47">
        <f t="shared" si="0"/>
        <v>179.98696370978797</v>
      </c>
      <c r="E18" s="51">
        <v>0.45</v>
      </c>
      <c r="F18" s="47">
        <v>236.17118109832649</v>
      </c>
      <c r="L18" s="43" t="s">
        <v>158</v>
      </c>
      <c r="M18" s="44"/>
      <c r="N18" s="44"/>
      <c r="O18" s="44"/>
      <c r="P18" s="44"/>
      <c r="Q18" s="44"/>
      <c r="R18" s="44"/>
      <c r="S18" s="45"/>
    </row>
    <row r="19" spans="1:19">
      <c r="A19" s="33">
        <v>10</v>
      </c>
      <c r="B19" s="46">
        <v>0.36162646121980274</v>
      </c>
      <c r="C19" s="47">
        <f t="shared" si="0"/>
        <v>189.54784092726837</v>
      </c>
      <c r="E19" s="51">
        <v>0.5</v>
      </c>
      <c r="F19" s="47">
        <v>248.27993648565842</v>
      </c>
      <c r="L19" s="52" t="s">
        <v>159</v>
      </c>
      <c r="M19" s="53"/>
      <c r="N19" s="53"/>
      <c r="O19" s="53"/>
      <c r="P19" s="53"/>
      <c r="Q19" s="53"/>
      <c r="R19" s="53"/>
      <c r="S19" s="54"/>
    </row>
    <row r="20" spans="1:19">
      <c r="A20" s="33">
        <v>11</v>
      </c>
      <c r="B20" s="55">
        <v>-0.43608256217231955</v>
      </c>
      <c r="C20" s="47">
        <f t="shared" si="0"/>
        <v>182.05101945117309</v>
      </c>
    </row>
    <row r="21" spans="1:19">
      <c r="A21" s="33">
        <v>12</v>
      </c>
      <c r="B21" s="55">
        <v>2.3375002577768499E-3</v>
      </c>
      <c r="C21" s="47">
        <f t="shared" si="0"/>
        <v>183.93030077827532</v>
      </c>
      <c r="E21" s="39" t="s">
        <v>144</v>
      </c>
      <c r="F21" s="48"/>
      <c r="G21" s="51">
        <v>0.05</v>
      </c>
      <c r="H21" s="51">
        <v>0.1</v>
      </c>
      <c r="I21" s="51">
        <v>0.15</v>
      </c>
      <c r="J21" s="51">
        <v>0.25</v>
      </c>
      <c r="K21" s="51">
        <v>0.3</v>
      </c>
      <c r="L21" s="51">
        <v>0.35</v>
      </c>
      <c r="M21" s="51">
        <v>0.4</v>
      </c>
      <c r="N21" s="51">
        <v>0.45</v>
      </c>
      <c r="O21" s="51">
        <v>0.5</v>
      </c>
    </row>
    <row r="22" spans="1:19">
      <c r="E22" s="39" t="s">
        <v>145</v>
      </c>
      <c r="F22" s="49">
        <f>C21</f>
        <v>183.93030077827532</v>
      </c>
      <c r="G22" s="47">
        <f t="dataTable" ref="G22:O22" dt2D="0" dtr="1" r1="B5"/>
        <v>183.93030077827532</v>
      </c>
      <c r="H22" s="47">
        <v>183.93030077827532</v>
      </c>
      <c r="I22" s="47">
        <v>183.93030077827532</v>
      </c>
      <c r="J22" s="47">
        <v>183.93030077827532</v>
      </c>
      <c r="K22" s="47">
        <v>183.93030077827532</v>
      </c>
      <c r="L22" s="47">
        <v>183.93030077827532</v>
      </c>
      <c r="M22" s="47">
        <v>183.93030077827532</v>
      </c>
      <c r="N22" s="47">
        <v>183.93030077827532</v>
      </c>
      <c r="O22" s="47">
        <v>183.93030077827532</v>
      </c>
    </row>
    <row r="24" spans="1:19">
      <c r="L24" s="40" t="s">
        <v>148</v>
      </c>
      <c r="M24" s="41"/>
      <c r="N24" s="41"/>
      <c r="O24" s="41"/>
      <c r="P24" s="41"/>
      <c r="Q24" s="41"/>
      <c r="R24" s="41"/>
      <c r="S24" s="42"/>
    </row>
    <row r="25" spans="1:19">
      <c r="L25" s="43" t="s">
        <v>160</v>
      </c>
      <c r="M25" s="44"/>
      <c r="N25" s="44"/>
      <c r="O25" s="44"/>
      <c r="P25" s="44"/>
      <c r="Q25" s="44"/>
      <c r="R25" s="44"/>
      <c r="S25" s="45"/>
    </row>
    <row r="26" spans="1:19">
      <c r="L26" s="43" t="s">
        <v>161</v>
      </c>
      <c r="M26" s="44"/>
      <c r="N26" s="44"/>
      <c r="O26" s="44"/>
      <c r="P26" s="44"/>
      <c r="Q26" s="44"/>
      <c r="R26" s="44"/>
      <c r="S26" s="45"/>
    </row>
    <row r="27" spans="1:19">
      <c r="L27" s="43" t="s">
        <v>162</v>
      </c>
      <c r="M27" s="44"/>
      <c r="N27" s="44"/>
      <c r="O27" s="44"/>
      <c r="P27" s="44"/>
      <c r="Q27" s="44"/>
      <c r="R27" s="44"/>
      <c r="S27" s="45"/>
    </row>
    <row r="28" spans="1:19">
      <c r="L28" s="43" t="s">
        <v>163</v>
      </c>
      <c r="M28" s="44"/>
      <c r="N28" s="44"/>
      <c r="O28" s="44"/>
      <c r="P28" s="44"/>
      <c r="Q28" s="44"/>
      <c r="R28" s="44"/>
      <c r="S28" s="45"/>
    </row>
    <row r="29" spans="1:19">
      <c r="L29" s="43" t="s">
        <v>164</v>
      </c>
      <c r="M29" s="44"/>
      <c r="N29" s="44"/>
      <c r="O29" s="44"/>
      <c r="P29" s="44"/>
      <c r="Q29" s="44"/>
      <c r="R29" s="44"/>
      <c r="S29" s="45"/>
    </row>
    <row r="30" spans="1:19">
      <c r="L30" s="43" t="s">
        <v>165</v>
      </c>
      <c r="M30" s="44"/>
      <c r="N30" s="44"/>
      <c r="O30" s="44"/>
      <c r="P30" s="44"/>
      <c r="Q30" s="44"/>
      <c r="R30" s="44"/>
      <c r="S30" s="45"/>
    </row>
    <row r="31" spans="1:19">
      <c r="L31" s="43" t="s">
        <v>155</v>
      </c>
      <c r="M31" s="44"/>
      <c r="N31" s="44"/>
      <c r="O31" s="44"/>
      <c r="P31" s="44"/>
      <c r="Q31" s="44"/>
      <c r="R31" s="44"/>
      <c r="S31" s="45"/>
    </row>
    <row r="32" spans="1:19">
      <c r="L32" s="52" t="s">
        <v>166</v>
      </c>
      <c r="M32" s="53"/>
      <c r="N32" s="53"/>
      <c r="O32" s="53"/>
      <c r="P32" s="53"/>
      <c r="Q32" s="53"/>
      <c r="R32" s="53"/>
      <c r="S32" s="54"/>
    </row>
    <row r="34" spans="4:19">
      <c r="E34" s="39" t="s">
        <v>167</v>
      </c>
    </row>
    <row r="35" spans="4:19">
      <c r="D35" s="57" t="s">
        <v>170</v>
      </c>
      <c r="E35" s="49">
        <f>C21</f>
        <v>183.93030077827532</v>
      </c>
      <c r="F35" s="51">
        <v>0.2</v>
      </c>
      <c r="G35" s="51">
        <v>0.3</v>
      </c>
      <c r="H35" s="51">
        <v>0.4</v>
      </c>
      <c r="I35" s="51">
        <v>0.5</v>
      </c>
      <c r="J35" s="51">
        <v>0.6</v>
      </c>
      <c r="K35" s="32" t="s">
        <v>168</v>
      </c>
    </row>
    <row r="36" spans="4:19">
      <c r="D36" s="58" t="s">
        <v>169</v>
      </c>
      <c r="E36" s="51">
        <v>0.05</v>
      </c>
      <c r="F36" s="47">
        <f t="dataTable" ref="F36:J44" dt2D="1" dtr="1" r1="B6" r2="B5"/>
        <v>183.93030077827532</v>
      </c>
      <c r="G36" s="47">
        <v>183.93030077827532</v>
      </c>
      <c r="H36" s="47">
        <v>183.93030077827532</v>
      </c>
      <c r="I36" s="47">
        <v>183.93030077827532</v>
      </c>
      <c r="J36" s="47">
        <v>183.93030077827532</v>
      </c>
      <c r="L36" s="40" t="s">
        <v>148</v>
      </c>
      <c r="M36" s="41"/>
      <c r="N36" s="41"/>
      <c r="O36" s="41"/>
      <c r="P36" s="41"/>
      <c r="Q36" s="41"/>
      <c r="R36" s="41"/>
      <c r="S36" s="42"/>
    </row>
    <row r="37" spans="4:19">
      <c r="E37" s="51">
        <v>0.1</v>
      </c>
      <c r="F37" s="47">
        <v>183.93030077827532</v>
      </c>
      <c r="G37" s="47">
        <v>183.93030077827532</v>
      </c>
      <c r="H37" s="47">
        <v>183.93030077827532</v>
      </c>
      <c r="I37" s="47">
        <v>183.93030077827532</v>
      </c>
      <c r="J37" s="47">
        <v>183.93030077827532</v>
      </c>
      <c r="L37" s="43" t="s">
        <v>171</v>
      </c>
      <c r="M37" s="44"/>
      <c r="N37" s="44"/>
      <c r="O37" s="44"/>
      <c r="P37" s="44"/>
      <c r="Q37" s="44"/>
      <c r="R37" s="44"/>
      <c r="S37" s="45"/>
    </row>
    <row r="38" spans="4:19">
      <c r="E38" s="51">
        <v>0.15</v>
      </c>
      <c r="F38" s="47">
        <v>183.93030077827532</v>
      </c>
      <c r="G38" s="47">
        <v>183.93030077827532</v>
      </c>
      <c r="H38" s="47">
        <v>183.93030077827532</v>
      </c>
      <c r="I38" s="47">
        <v>183.93030077827532</v>
      </c>
      <c r="J38" s="47">
        <v>183.93030077827532</v>
      </c>
      <c r="L38" s="43" t="s">
        <v>172</v>
      </c>
      <c r="M38" s="44"/>
      <c r="N38" s="44"/>
      <c r="O38" s="44"/>
      <c r="P38" s="44"/>
      <c r="Q38" s="44"/>
      <c r="R38" s="44"/>
      <c r="S38" s="45"/>
    </row>
    <row r="39" spans="4:19">
      <c r="E39" s="51">
        <v>0.25</v>
      </c>
      <c r="F39" s="47">
        <v>183.93030077827532</v>
      </c>
      <c r="G39" s="47">
        <v>183.93030077827532</v>
      </c>
      <c r="H39" s="47">
        <v>183.93030077827532</v>
      </c>
      <c r="I39" s="47">
        <v>183.93030077827532</v>
      </c>
      <c r="J39" s="47">
        <v>183.93030077827532</v>
      </c>
      <c r="L39" s="43" t="s">
        <v>173</v>
      </c>
      <c r="M39" s="44"/>
      <c r="N39" s="44"/>
      <c r="O39" s="44"/>
      <c r="P39" s="44"/>
      <c r="Q39" s="44"/>
      <c r="R39" s="44"/>
      <c r="S39" s="45"/>
    </row>
    <row r="40" spans="4:19">
      <c r="E40" s="51">
        <v>0.3</v>
      </c>
      <c r="F40" s="47">
        <v>183.93030077827532</v>
      </c>
      <c r="G40" s="47">
        <v>183.93030077827532</v>
      </c>
      <c r="H40" s="47">
        <v>183.93030077827532</v>
      </c>
      <c r="I40" s="47">
        <v>183.93030077827532</v>
      </c>
      <c r="J40" s="47">
        <v>183.93030077827532</v>
      </c>
      <c r="L40" s="43" t="s">
        <v>174</v>
      </c>
      <c r="M40" s="44"/>
      <c r="N40" s="44"/>
      <c r="O40" s="44"/>
      <c r="P40" s="44"/>
      <c r="Q40" s="44"/>
      <c r="R40" s="44"/>
      <c r="S40" s="45"/>
    </row>
    <row r="41" spans="4:19">
      <c r="E41" s="51">
        <v>0.35</v>
      </c>
      <c r="F41" s="47">
        <v>183.93030077827532</v>
      </c>
      <c r="G41" s="47">
        <v>183.93030077827532</v>
      </c>
      <c r="H41" s="47">
        <v>183.93030077827532</v>
      </c>
      <c r="I41" s="47">
        <v>183.93030077827532</v>
      </c>
      <c r="J41" s="47">
        <v>183.93030077827532</v>
      </c>
      <c r="L41" s="43" t="s">
        <v>175</v>
      </c>
      <c r="M41" s="44"/>
      <c r="N41" s="44"/>
      <c r="O41" s="44"/>
      <c r="P41" s="44"/>
      <c r="Q41" s="44"/>
      <c r="R41" s="44"/>
      <c r="S41" s="45"/>
    </row>
    <row r="42" spans="4:19">
      <c r="E42" s="51">
        <v>0.4</v>
      </c>
      <c r="F42" s="47">
        <v>183.93030077827532</v>
      </c>
      <c r="G42" s="47">
        <v>183.93030077827532</v>
      </c>
      <c r="H42" s="47">
        <v>183.93030077827532</v>
      </c>
      <c r="I42" s="47">
        <v>183.93030077827532</v>
      </c>
      <c r="J42" s="47">
        <v>183.93030077827532</v>
      </c>
      <c r="L42" s="43" t="s">
        <v>176</v>
      </c>
      <c r="M42" s="44"/>
      <c r="N42" s="44"/>
      <c r="O42" s="44"/>
      <c r="P42" s="44"/>
      <c r="Q42" s="44"/>
      <c r="R42" s="44"/>
      <c r="S42" s="45"/>
    </row>
    <row r="43" spans="4:19">
      <c r="E43" s="51">
        <v>0.45</v>
      </c>
      <c r="F43" s="47">
        <v>183.93030077827532</v>
      </c>
      <c r="G43" s="47">
        <v>183.93030077827532</v>
      </c>
      <c r="H43" s="47">
        <v>183.93030077827532</v>
      </c>
      <c r="I43" s="47">
        <v>183.93030077827532</v>
      </c>
      <c r="J43" s="47">
        <v>183.93030077827532</v>
      </c>
      <c r="L43" s="52" t="s">
        <v>177</v>
      </c>
      <c r="M43" s="53"/>
      <c r="N43" s="53"/>
      <c r="O43" s="53"/>
      <c r="P43" s="53"/>
      <c r="Q43" s="53"/>
      <c r="R43" s="53"/>
      <c r="S43" s="54"/>
    </row>
    <row r="44" spans="4:19">
      <c r="E44" s="51">
        <v>0.5</v>
      </c>
      <c r="F44" s="47">
        <v>183.93030077827532</v>
      </c>
      <c r="G44" s="47">
        <v>183.93030077827532</v>
      </c>
      <c r="H44" s="47">
        <v>183.93030077827532</v>
      </c>
      <c r="I44" s="47">
        <v>183.93030077827532</v>
      </c>
      <c r="J44" s="47">
        <v>183.93030077827532</v>
      </c>
    </row>
  </sheetData>
  <phoneticPr fontId="3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7C734-7027-4CED-BB8B-3F6698A180A2}">
  <sheetPr codeName="Sheet10"/>
  <dimension ref="A1:G48"/>
  <sheetViews>
    <sheetView workbookViewId="0">
      <selection activeCell="B19" sqref="B19"/>
    </sheetView>
  </sheetViews>
  <sheetFormatPr baseColWidth="10" defaultColWidth="8.83203125" defaultRowHeight="13"/>
  <cols>
    <col min="1" max="1" width="20" customWidth="1"/>
    <col min="2" max="2" width="9.1640625" customWidth="1"/>
  </cols>
  <sheetData>
    <row r="1" spans="1:7" ht="19">
      <c r="A1" s="133" t="s">
        <v>255</v>
      </c>
      <c r="B1" s="133"/>
      <c r="C1" s="133"/>
      <c r="D1" s="133"/>
      <c r="E1" s="133"/>
      <c r="F1" s="133"/>
      <c r="G1" s="133"/>
    </row>
    <row r="2" spans="1:7" ht="15">
      <c r="A2" s="39" t="s">
        <v>256</v>
      </c>
      <c r="B2" s="102"/>
      <c r="C2" s="124" t="s">
        <v>257</v>
      </c>
      <c r="D2" s="102"/>
      <c r="E2" s="102"/>
      <c r="F2" s="124" t="s">
        <v>258</v>
      </c>
      <c r="G2" s="125"/>
    </row>
    <row r="3" spans="1:7" ht="15">
      <c r="A3" s="125" t="s">
        <v>259</v>
      </c>
      <c r="B3" s="102"/>
      <c r="C3" s="126">
        <v>1.9290532490182733E-3</v>
      </c>
      <c r="D3" s="127"/>
      <c r="E3" s="102"/>
      <c r="F3" s="126">
        <v>-9.4285224745487104E-4</v>
      </c>
      <c r="G3" s="127"/>
    </row>
    <row r="4" spans="1:7" ht="15">
      <c r="A4" s="125" t="s">
        <v>260</v>
      </c>
      <c r="B4" s="102"/>
      <c r="C4" s="126">
        <v>4.9786583520865228E-2</v>
      </c>
      <c r="D4" s="127"/>
      <c r="E4" s="102"/>
      <c r="F4" s="126">
        <v>8.455667907032216E-2</v>
      </c>
      <c r="G4" s="127"/>
    </row>
    <row r="5" spans="1:7" ht="15">
      <c r="A5" s="125" t="s">
        <v>261</v>
      </c>
      <c r="B5" s="102"/>
      <c r="C5" s="126">
        <v>2.6921656351022514E-3</v>
      </c>
      <c r="D5" s="127"/>
      <c r="E5" s="102"/>
      <c r="F5" s="102"/>
      <c r="G5" s="102"/>
    </row>
    <row r="6" spans="1:7" ht="15">
      <c r="A6" s="125" t="s">
        <v>262</v>
      </c>
      <c r="B6" s="102"/>
      <c r="C6" s="126">
        <v>0.63950144988873225</v>
      </c>
      <c r="D6" s="127"/>
      <c r="E6" s="102"/>
      <c r="F6" s="102"/>
      <c r="G6" s="102"/>
    </row>
    <row r="7" spans="1:7" ht="15">
      <c r="A7" s="125"/>
      <c r="B7" s="102"/>
      <c r="C7" s="102"/>
      <c r="D7" s="128"/>
      <c r="E7" s="102"/>
      <c r="F7" s="102"/>
      <c r="G7" s="102"/>
    </row>
    <row r="8" spans="1:7" ht="15">
      <c r="A8" s="39" t="s">
        <v>263</v>
      </c>
      <c r="B8" s="102"/>
      <c r="C8" s="102"/>
      <c r="D8" s="102"/>
      <c r="E8" s="102"/>
      <c r="F8" s="102"/>
      <c r="G8" s="102"/>
    </row>
    <row r="9" spans="1:7" ht="15">
      <c r="A9" s="125" t="s">
        <v>264</v>
      </c>
      <c r="B9" s="102"/>
      <c r="C9" s="129">
        <v>0.5</v>
      </c>
      <c r="D9" s="102"/>
      <c r="E9" s="102"/>
      <c r="F9" s="102"/>
      <c r="G9" s="102"/>
    </row>
    <row r="10" spans="1:7" ht="15">
      <c r="A10" s="125" t="s">
        <v>265</v>
      </c>
      <c r="B10" s="102"/>
      <c r="C10" s="129">
        <f>1-C9</f>
        <v>0.5</v>
      </c>
      <c r="D10" s="127" t="str" cm="1">
        <f t="array" aca="1" ref="D10" ca="1">getformula(C10)</f>
        <v>&lt;--  =1-C9</v>
      </c>
      <c r="E10" s="102"/>
      <c r="F10" s="102"/>
      <c r="G10" s="102"/>
    </row>
    <row r="11" spans="1:7" ht="15">
      <c r="A11" s="125"/>
      <c r="B11" s="102"/>
      <c r="C11" s="102"/>
      <c r="D11" s="127"/>
      <c r="E11" s="102"/>
      <c r="F11" s="102"/>
      <c r="G11" s="102"/>
    </row>
    <row r="12" spans="1:7" ht="15">
      <c r="A12" s="125" t="s">
        <v>266</v>
      </c>
      <c r="B12" s="102"/>
      <c r="C12" s="126">
        <f>C9*C3+C10*F3</f>
        <v>4.9310050078170105E-4</v>
      </c>
      <c r="D12" s="127" t="str" cm="1">
        <f t="array" aca="1" ref="D12" ca="1">getformula(C12)</f>
        <v>&lt;--  =C9*C3+C10*F3</v>
      </c>
      <c r="E12" s="102"/>
      <c r="F12" s="102"/>
      <c r="G12" s="102"/>
    </row>
    <row r="13" spans="1:7" ht="15">
      <c r="A13" s="125" t="s">
        <v>267</v>
      </c>
      <c r="B13" s="102"/>
      <c r="C13" s="126">
        <f>SQRT(C9^2*C4^2+C10^2*F4^2+2*C9*C10*C5)</f>
        <v>6.126350288770234E-2</v>
      </c>
      <c r="D13" s="127" t="str" cm="1">
        <f t="array" aca="1" ref="D13" ca="1">getformula(C13)</f>
        <v>&lt;--  =SQRT(C9^2*C4^2+C10^2*F4^2+2*C9*C10*C5)</v>
      </c>
      <c r="E13" s="102"/>
      <c r="F13" s="102"/>
      <c r="G13" s="102"/>
    </row>
    <row r="14" spans="1:7" ht="15">
      <c r="A14" s="125"/>
      <c r="B14" s="102"/>
      <c r="C14" s="102"/>
      <c r="D14" s="102"/>
      <c r="E14" s="102"/>
      <c r="F14" s="102"/>
      <c r="G14" s="125"/>
    </row>
    <row r="15" spans="1:7" ht="15">
      <c r="A15" s="89" t="s">
        <v>270</v>
      </c>
      <c r="B15" s="102"/>
      <c r="C15" s="102"/>
      <c r="D15" s="102"/>
      <c r="E15" s="102"/>
      <c r="F15" s="102"/>
      <c r="G15" s="125"/>
    </row>
    <row r="16" spans="1:7" ht="15">
      <c r="A16" s="130" t="s">
        <v>264</v>
      </c>
      <c r="B16" s="131" t="s">
        <v>268</v>
      </c>
      <c r="C16" s="131" t="s">
        <v>269</v>
      </c>
      <c r="D16" s="102"/>
      <c r="E16" s="102"/>
      <c r="F16" s="102"/>
      <c r="G16" s="125"/>
    </row>
    <row r="17" spans="1:7" ht="15">
      <c r="B17" s="102">
        <f>C13</f>
        <v>6.126350288770234E-2</v>
      </c>
      <c r="C17" s="102">
        <f>C12</f>
        <v>4.9310050078170105E-4</v>
      </c>
      <c r="D17" s="127"/>
      <c r="E17" s="102"/>
      <c r="F17" s="102"/>
      <c r="G17" s="125"/>
    </row>
    <row r="18" spans="1:7" ht="15">
      <c r="A18" s="125">
        <v>-1</v>
      </c>
      <c r="B18" s="102">
        <f t="dataTable" ref="B18:C48" dt2D="0" dtr="0" r1="C9"/>
        <v>0.14251094435122136</v>
      </c>
      <c r="C18" s="102">
        <v>-3.8147577439280153E-3</v>
      </c>
      <c r="D18" s="127"/>
      <c r="E18" s="102"/>
      <c r="F18" s="102"/>
      <c r="G18" s="125"/>
    </row>
    <row r="19" spans="1:7" ht="15">
      <c r="A19" s="125">
        <f>A18+0.1</f>
        <v>-0.9</v>
      </c>
      <c r="B19" s="102">
        <v>0.13642374103168567</v>
      </c>
      <c r="C19" s="102">
        <v>-3.5275671942807006E-3</v>
      </c>
      <c r="D19" s="127"/>
      <c r="E19" s="102"/>
      <c r="F19" s="102"/>
      <c r="G19" s="125"/>
    </row>
    <row r="20" spans="1:7" ht="15">
      <c r="A20" s="125">
        <f t="shared" ref="A20:A48" si="0">A19+0.1</f>
        <v>-0.8</v>
      </c>
      <c r="B20" s="102">
        <v>0.13037787030919587</v>
      </c>
      <c r="C20" s="102">
        <v>-3.2403766446333863E-3</v>
      </c>
      <c r="D20" s="127"/>
      <c r="E20" s="102"/>
      <c r="F20" s="102"/>
      <c r="G20" s="125"/>
    </row>
    <row r="21" spans="1:7" ht="15">
      <c r="A21" s="125">
        <f t="shared" si="0"/>
        <v>-0.70000000000000007</v>
      </c>
      <c r="B21" s="102">
        <v>0.12437935965311972</v>
      </c>
      <c r="C21" s="102">
        <v>-2.953186094986072E-3</v>
      </c>
      <c r="D21" s="127"/>
      <c r="E21" s="102"/>
      <c r="F21" s="102"/>
      <c r="G21" s="125"/>
    </row>
    <row r="22" spans="1:7" ht="15">
      <c r="A22" s="125">
        <f t="shared" si="0"/>
        <v>-0.60000000000000009</v>
      </c>
      <c r="B22" s="102">
        <v>0.11843540535311325</v>
      </c>
      <c r="C22" s="102">
        <v>-2.6659955453387577E-3</v>
      </c>
      <c r="D22" s="127"/>
      <c r="E22" s="102"/>
      <c r="F22" s="102"/>
      <c r="G22" s="125"/>
    </row>
    <row r="23" spans="1:7" ht="15">
      <c r="A23" s="125">
        <f t="shared" si="0"/>
        <v>-0.50000000000000011</v>
      </c>
      <c r="B23" s="102">
        <v>0.11255465102193657</v>
      </c>
      <c r="C23" s="102">
        <v>-2.3788049956914433E-3</v>
      </c>
      <c r="D23" s="127"/>
      <c r="E23" s="102"/>
      <c r="F23" s="102"/>
      <c r="G23" s="125"/>
    </row>
    <row r="24" spans="1:7" ht="15">
      <c r="A24" s="125">
        <f t="shared" si="0"/>
        <v>-0.40000000000000013</v>
      </c>
      <c r="B24" s="102">
        <v>0.10674754228674847</v>
      </c>
      <c r="C24" s="102">
        <v>-2.091614446044129E-3</v>
      </c>
      <c r="D24" s="127"/>
      <c r="E24" s="102"/>
      <c r="F24" s="102"/>
      <c r="G24" s="125"/>
    </row>
    <row r="25" spans="1:7" ht="15">
      <c r="A25" s="125">
        <f t="shared" si="0"/>
        <v>-0.30000000000000016</v>
      </c>
      <c r="B25" s="102">
        <v>0.10102677958803753</v>
      </c>
      <c r="C25" s="102">
        <v>-1.8044238963968147E-3</v>
      </c>
      <c r="D25" s="102"/>
      <c r="E25" s="102"/>
      <c r="F25" s="102"/>
      <c r="G25" s="125"/>
    </row>
    <row r="26" spans="1:7" ht="15">
      <c r="A26" s="125">
        <f t="shared" si="0"/>
        <v>-0.20000000000000015</v>
      </c>
      <c r="B26" s="102">
        <v>9.5407896401064327E-2</v>
      </c>
      <c r="C26" s="102">
        <v>-1.5172333467495004E-3</v>
      </c>
      <c r="D26" s="102"/>
      <c r="E26" s="102"/>
      <c r="F26" s="102"/>
      <c r="G26" s="125"/>
    </row>
    <row r="27" spans="1:7" ht="15">
      <c r="A27" s="125">
        <f t="shared" si="0"/>
        <v>-0.10000000000000014</v>
      </c>
      <c r="B27" s="102">
        <v>8.9909995492715222E-2</v>
      </c>
      <c r="C27" s="102">
        <v>-1.2300427971021859E-3</v>
      </c>
      <c r="D27" s="102"/>
      <c r="E27" s="102"/>
      <c r="F27" s="102"/>
      <c r="G27" s="125"/>
    </row>
    <row r="28" spans="1:7" ht="15">
      <c r="A28" s="125">
        <v>0</v>
      </c>
      <c r="B28" s="102">
        <v>8.455667907032216E-2</v>
      </c>
      <c r="C28" s="102">
        <v>-9.4285224745487104E-4</v>
      </c>
      <c r="D28" s="102"/>
      <c r="E28" s="102"/>
      <c r="F28" s="102"/>
      <c r="G28" s="125"/>
    </row>
    <row r="29" spans="1:7" ht="15">
      <c r="A29" s="125">
        <f>A28+0.1</f>
        <v>0.1</v>
      </c>
      <c r="B29" s="102">
        <v>7.937720550246391E-2</v>
      </c>
      <c r="C29" s="102">
        <v>-6.5566169780755662E-4</v>
      </c>
      <c r="D29" s="102"/>
      <c r="E29" s="102"/>
      <c r="F29" s="102"/>
      <c r="G29" s="125"/>
    </row>
    <row r="30" spans="1:7" ht="15">
      <c r="A30" s="125">
        <f t="shared" si="0"/>
        <v>0.2</v>
      </c>
      <c r="B30" s="102">
        <v>7.4407886836254516E-2</v>
      </c>
      <c r="C30" s="102">
        <v>-3.684711481602422E-4</v>
      </c>
      <c r="D30" s="102"/>
      <c r="E30" s="102"/>
      <c r="F30" s="102"/>
      <c r="G30" s="125"/>
    </row>
    <row r="31" spans="1:7" ht="15">
      <c r="A31" s="125">
        <f t="shared" si="0"/>
        <v>0.30000000000000004</v>
      </c>
      <c r="B31" s="102">
        <v>6.9693691146120729E-2</v>
      </c>
      <c r="C31" s="102">
        <v>-8.1280598512927676E-5</v>
      </c>
      <c r="D31" s="102"/>
      <c r="E31" s="102"/>
      <c r="F31" s="102"/>
      <c r="G31" s="125"/>
    </row>
    <row r="32" spans="1:7" ht="15">
      <c r="A32" s="125">
        <f t="shared" si="0"/>
        <v>0.4</v>
      </c>
      <c r="B32" s="102">
        <v>6.5289904577832097E-2</v>
      </c>
      <c r="C32" s="102">
        <v>2.0590995113438674E-4</v>
      </c>
      <c r="D32" s="102"/>
      <c r="E32" s="102"/>
      <c r="F32" s="102"/>
      <c r="G32" s="125"/>
    </row>
    <row r="33" spans="1:7" ht="15">
      <c r="A33" s="125">
        <f t="shared" si="0"/>
        <v>0.5</v>
      </c>
      <c r="B33" s="102">
        <v>6.126350288770234E-2</v>
      </c>
      <c r="C33" s="102">
        <v>4.9310050078170105E-4</v>
      </c>
      <c r="D33" s="102"/>
      <c r="E33" s="102"/>
      <c r="F33" s="102"/>
      <c r="G33" s="125"/>
    </row>
    <row r="34" spans="1:7" ht="15">
      <c r="A34" s="125">
        <f t="shared" si="0"/>
        <v>0.6</v>
      </c>
      <c r="B34" s="102">
        <v>5.7693552711183822E-2</v>
      </c>
      <c r="C34" s="102">
        <v>7.8029105042901547E-4</v>
      </c>
      <c r="D34" s="102"/>
      <c r="E34" s="102"/>
      <c r="F34" s="102"/>
      <c r="G34" s="125"/>
    </row>
    <row r="35" spans="1:7" ht="15">
      <c r="A35" s="125">
        <f t="shared" si="0"/>
        <v>0.7</v>
      </c>
      <c r="B35" s="102">
        <v>5.4669546869187791E-2</v>
      </c>
      <c r="C35" s="102">
        <v>1.0674816000763299E-3</v>
      </c>
      <c r="D35" s="102"/>
      <c r="E35" s="102"/>
      <c r="F35" s="102"/>
      <c r="G35" s="125"/>
    </row>
    <row r="36" spans="1:7" ht="15">
      <c r="A36" s="125">
        <f t="shared" si="0"/>
        <v>0.79999999999999993</v>
      </c>
      <c r="B36" s="102">
        <v>5.2286296267798849E-2</v>
      </c>
      <c r="C36" s="102">
        <v>1.3546721497236442E-3</v>
      </c>
      <c r="D36" s="102"/>
      <c r="E36" s="102"/>
      <c r="F36" s="102"/>
      <c r="G36" s="125"/>
    </row>
    <row r="37" spans="1:7" ht="15">
      <c r="A37" s="125">
        <f t="shared" si="0"/>
        <v>0.89999999999999991</v>
      </c>
      <c r="B37" s="102">
        <v>5.0634358809046771E-2</v>
      </c>
      <c r="C37" s="102">
        <v>1.6418626993709587E-3</v>
      </c>
      <c r="D37" s="102"/>
      <c r="E37" s="102"/>
      <c r="F37" s="102"/>
      <c r="G37" s="125"/>
    </row>
    <row r="38" spans="1:7" ht="15">
      <c r="A38" s="125">
        <f t="shared" si="0"/>
        <v>0.99999999999999989</v>
      </c>
      <c r="B38" s="102">
        <v>4.9786583520865221E-2</v>
      </c>
      <c r="C38" s="102">
        <v>1.929053249018273E-3</v>
      </c>
      <c r="D38" s="102"/>
      <c r="E38" s="102"/>
      <c r="F38" s="102"/>
      <c r="G38" s="125"/>
    </row>
    <row r="39" spans="1:7" ht="15">
      <c r="A39" s="125">
        <f t="shared" si="0"/>
        <v>1.0999999999999999</v>
      </c>
      <c r="B39" s="102">
        <v>4.9784069715466478E-2</v>
      </c>
      <c r="C39" s="102">
        <v>2.2162437986655873E-3</v>
      </c>
      <c r="D39" s="102"/>
      <c r="E39" s="102"/>
      <c r="F39" s="102"/>
      <c r="G39" s="125"/>
    </row>
    <row r="40" spans="1:7" ht="15">
      <c r="A40" s="125">
        <f t="shared" si="0"/>
        <v>1.2</v>
      </c>
      <c r="B40" s="102">
        <v>5.0626943303603719E-2</v>
      </c>
      <c r="C40" s="102">
        <v>2.5034343483129021E-3</v>
      </c>
      <c r="D40" s="102"/>
      <c r="E40" s="102"/>
      <c r="F40" s="102"/>
      <c r="G40" s="125"/>
    </row>
    <row r="41" spans="1:7" ht="15">
      <c r="A41" s="125">
        <f t="shared" si="0"/>
        <v>1.3</v>
      </c>
      <c r="B41" s="102">
        <v>5.2274327075302718E-2</v>
      </c>
      <c r="C41" s="102">
        <v>2.7906248979602164E-3</v>
      </c>
      <c r="D41" s="102"/>
      <c r="E41" s="102"/>
      <c r="F41" s="102"/>
      <c r="G41" s="125"/>
    </row>
    <row r="42" spans="1:7" ht="15">
      <c r="A42" s="125">
        <f t="shared" si="0"/>
        <v>1.4000000000000001</v>
      </c>
      <c r="B42" s="102">
        <v>5.4653519979619675E-2</v>
      </c>
      <c r="C42" s="102">
        <v>3.0778154476075311E-3</v>
      </c>
      <c r="D42" s="102"/>
      <c r="E42" s="102"/>
      <c r="F42" s="102"/>
      <c r="G42" s="125"/>
    </row>
    <row r="43" spans="1:7" ht="15">
      <c r="A43" s="125">
        <f t="shared" si="0"/>
        <v>1.5000000000000002</v>
      </c>
      <c r="B43" s="102">
        <v>5.7674026330985333E-2</v>
      </c>
      <c r="C43" s="102">
        <v>3.3650059972548463E-3</v>
      </c>
      <c r="D43" s="102"/>
      <c r="E43" s="102"/>
      <c r="F43" s="102"/>
      <c r="G43" s="125"/>
    </row>
    <row r="44" spans="1:7" ht="15">
      <c r="A44" s="125">
        <f t="shared" si="0"/>
        <v>1.6000000000000003</v>
      </c>
      <c r="B44" s="102">
        <v>6.1241027688709086E-2</v>
      </c>
      <c r="C44" s="102">
        <v>3.6521965469021606E-3</v>
      </c>
      <c r="D44" s="102"/>
      <c r="E44" s="102"/>
      <c r="F44" s="102"/>
      <c r="G44" s="125"/>
    </row>
    <row r="45" spans="1:7" ht="15">
      <c r="A45" s="125">
        <f t="shared" si="0"/>
        <v>1.7000000000000004</v>
      </c>
      <c r="B45" s="102">
        <v>6.5264980836500786E-2</v>
      </c>
      <c r="C45" s="102">
        <v>3.9393870965494749E-3</v>
      </c>
      <c r="D45" s="102"/>
      <c r="E45" s="102"/>
      <c r="F45" s="102"/>
      <c r="G45" s="125"/>
    </row>
    <row r="46" spans="1:7" ht="15">
      <c r="A46" s="125">
        <f t="shared" si="0"/>
        <v>1.8000000000000005</v>
      </c>
      <c r="B46" s="102">
        <v>6.966675008126863E-2</v>
      </c>
      <c r="C46" s="102">
        <v>4.2265776461967901E-3</v>
      </c>
      <c r="D46" s="102"/>
      <c r="E46" s="102"/>
      <c r="F46" s="102"/>
      <c r="G46" s="125"/>
    </row>
    <row r="47" spans="1:7" ht="15">
      <c r="A47" s="125">
        <f t="shared" si="0"/>
        <v>1.9000000000000006</v>
      </c>
      <c r="B47" s="102">
        <v>7.4379288126874457E-2</v>
      </c>
      <c r="C47" s="102">
        <v>4.5137681958441044E-3</v>
      </c>
      <c r="D47" s="102"/>
      <c r="E47" s="102"/>
      <c r="F47" s="102"/>
      <c r="G47" s="125"/>
    </row>
    <row r="48" spans="1:7" ht="15">
      <c r="A48" s="125">
        <f t="shared" si="0"/>
        <v>2.0000000000000004</v>
      </c>
      <c r="B48">
        <v>7.9347243365556278E-2</v>
      </c>
      <c r="C48">
        <v>4.8009587454914187E-3</v>
      </c>
    </row>
  </sheetData>
  <mergeCells count="1">
    <mergeCell ref="A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O104"/>
  <sheetViews>
    <sheetView zoomScaleNormal="100" workbookViewId="0">
      <selection activeCell="I5" sqref="I5"/>
    </sheetView>
  </sheetViews>
  <sheetFormatPr baseColWidth="10" defaultColWidth="8.6640625" defaultRowHeight="15"/>
  <cols>
    <col min="1" max="1" width="15.1640625" style="3" customWidth="1"/>
    <col min="2" max="2" width="12" style="3" bestFit="1" customWidth="1"/>
    <col min="3" max="3" width="15.6640625" style="3" customWidth="1"/>
    <col min="4" max="4" width="9.6640625" style="3" customWidth="1"/>
    <col min="5" max="5" width="12.6640625" style="3" customWidth="1"/>
    <col min="6" max="6" width="11" style="3" customWidth="1"/>
    <col min="7" max="7" width="11.6640625" style="3" customWidth="1"/>
    <col min="8" max="8" width="18.1640625" style="3" customWidth="1"/>
    <col min="9" max="9" width="8" style="3" customWidth="1"/>
    <col min="10" max="11" width="14" style="3" bestFit="1" customWidth="1"/>
    <col min="12" max="12" width="8.6640625" style="3"/>
    <col min="13" max="13" width="11.5" style="3" bestFit="1" customWidth="1"/>
    <col min="14" max="15" width="8.6640625" style="3"/>
    <col min="16" max="16" width="11.6640625" style="3" customWidth="1"/>
    <col min="17" max="16384" width="8.6640625" style="3"/>
  </cols>
  <sheetData>
    <row r="1" spans="1:10" ht="19">
      <c r="A1" s="18" t="s">
        <v>198</v>
      </c>
      <c r="B1" s="18"/>
      <c r="C1" s="18"/>
      <c r="D1" s="18"/>
      <c r="E1" s="18"/>
      <c r="F1" s="18"/>
    </row>
    <row r="3" spans="1:10" ht="32">
      <c r="A3" s="14" t="s">
        <v>199</v>
      </c>
      <c r="D3" s="79" t="s">
        <v>107</v>
      </c>
      <c r="E3" s="4" t="s">
        <v>129</v>
      </c>
      <c r="F3" s="4" t="s">
        <v>130</v>
      </c>
      <c r="H3" s="6" t="s">
        <v>200</v>
      </c>
    </row>
    <row r="4" spans="1:10">
      <c r="A4" s="6" t="s">
        <v>2</v>
      </c>
      <c r="B4" s="10">
        <f>MCM_Excel!G6</f>
        <v>-9.3265265210648682E-4</v>
      </c>
      <c r="D4" s="77" t="s">
        <v>194</v>
      </c>
      <c r="F4" s="83">
        <f>B10</f>
        <v>8.1639995574951172</v>
      </c>
      <c r="H4" s="6" t="s">
        <v>204</v>
      </c>
      <c r="I4" s="6" t="s">
        <v>108</v>
      </c>
      <c r="J4" s="15" t="s">
        <v>131</v>
      </c>
    </row>
    <row r="5" spans="1:10">
      <c r="A5" s="5" t="s">
        <v>187</v>
      </c>
      <c r="B5" s="10">
        <f>MCM_Excel!G8</f>
        <v>1.461281126311592E-2</v>
      </c>
      <c r="D5" s="77" t="s">
        <v>109</v>
      </c>
      <c r="E5" s="10" cm="1">
        <f t="array" aca="1" ref="E5" ca="1">simfactor($B$4,$B$5,$B$6,$B$7,$B$8)</f>
        <v>4.1748588386556467E-3</v>
      </c>
      <c r="F5" s="16">
        <f t="shared" ref="F5:F26" ca="1" si="0">F4*EXP(E5+$B$9)</f>
        <v>8.2000804911768146</v>
      </c>
      <c r="H5" s="3">
        <v>1</v>
      </c>
      <c r="I5" s="12">
        <f ca="1">F26</f>
        <v>8.1774847879711743</v>
      </c>
      <c r="J5" s="15" t="s">
        <v>132</v>
      </c>
    </row>
    <row r="6" spans="1:10" ht="16">
      <c r="A6" s="9" t="s">
        <v>1</v>
      </c>
      <c r="B6" s="10">
        <f>MCM_Excel!G7</f>
        <v>0.63494706155232139</v>
      </c>
      <c r="D6" s="77" t="s">
        <v>110</v>
      </c>
      <c r="E6" s="10" cm="1">
        <f t="array" aca="1" ref="E6" ca="1">simfactor($B$4,$B$5,$B$6,$B$7,$B$8)</f>
        <v>-8.67680289329123E-3</v>
      </c>
      <c r="F6" s="16">
        <f t="shared" ca="1" si="0"/>
        <v>8.1311477475896972</v>
      </c>
      <c r="H6" s="3">
        <v>2</v>
      </c>
      <c r="I6" s="16">
        <f t="dataTable" ref="I6:I24" dt2D="0" dtr="0" r1="A1" ca="1"/>
        <v>7.7267002238904077</v>
      </c>
      <c r="J6" s="15" t="s">
        <v>133</v>
      </c>
    </row>
    <row r="7" spans="1:10">
      <c r="A7" s="6" t="s">
        <v>188</v>
      </c>
      <c r="B7" s="10">
        <f>MCM_Excel!G4</f>
        <v>5.2133637565141043E-4</v>
      </c>
      <c r="D7" s="77" t="s">
        <v>111</v>
      </c>
      <c r="E7" s="10" cm="1">
        <f t="array" aca="1" ref="E7" ca="1">simfactor($B$4,$B$5,$B$6,$B$7,$B$8)</f>
        <v>5.4451790979447206E-3</v>
      </c>
      <c r="F7" s="16">
        <f t="shared" ca="1" si="0"/>
        <v>8.1774648962209486</v>
      </c>
      <c r="H7" s="3">
        <v>3</v>
      </c>
      <c r="I7" s="16">
        <v>8.3243250619252418</v>
      </c>
    </row>
    <row r="8" spans="1:10">
      <c r="A8" s="6" t="s">
        <v>189</v>
      </c>
      <c r="B8" s="10">
        <f>MCM_Excel!G5</f>
        <v>1.626451075207656E-2</v>
      </c>
      <c r="D8" s="77" t="s">
        <v>112</v>
      </c>
      <c r="E8" s="10" cm="1">
        <f t="array" aca="1" ref="E8" ca="1">simfactor($B$4,$B$5,$B$6,$B$7,$B$8)</f>
        <v>2.7175592307891287E-3</v>
      </c>
      <c r="F8" s="16">
        <f t="shared" ca="1" si="0"/>
        <v>8.2016443738253333</v>
      </c>
      <c r="H8" s="3">
        <v>4</v>
      </c>
      <c r="I8" s="16">
        <v>7.4369712682333367</v>
      </c>
    </row>
    <row r="9" spans="1:10">
      <c r="A9" s="6" t="s">
        <v>195</v>
      </c>
      <c r="B9" s="10">
        <f>MCM_Excel!G9</f>
        <v>2.349206349206349E-4</v>
      </c>
      <c r="C9" s="82" t="s">
        <v>205</v>
      </c>
      <c r="D9" s="77" t="s">
        <v>113</v>
      </c>
      <c r="E9" s="10" cm="1">
        <f t="array" aca="1" ref="E9" ca="1">simfactor($B$4,$B$5,$B$6,$B$7,$B$8)</f>
        <v>-5.4236427463386413E-3</v>
      </c>
      <c r="F9" s="16">
        <f t="shared" ca="1" si="0"/>
        <v>8.1591985353732923</v>
      </c>
      <c r="H9" s="3">
        <v>5</v>
      </c>
      <c r="I9" s="16">
        <v>8.8574822611613566</v>
      </c>
    </row>
    <row r="10" spans="1:10">
      <c r="A10" s="6" t="s">
        <v>134</v>
      </c>
      <c r="B10" s="16">
        <f>MCM_Excel!G10</f>
        <v>8.1639995574951172</v>
      </c>
      <c r="C10" s="82" t="s">
        <v>205</v>
      </c>
      <c r="D10" s="77" t="s">
        <v>114</v>
      </c>
      <c r="E10" s="10" cm="1">
        <f t="array" aca="1" ref="E10" ca="1">simfactor($B$4,$B$5,$B$6,$B$7,$B$8)</f>
        <v>-9.8505499509321699E-3</v>
      </c>
      <c r="F10" s="16">
        <f t="shared" ca="1" si="0"/>
        <v>8.0811187017164681</v>
      </c>
      <c r="H10" s="3">
        <v>6</v>
      </c>
      <c r="I10" s="16">
        <v>7.7183631195259093</v>
      </c>
    </row>
    <row r="11" spans="1:10">
      <c r="D11" s="77" t="s">
        <v>115</v>
      </c>
      <c r="E11" s="10" cm="1">
        <f t="array" aca="1" ref="E11" ca="1">simfactor($B$4,$B$5,$B$6,$B$7,$B$8)</f>
        <v>-3.1348876701966805E-4</v>
      </c>
      <c r="F11" s="16">
        <f t="shared" ca="1" si="0"/>
        <v>8.0804838082563268</v>
      </c>
      <c r="H11" s="3">
        <v>7</v>
      </c>
      <c r="I11" s="16">
        <v>7.7681468359593486</v>
      </c>
    </row>
    <row r="12" spans="1:10">
      <c r="D12" s="77" t="s">
        <v>116</v>
      </c>
      <c r="E12" s="10" cm="1">
        <f t="array" aca="1" ref="E12" ca="1">simfactor($B$4,$B$5,$B$6,$B$7,$B$8)</f>
        <v>2.6291124036203435E-2</v>
      </c>
      <c r="F12" s="16">
        <f t="shared" ca="1" si="0"/>
        <v>8.2976952263662778</v>
      </c>
      <c r="H12" s="3">
        <v>8</v>
      </c>
      <c r="I12" s="16">
        <v>7.8520177744465736</v>
      </c>
    </row>
    <row r="13" spans="1:10">
      <c r="D13" s="77" t="s">
        <v>117</v>
      </c>
      <c r="E13" s="10" cm="1">
        <f t="array" aca="1" ref="E13" ca="1">simfactor($B$4,$B$5,$B$6,$B$7,$B$8)</f>
        <v>-9.0521459550004062E-3</v>
      </c>
      <c r="F13" s="16">
        <f t="shared" ca="1" si="0"/>
        <v>8.2248541777959527</v>
      </c>
      <c r="H13" s="3">
        <v>9</v>
      </c>
      <c r="I13" s="16">
        <v>8.254911361603174</v>
      </c>
    </row>
    <row r="14" spans="1:10">
      <c r="D14" s="77" t="s">
        <v>118</v>
      </c>
      <c r="E14" s="10" cm="1">
        <f t="array" aca="1" ref="E14" ca="1">simfactor($B$4,$B$5,$B$6,$B$7,$B$8)</f>
        <v>1.9283376312492367E-2</v>
      </c>
      <c r="F14" s="16">
        <f t="shared" ca="1" si="0"/>
        <v>8.3869662532629636</v>
      </c>
      <c r="H14" s="3">
        <v>10</v>
      </c>
      <c r="I14" s="16">
        <v>8.3161741546660668</v>
      </c>
    </row>
    <row r="15" spans="1:10">
      <c r="D15" s="77" t="s">
        <v>119</v>
      </c>
      <c r="E15" s="10" cm="1">
        <f t="array" aca="1" ref="E15" ca="1">simfactor($B$4,$B$5,$B$6,$B$7,$B$8)</f>
        <v>3.0450272836561564E-2</v>
      </c>
      <c r="F15" s="16">
        <f t="shared" ca="1" si="0"/>
        <v>8.6483111384367639</v>
      </c>
      <c r="H15" s="3">
        <v>11</v>
      </c>
      <c r="I15" s="16">
        <v>8.2017150363251492</v>
      </c>
    </row>
    <row r="16" spans="1:10">
      <c r="D16" s="77" t="s">
        <v>120</v>
      </c>
      <c r="E16" s="10" cm="1">
        <f t="array" aca="1" ref="E16" ca="1">simfactor($B$4,$B$5,$B$6,$B$7,$B$8)</f>
        <v>1.3715865245824996E-2</v>
      </c>
      <c r="F16" s="16">
        <f t="shared" ca="1" si="0"/>
        <v>8.7698073889421035</v>
      </c>
      <c r="H16" s="3">
        <v>12</v>
      </c>
      <c r="I16" s="16">
        <v>7.5293249650312113</v>
      </c>
    </row>
    <row r="17" spans="4:9">
      <c r="D17" s="77" t="s">
        <v>121</v>
      </c>
      <c r="E17" s="10" cm="1">
        <f t="array" aca="1" ref="E17" ca="1">simfactor($B$4,$B$5,$B$6,$B$7,$B$8)</f>
        <v>-1.6424243497024728E-2</v>
      </c>
      <c r="F17" s="16">
        <f t="shared" ca="1" si="0"/>
        <v>8.6289732265178323</v>
      </c>
      <c r="H17" s="3">
        <v>13</v>
      </c>
      <c r="I17" s="16">
        <v>7.8611255013180674</v>
      </c>
    </row>
    <row r="18" spans="4:9">
      <c r="D18" s="77" t="s">
        <v>122</v>
      </c>
      <c r="E18" s="10" cm="1">
        <f t="array" aca="1" ref="E18" ca="1">simfactor($B$4,$B$5,$B$6,$B$7,$B$8)</f>
        <v>2.2066449611836871E-3</v>
      </c>
      <c r="F18" s="16">
        <f t="shared" ca="1" si="0"/>
        <v>8.6500671713235224</v>
      </c>
      <c r="H18" s="3">
        <v>14</v>
      </c>
      <c r="I18" s="16">
        <v>8.4454331172764263</v>
      </c>
    </row>
    <row r="19" spans="4:9">
      <c r="D19" s="77" t="s">
        <v>123</v>
      </c>
      <c r="E19" s="10" cm="1">
        <f t="array" aca="1" ref="E19" ca="1">simfactor($B$4,$B$5,$B$6,$B$7,$B$8)</f>
        <v>-3.0846278306111564E-2</v>
      </c>
      <c r="F19" s="16">
        <f t="shared" ca="1" si="0"/>
        <v>8.389288627245131</v>
      </c>
      <c r="H19" s="3">
        <v>15</v>
      </c>
      <c r="I19" s="16">
        <v>8.4135454229819402</v>
      </c>
    </row>
    <row r="20" spans="4:9">
      <c r="D20" s="77" t="s">
        <v>124</v>
      </c>
      <c r="E20" s="10" cm="1">
        <f t="array" aca="1" ref="E20" ca="1">simfactor($B$4,$B$5,$B$6,$B$7,$B$8)</f>
        <v>3.1528787317163146E-2</v>
      </c>
      <c r="F20" s="16">
        <f t="shared" ca="1" si="0"/>
        <v>8.6600408241252662</v>
      </c>
      <c r="H20" s="3">
        <v>16</v>
      </c>
      <c r="I20" s="16">
        <v>7.7349894410013302</v>
      </c>
    </row>
    <row r="21" spans="4:9">
      <c r="D21" s="77" t="s">
        <v>125</v>
      </c>
      <c r="E21" s="10" cm="1">
        <f t="array" aca="1" ref="E21" ca="1">simfactor($B$4,$B$5,$B$6,$B$7,$B$8)</f>
        <v>-1.9578613243801234E-2</v>
      </c>
      <c r="F21" s="16">
        <f t="shared" ca="1" si="0"/>
        <v>8.4941334601822049</v>
      </c>
      <c r="H21" s="3">
        <v>17</v>
      </c>
      <c r="I21" s="16">
        <v>8.5142534075749943</v>
      </c>
    </row>
    <row r="22" spans="4:9">
      <c r="D22" s="77" t="s">
        <v>126</v>
      </c>
      <c r="E22" s="10" cm="1">
        <f t="array" aca="1" ref="E22" ca="1">simfactor($B$4,$B$5,$B$6,$B$7,$B$8)</f>
        <v>8.1736046454335999E-3</v>
      </c>
      <c r="F22" s="16">
        <f t="shared" ca="1" si="0"/>
        <v>8.5658577211529945</v>
      </c>
      <c r="H22" s="3">
        <v>18</v>
      </c>
      <c r="I22" s="16">
        <v>7.687767219661847</v>
      </c>
    </row>
    <row r="23" spans="4:9">
      <c r="D23" s="77" t="s">
        <v>127</v>
      </c>
      <c r="E23" s="10" cm="1">
        <f t="array" aca="1" ref="E23" ca="1">simfactor($B$4,$B$5,$B$6,$B$7,$B$8)</f>
        <v>-2.1223356586837081E-2</v>
      </c>
      <c r="F23" s="16">
        <f t="shared" ca="1" si="0"/>
        <v>8.3879473264221058</v>
      </c>
      <c r="H23" s="3">
        <v>19</v>
      </c>
      <c r="I23" s="16">
        <v>7.7399937069636806</v>
      </c>
    </row>
    <row r="24" spans="4:9">
      <c r="D24" s="77" t="s">
        <v>128</v>
      </c>
      <c r="E24" s="10" cm="1">
        <f t="array" aca="1" ref="E24" ca="1">simfactor($B$4,$B$5,$B$6,$B$7,$B$8)</f>
        <v>4.9125772403471437E-3</v>
      </c>
      <c r="F24" s="16">
        <f t="shared" ca="1" si="0"/>
        <v>8.4312355849891389</v>
      </c>
      <c r="H24" s="3">
        <v>20</v>
      </c>
      <c r="I24" s="16">
        <v>8.159509402538383</v>
      </c>
    </row>
    <row r="25" spans="4:9">
      <c r="D25" s="77" t="s">
        <v>183</v>
      </c>
      <c r="E25" s="10" cm="1">
        <f t="array" aca="1" ref="E25" ca="1">simfactor($B$4,$B$5,$B$6,$B$7,$B$8)</f>
        <v>-1.4236279444905757E-2</v>
      </c>
      <c r="F25" s="16">
        <f t="shared" ca="1" si="0"/>
        <v>8.3140094082927671</v>
      </c>
      <c r="I25" s="16"/>
    </row>
    <row r="26" spans="4:9">
      <c r="D26" s="77" t="s">
        <v>184</v>
      </c>
      <c r="E26" s="10" cm="1">
        <f t="array" aca="1" ref="E26" ca="1">simfactor($B$4,$B$5,$B$6,$B$7,$B$8)</f>
        <v>-1.6792272886301366E-2</v>
      </c>
      <c r="F26" s="12">
        <f t="shared" ca="1" si="0"/>
        <v>8.1774847879711743</v>
      </c>
      <c r="I26" s="16"/>
    </row>
    <row r="27" spans="4:9">
      <c r="I27" s="16"/>
    </row>
    <row r="28" spans="4:9">
      <c r="I28" s="16"/>
    </row>
    <row r="29" spans="4:9">
      <c r="I29" s="16"/>
    </row>
    <row r="30" spans="4:9">
      <c r="I30" s="16"/>
    </row>
    <row r="31" spans="4:9">
      <c r="I31" s="16"/>
    </row>
    <row r="32" spans="4:9">
      <c r="I32" s="16"/>
    </row>
    <row r="33" spans="9:9">
      <c r="I33" s="16"/>
    </row>
    <row r="34" spans="9:9">
      <c r="I34" s="16"/>
    </row>
    <row r="35" spans="9:9">
      <c r="I35" s="16"/>
    </row>
    <row r="36" spans="9:9">
      <c r="I36" s="16"/>
    </row>
    <row r="37" spans="9:9">
      <c r="I37" s="16"/>
    </row>
    <row r="38" spans="9:9">
      <c r="I38" s="16"/>
    </row>
    <row r="39" spans="9:9">
      <c r="I39" s="16"/>
    </row>
    <row r="40" spans="9:9">
      <c r="I40" s="16"/>
    </row>
    <row r="41" spans="9:9">
      <c r="I41" s="16"/>
    </row>
    <row r="42" spans="9:9">
      <c r="I42" s="16"/>
    </row>
    <row r="43" spans="9:9">
      <c r="I43" s="16"/>
    </row>
    <row r="44" spans="9:9">
      <c r="I44" s="16"/>
    </row>
    <row r="45" spans="9:9">
      <c r="I45" s="16"/>
    </row>
    <row r="46" spans="9:9">
      <c r="I46" s="16"/>
    </row>
    <row r="47" spans="9:9">
      <c r="I47" s="16"/>
    </row>
    <row r="48" spans="9:9">
      <c r="I48" s="16"/>
    </row>
    <row r="49" spans="9:9">
      <c r="I49" s="16"/>
    </row>
    <row r="50" spans="9:9">
      <c r="I50" s="16"/>
    </row>
    <row r="51" spans="9:9">
      <c r="I51" s="16"/>
    </row>
    <row r="52" spans="9:9">
      <c r="I52" s="16"/>
    </row>
    <row r="53" spans="9:9">
      <c r="I53" s="16"/>
    </row>
    <row r="54" spans="9:9">
      <c r="I54" s="16"/>
    </row>
    <row r="55" spans="9:9">
      <c r="I55" s="16"/>
    </row>
    <row r="56" spans="9:9">
      <c r="I56" s="16"/>
    </row>
    <row r="57" spans="9:9">
      <c r="I57" s="16"/>
    </row>
    <row r="58" spans="9:9">
      <c r="I58" s="16"/>
    </row>
    <row r="59" spans="9:9">
      <c r="I59" s="16"/>
    </row>
    <row r="60" spans="9:9">
      <c r="I60" s="16"/>
    </row>
    <row r="61" spans="9:9">
      <c r="I61" s="16"/>
    </row>
    <row r="62" spans="9:9">
      <c r="I62" s="16"/>
    </row>
    <row r="63" spans="9:9">
      <c r="I63" s="16"/>
    </row>
    <row r="64" spans="9:9">
      <c r="I64" s="16"/>
    </row>
    <row r="65" spans="9:15">
      <c r="I65" s="16"/>
    </row>
    <row r="66" spans="9:15">
      <c r="I66" s="16"/>
    </row>
    <row r="67" spans="9:15">
      <c r="I67" s="16"/>
      <c r="N67" s="11"/>
      <c r="O67" s="11"/>
    </row>
    <row r="68" spans="9:15">
      <c r="I68" s="16"/>
      <c r="N68" s="11"/>
      <c r="O68" s="11"/>
    </row>
    <row r="69" spans="9:15">
      <c r="I69" s="16"/>
      <c r="N69" s="11"/>
      <c r="O69" s="11"/>
    </row>
    <row r="70" spans="9:15">
      <c r="I70" s="16"/>
      <c r="N70" s="11"/>
      <c r="O70" s="11"/>
    </row>
    <row r="71" spans="9:15">
      <c r="I71" s="16"/>
      <c r="N71" s="11"/>
      <c r="O71" s="11"/>
    </row>
    <row r="72" spans="9:15">
      <c r="I72" s="16"/>
      <c r="N72" s="11"/>
      <c r="O72" s="11"/>
    </row>
    <row r="73" spans="9:15">
      <c r="I73" s="16"/>
      <c r="N73" s="11"/>
      <c r="O73" s="11"/>
    </row>
    <row r="74" spans="9:15">
      <c r="I74" s="16"/>
      <c r="N74" s="11"/>
      <c r="O74" s="11"/>
    </row>
    <row r="75" spans="9:15">
      <c r="I75" s="16"/>
      <c r="N75" s="11"/>
      <c r="O75" s="11"/>
    </row>
    <row r="76" spans="9:15">
      <c r="I76" s="16"/>
      <c r="N76" s="11"/>
      <c r="O76" s="11"/>
    </row>
    <row r="77" spans="9:15">
      <c r="I77" s="16"/>
      <c r="N77" s="11"/>
      <c r="O77" s="11"/>
    </row>
    <row r="78" spans="9:15">
      <c r="I78" s="16"/>
      <c r="N78" s="11"/>
      <c r="O78" s="11"/>
    </row>
    <row r="79" spans="9:15">
      <c r="I79" s="16"/>
      <c r="N79" s="11"/>
      <c r="O79" s="11"/>
    </row>
    <row r="80" spans="9:15">
      <c r="I80" s="16"/>
      <c r="N80" s="11"/>
      <c r="O80" s="11"/>
    </row>
    <row r="81" spans="9:15">
      <c r="I81" s="16"/>
      <c r="N81" s="11"/>
      <c r="O81" s="11"/>
    </row>
    <row r="82" spans="9:15">
      <c r="I82" s="16"/>
      <c r="N82" s="11"/>
      <c r="O82" s="11"/>
    </row>
    <row r="83" spans="9:15">
      <c r="I83" s="16"/>
      <c r="N83" s="11"/>
      <c r="O83" s="11"/>
    </row>
    <row r="84" spans="9:15">
      <c r="I84" s="16"/>
      <c r="N84" s="11"/>
      <c r="O84" s="11"/>
    </row>
    <row r="85" spans="9:15">
      <c r="I85" s="16"/>
      <c r="N85" s="11"/>
      <c r="O85" s="11"/>
    </row>
    <row r="86" spans="9:15">
      <c r="I86" s="16"/>
      <c r="N86" s="11"/>
      <c r="O86" s="11"/>
    </row>
    <row r="87" spans="9:15">
      <c r="I87" s="16"/>
      <c r="N87" s="11"/>
      <c r="O87" s="11"/>
    </row>
    <row r="88" spans="9:15">
      <c r="I88" s="16"/>
      <c r="N88" s="11"/>
      <c r="O88" s="11"/>
    </row>
    <row r="89" spans="9:15">
      <c r="I89" s="16"/>
      <c r="N89" s="11"/>
      <c r="O89" s="11"/>
    </row>
    <row r="90" spans="9:15">
      <c r="I90" s="16"/>
      <c r="N90" s="11"/>
      <c r="O90" s="11"/>
    </row>
    <row r="91" spans="9:15">
      <c r="I91" s="16"/>
      <c r="N91" s="11"/>
      <c r="O91" s="11"/>
    </row>
    <row r="92" spans="9:15">
      <c r="I92" s="16"/>
      <c r="N92" s="11"/>
      <c r="O92" s="11"/>
    </row>
    <row r="93" spans="9:15">
      <c r="I93" s="16"/>
      <c r="N93" s="11"/>
      <c r="O93" s="11"/>
    </row>
    <row r="94" spans="9:15">
      <c r="I94" s="16"/>
      <c r="N94" s="11"/>
      <c r="O94" s="11"/>
    </row>
    <row r="95" spans="9:15">
      <c r="I95" s="16"/>
      <c r="N95" s="11"/>
      <c r="O95" s="11"/>
    </row>
    <row r="96" spans="9:15">
      <c r="I96" s="16"/>
      <c r="N96" s="11"/>
      <c r="O96" s="11"/>
    </row>
    <row r="97" spans="9:15">
      <c r="I97" s="16"/>
      <c r="N97" s="11"/>
      <c r="O97" s="11"/>
    </row>
    <row r="98" spans="9:15">
      <c r="I98" s="16"/>
      <c r="N98" s="11"/>
      <c r="O98" s="11"/>
    </row>
    <row r="99" spans="9:15">
      <c r="I99" s="16"/>
      <c r="N99" s="11"/>
      <c r="O99" s="11"/>
    </row>
    <row r="100" spans="9:15">
      <c r="I100" s="16"/>
      <c r="N100" s="11"/>
      <c r="O100" s="11"/>
    </row>
    <row r="101" spans="9:15">
      <c r="I101" s="16"/>
      <c r="N101" s="11"/>
      <c r="O101" s="11"/>
    </row>
    <row r="102" spans="9:15">
      <c r="I102" s="16"/>
      <c r="N102" s="11"/>
      <c r="O102" s="11"/>
    </row>
    <row r="103" spans="9:15">
      <c r="I103" s="16"/>
      <c r="N103" s="11"/>
      <c r="O103" s="11"/>
    </row>
    <row r="104" spans="9:15">
      <c r="I104" s="16"/>
      <c r="N104" s="11"/>
      <c r="O104" s="11"/>
    </row>
  </sheetData>
  <phoneticPr fontId="30" type="noConversion"/>
  <pageMargins left="0.7" right="0.7" top="0.75" bottom="0.75" header="0.3" footer="0.3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F21D2-B0A8-4E25-BF3A-E8F31635FA78}">
  <sheetPr codeName="Sheet7"/>
  <dimension ref="A1:C10013"/>
  <sheetViews>
    <sheetView workbookViewId="0">
      <selection activeCell="B14" sqref="B14"/>
    </sheetView>
  </sheetViews>
  <sheetFormatPr baseColWidth="10" defaultColWidth="8.6640625" defaultRowHeight="15"/>
  <cols>
    <col min="1" max="1" width="16" style="32" customWidth="1"/>
    <col min="2" max="2" width="12.1640625" style="32" customWidth="1"/>
    <col min="3" max="16384" width="8.6640625" style="32"/>
  </cols>
  <sheetData>
    <row r="1" spans="1:3" s="88" customFormat="1" ht="19">
      <c r="A1" s="18" t="s">
        <v>209</v>
      </c>
    </row>
    <row r="3" spans="1:3">
      <c r="A3" s="14" t="s">
        <v>208</v>
      </c>
      <c r="B3" s="3"/>
      <c r="C3" s="3"/>
    </row>
    <row r="4" spans="1:3">
      <c r="A4" s="6" t="s">
        <v>2</v>
      </c>
      <c r="B4" s="10">
        <f>MCM_Excel!G6</f>
        <v>-9.3265265210648682E-4</v>
      </c>
      <c r="C4" s="3"/>
    </row>
    <row r="5" spans="1:3">
      <c r="A5" s="5" t="s">
        <v>187</v>
      </c>
      <c r="B5" s="10">
        <f>MCM_Excel!G8</f>
        <v>1.461281126311592E-2</v>
      </c>
      <c r="C5" s="3"/>
    </row>
    <row r="6" spans="1:3" ht="16">
      <c r="A6" s="9" t="s">
        <v>1</v>
      </c>
      <c r="B6" s="10">
        <f>MCM_Excel!G7</f>
        <v>0.63494706155232139</v>
      </c>
      <c r="C6" s="3"/>
    </row>
    <row r="7" spans="1:3">
      <c r="A7" s="6" t="s">
        <v>188</v>
      </c>
      <c r="B7" s="10">
        <f>MCM_Excel!G4</f>
        <v>5.2133637565141043E-4</v>
      </c>
      <c r="C7" s="3"/>
    </row>
    <row r="8" spans="1:3">
      <c r="A8" s="6" t="s">
        <v>189</v>
      </c>
      <c r="B8" s="10">
        <f>MCM_Excel!G5</f>
        <v>1.626451075207656E-2</v>
      </c>
      <c r="C8" s="3"/>
    </row>
    <row r="9" spans="1:3">
      <c r="A9" s="6" t="s">
        <v>195</v>
      </c>
      <c r="B9" s="10">
        <f>MCM_Excel!G9</f>
        <v>2.349206349206349E-4</v>
      </c>
      <c r="C9" s="82" t="s">
        <v>205</v>
      </c>
    </row>
    <row r="10" spans="1:3">
      <c r="A10" s="6" t="s">
        <v>134</v>
      </c>
      <c r="B10" s="16">
        <f>MCM_Excel!G10</f>
        <v>8.1639995574951172</v>
      </c>
      <c r="C10" s="82" t="s">
        <v>205</v>
      </c>
    </row>
    <row r="12" spans="1:3">
      <c r="A12" s="89" t="s">
        <v>206</v>
      </c>
    </row>
    <row r="13" spans="1:3" ht="32">
      <c r="A13" s="39" t="s">
        <v>207</v>
      </c>
      <c r="B13" s="4" t="s">
        <v>130</v>
      </c>
    </row>
    <row r="14" spans="1:3">
      <c r="A14" s="32">
        <v>1</v>
      </c>
      <c r="B14" s="90">
        <v>8.4111718463927048</v>
      </c>
    </row>
    <row r="15" spans="1:3">
      <c r="A15" s="32">
        <v>2</v>
      </c>
      <c r="B15" s="90">
        <v>9.062859186095233</v>
      </c>
    </row>
    <row r="16" spans="1:3">
      <c r="A16" s="32">
        <v>3</v>
      </c>
      <c r="B16" s="90">
        <v>7.6489001164408474</v>
      </c>
    </row>
    <row r="17" spans="1:2">
      <c r="A17" s="32">
        <v>4</v>
      </c>
      <c r="B17" s="90">
        <v>7.064953444715246</v>
      </c>
    </row>
    <row r="18" spans="1:2">
      <c r="A18" s="32">
        <v>5</v>
      </c>
      <c r="B18" s="90">
        <v>7.4386142325183968</v>
      </c>
    </row>
    <row r="19" spans="1:2">
      <c r="A19" s="32">
        <v>6</v>
      </c>
      <c r="B19" s="90">
        <v>8.5358343175115259</v>
      </c>
    </row>
    <row r="20" spans="1:2">
      <c r="A20" s="32">
        <v>7</v>
      </c>
      <c r="B20" s="90">
        <v>7.6885706566379426</v>
      </c>
    </row>
    <row r="21" spans="1:2">
      <c r="A21" s="32">
        <v>8</v>
      </c>
      <c r="B21" s="90">
        <v>8.7997629879585926</v>
      </c>
    </row>
    <row r="22" spans="1:2">
      <c r="A22" s="32">
        <v>9</v>
      </c>
      <c r="B22" s="90">
        <v>8.7834582276921314</v>
      </c>
    </row>
    <row r="23" spans="1:2">
      <c r="A23" s="32">
        <v>10</v>
      </c>
      <c r="B23" s="90">
        <v>8.755570994916722</v>
      </c>
    </row>
    <row r="24" spans="1:2">
      <c r="A24" s="32">
        <v>11</v>
      </c>
      <c r="B24" s="90">
        <v>7.8340853170774087</v>
      </c>
    </row>
    <row r="25" spans="1:2">
      <c r="A25" s="32">
        <v>12</v>
      </c>
      <c r="B25" s="90">
        <v>7.4786121596540989</v>
      </c>
    </row>
    <row r="26" spans="1:2">
      <c r="A26" s="32">
        <v>13</v>
      </c>
      <c r="B26" s="90">
        <v>7.3228577320415047</v>
      </c>
    </row>
    <row r="27" spans="1:2">
      <c r="A27" s="32">
        <v>14</v>
      </c>
      <c r="B27" s="90">
        <v>7.1887876286994254</v>
      </c>
    </row>
    <row r="28" spans="1:2">
      <c r="A28" s="32">
        <v>15</v>
      </c>
      <c r="B28" s="90">
        <v>9.6105854159969777</v>
      </c>
    </row>
    <row r="29" spans="1:2">
      <c r="A29" s="32">
        <v>16</v>
      </c>
      <c r="B29" s="90">
        <v>7.7055136721049857</v>
      </c>
    </row>
    <row r="30" spans="1:2">
      <c r="A30" s="32">
        <v>17</v>
      </c>
      <c r="B30" s="90">
        <v>8.9327774886332207</v>
      </c>
    </row>
    <row r="31" spans="1:2">
      <c r="A31" s="32">
        <v>18</v>
      </c>
      <c r="B31" s="90">
        <v>8.4904811258762489</v>
      </c>
    </row>
    <row r="32" spans="1:2">
      <c r="A32" s="32">
        <v>19</v>
      </c>
      <c r="B32" s="90">
        <v>7.5786353918376301</v>
      </c>
    </row>
    <row r="33" spans="1:2">
      <c r="A33" s="32">
        <v>20</v>
      </c>
      <c r="B33" s="90">
        <v>7.6682118654730616</v>
      </c>
    </row>
    <row r="34" spans="1:2">
      <c r="A34" s="32">
        <v>21</v>
      </c>
      <c r="B34" s="90">
        <v>7.8164029112729523</v>
      </c>
    </row>
    <row r="35" spans="1:2">
      <c r="A35" s="32">
        <v>22</v>
      </c>
      <c r="B35" s="90">
        <v>8.3929392084580279</v>
      </c>
    </row>
    <row r="36" spans="1:2">
      <c r="A36" s="32">
        <v>23</v>
      </c>
      <c r="B36" s="90">
        <v>8.1528957775322333</v>
      </c>
    </row>
    <row r="37" spans="1:2">
      <c r="A37" s="32">
        <v>24</v>
      </c>
      <c r="B37" s="90">
        <v>7.527832297483374</v>
      </c>
    </row>
    <row r="38" spans="1:2">
      <c r="A38" s="32">
        <v>25</v>
      </c>
      <c r="B38" s="90">
        <v>7.6743366846936736</v>
      </c>
    </row>
    <row r="39" spans="1:2">
      <c r="A39" s="32">
        <v>26</v>
      </c>
      <c r="B39" s="90">
        <v>7.7593475790441833</v>
      </c>
    </row>
    <row r="40" spans="1:2">
      <c r="A40" s="32">
        <v>27</v>
      </c>
      <c r="B40" s="90">
        <v>9.0325679677172772</v>
      </c>
    </row>
    <row r="41" spans="1:2">
      <c r="A41" s="32">
        <v>28</v>
      </c>
      <c r="B41" s="90">
        <v>7.7383490246121784</v>
      </c>
    </row>
    <row r="42" spans="1:2">
      <c r="A42" s="32">
        <v>29</v>
      </c>
      <c r="B42" s="90">
        <v>7.684010274589351</v>
      </c>
    </row>
    <row r="43" spans="1:2">
      <c r="A43" s="32">
        <v>30</v>
      </c>
      <c r="B43" s="90">
        <v>8.3857459631246201</v>
      </c>
    </row>
    <row r="44" spans="1:2">
      <c r="A44" s="32">
        <v>31</v>
      </c>
      <c r="B44" s="90">
        <v>8.3537874615255134</v>
      </c>
    </row>
    <row r="45" spans="1:2">
      <c r="A45" s="32">
        <v>32</v>
      </c>
      <c r="B45" s="90">
        <v>8.9104429178908831</v>
      </c>
    </row>
    <row r="46" spans="1:2">
      <c r="A46" s="32">
        <v>33</v>
      </c>
      <c r="B46" s="90">
        <v>8.2824806191105154</v>
      </c>
    </row>
    <row r="47" spans="1:2">
      <c r="A47" s="32">
        <v>34</v>
      </c>
      <c r="B47" s="90">
        <v>7.9763213561140516</v>
      </c>
    </row>
    <row r="48" spans="1:2">
      <c r="A48" s="32">
        <v>35</v>
      </c>
      <c r="B48" s="90">
        <v>7.2686086819034372</v>
      </c>
    </row>
    <row r="49" spans="1:2">
      <c r="A49" s="32">
        <v>36</v>
      </c>
      <c r="B49" s="90">
        <v>8.7870759445160687</v>
      </c>
    </row>
    <row r="50" spans="1:2">
      <c r="A50" s="32">
        <v>37</v>
      </c>
      <c r="B50" s="90">
        <v>8.0955628659109635</v>
      </c>
    </row>
    <row r="51" spans="1:2">
      <c r="A51" s="32">
        <v>38</v>
      </c>
      <c r="B51" s="90">
        <v>7.8735513641756398</v>
      </c>
    </row>
    <row r="52" spans="1:2">
      <c r="A52" s="32">
        <v>39</v>
      </c>
      <c r="B52" s="90">
        <v>9.7752294504424295</v>
      </c>
    </row>
    <row r="53" spans="1:2">
      <c r="A53" s="32">
        <v>40</v>
      </c>
      <c r="B53" s="90">
        <v>8.4462741802045809</v>
      </c>
    </row>
    <row r="54" spans="1:2">
      <c r="A54" s="32">
        <v>41</v>
      </c>
      <c r="B54" s="90">
        <v>7.8230479928712739</v>
      </c>
    </row>
    <row r="55" spans="1:2">
      <c r="A55" s="32">
        <v>42</v>
      </c>
      <c r="B55" s="90">
        <v>8.4991631219202581</v>
      </c>
    </row>
    <row r="56" spans="1:2">
      <c r="A56" s="32">
        <v>43</v>
      </c>
      <c r="B56" s="90">
        <v>7.1043708992337642</v>
      </c>
    </row>
    <row r="57" spans="1:2">
      <c r="A57" s="32">
        <v>44</v>
      </c>
      <c r="B57" s="90">
        <v>7.3447724158451777</v>
      </c>
    </row>
    <row r="58" spans="1:2">
      <c r="A58" s="32">
        <v>45</v>
      </c>
      <c r="B58" s="90">
        <v>8.7791718968722154</v>
      </c>
    </row>
    <row r="59" spans="1:2">
      <c r="A59" s="32">
        <v>46</v>
      </c>
      <c r="B59" s="90">
        <v>7.5390099442660903</v>
      </c>
    </row>
    <row r="60" spans="1:2">
      <c r="A60" s="32">
        <v>47</v>
      </c>
      <c r="B60" s="90">
        <v>7.8000414330165464</v>
      </c>
    </row>
    <row r="61" spans="1:2">
      <c r="A61" s="32">
        <v>48</v>
      </c>
      <c r="B61" s="90">
        <v>8.747046849898215</v>
      </c>
    </row>
    <row r="62" spans="1:2">
      <c r="A62" s="32">
        <v>49</v>
      </c>
      <c r="B62" s="90">
        <v>8.3147490120473382</v>
      </c>
    </row>
    <row r="63" spans="1:2">
      <c r="A63" s="32">
        <v>50</v>
      </c>
      <c r="B63" s="90">
        <v>7.9581107473973054</v>
      </c>
    </row>
    <row r="64" spans="1:2">
      <c r="A64" s="32">
        <v>51</v>
      </c>
      <c r="B64" s="90">
        <v>8.2271502100912226</v>
      </c>
    </row>
    <row r="65" spans="1:2">
      <c r="A65" s="32">
        <v>52</v>
      </c>
      <c r="B65" s="90">
        <v>7.4671396390280469</v>
      </c>
    </row>
    <row r="66" spans="1:2">
      <c r="A66" s="32">
        <v>53</v>
      </c>
      <c r="B66" s="90">
        <v>9.1974542299844675</v>
      </c>
    </row>
    <row r="67" spans="1:2">
      <c r="A67" s="32">
        <v>54</v>
      </c>
      <c r="B67" s="90">
        <v>7.4200283522424462</v>
      </c>
    </row>
    <row r="68" spans="1:2">
      <c r="A68" s="32">
        <v>55</v>
      </c>
      <c r="B68" s="90">
        <v>8.4670437967536216</v>
      </c>
    </row>
    <row r="69" spans="1:2">
      <c r="A69" s="32">
        <v>56</v>
      </c>
      <c r="B69" s="90">
        <v>7.9105958217953312</v>
      </c>
    </row>
    <row r="70" spans="1:2">
      <c r="A70" s="32">
        <v>57</v>
      </c>
      <c r="B70" s="90">
        <v>8.030232282519183</v>
      </c>
    </row>
    <row r="71" spans="1:2">
      <c r="A71" s="32">
        <v>58</v>
      </c>
      <c r="B71" s="90">
        <v>7.971692096130881</v>
      </c>
    </row>
    <row r="72" spans="1:2">
      <c r="A72" s="32">
        <v>59</v>
      </c>
      <c r="B72" s="90">
        <v>8.421391361793523</v>
      </c>
    </row>
    <row r="73" spans="1:2">
      <c r="A73" s="32">
        <v>60</v>
      </c>
      <c r="B73" s="90">
        <v>9.9322748089051842</v>
      </c>
    </row>
    <row r="74" spans="1:2">
      <c r="A74" s="32">
        <v>61</v>
      </c>
      <c r="B74" s="90">
        <v>8.3452681054975546</v>
      </c>
    </row>
    <row r="75" spans="1:2">
      <c r="A75" s="32">
        <v>62</v>
      </c>
      <c r="B75" s="90">
        <v>9.0169268097573543</v>
      </c>
    </row>
    <row r="76" spans="1:2">
      <c r="A76" s="32">
        <v>63</v>
      </c>
      <c r="B76" s="90">
        <v>7.6409760383646743</v>
      </c>
    </row>
    <row r="77" spans="1:2">
      <c r="A77" s="32">
        <v>64</v>
      </c>
      <c r="B77" s="90">
        <v>7.6489123192943369</v>
      </c>
    </row>
    <row r="78" spans="1:2">
      <c r="A78" s="32">
        <v>65</v>
      </c>
      <c r="B78" s="90">
        <v>8.307321716262333</v>
      </c>
    </row>
    <row r="79" spans="1:2">
      <c r="A79" s="32">
        <v>66</v>
      </c>
      <c r="B79" s="90">
        <v>7.7624399713549384</v>
      </c>
    </row>
    <row r="80" spans="1:2">
      <c r="A80" s="32">
        <v>67</v>
      </c>
      <c r="B80" s="90">
        <v>8.2626208203847487</v>
      </c>
    </row>
    <row r="81" spans="1:2">
      <c r="A81" s="32">
        <v>68</v>
      </c>
      <c r="B81" s="90">
        <v>7.9833595970044584</v>
      </c>
    </row>
    <row r="82" spans="1:2">
      <c r="A82" s="32">
        <v>69</v>
      </c>
      <c r="B82" s="90">
        <v>8.1393439910066885</v>
      </c>
    </row>
    <row r="83" spans="1:2">
      <c r="A83" s="32">
        <v>70</v>
      </c>
      <c r="B83" s="90">
        <v>8.0359735403607662</v>
      </c>
    </row>
    <row r="84" spans="1:2">
      <c r="A84" s="32">
        <v>71</v>
      </c>
      <c r="B84" s="90">
        <v>10.078459274397266</v>
      </c>
    </row>
    <row r="85" spans="1:2">
      <c r="A85" s="32">
        <v>72</v>
      </c>
      <c r="B85" s="90">
        <v>8.6856702422940302</v>
      </c>
    </row>
    <row r="86" spans="1:2">
      <c r="A86" s="32">
        <v>73</v>
      </c>
      <c r="B86" s="90">
        <v>8.46361944020952</v>
      </c>
    </row>
    <row r="87" spans="1:2">
      <c r="A87" s="32">
        <v>74</v>
      </c>
      <c r="B87" s="90">
        <v>9.1726042647921417</v>
      </c>
    </row>
    <row r="88" spans="1:2">
      <c r="A88" s="32">
        <v>75</v>
      </c>
      <c r="B88" s="90">
        <v>7.8654092378866896</v>
      </c>
    </row>
    <row r="89" spans="1:2">
      <c r="A89" s="32">
        <v>76</v>
      </c>
      <c r="B89" s="90">
        <v>7.9857858537494852</v>
      </c>
    </row>
    <row r="90" spans="1:2">
      <c r="A90" s="32">
        <v>77</v>
      </c>
      <c r="B90" s="90">
        <v>7.8827781891521953</v>
      </c>
    </row>
    <row r="91" spans="1:2">
      <c r="A91" s="32">
        <v>78</v>
      </c>
      <c r="B91" s="90">
        <v>8.1697324228091119</v>
      </c>
    </row>
    <row r="92" spans="1:2">
      <c r="A92" s="32">
        <v>79</v>
      </c>
      <c r="B92" s="90">
        <v>7.4395248147264832</v>
      </c>
    </row>
    <row r="93" spans="1:2">
      <c r="A93" s="32">
        <v>80</v>
      </c>
      <c r="B93" s="90">
        <v>7.4060847185560794</v>
      </c>
    </row>
    <row r="94" spans="1:2">
      <c r="A94" s="32">
        <v>81</v>
      </c>
      <c r="B94" s="90">
        <v>8.0548660717964857</v>
      </c>
    </row>
    <row r="95" spans="1:2">
      <c r="A95" s="32">
        <v>82</v>
      </c>
      <c r="B95" s="90">
        <v>8.2077473662905582</v>
      </c>
    </row>
    <row r="96" spans="1:2">
      <c r="A96" s="32">
        <v>83</v>
      </c>
      <c r="B96" s="90">
        <v>8.3725578919930488</v>
      </c>
    </row>
    <row r="97" spans="1:2">
      <c r="A97" s="32">
        <v>84</v>
      </c>
      <c r="B97" s="90">
        <v>7.4036984332774942</v>
      </c>
    </row>
    <row r="98" spans="1:2">
      <c r="A98" s="32">
        <v>85</v>
      </c>
      <c r="B98" s="90">
        <v>7.5070289053661376</v>
      </c>
    </row>
    <row r="99" spans="1:2">
      <c r="A99" s="32">
        <v>86</v>
      </c>
      <c r="B99" s="90">
        <v>8.2853025535018503</v>
      </c>
    </row>
    <row r="100" spans="1:2">
      <c r="A100" s="32">
        <v>87</v>
      </c>
      <c r="B100" s="90">
        <v>8.387671163820313</v>
      </c>
    </row>
    <row r="101" spans="1:2">
      <c r="A101" s="32">
        <v>88</v>
      </c>
      <c r="B101" s="90">
        <v>7.2486014645536097</v>
      </c>
    </row>
    <row r="102" spans="1:2">
      <c r="A102" s="32">
        <v>89</v>
      </c>
      <c r="B102" s="90">
        <v>8.5176742670584584</v>
      </c>
    </row>
    <row r="103" spans="1:2">
      <c r="A103" s="32">
        <v>90</v>
      </c>
      <c r="B103" s="90">
        <v>7.8083699607631329</v>
      </c>
    </row>
    <row r="104" spans="1:2">
      <c r="A104" s="32">
        <v>91</v>
      </c>
      <c r="B104" s="90">
        <v>9.6856177738447187</v>
      </c>
    </row>
    <row r="105" spans="1:2">
      <c r="A105" s="32">
        <v>92</v>
      </c>
      <c r="B105" s="90">
        <v>8.065393954249668</v>
      </c>
    </row>
    <row r="106" spans="1:2">
      <c r="A106" s="32">
        <v>93</v>
      </c>
      <c r="B106" s="90">
        <v>9.4846126077393027</v>
      </c>
    </row>
    <row r="107" spans="1:2">
      <c r="A107" s="32">
        <v>94</v>
      </c>
      <c r="B107" s="90">
        <v>8.2214848743556495</v>
      </c>
    </row>
    <row r="108" spans="1:2">
      <c r="A108" s="32">
        <v>95</v>
      </c>
      <c r="B108" s="90">
        <v>7.4600514520767458</v>
      </c>
    </row>
    <row r="109" spans="1:2">
      <c r="A109" s="32">
        <v>96</v>
      </c>
      <c r="B109" s="90">
        <v>8.5872193700308461</v>
      </c>
    </row>
    <row r="110" spans="1:2">
      <c r="A110" s="32">
        <v>97</v>
      </c>
      <c r="B110" s="90">
        <v>7.9596099813452952</v>
      </c>
    </row>
    <row r="111" spans="1:2">
      <c r="A111" s="32">
        <v>98</v>
      </c>
      <c r="B111" s="90">
        <v>6.6884952149215753</v>
      </c>
    </row>
    <row r="112" spans="1:2">
      <c r="A112" s="32">
        <v>99</v>
      </c>
      <c r="B112" s="90">
        <v>8.6886241802682935</v>
      </c>
    </row>
    <row r="113" spans="1:2">
      <c r="A113" s="32">
        <v>100</v>
      </c>
      <c r="B113" s="90">
        <v>7.6341515966360376</v>
      </c>
    </row>
    <row r="114" spans="1:2">
      <c r="A114" s="32">
        <v>101</v>
      </c>
      <c r="B114" s="90">
        <v>7.3212503082325426</v>
      </c>
    </row>
    <row r="115" spans="1:2">
      <c r="A115" s="32">
        <v>102</v>
      </c>
      <c r="B115" s="90">
        <v>8.5789537634751181</v>
      </c>
    </row>
    <row r="116" spans="1:2">
      <c r="A116" s="32">
        <v>103</v>
      </c>
      <c r="B116" s="90">
        <v>7.7325235064590201</v>
      </c>
    </row>
    <row r="117" spans="1:2">
      <c r="A117" s="32">
        <v>104</v>
      </c>
      <c r="B117" s="90">
        <v>8.0599585612775897</v>
      </c>
    </row>
    <row r="118" spans="1:2">
      <c r="A118" s="32">
        <v>105</v>
      </c>
      <c r="B118" s="90">
        <v>8.6667709286493864</v>
      </c>
    </row>
    <row r="119" spans="1:2">
      <c r="A119" s="32">
        <v>106</v>
      </c>
      <c r="B119" s="90">
        <v>8.6834631382354388</v>
      </c>
    </row>
    <row r="120" spans="1:2">
      <c r="A120" s="32">
        <v>107</v>
      </c>
      <c r="B120" s="90">
        <v>7.9109001241096086</v>
      </c>
    </row>
    <row r="121" spans="1:2">
      <c r="A121" s="32">
        <v>108</v>
      </c>
      <c r="B121" s="90">
        <v>8.3633033215253185</v>
      </c>
    </row>
    <row r="122" spans="1:2">
      <c r="A122" s="32">
        <v>109</v>
      </c>
      <c r="B122" s="90">
        <v>7.5161949769681966</v>
      </c>
    </row>
    <row r="123" spans="1:2">
      <c r="A123" s="32">
        <v>110</v>
      </c>
      <c r="B123" s="90">
        <v>8.8618058939184436</v>
      </c>
    </row>
    <row r="124" spans="1:2">
      <c r="A124" s="32">
        <v>111</v>
      </c>
      <c r="B124" s="90">
        <v>7.0844138768471936</v>
      </c>
    </row>
    <row r="125" spans="1:2">
      <c r="A125" s="32">
        <v>112</v>
      </c>
      <c r="B125" s="90">
        <v>7.9978222801333727</v>
      </c>
    </row>
    <row r="126" spans="1:2">
      <c r="A126" s="32">
        <v>113</v>
      </c>
      <c r="B126" s="90">
        <v>7.9970854612722704</v>
      </c>
    </row>
    <row r="127" spans="1:2">
      <c r="A127" s="32">
        <v>114</v>
      </c>
      <c r="B127" s="90">
        <v>7.2027880257677941</v>
      </c>
    </row>
    <row r="128" spans="1:2">
      <c r="A128" s="32">
        <v>115</v>
      </c>
      <c r="B128" s="90">
        <v>7.0931383243474215</v>
      </c>
    </row>
    <row r="129" spans="1:2">
      <c r="A129" s="32">
        <v>116</v>
      </c>
      <c r="B129" s="90">
        <v>8.4250788778250971</v>
      </c>
    </row>
    <row r="130" spans="1:2">
      <c r="A130" s="32">
        <v>117</v>
      </c>
      <c r="B130" s="90">
        <v>8.5571215366883795</v>
      </c>
    </row>
    <row r="131" spans="1:2">
      <c r="A131" s="32">
        <v>118</v>
      </c>
      <c r="B131" s="90">
        <v>7.9590090445733104</v>
      </c>
    </row>
    <row r="132" spans="1:2">
      <c r="A132" s="32">
        <v>119</v>
      </c>
      <c r="B132" s="90">
        <v>8.3564566466730898</v>
      </c>
    </row>
    <row r="133" spans="1:2">
      <c r="A133" s="32">
        <v>120</v>
      </c>
      <c r="B133" s="90">
        <v>8.6222096789350395</v>
      </c>
    </row>
    <row r="134" spans="1:2">
      <c r="A134" s="32">
        <v>121</v>
      </c>
      <c r="B134" s="90">
        <v>8.3692206441234998</v>
      </c>
    </row>
    <row r="135" spans="1:2">
      <c r="A135" s="32">
        <v>122</v>
      </c>
      <c r="B135" s="90">
        <v>7.7973688244031782</v>
      </c>
    </row>
    <row r="136" spans="1:2">
      <c r="A136" s="32">
        <v>123</v>
      </c>
      <c r="B136" s="90">
        <v>8.3716808024186964</v>
      </c>
    </row>
    <row r="137" spans="1:2">
      <c r="A137" s="32">
        <v>124</v>
      </c>
      <c r="B137" s="90">
        <v>7.5542679535424559</v>
      </c>
    </row>
    <row r="138" spans="1:2">
      <c r="A138" s="32">
        <v>125</v>
      </c>
      <c r="B138" s="90">
        <v>7.2584340627214212</v>
      </c>
    </row>
    <row r="139" spans="1:2">
      <c r="A139" s="32">
        <v>126</v>
      </c>
      <c r="B139" s="90">
        <v>8.4778450498458504</v>
      </c>
    </row>
    <row r="140" spans="1:2">
      <c r="A140" s="32">
        <v>127</v>
      </c>
      <c r="B140" s="90">
        <v>7.5328760027269883</v>
      </c>
    </row>
    <row r="141" spans="1:2">
      <c r="A141" s="32">
        <v>128</v>
      </c>
      <c r="B141" s="90">
        <v>7.2793137459696711</v>
      </c>
    </row>
    <row r="142" spans="1:2">
      <c r="A142" s="32">
        <v>129</v>
      </c>
      <c r="B142" s="90">
        <v>7.7598152749871394</v>
      </c>
    </row>
    <row r="143" spans="1:2">
      <c r="A143" s="32">
        <v>130</v>
      </c>
      <c r="B143" s="90">
        <v>7.3241139858071129</v>
      </c>
    </row>
    <row r="144" spans="1:2">
      <c r="A144" s="32">
        <v>131</v>
      </c>
      <c r="B144" s="90">
        <v>7.7124593934391443</v>
      </c>
    </row>
    <row r="145" spans="1:2">
      <c r="A145" s="32">
        <v>132</v>
      </c>
      <c r="B145" s="90">
        <v>9.8240952837413626</v>
      </c>
    </row>
    <row r="146" spans="1:2">
      <c r="A146" s="32">
        <v>133</v>
      </c>
      <c r="B146" s="90">
        <v>7.1724482355133059</v>
      </c>
    </row>
    <row r="147" spans="1:2">
      <c r="A147" s="32">
        <v>134</v>
      </c>
      <c r="B147" s="90">
        <v>8.8883295230374078</v>
      </c>
    </row>
    <row r="148" spans="1:2">
      <c r="A148" s="32">
        <v>135</v>
      </c>
      <c r="B148" s="90">
        <v>8.2829020323045199</v>
      </c>
    </row>
    <row r="149" spans="1:2">
      <c r="A149" s="32">
        <v>136</v>
      </c>
      <c r="B149" s="90">
        <v>6.802286357811953</v>
      </c>
    </row>
    <row r="150" spans="1:2">
      <c r="A150" s="32">
        <v>137</v>
      </c>
      <c r="B150" s="90">
        <v>6.5161688064038481</v>
      </c>
    </row>
    <row r="151" spans="1:2">
      <c r="A151" s="32">
        <v>138</v>
      </c>
      <c r="B151" s="90">
        <v>8.0473482612814919</v>
      </c>
    </row>
    <row r="152" spans="1:2">
      <c r="A152" s="32">
        <v>139</v>
      </c>
      <c r="B152" s="90">
        <v>8.3557635336656553</v>
      </c>
    </row>
    <row r="153" spans="1:2">
      <c r="A153" s="32">
        <v>140</v>
      </c>
      <c r="B153" s="90">
        <v>8.1202566734267645</v>
      </c>
    </row>
    <row r="154" spans="1:2">
      <c r="A154" s="32">
        <v>141</v>
      </c>
      <c r="B154" s="90">
        <v>7.8098887805367401</v>
      </c>
    </row>
    <row r="155" spans="1:2">
      <c r="A155" s="32">
        <v>142</v>
      </c>
      <c r="B155" s="90">
        <v>8.0938060710039377</v>
      </c>
    </row>
    <row r="156" spans="1:2">
      <c r="A156" s="32">
        <v>143</v>
      </c>
      <c r="B156" s="90">
        <v>9.0003186265208424</v>
      </c>
    </row>
    <row r="157" spans="1:2">
      <c r="A157" s="32">
        <v>144</v>
      </c>
      <c r="B157" s="90">
        <v>8.219236041360217</v>
      </c>
    </row>
    <row r="158" spans="1:2">
      <c r="A158" s="32">
        <v>145</v>
      </c>
      <c r="B158" s="90">
        <v>8.2583153107925735</v>
      </c>
    </row>
    <row r="159" spans="1:2">
      <c r="A159" s="32">
        <v>146</v>
      </c>
      <c r="B159" s="90">
        <v>7.4605179747667272</v>
      </c>
    </row>
    <row r="160" spans="1:2">
      <c r="A160" s="32">
        <v>147</v>
      </c>
      <c r="B160" s="90">
        <v>7.6842945592367</v>
      </c>
    </row>
    <row r="161" spans="1:2">
      <c r="A161" s="32">
        <v>148</v>
      </c>
      <c r="B161" s="90">
        <v>8.2387352139363248</v>
      </c>
    </row>
    <row r="162" spans="1:2">
      <c r="A162" s="32">
        <v>149</v>
      </c>
      <c r="B162" s="90">
        <v>7.2036520930499446</v>
      </c>
    </row>
    <row r="163" spans="1:2">
      <c r="A163" s="32">
        <v>150</v>
      </c>
      <c r="B163" s="90">
        <v>9.2357950473553139</v>
      </c>
    </row>
    <row r="164" spans="1:2">
      <c r="A164" s="32">
        <v>151</v>
      </c>
      <c r="B164" s="90">
        <v>7.5387726612103982</v>
      </c>
    </row>
    <row r="165" spans="1:2">
      <c r="A165" s="32">
        <v>152</v>
      </c>
      <c r="B165" s="90">
        <v>7.9589233006990847</v>
      </c>
    </row>
    <row r="166" spans="1:2">
      <c r="A166" s="32">
        <v>153</v>
      </c>
      <c r="B166" s="90">
        <v>8.7234571678232875</v>
      </c>
    </row>
    <row r="167" spans="1:2">
      <c r="A167" s="32">
        <v>154</v>
      </c>
      <c r="B167" s="90">
        <v>7.2054283779109847</v>
      </c>
    </row>
    <row r="168" spans="1:2">
      <c r="A168" s="32">
        <v>155</v>
      </c>
      <c r="B168" s="90">
        <v>8.3416392158526218</v>
      </c>
    </row>
    <row r="169" spans="1:2">
      <c r="A169" s="32">
        <v>156</v>
      </c>
      <c r="B169" s="90">
        <v>7.8392284912360264</v>
      </c>
    </row>
    <row r="170" spans="1:2">
      <c r="A170" s="32">
        <v>157</v>
      </c>
      <c r="B170" s="90">
        <v>7.2388793109713108</v>
      </c>
    </row>
    <row r="171" spans="1:2">
      <c r="A171" s="32">
        <v>158</v>
      </c>
      <c r="B171" s="90">
        <v>8.7912595400693245</v>
      </c>
    </row>
    <row r="172" spans="1:2">
      <c r="A172" s="32">
        <v>159</v>
      </c>
      <c r="B172" s="90">
        <v>8.2785700322232625</v>
      </c>
    </row>
    <row r="173" spans="1:2">
      <c r="A173" s="32">
        <v>160</v>
      </c>
      <c r="B173" s="90">
        <v>8.040369163721417</v>
      </c>
    </row>
    <row r="174" spans="1:2">
      <c r="A174" s="32">
        <v>161</v>
      </c>
      <c r="B174" s="90">
        <v>7.004740269216323</v>
      </c>
    </row>
    <row r="175" spans="1:2">
      <c r="A175" s="32">
        <v>162</v>
      </c>
      <c r="B175" s="90">
        <v>7.4721712008171828</v>
      </c>
    </row>
    <row r="176" spans="1:2">
      <c r="A176" s="32">
        <v>163</v>
      </c>
      <c r="B176" s="90">
        <v>8.0145936495417391</v>
      </c>
    </row>
    <row r="177" spans="1:2">
      <c r="A177" s="32">
        <v>164</v>
      </c>
      <c r="B177" s="90">
        <v>7.6162096192049686</v>
      </c>
    </row>
    <row r="178" spans="1:2">
      <c r="A178" s="32">
        <v>165</v>
      </c>
      <c r="B178" s="90">
        <v>8.9169451620545264</v>
      </c>
    </row>
    <row r="179" spans="1:2">
      <c r="A179" s="32">
        <v>166</v>
      </c>
      <c r="B179" s="90">
        <v>7.79201110118745</v>
      </c>
    </row>
    <row r="180" spans="1:2">
      <c r="A180" s="32">
        <v>167</v>
      </c>
      <c r="B180" s="90">
        <v>7.4036714716174714</v>
      </c>
    </row>
    <row r="181" spans="1:2">
      <c r="A181" s="32">
        <v>168</v>
      </c>
      <c r="B181" s="90">
        <v>9.5153987358678016</v>
      </c>
    </row>
    <row r="182" spans="1:2">
      <c r="A182" s="32">
        <v>169</v>
      </c>
      <c r="B182" s="90">
        <v>8.4843731914601843</v>
      </c>
    </row>
    <row r="183" spans="1:2">
      <c r="A183" s="32">
        <v>170</v>
      </c>
      <c r="B183" s="90">
        <v>7.4012972841100986</v>
      </c>
    </row>
    <row r="184" spans="1:2">
      <c r="A184" s="32">
        <v>171</v>
      </c>
      <c r="B184" s="90">
        <v>8.459416736991674</v>
      </c>
    </row>
    <row r="185" spans="1:2">
      <c r="A185" s="32">
        <v>172</v>
      </c>
      <c r="B185" s="90">
        <v>9.453322318062197</v>
      </c>
    </row>
    <row r="186" spans="1:2">
      <c r="A186" s="32">
        <v>173</v>
      </c>
      <c r="B186" s="90">
        <v>8.3859965991699426</v>
      </c>
    </row>
    <row r="187" spans="1:2">
      <c r="A187" s="32">
        <v>174</v>
      </c>
      <c r="B187" s="90">
        <v>7.7454469053319359</v>
      </c>
    </row>
    <row r="188" spans="1:2">
      <c r="A188" s="32">
        <v>175</v>
      </c>
      <c r="B188" s="90">
        <v>7.2386656292511784</v>
      </c>
    </row>
    <row r="189" spans="1:2">
      <c r="A189" s="32">
        <v>176</v>
      </c>
      <c r="B189" s="90">
        <v>8.8298863607645774</v>
      </c>
    </row>
    <row r="190" spans="1:2">
      <c r="A190" s="32">
        <v>177</v>
      </c>
      <c r="B190" s="90">
        <v>8.6529677623617047</v>
      </c>
    </row>
    <row r="191" spans="1:2">
      <c r="A191" s="32">
        <v>178</v>
      </c>
      <c r="B191" s="90">
        <v>8.2232008935690786</v>
      </c>
    </row>
    <row r="192" spans="1:2">
      <c r="A192" s="32">
        <v>179</v>
      </c>
      <c r="B192" s="90">
        <v>7.3995624513693139</v>
      </c>
    </row>
    <row r="193" spans="1:2">
      <c r="A193" s="32">
        <v>180</v>
      </c>
      <c r="B193" s="90">
        <v>8.5855107198426523</v>
      </c>
    </row>
    <row r="194" spans="1:2">
      <c r="A194" s="32">
        <v>181</v>
      </c>
      <c r="B194" s="90">
        <v>8.2196445086618262</v>
      </c>
    </row>
    <row r="195" spans="1:2">
      <c r="A195" s="32">
        <v>182</v>
      </c>
      <c r="B195" s="90">
        <v>9.1203185678168932</v>
      </c>
    </row>
    <row r="196" spans="1:2">
      <c r="A196" s="32">
        <v>183</v>
      </c>
      <c r="B196" s="90">
        <v>8.9388673510600754</v>
      </c>
    </row>
    <row r="197" spans="1:2">
      <c r="A197" s="32">
        <v>184</v>
      </c>
      <c r="B197" s="90">
        <v>9.0945131871714402</v>
      </c>
    </row>
    <row r="198" spans="1:2">
      <c r="A198" s="32">
        <v>185</v>
      </c>
      <c r="B198" s="90">
        <v>8.0809701019804265</v>
      </c>
    </row>
    <row r="199" spans="1:2">
      <c r="A199" s="32">
        <v>186</v>
      </c>
      <c r="B199" s="90">
        <v>8.4576078503341581</v>
      </c>
    </row>
    <row r="200" spans="1:2">
      <c r="A200" s="32">
        <v>187</v>
      </c>
      <c r="B200" s="90">
        <v>9.6599101391148796</v>
      </c>
    </row>
    <row r="201" spans="1:2">
      <c r="A201" s="32">
        <v>188</v>
      </c>
      <c r="B201" s="90">
        <v>7.7926707886348039</v>
      </c>
    </row>
    <row r="202" spans="1:2">
      <c r="A202" s="32">
        <v>189</v>
      </c>
      <c r="B202" s="90">
        <v>8.6988864973526958</v>
      </c>
    </row>
    <row r="203" spans="1:2">
      <c r="A203" s="32">
        <v>190</v>
      </c>
      <c r="B203" s="90">
        <v>7.4091270330474135</v>
      </c>
    </row>
    <row r="204" spans="1:2">
      <c r="A204" s="32">
        <v>191</v>
      </c>
      <c r="B204" s="90">
        <v>8.804186130161396</v>
      </c>
    </row>
    <row r="205" spans="1:2">
      <c r="A205" s="32">
        <v>192</v>
      </c>
      <c r="B205" s="90">
        <v>6.7986093937537797</v>
      </c>
    </row>
    <row r="206" spans="1:2">
      <c r="A206" s="32">
        <v>193</v>
      </c>
      <c r="B206" s="90">
        <v>8.0700514092213034</v>
      </c>
    </row>
    <row r="207" spans="1:2">
      <c r="A207" s="32">
        <v>194</v>
      </c>
      <c r="B207" s="90">
        <v>9.7141814648564999</v>
      </c>
    </row>
    <row r="208" spans="1:2">
      <c r="A208" s="32">
        <v>195</v>
      </c>
      <c r="B208" s="90">
        <v>7.2309590646562611</v>
      </c>
    </row>
    <row r="209" spans="1:2">
      <c r="A209" s="32">
        <v>196</v>
      </c>
      <c r="B209" s="90">
        <v>9.5877945852512649</v>
      </c>
    </row>
    <row r="210" spans="1:2">
      <c r="A210" s="32">
        <v>197</v>
      </c>
      <c r="B210" s="90">
        <v>7.1672095606403534</v>
      </c>
    </row>
    <row r="211" spans="1:2">
      <c r="A211" s="32">
        <v>198</v>
      </c>
      <c r="B211" s="90">
        <v>7.942448802586175</v>
      </c>
    </row>
    <row r="212" spans="1:2">
      <c r="A212" s="32">
        <v>199</v>
      </c>
      <c r="B212" s="90">
        <v>8.2715399344778326</v>
      </c>
    </row>
    <row r="213" spans="1:2">
      <c r="A213" s="32">
        <v>200</v>
      </c>
      <c r="B213" s="90">
        <v>8.4892680584441624</v>
      </c>
    </row>
    <row r="214" spans="1:2">
      <c r="A214" s="32">
        <v>201</v>
      </c>
      <c r="B214" s="90">
        <v>7.887332765140008</v>
      </c>
    </row>
    <row r="215" spans="1:2">
      <c r="A215" s="32">
        <v>202</v>
      </c>
      <c r="B215" s="90">
        <v>7.1290675954698077</v>
      </c>
    </row>
    <row r="216" spans="1:2">
      <c r="A216" s="32">
        <v>203</v>
      </c>
      <c r="B216" s="90">
        <v>7.4539470350858501</v>
      </c>
    </row>
    <row r="217" spans="1:2">
      <c r="A217" s="32">
        <v>204</v>
      </c>
      <c r="B217" s="90">
        <v>7.9175705180556131</v>
      </c>
    </row>
    <row r="218" spans="1:2">
      <c r="A218" s="32">
        <v>205</v>
      </c>
      <c r="B218" s="90">
        <v>7.8045304719555677</v>
      </c>
    </row>
    <row r="219" spans="1:2">
      <c r="A219" s="32">
        <v>206</v>
      </c>
      <c r="B219" s="90">
        <v>8.3408582965929217</v>
      </c>
    </row>
    <row r="220" spans="1:2">
      <c r="A220" s="32">
        <v>207</v>
      </c>
      <c r="B220" s="90">
        <v>9.1745441918355795</v>
      </c>
    </row>
    <row r="221" spans="1:2">
      <c r="A221" s="32">
        <v>208</v>
      </c>
      <c r="B221" s="90">
        <v>7.5568278702719374</v>
      </c>
    </row>
    <row r="222" spans="1:2">
      <c r="A222" s="32">
        <v>209</v>
      </c>
      <c r="B222" s="90">
        <v>8.5428762373930045</v>
      </c>
    </row>
    <row r="223" spans="1:2">
      <c r="A223" s="32">
        <v>210</v>
      </c>
      <c r="B223" s="90">
        <v>8.2745769172518209</v>
      </c>
    </row>
    <row r="224" spans="1:2">
      <c r="A224" s="32">
        <v>211</v>
      </c>
      <c r="B224" s="90">
        <v>8.6678777104650457</v>
      </c>
    </row>
    <row r="225" spans="1:2">
      <c r="A225" s="32">
        <v>212</v>
      </c>
      <c r="B225" s="90">
        <v>7.6453506079688731</v>
      </c>
    </row>
    <row r="226" spans="1:2">
      <c r="A226" s="32">
        <v>213</v>
      </c>
      <c r="B226" s="90">
        <v>10.014323528325427</v>
      </c>
    </row>
    <row r="227" spans="1:2">
      <c r="A227" s="32">
        <v>214</v>
      </c>
      <c r="B227" s="90">
        <v>8.1565064598209922</v>
      </c>
    </row>
    <row r="228" spans="1:2">
      <c r="A228" s="32">
        <v>215</v>
      </c>
      <c r="B228" s="90">
        <v>7.3733726078621311</v>
      </c>
    </row>
    <row r="229" spans="1:2">
      <c r="A229" s="32">
        <v>216</v>
      </c>
      <c r="B229" s="90">
        <v>8.5966232515190946</v>
      </c>
    </row>
    <row r="230" spans="1:2">
      <c r="A230" s="32">
        <v>217</v>
      </c>
      <c r="B230" s="90">
        <v>7.7939411568649604</v>
      </c>
    </row>
    <row r="231" spans="1:2">
      <c r="A231" s="32">
        <v>218</v>
      </c>
      <c r="B231" s="90">
        <v>8.3147816237451497</v>
      </c>
    </row>
    <row r="232" spans="1:2">
      <c r="A232" s="32">
        <v>219</v>
      </c>
      <c r="B232" s="90">
        <v>8.49084850077403</v>
      </c>
    </row>
    <row r="233" spans="1:2">
      <c r="A233" s="32">
        <v>220</v>
      </c>
      <c r="B233" s="90">
        <v>7.3923215118703531</v>
      </c>
    </row>
    <row r="234" spans="1:2">
      <c r="A234" s="32">
        <v>221</v>
      </c>
      <c r="B234" s="90">
        <v>8.3362297813351205</v>
      </c>
    </row>
    <row r="235" spans="1:2">
      <c r="A235" s="32">
        <v>222</v>
      </c>
      <c r="B235" s="90">
        <v>8.36224009651791</v>
      </c>
    </row>
    <row r="236" spans="1:2">
      <c r="A236" s="32">
        <v>223</v>
      </c>
      <c r="B236" s="90">
        <v>7.4590637006196774</v>
      </c>
    </row>
    <row r="237" spans="1:2">
      <c r="A237" s="32">
        <v>224</v>
      </c>
      <c r="B237" s="90">
        <v>7.8481783146371678</v>
      </c>
    </row>
    <row r="238" spans="1:2">
      <c r="A238" s="32">
        <v>225</v>
      </c>
      <c r="B238" s="90">
        <v>6.8343389363781721</v>
      </c>
    </row>
    <row r="239" spans="1:2">
      <c r="A239" s="32">
        <v>226</v>
      </c>
      <c r="B239" s="90">
        <v>8.3627596522283749</v>
      </c>
    </row>
    <row r="240" spans="1:2">
      <c r="A240" s="32">
        <v>227</v>
      </c>
      <c r="B240" s="90">
        <v>8.7994449021505048</v>
      </c>
    </row>
    <row r="241" spans="1:2">
      <c r="A241" s="32">
        <v>228</v>
      </c>
      <c r="B241" s="90">
        <v>8.2312458806373261</v>
      </c>
    </row>
    <row r="242" spans="1:2">
      <c r="A242" s="32">
        <v>229</v>
      </c>
      <c r="B242" s="90">
        <v>8.6892959196304513</v>
      </c>
    </row>
    <row r="243" spans="1:2">
      <c r="A243" s="32">
        <v>230</v>
      </c>
      <c r="B243" s="90">
        <v>8.3991371097858067</v>
      </c>
    </row>
    <row r="244" spans="1:2">
      <c r="A244" s="32">
        <v>231</v>
      </c>
      <c r="B244" s="90">
        <v>7.973766457615187</v>
      </c>
    </row>
    <row r="245" spans="1:2">
      <c r="A245" s="32">
        <v>232</v>
      </c>
      <c r="B245" s="90">
        <v>7.9348087073172016</v>
      </c>
    </row>
    <row r="246" spans="1:2">
      <c r="A246" s="32">
        <v>233</v>
      </c>
      <c r="B246" s="90">
        <v>7.6197801098903994</v>
      </c>
    </row>
    <row r="247" spans="1:2">
      <c r="A247" s="32">
        <v>234</v>
      </c>
      <c r="B247" s="90">
        <v>8.6916050684266484</v>
      </c>
    </row>
    <row r="248" spans="1:2">
      <c r="A248" s="32">
        <v>235</v>
      </c>
      <c r="B248" s="90">
        <v>7.7448131217786402</v>
      </c>
    </row>
    <row r="249" spans="1:2">
      <c r="A249" s="32">
        <v>236</v>
      </c>
      <c r="B249" s="90">
        <v>8.2915647767873892</v>
      </c>
    </row>
    <row r="250" spans="1:2">
      <c r="A250" s="32">
        <v>237</v>
      </c>
      <c r="B250" s="90">
        <v>7.9132119758169788</v>
      </c>
    </row>
    <row r="251" spans="1:2">
      <c r="A251" s="32">
        <v>238</v>
      </c>
      <c r="B251" s="90">
        <v>8.5619839578408907</v>
      </c>
    </row>
    <row r="252" spans="1:2">
      <c r="A252" s="32">
        <v>239</v>
      </c>
      <c r="B252" s="90">
        <v>7.9636417500657659</v>
      </c>
    </row>
    <row r="253" spans="1:2">
      <c r="A253" s="32">
        <v>240</v>
      </c>
      <c r="B253" s="90">
        <v>7.5615236003032305</v>
      </c>
    </row>
    <row r="254" spans="1:2">
      <c r="A254" s="32">
        <v>241</v>
      </c>
      <c r="B254" s="90">
        <v>7.9596943360387682</v>
      </c>
    </row>
    <row r="255" spans="1:2">
      <c r="A255" s="32">
        <v>242</v>
      </c>
      <c r="B255" s="90">
        <v>7.0540303837824521</v>
      </c>
    </row>
    <row r="256" spans="1:2">
      <c r="A256" s="32">
        <v>243</v>
      </c>
      <c r="B256" s="90">
        <v>7.6209752943531139</v>
      </c>
    </row>
    <row r="257" spans="1:2">
      <c r="A257" s="32">
        <v>244</v>
      </c>
      <c r="B257" s="90">
        <v>8.8423895576316731</v>
      </c>
    </row>
    <row r="258" spans="1:2">
      <c r="A258" s="32">
        <v>245</v>
      </c>
      <c r="B258" s="90">
        <v>9.1276035055846112</v>
      </c>
    </row>
    <row r="259" spans="1:2">
      <c r="A259" s="32">
        <v>246</v>
      </c>
      <c r="B259" s="90">
        <v>8.8086382981419842</v>
      </c>
    </row>
    <row r="260" spans="1:2">
      <c r="A260" s="32">
        <v>247</v>
      </c>
      <c r="B260" s="90">
        <v>7.4856937524857514</v>
      </c>
    </row>
    <row r="261" spans="1:2">
      <c r="A261" s="32">
        <v>248</v>
      </c>
      <c r="B261" s="90">
        <v>7.3984549011805152</v>
      </c>
    </row>
    <row r="262" spans="1:2">
      <c r="A262" s="32">
        <v>249</v>
      </c>
      <c r="B262" s="90">
        <v>8.9243849009476044</v>
      </c>
    </row>
    <row r="263" spans="1:2">
      <c r="A263" s="32">
        <v>250</v>
      </c>
      <c r="B263" s="90">
        <v>8.1847516848578383</v>
      </c>
    </row>
    <row r="264" spans="1:2">
      <c r="A264" s="32">
        <v>251</v>
      </c>
      <c r="B264" s="90">
        <v>8.0488876355844265</v>
      </c>
    </row>
    <row r="265" spans="1:2">
      <c r="A265" s="32">
        <v>252</v>
      </c>
      <c r="B265" s="90">
        <v>7.2539679480737425</v>
      </c>
    </row>
    <row r="266" spans="1:2">
      <c r="A266" s="32">
        <v>253</v>
      </c>
      <c r="B266" s="90">
        <v>8.8798851573360498</v>
      </c>
    </row>
    <row r="267" spans="1:2">
      <c r="A267" s="32">
        <v>254</v>
      </c>
      <c r="B267" s="90">
        <v>8.4994498107974774</v>
      </c>
    </row>
    <row r="268" spans="1:2">
      <c r="A268" s="32">
        <v>255</v>
      </c>
      <c r="B268" s="90">
        <v>8.7102516775809136</v>
      </c>
    </row>
    <row r="269" spans="1:2">
      <c r="A269" s="32">
        <v>256</v>
      </c>
      <c r="B269" s="90">
        <v>8.3415292756869732</v>
      </c>
    </row>
    <row r="270" spans="1:2">
      <c r="A270" s="32">
        <v>257</v>
      </c>
      <c r="B270" s="90">
        <v>8.0142129133417033</v>
      </c>
    </row>
    <row r="271" spans="1:2">
      <c r="A271" s="32">
        <v>258</v>
      </c>
      <c r="B271" s="90">
        <v>9.4920162311390222</v>
      </c>
    </row>
    <row r="272" spans="1:2">
      <c r="A272" s="32">
        <v>259</v>
      </c>
      <c r="B272" s="90">
        <v>6.9171931891955012</v>
      </c>
    </row>
    <row r="273" spans="1:2">
      <c r="A273" s="32">
        <v>260</v>
      </c>
      <c r="B273" s="90">
        <v>7.6665771056075975</v>
      </c>
    </row>
    <row r="274" spans="1:2">
      <c r="A274" s="32">
        <v>261</v>
      </c>
      <c r="B274" s="90">
        <v>7.3013485239970866</v>
      </c>
    </row>
    <row r="275" spans="1:2">
      <c r="A275" s="32">
        <v>262</v>
      </c>
      <c r="B275" s="90">
        <v>7.7304227037550994</v>
      </c>
    </row>
    <row r="276" spans="1:2">
      <c r="A276" s="32">
        <v>263</v>
      </c>
      <c r="B276" s="90">
        <v>7.6772824212581403</v>
      </c>
    </row>
    <row r="277" spans="1:2">
      <c r="A277" s="32">
        <v>264</v>
      </c>
      <c r="B277" s="90">
        <v>8.4906284547490714</v>
      </c>
    </row>
    <row r="278" spans="1:2">
      <c r="A278" s="32">
        <v>265</v>
      </c>
      <c r="B278" s="90">
        <v>7.7398635211179121</v>
      </c>
    </row>
    <row r="279" spans="1:2">
      <c r="A279" s="32">
        <v>266</v>
      </c>
      <c r="B279" s="90">
        <v>6.4982639443461334</v>
      </c>
    </row>
    <row r="280" spans="1:2">
      <c r="A280" s="32">
        <v>267</v>
      </c>
      <c r="B280" s="90">
        <v>8.1737069979167298</v>
      </c>
    </row>
    <row r="281" spans="1:2">
      <c r="A281" s="32">
        <v>268</v>
      </c>
      <c r="B281" s="90">
        <v>8.0202778026980344</v>
      </c>
    </row>
    <row r="282" spans="1:2">
      <c r="A282" s="32">
        <v>269</v>
      </c>
      <c r="B282" s="90">
        <v>8.4409089353962212</v>
      </c>
    </row>
    <row r="283" spans="1:2">
      <c r="A283" s="32">
        <v>270</v>
      </c>
      <c r="B283" s="90">
        <v>8.6565605184927445</v>
      </c>
    </row>
    <row r="284" spans="1:2">
      <c r="A284" s="32">
        <v>271</v>
      </c>
      <c r="B284" s="90">
        <v>8.9583640829870532</v>
      </c>
    </row>
    <row r="285" spans="1:2">
      <c r="A285" s="32">
        <v>272</v>
      </c>
      <c r="B285" s="90">
        <v>8.045843191393784</v>
      </c>
    </row>
    <row r="286" spans="1:2">
      <c r="A286" s="32">
        <v>273</v>
      </c>
      <c r="B286" s="90">
        <v>7.9782067347661663</v>
      </c>
    </row>
    <row r="287" spans="1:2">
      <c r="A287" s="32">
        <v>274</v>
      </c>
      <c r="B287" s="90">
        <v>8.3519651668033212</v>
      </c>
    </row>
    <row r="288" spans="1:2">
      <c r="A288" s="32">
        <v>275</v>
      </c>
      <c r="B288" s="90">
        <v>7.7968966244368048</v>
      </c>
    </row>
    <row r="289" spans="1:2">
      <c r="A289" s="32">
        <v>276</v>
      </c>
      <c r="B289" s="90">
        <v>8.0867991845257272</v>
      </c>
    </row>
    <row r="290" spans="1:2">
      <c r="A290" s="32">
        <v>277</v>
      </c>
      <c r="B290" s="90">
        <v>8.7994016440614811</v>
      </c>
    </row>
    <row r="291" spans="1:2">
      <c r="A291" s="32">
        <v>278</v>
      </c>
      <c r="B291" s="90">
        <v>7.748609474770138</v>
      </c>
    </row>
    <row r="292" spans="1:2">
      <c r="A292" s="32">
        <v>279</v>
      </c>
      <c r="B292" s="90">
        <v>6.7573288047466793</v>
      </c>
    </row>
    <row r="293" spans="1:2">
      <c r="A293" s="32">
        <v>280</v>
      </c>
      <c r="B293" s="90">
        <v>7.5755475352717632</v>
      </c>
    </row>
    <row r="294" spans="1:2">
      <c r="A294" s="32">
        <v>281</v>
      </c>
      <c r="B294" s="90">
        <v>7.680294648557779</v>
      </c>
    </row>
    <row r="295" spans="1:2">
      <c r="A295" s="32">
        <v>282</v>
      </c>
      <c r="B295" s="90">
        <v>8.9264680414512245</v>
      </c>
    </row>
    <row r="296" spans="1:2">
      <c r="A296" s="32">
        <v>283</v>
      </c>
      <c r="B296" s="90">
        <v>8.1693006758765172</v>
      </c>
    </row>
    <row r="297" spans="1:2">
      <c r="A297" s="32">
        <v>284</v>
      </c>
      <c r="B297" s="90">
        <v>9.2161370335652855</v>
      </c>
    </row>
    <row r="298" spans="1:2">
      <c r="A298" s="32">
        <v>285</v>
      </c>
      <c r="B298" s="90">
        <v>8.6128551835442106</v>
      </c>
    </row>
    <row r="299" spans="1:2">
      <c r="A299" s="32">
        <v>286</v>
      </c>
      <c r="B299" s="90">
        <v>9.0317613651097837</v>
      </c>
    </row>
    <row r="300" spans="1:2">
      <c r="A300" s="32">
        <v>287</v>
      </c>
      <c r="B300" s="90">
        <v>7.6996658416833741</v>
      </c>
    </row>
    <row r="301" spans="1:2">
      <c r="A301" s="32">
        <v>288</v>
      </c>
      <c r="B301" s="90">
        <v>8.0542892683560812</v>
      </c>
    </row>
    <row r="302" spans="1:2">
      <c r="A302" s="32">
        <v>289</v>
      </c>
      <c r="B302" s="90">
        <v>8.4236244807739435</v>
      </c>
    </row>
    <row r="303" spans="1:2">
      <c r="A303" s="32">
        <v>290</v>
      </c>
      <c r="B303" s="90">
        <v>8.4676074070801874</v>
      </c>
    </row>
    <row r="304" spans="1:2">
      <c r="A304" s="32">
        <v>291</v>
      </c>
      <c r="B304" s="90">
        <v>8.4317054968600527</v>
      </c>
    </row>
    <row r="305" spans="1:2">
      <c r="A305" s="32">
        <v>292</v>
      </c>
      <c r="B305" s="90">
        <v>8.2939185854980124</v>
      </c>
    </row>
    <row r="306" spans="1:2">
      <c r="A306" s="32">
        <v>293</v>
      </c>
      <c r="B306" s="90">
        <v>8.203520314264404</v>
      </c>
    </row>
    <row r="307" spans="1:2">
      <c r="A307" s="32">
        <v>294</v>
      </c>
      <c r="B307" s="90">
        <v>9.2425287777503851</v>
      </c>
    </row>
    <row r="308" spans="1:2">
      <c r="A308" s="32">
        <v>295</v>
      </c>
      <c r="B308" s="90">
        <v>7.6943335949949034</v>
      </c>
    </row>
    <row r="309" spans="1:2">
      <c r="A309" s="32">
        <v>296</v>
      </c>
      <c r="B309" s="90">
        <v>9.0014059757410845</v>
      </c>
    </row>
    <row r="310" spans="1:2">
      <c r="A310" s="32">
        <v>297</v>
      </c>
      <c r="B310" s="90">
        <v>8.0038601040831097</v>
      </c>
    </row>
    <row r="311" spans="1:2">
      <c r="A311" s="32">
        <v>298</v>
      </c>
      <c r="B311" s="90">
        <v>8.9227543228095492</v>
      </c>
    </row>
    <row r="312" spans="1:2">
      <c r="A312" s="32">
        <v>299</v>
      </c>
      <c r="B312" s="90">
        <v>7.8019085375968453</v>
      </c>
    </row>
    <row r="313" spans="1:2">
      <c r="A313" s="32">
        <v>300</v>
      </c>
      <c r="B313" s="90">
        <v>8.6248652724253709</v>
      </c>
    </row>
    <row r="314" spans="1:2">
      <c r="A314" s="32">
        <v>301</v>
      </c>
      <c r="B314" s="90">
        <v>8.4222871879063455</v>
      </c>
    </row>
    <row r="315" spans="1:2">
      <c r="A315" s="32">
        <v>302</v>
      </c>
      <c r="B315" s="90">
        <v>8.0456040858964251</v>
      </c>
    </row>
    <row r="316" spans="1:2">
      <c r="A316" s="32">
        <v>303</v>
      </c>
      <c r="B316" s="90">
        <v>8.0999307550284705</v>
      </c>
    </row>
    <row r="317" spans="1:2">
      <c r="A317" s="32">
        <v>304</v>
      </c>
      <c r="B317" s="90">
        <v>8.1400168957697261</v>
      </c>
    </row>
    <row r="318" spans="1:2">
      <c r="A318" s="32">
        <v>305</v>
      </c>
      <c r="B318" s="90">
        <v>7.8705779255167245</v>
      </c>
    </row>
    <row r="319" spans="1:2">
      <c r="A319" s="32">
        <v>306</v>
      </c>
      <c r="B319" s="90">
        <v>8.9787976544503572</v>
      </c>
    </row>
    <row r="320" spans="1:2">
      <c r="A320" s="32">
        <v>307</v>
      </c>
      <c r="B320" s="90">
        <v>8.5630298880685221</v>
      </c>
    </row>
    <row r="321" spans="1:2">
      <c r="A321" s="32">
        <v>308</v>
      </c>
      <c r="B321" s="90">
        <v>7.8250358738887371</v>
      </c>
    </row>
    <row r="322" spans="1:2">
      <c r="A322" s="32">
        <v>309</v>
      </c>
      <c r="B322" s="90">
        <v>7.5030311690058999</v>
      </c>
    </row>
    <row r="323" spans="1:2">
      <c r="A323" s="32">
        <v>310</v>
      </c>
      <c r="B323" s="90">
        <v>7.4549107923805655</v>
      </c>
    </row>
    <row r="324" spans="1:2">
      <c r="A324" s="32">
        <v>311</v>
      </c>
      <c r="B324" s="90">
        <v>7.5990282225333505</v>
      </c>
    </row>
    <row r="325" spans="1:2">
      <c r="A325" s="32">
        <v>312</v>
      </c>
      <c r="B325" s="90">
        <v>7.9540141968429303</v>
      </c>
    </row>
    <row r="326" spans="1:2">
      <c r="A326" s="32">
        <v>313</v>
      </c>
      <c r="B326" s="90">
        <v>7.5584818220683365</v>
      </c>
    </row>
    <row r="327" spans="1:2">
      <c r="A327" s="32">
        <v>314</v>
      </c>
      <c r="B327" s="90">
        <v>9.4916382390389131</v>
      </c>
    </row>
    <row r="328" spans="1:2">
      <c r="A328" s="32">
        <v>315</v>
      </c>
      <c r="B328" s="90">
        <v>8.1292012642437808</v>
      </c>
    </row>
    <row r="329" spans="1:2">
      <c r="A329" s="32">
        <v>316</v>
      </c>
      <c r="B329" s="90">
        <v>7.333278118292637</v>
      </c>
    </row>
    <row r="330" spans="1:2">
      <c r="A330" s="32">
        <v>317</v>
      </c>
      <c r="B330" s="90">
        <v>7.3724626703042562</v>
      </c>
    </row>
    <row r="331" spans="1:2">
      <c r="A331" s="32">
        <v>318</v>
      </c>
      <c r="B331" s="90">
        <v>7.7719684330494925</v>
      </c>
    </row>
    <row r="332" spans="1:2">
      <c r="A332" s="32">
        <v>319</v>
      </c>
      <c r="B332" s="90">
        <v>7.5459440496309291</v>
      </c>
    </row>
    <row r="333" spans="1:2">
      <c r="A333" s="32">
        <v>320</v>
      </c>
      <c r="B333" s="90">
        <v>9.2775903544283729</v>
      </c>
    </row>
    <row r="334" spans="1:2">
      <c r="A334" s="32">
        <v>321</v>
      </c>
      <c r="B334" s="90">
        <v>8.3109405937882297</v>
      </c>
    </row>
    <row r="335" spans="1:2">
      <c r="A335" s="32">
        <v>322</v>
      </c>
      <c r="B335" s="90">
        <v>8.6964421263295595</v>
      </c>
    </row>
    <row r="336" spans="1:2">
      <c r="A336" s="32">
        <v>323</v>
      </c>
      <c r="B336" s="90">
        <v>8.8347285052478686</v>
      </c>
    </row>
    <row r="337" spans="1:2">
      <c r="A337" s="32">
        <v>324</v>
      </c>
      <c r="B337" s="90">
        <v>9.12497873697383</v>
      </c>
    </row>
    <row r="338" spans="1:2">
      <c r="A338" s="32">
        <v>325</v>
      </c>
      <c r="B338" s="90">
        <v>8.0852653814672202</v>
      </c>
    </row>
    <row r="339" spans="1:2">
      <c r="A339" s="32">
        <v>326</v>
      </c>
      <c r="B339" s="90">
        <v>7.6881991392564633</v>
      </c>
    </row>
    <row r="340" spans="1:2">
      <c r="A340" s="32">
        <v>327</v>
      </c>
      <c r="B340" s="90">
        <v>6.6937973792390606</v>
      </c>
    </row>
    <row r="341" spans="1:2">
      <c r="A341" s="32">
        <v>328</v>
      </c>
      <c r="B341" s="90">
        <v>8.9934629945315852</v>
      </c>
    </row>
    <row r="342" spans="1:2">
      <c r="A342" s="32">
        <v>329</v>
      </c>
      <c r="B342" s="90">
        <v>8.8783741694416758</v>
      </c>
    </row>
    <row r="343" spans="1:2">
      <c r="A343" s="32">
        <v>330</v>
      </c>
      <c r="B343" s="90">
        <v>8.2860201018506476</v>
      </c>
    </row>
    <row r="344" spans="1:2">
      <c r="A344" s="32">
        <v>331</v>
      </c>
      <c r="B344" s="90">
        <v>7.9572203517401894</v>
      </c>
    </row>
    <row r="345" spans="1:2">
      <c r="A345" s="32">
        <v>332</v>
      </c>
      <c r="B345" s="90">
        <v>8.7678122586142511</v>
      </c>
    </row>
    <row r="346" spans="1:2">
      <c r="A346" s="32">
        <v>333</v>
      </c>
      <c r="B346" s="90">
        <v>8.1528089541914159</v>
      </c>
    </row>
    <row r="347" spans="1:2">
      <c r="A347" s="32">
        <v>334</v>
      </c>
      <c r="B347" s="90">
        <v>8.6643777937829469</v>
      </c>
    </row>
    <row r="348" spans="1:2">
      <c r="A348" s="32">
        <v>335</v>
      </c>
      <c r="B348" s="90">
        <v>8.5725157590319618</v>
      </c>
    </row>
    <row r="349" spans="1:2">
      <c r="A349" s="32">
        <v>336</v>
      </c>
      <c r="B349" s="90">
        <v>7.6981853711056498</v>
      </c>
    </row>
    <row r="350" spans="1:2">
      <c r="A350" s="32">
        <v>337</v>
      </c>
      <c r="B350" s="90">
        <v>9.4175266357175413</v>
      </c>
    </row>
    <row r="351" spans="1:2">
      <c r="A351" s="32">
        <v>338</v>
      </c>
      <c r="B351" s="90">
        <v>7.9446108976218826</v>
      </c>
    </row>
    <row r="352" spans="1:2">
      <c r="A352" s="32">
        <v>339</v>
      </c>
      <c r="B352" s="90">
        <v>6.7754797256285171</v>
      </c>
    </row>
    <row r="353" spans="1:2">
      <c r="A353" s="32">
        <v>340</v>
      </c>
      <c r="B353" s="90">
        <v>7.9508352739510997</v>
      </c>
    </row>
    <row r="354" spans="1:2">
      <c r="A354" s="32">
        <v>341</v>
      </c>
      <c r="B354" s="90">
        <v>8.4003249116701237</v>
      </c>
    </row>
    <row r="355" spans="1:2">
      <c r="A355" s="32">
        <v>342</v>
      </c>
      <c r="B355" s="90">
        <v>8.7615375493083629</v>
      </c>
    </row>
    <row r="356" spans="1:2">
      <c r="A356" s="32">
        <v>343</v>
      </c>
      <c r="B356" s="90">
        <v>7.4767876145217214</v>
      </c>
    </row>
    <row r="357" spans="1:2">
      <c r="A357" s="32">
        <v>344</v>
      </c>
      <c r="B357" s="90">
        <v>8.3420331728254347</v>
      </c>
    </row>
    <row r="358" spans="1:2">
      <c r="A358" s="32">
        <v>345</v>
      </c>
      <c r="B358" s="90">
        <v>9.3572193869366398</v>
      </c>
    </row>
    <row r="359" spans="1:2">
      <c r="A359" s="32">
        <v>346</v>
      </c>
      <c r="B359" s="90">
        <v>9.0706122117128984</v>
      </c>
    </row>
    <row r="360" spans="1:2">
      <c r="A360" s="32">
        <v>347</v>
      </c>
      <c r="B360" s="90">
        <v>7.3039283464122118</v>
      </c>
    </row>
    <row r="361" spans="1:2">
      <c r="A361" s="32">
        <v>348</v>
      </c>
      <c r="B361" s="90">
        <v>8.3618111165574263</v>
      </c>
    </row>
    <row r="362" spans="1:2">
      <c r="A362" s="32">
        <v>349</v>
      </c>
      <c r="B362" s="90">
        <v>9.4078765128384987</v>
      </c>
    </row>
    <row r="363" spans="1:2">
      <c r="A363" s="32">
        <v>350</v>
      </c>
      <c r="B363" s="90">
        <v>6.7627701309990691</v>
      </c>
    </row>
    <row r="364" spans="1:2">
      <c r="A364" s="32">
        <v>351</v>
      </c>
      <c r="B364" s="90">
        <v>6.7892439402728737</v>
      </c>
    </row>
    <row r="365" spans="1:2">
      <c r="A365" s="32">
        <v>352</v>
      </c>
      <c r="B365" s="90">
        <v>8.5656099788716755</v>
      </c>
    </row>
    <row r="366" spans="1:2">
      <c r="A366" s="32">
        <v>353</v>
      </c>
      <c r="B366" s="90">
        <v>7.9536172938158689</v>
      </c>
    </row>
    <row r="367" spans="1:2">
      <c r="A367" s="32">
        <v>354</v>
      </c>
      <c r="B367" s="90">
        <v>7.7815852957879752</v>
      </c>
    </row>
    <row r="368" spans="1:2">
      <c r="A368" s="32">
        <v>355</v>
      </c>
      <c r="B368" s="90">
        <v>8.7130527608423716</v>
      </c>
    </row>
    <row r="369" spans="1:2">
      <c r="A369" s="32">
        <v>356</v>
      </c>
      <c r="B369" s="90">
        <v>8.136380500527423</v>
      </c>
    </row>
    <row r="370" spans="1:2">
      <c r="A370" s="32">
        <v>357</v>
      </c>
      <c r="B370" s="90">
        <v>7.8311218830209954</v>
      </c>
    </row>
    <row r="371" spans="1:2">
      <c r="A371" s="32">
        <v>358</v>
      </c>
      <c r="B371" s="90">
        <v>9.2499131795474074</v>
      </c>
    </row>
    <row r="372" spans="1:2">
      <c r="A372" s="32">
        <v>359</v>
      </c>
      <c r="B372" s="90">
        <v>8.1255385894053198</v>
      </c>
    </row>
    <row r="373" spans="1:2">
      <c r="A373" s="32">
        <v>360</v>
      </c>
      <c r="B373" s="90">
        <v>9.0505844803529349</v>
      </c>
    </row>
    <row r="374" spans="1:2">
      <c r="A374" s="32">
        <v>361</v>
      </c>
      <c r="B374" s="90">
        <v>7.8180090913754388</v>
      </c>
    </row>
    <row r="375" spans="1:2">
      <c r="A375" s="32">
        <v>362</v>
      </c>
      <c r="B375" s="90">
        <v>8.0131578307981854</v>
      </c>
    </row>
    <row r="376" spans="1:2">
      <c r="A376" s="32">
        <v>363</v>
      </c>
      <c r="B376" s="90">
        <v>7.7011294535775008</v>
      </c>
    </row>
    <row r="377" spans="1:2">
      <c r="A377" s="32">
        <v>364</v>
      </c>
      <c r="B377" s="90">
        <v>7.5831437664101697</v>
      </c>
    </row>
    <row r="378" spans="1:2">
      <c r="A378" s="32">
        <v>365</v>
      </c>
      <c r="B378" s="90">
        <v>7.998074165409534</v>
      </c>
    </row>
    <row r="379" spans="1:2">
      <c r="A379" s="32">
        <v>366</v>
      </c>
      <c r="B379" s="90">
        <v>9.0319910601768463</v>
      </c>
    </row>
    <row r="380" spans="1:2">
      <c r="A380" s="32">
        <v>367</v>
      </c>
      <c r="B380" s="90">
        <v>8.3566092231417173</v>
      </c>
    </row>
    <row r="381" spans="1:2">
      <c r="A381" s="32">
        <v>368</v>
      </c>
      <c r="B381" s="90">
        <v>8.1314565446501028</v>
      </c>
    </row>
    <row r="382" spans="1:2">
      <c r="A382" s="32">
        <v>369</v>
      </c>
      <c r="B382" s="90">
        <v>7.8638041481421714</v>
      </c>
    </row>
    <row r="383" spans="1:2">
      <c r="A383" s="32">
        <v>370</v>
      </c>
      <c r="B383" s="90">
        <v>7.2037695453294051</v>
      </c>
    </row>
    <row r="384" spans="1:2">
      <c r="A384" s="32">
        <v>371</v>
      </c>
      <c r="B384" s="90">
        <v>8.710736300562969</v>
      </c>
    </row>
    <row r="385" spans="1:2">
      <c r="A385" s="32">
        <v>372</v>
      </c>
      <c r="B385" s="90">
        <v>8.296053393063783</v>
      </c>
    </row>
    <row r="386" spans="1:2">
      <c r="A386" s="32">
        <v>373</v>
      </c>
      <c r="B386" s="90">
        <v>9.4631747086949112</v>
      </c>
    </row>
    <row r="387" spans="1:2">
      <c r="A387" s="32">
        <v>374</v>
      </c>
      <c r="B387" s="90">
        <v>6.9451298096822729</v>
      </c>
    </row>
    <row r="388" spans="1:2">
      <c r="A388" s="32">
        <v>375</v>
      </c>
      <c r="B388" s="90">
        <v>7.6499118465291263</v>
      </c>
    </row>
    <row r="389" spans="1:2">
      <c r="A389" s="32">
        <v>376</v>
      </c>
      <c r="B389" s="90">
        <v>7.6612416300859723</v>
      </c>
    </row>
    <row r="390" spans="1:2">
      <c r="A390" s="32">
        <v>377</v>
      </c>
      <c r="B390" s="90">
        <v>8.0140092417240911</v>
      </c>
    </row>
    <row r="391" spans="1:2">
      <c r="A391" s="32">
        <v>378</v>
      </c>
      <c r="B391" s="90">
        <v>8.5455200593824117</v>
      </c>
    </row>
    <row r="392" spans="1:2">
      <c r="A392" s="32">
        <v>379</v>
      </c>
      <c r="B392" s="90">
        <v>7.2866387103330048</v>
      </c>
    </row>
    <row r="393" spans="1:2">
      <c r="A393" s="32">
        <v>380</v>
      </c>
      <c r="B393" s="90">
        <v>8.0989043333533157</v>
      </c>
    </row>
    <row r="394" spans="1:2">
      <c r="A394" s="32">
        <v>381</v>
      </c>
      <c r="B394" s="90">
        <v>7.5265820457681105</v>
      </c>
    </row>
    <row r="395" spans="1:2">
      <c r="A395" s="32">
        <v>382</v>
      </c>
      <c r="B395" s="90">
        <v>9.1464410833582814</v>
      </c>
    </row>
    <row r="396" spans="1:2">
      <c r="A396" s="32">
        <v>383</v>
      </c>
      <c r="B396" s="90">
        <v>7.4580085810761707</v>
      </c>
    </row>
    <row r="397" spans="1:2">
      <c r="A397" s="32">
        <v>384</v>
      </c>
      <c r="B397" s="90">
        <v>8.0641551400137583</v>
      </c>
    </row>
    <row r="398" spans="1:2">
      <c r="A398" s="32">
        <v>385</v>
      </c>
      <c r="B398" s="90">
        <v>7.63039530600759</v>
      </c>
    </row>
    <row r="399" spans="1:2">
      <c r="A399" s="32">
        <v>386</v>
      </c>
      <c r="B399" s="90">
        <v>8.4356913227092232</v>
      </c>
    </row>
    <row r="400" spans="1:2">
      <c r="A400" s="32">
        <v>387</v>
      </c>
      <c r="B400" s="90">
        <v>8.5077458386041194</v>
      </c>
    </row>
    <row r="401" spans="1:2">
      <c r="A401" s="32">
        <v>388</v>
      </c>
      <c r="B401" s="90">
        <v>7.4394277862578964</v>
      </c>
    </row>
    <row r="402" spans="1:2">
      <c r="A402" s="32">
        <v>389</v>
      </c>
      <c r="B402" s="90">
        <v>7.0570938616326417</v>
      </c>
    </row>
    <row r="403" spans="1:2">
      <c r="A403" s="32">
        <v>390</v>
      </c>
      <c r="B403" s="90">
        <v>7.6082662227723219</v>
      </c>
    </row>
    <row r="404" spans="1:2">
      <c r="A404" s="32">
        <v>391</v>
      </c>
      <c r="B404" s="90">
        <v>7.8582669854859759</v>
      </c>
    </row>
    <row r="405" spans="1:2">
      <c r="A405" s="32">
        <v>392</v>
      </c>
      <c r="B405" s="90">
        <v>8.4117789661832649</v>
      </c>
    </row>
    <row r="406" spans="1:2">
      <c r="A406" s="32">
        <v>393</v>
      </c>
      <c r="B406" s="90">
        <v>8.8343380962138092</v>
      </c>
    </row>
    <row r="407" spans="1:2">
      <c r="A407" s="32">
        <v>394</v>
      </c>
      <c r="B407" s="90">
        <v>7.2048759202869812</v>
      </c>
    </row>
    <row r="408" spans="1:2">
      <c r="A408" s="32">
        <v>395</v>
      </c>
      <c r="B408" s="90">
        <v>7.813699519212232</v>
      </c>
    </row>
    <row r="409" spans="1:2">
      <c r="A409" s="32">
        <v>396</v>
      </c>
      <c r="B409" s="90">
        <v>7.8071404593809337</v>
      </c>
    </row>
    <row r="410" spans="1:2">
      <c r="A410" s="32">
        <v>397</v>
      </c>
      <c r="B410" s="90">
        <v>8.0630358497927119</v>
      </c>
    </row>
    <row r="411" spans="1:2">
      <c r="A411" s="32">
        <v>398</v>
      </c>
      <c r="B411" s="90">
        <v>7.5931645537814161</v>
      </c>
    </row>
    <row r="412" spans="1:2">
      <c r="A412" s="32">
        <v>399</v>
      </c>
      <c r="B412" s="90">
        <v>6.8693237867536947</v>
      </c>
    </row>
    <row r="413" spans="1:2">
      <c r="A413" s="32">
        <v>400</v>
      </c>
      <c r="B413" s="90">
        <v>8.6560836135856327</v>
      </c>
    </row>
    <row r="414" spans="1:2">
      <c r="A414" s="32">
        <v>401</v>
      </c>
      <c r="B414" s="90">
        <v>8.3639430956891925</v>
      </c>
    </row>
    <row r="415" spans="1:2">
      <c r="A415" s="32">
        <v>402</v>
      </c>
      <c r="B415" s="90">
        <v>8.2088962861358521</v>
      </c>
    </row>
    <row r="416" spans="1:2">
      <c r="A416" s="32">
        <v>403</v>
      </c>
      <c r="B416" s="90">
        <v>7.3946948423735099</v>
      </c>
    </row>
    <row r="417" spans="1:2">
      <c r="A417" s="32">
        <v>404</v>
      </c>
      <c r="B417" s="90">
        <v>7.6121306558938642</v>
      </c>
    </row>
    <row r="418" spans="1:2">
      <c r="A418" s="32">
        <v>405</v>
      </c>
      <c r="B418" s="90">
        <v>8.1359881543484764</v>
      </c>
    </row>
    <row r="419" spans="1:2">
      <c r="A419" s="32">
        <v>406</v>
      </c>
      <c r="B419" s="90">
        <v>8.3492996394806447</v>
      </c>
    </row>
    <row r="420" spans="1:2">
      <c r="A420" s="32">
        <v>407</v>
      </c>
      <c r="B420" s="90">
        <v>8.0570790993406582</v>
      </c>
    </row>
    <row r="421" spans="1:2">
      <c r="A421" s="32">
        <v>408</v>
      </c>
      <c r="B421" s="90">
        <v>8.50099353638476</v>
      </c>
    </row>
    <row r="422" spans="1:2">
      <c r="A422" s="32">
        <v>409</v>
      </c>
      <c r="B422" s="90">
        <v>7.4847600624787907</v>
      </c>
    </row>
    <row r="423" spans="1:2">
      <c r="A423" s="32">
        <v>410</v>
      </c>
      <c r="B423" s="90">
        <v>9.0894228010746385</v>
      </c>
    </row>
    <row r="424" spans="1:2">
      <c r="A424" s="32">
        <v>411</v>
      </c>
      <c r="B424" s="90">
        <v>7.9946272742970219</v>
      </c>
    </row>
    <row r="425" spans="1:2">
      <c r="A425" s="32">
        <v>412</v>
      </c>
      <c r="B425" s="90">
        <v>8.1798610094645028</v>
      </c>
    </row>
    <row r="426" spans="1:2">
      <c r="A426" s="32">
        <v>413</v>
      </c>
      <c r="B426" s="90">
        <v>7.611970159270542</v>
      </c>
    </row>
    <row r="427" spans="1:2">
      <c r="A427" s="32">
        <v>414</v>
      </c>
      <c r="B427" s="90">
        <v>8.1563555927934601</v>
      </c>
    </row>
    <row r="428" spans="1:2">
      <c r="A428" s="32">
        <v>415</v>
      </c>
      <c r="B428" s="90">
        <v>7.9486470140449681</v>
      </c>
    </row>
    <row r="429" spans="1:2">
      <c r="A429" s="32">
        <v>416</v>
      </c>
      <c r="B429" s="90">
        <v>7.5153807049389503</v>
      </c>
    </row>
    <row r="430" spans="1:2">
      <c r="A430" s="32">
        <v>417</v>
      </c>
      <c r="B430" s="90">
        <v>8.0548151495365463</v>
      </c>
    </row>
    <row r="431" spans="1:2">
      <c r="A431" s="32">
        <v>418</v>
      </c>
      <c r="B431" s="90">
        <v>8.3512990736274535</v>
      </c>
    </row>
    <row r="432" spans="1:2">
      <c r="A432" s="32">
        <v>419</v>
      </c>
      <c r="B432" s="90">
        <v>7.5520621952925957</v>
      </c>
    </row>
    <row r="433" spans="1:2">
      <c r="A433" s="32">
        <v>420</v>
      </c>
      <c r="B433" s="90">
        <v>9.5879745339892359</v>
      </c>
    </row>
    <row r="434" spans="1:2">
      <c r="A434" s="32">
        <v>421</v>
      </c>
      <c r="B434" s="90">
        <v>8.4928150935927658</v>
      </c>
    </row>
    <row r="435" spans="1:2">
      <c r="A435" s="32">
        <v>422</v>
      </c>
      <c r="B435" s="90">
        <v>9.1527866540474285</v>
      </c>
    </row>
    <row r="436" spans="1:2">
      <c r="A436" s="32">
        <v>423</v>
      </c>
      <c r="B436" s="90">
        <v>7.7018473722082508</v>
      </c>
    </row>
    <row r="437" spans="1:2">
      <c r="A437" s="32">
        <v>424</v>
      </c>
      <c r="B437" s="90">
        <v>8.0230257644311607</v>
      </c>
    </row>
    <row r="438" spans="1:2">
      <c r="A438" s="32">
        <v>425</v>
      </c>
      <c r="B438" s="90">
        <v>7.6247240876694802</v>
      </c>
    </row>
    <row r="439" spans="1:2">
      <c r="A439" s="32">
        <v>426</v>
      </c>
      <c r="B439" s="90">
        <v>8.3663236163268238</v>
      </c>
    </row>
    <row r="440" spans="1:2">
      <c r="A440" s="32">
        <v>427</v>
      </c>
      <c r="B440" s="90">
        <v>7.3534003399351908</v>
      </c>
    </row>
    <row r="441" spans="1:2">
      <c r="A441" s="32">
        <v>428</v>
      </c>
      <c r="B441" s="90">
        <v>7.5085598908916964</v>
      </c>
    </row>
    <row r="442" spans="1:2">
      <c r="A442" s="32">
        <v>429</v>
      </c>
      <c r="B442" s="90">
        <v>7.8550575254898671</v>
      </c>
    </row>
    <row r="443" spans="1:2">
      <c r="A443" s="32">
        <v>430</v>
      </c>
      <c r="B443" s="90">
        <v>7.9469249120769359</v>
      </c>
    </row>
    <row r="444" spans="1:2">
      <c r="A444" s="32">
        <v>431</v>
      </c>
      <c r="B444" s="90">
        <v>8.6470730599894789</v>
      </c>
    </row>
    <row r="445" spans="1:2">
      <c r="A445" s="32">
        <v>432</v>
      </c>
      <c r="B445" s="90">
        <v>8.1201568815477643</v>
      </c>
    </row>
    <row r="446" spans="1:2">
      <c r="A446" s="32">
        <v>433</v>
      </c>
      <c r="B446" s="90">
        <v>8.3131149901249906</v>
      </c>
    </row>
    <row r="447" spans="1:2">
      <c r="A447" s="32">
        <v>434</v>
      </c>
      <c r="B447" s="90">
        <v>7.4927328172573526</v>
      </c>
    </row>
    <row r="448" spans="1:2">
      <c r="A448" s="32">
        <v>435</v>
      </c>
      <c r="B448" s="90">
        <v>8.1330872196104202</v>
      </c>
    </row>
    <row r="449" spans="1:2">
      <c r="A449" s="32">
        <v>436</v>
      </c>
      <c r="B449" s="90">
        <v>8.4112382638239573</v>
      </c>
    </row>
    <row r="450" spans="1:2">
      <c r="A450" s="32">
        <v>437</v>
      </c>
      <c r="B450" s="90">
        <v>8.0323749112932887</v>
      </c>
    </row>
    <row r="451" spans="1:2">
      <c r="A451" s="32">
        <v>438</v>
      </c>
      <c r="B451" s="90">
        <v>8.1799002638638711</v>
      </c>
    </row>
    <row r="452" spans="1:2">
      <c r="A452" s="32">
        <v>439</v>
      </c>
      <c r="B452" s="90">
        <v>8.2390713657048273</v>
      </c>
    </row>
    <row r="453" spans="1:2">
      <c r="A453" s="32">
        <v>440</v>
      </c>
      <c r="B453" s="90">
        <v>9.7991008227027514</v>
      </c>
    </row>
    <row r="454" spans="1:2">
      <c r="A454" s="32">
        <v>441</v>
      </c>
      <c r="B454" s="90">
        <v>8.2891942349004388</v>
      </c>
    </row>
    <row r="455" spans="1:2">
      <c r="A455" s="32">
        <v>442</v>
      </c>
      <c r="B455" s="90">
        <v>7.9712616139418397</v>
      </c>
    </row>
    <row r="456" spans="1:2">
      <c r="A456" s="32">
        <v>443</v>
      </c>
      <c r="B456" s="90">
        <v>8.6766363593871976</v>
      </c>
    </row>
    <row r="457" spans="1:2">
      <c r="A457" s="32">
        <v>444</v>
      </c>
      <c r="B457" s="90">
        <v>7.7608032554564916</v>
      </c>
    </row>
    <row r="458" spans="1:2">
      <c r="A458" s="32">
        <v>445</v>
      </c>
      <c r="B458" s="90">
        <v>7.4759331170655479</v>
      </c>
    </row>
    <row r="459" spans="1:2">
      <c r="A459" s="32">
        <v>446</v>
      </c>
      <c r="B459" s="90">
        <v>8.6637325909893033</v>
      </c>
    </row>
    <row r="460" spans="1:2">
      <c r="A460" s="32">
        <v>447</v>
      </c>
      <c r="B460" s="90">
        <v>7.2429443439850658</v>
      </c>
    </row>
    <row r="461" spans="1:2">
      <c r="A461" s="32">
        <v>448</v>
      </c>
      <c r="B461" s="90">
        <v>8.1610096535639194</v>
      </c>
    </row>
    <row r="462" spans="1:2">
      <c r="A462" s="32">
        <v>449</v>
      </c>
      <c r="B462" s="90">
        <v>8.0005093829289891</v>
      </c>
    </row>
    <row r="463" spans="1:2">
      <c r="A463" s="32">
        <v>450</v>
      </c>
      <c r="B463" s="90">
        <v>7.7143937720836426</v>
      </c>
    </row>
    <row r="464" spans="1:2">
      <c r="A464" s="32">
        <v>451</v>
      </c>
      <c r="B464" s="90">
        <v>8.9815970186932006</v>
      </c>
    </row>
    <row r="465" spans="1:2">
      <c r="A465" s="32">
        <v>452</v>
      </c>
      <c r="B465" s="90">
        <v>7.9613068024237599</v>
      </c>
    </row>
    <row r="466" spans="1:2">
      <c r="A466" s="32">
        <v>453</v>
      </c>
      <c r="B466" s="90">
        <v>7.7193496915376061</v>
      </c>
    </row>
    <row r="467" spans="1:2">
      <c r="A467" s="32">
        <v>454</v>
      </c>
      <c r="B467" s="90">
        <v>9.3417034135106345</v>
      </c>
    </row>
    <row r="468" spans="1:2">
      <c r="A468" s="32">
        <v>455</v>
      </c>
      <c r="B468" s="90">
        <v>8.97178758428206</v>
      </c>
    </row>
    <row r="469" spans="1:2">
      <c r="A469" s="32">
        <v>456</v>
      </c>
      <c r="B469" s="90">
        <v>8.4934248406525157</v>
      </c>
    </row>
    <row r="470" spans="1:2">
      <c r="A470" s="32">
        <v>457</v>
      </c>
      <c r="B470" s="90">
        <v>8.8946299953090779</v>
      </c>
    </row>
    <row r="471" spans="1:2">
      <c r="A471" s="32">
        <v>458</v>
      </c>
      <c r="B471" s="90">
        <v>7.4792728707875016</v>
      </c>
    </row>
    <row r="472" spans="1:2">
      <c r="A472" s="32">
        <v>459</v>
      </c>
      <c r="B472" s="90">
        <v>8.4618204830541561</v>
      </c>
    </row>
    <row r="473" spans="1:2">
      <c r="A473" s="32">
        <v>460</v>
      </c>
      <c r="B473" s="90">
        <v>8.2396554542711868</v>
      </c>
    </row>
    <row r="474" spans="1:2">
      <c r="A474" s="32">
        <v>461</v>
      </c>
      <c r="B474" s="90">
        <v>7.6232068640095738</v>
      </c>
    </row>
    <row r="475" spans="1:2">
      <c r="A475" s="32">
        <v>462</v>
      </c>
      <c r="B475" s="90">
        <v>7.9122918901681301</v>
      </c>
    </row>
    <row r="476" spans="1:2">
      <c r="A476" s="32">
        <v>463</v>
      </c>
      <c r="B476" s="90">
        <v>7.8643966046431935</v>
      </c>
    </row>
    <row r="477" spans="1:2">
      <c r="A477" s="32">
        <v>464</v>
      </c>
      <c r="B477" s="90">
        <v>7.6650696543504857</v>
      </c>
    </row>
    <row r="478" spans="1:2">
      <c r="A478" s="32">
        <v>465</v>
      </c>
      <c r="B478" s="90">
        <v>8.4984510317587496</v>
      </c>
    </row>
    <row r="479" spans="1:2">
      <c r="A479" s="32">
        <v>466</v>
      </c>
      <c r="B479" s="90">
        <v>8.3983413560748605</v>
      </c>
    </row>
    <row r="480" spans="1:2">
      <c r="A480" s="32">
        <v>467</v>
      </c>
      <c r="B480" s="90">
        <v>9.3590563592765434</v>
      </c>
    </row>
    <row r="481" spans="1:2">
      <c r="A481" s="32">
        <v>468</v>
      </c>
      <c r="B481" s="90">
        <v>8.16771433651145</v>
      </c>
    </row>
    <row r="482" spans="1:2">
      <c r="A482" s="32">
        <v>469</v>
      </c>
      <c r="B482" s="90">
        <v>7.5766636177426845</v>
      </c>
    </row>
    <row r="483" spans="1:2">
      <c r="A483" s="32">
        <v>470</v>
      </c>
      <c r="B483" s="90">
        <v>8.9069421030895697</v>
      </c>
    </row>
    <row r="484" spans="1:2">
      <c r="A484" s="32">
        <v>471</v>
      </c>
      <c r="B484" s="90">
        <v>8.0950092616665099</v>
      </c>
    </row>
    <row r="485" spans="1:2">
      <c r="A485" s="32">
        <v>472</v>
      </c>
      <c r="B485" s="90">
        <v>7.7832237235206412</v>
      </c>
    </row>
    <row r="486" spans="1:2">
      <c r="A486" s="32">
        <v>473</v>
      </c>
      <c r="B486" s="90">
        <v>7.7768016904477326</v>
      </c>
    </row>
    <row r="487" spans="1:2">
      <c r="A487" s="32">
        <v>474</v>
      </c>
      <c r="B487" s="90">
        <v>8.629521151502928</v>
      </c>
    </row>
    <row r="488" spans="1:2">
      <c r="A488" s="32">
        <v>475</v>
      </c>
      <c r="B488" s="90">
        <v>8.5318419392696825</v>
      </c>
    </row>
    <row r="489" spans="1:2">
      <c r="A489" s="32">
        <v>476</v>
      </c>
      <c r="B489" s="90">
        <v>7.7178541035170811</v>
      </c>
    </row>
    <row r="490" spans="1:2">
      <c r="A490" s="32">
        <v>477</v>
      </c>
      <c r="B490" s="90">
        <v>7.323931203670031</v>
      </c>
    </row>
    <row r="491" spans="1:2">
      <c r="A491" s="32">
        <v>478</v>
      </c>
      <c r="B491" s="90">
        <v>8.1006726015469646</v>
      </c>
    </row>
    <row r="492" spans="1:2">
      <c r="A492" s="32">
        <v>479</v>
      </c>
      <c r="B492" s="90">
        <v>7.4462285799601133</v>
      </c>
    </row>
    <row r="493" spans="1:2">
      <c r="A493" s="32">
        <v>480</v>
      </c>
      <c r="B493" s="90">
        <v>9.0309482667416283</v>
      </c>
    </row>
    <row r="494" spans="1:2">
      <c r="A494" s="32">
        <v>481</v>
      </c>
      <c r="B494" s="90">
        <v>8.2021931711451526</v>
      </c>
    </row>
    <row r="495" spans="1:2">
      <c r="A495" s="32">
        <v>482</v>
      </c>
      <c r="B495" s="90">
        <v>7.6122801573154133</v>
      </c>
    </row>
    <row r="496" spans="1:2">
      <c r="A496" s="32">
        <v>483</v>
      </c>
      <c r="B496" s="90">
        <v>7.3942687081399816</v>
      </c>
    </row>
    <row r="497" spans="1:2">
      <c r="A497" s="32">
        <v>484</v>
      </c>
      <c r="B497" s="90">
        <v>8.1012698925853002</v>
      </c>
    </row>
    <row r="498" spans="1:2">
      <c r="A498" s="32">
        <v>485</v>
      </c>
      <c r="B498" s="90">
        <v>9.9108990152190319</v>
      </c>
    </row>
    <row r="499" spans="1:2">
      <c r="A499" s="32">
        <v>486</v>
      </c>
      <c r="B499" s="90">
        <v>7.7706857353720853</v>
      </c>
    </row>
    <row r="500" spans="1:2">
      <c r="A500" s="32">
        <v>487</v>
      </c>
      <c r="B500" s="90">
        <v>7.5296905697309002</v>
      </c>
    </row>
    <row r="501" spans="1:2">
      <c r="A501" s="32">
        <v>488</v>
      </c>
      <c r="B501" s="90">
        <v>8.098631310178984</v>
      </c>
    </row>
    <row r="502" spans="1:2">
      <c r="A502" s="32">
        <v>489</v>
      </c>
      <c r="B502" s="90">
        <v>8.3935858600452882</v>
      </c>
    </row>
    <row r="503" spans="1:2">
      <c r="A503" s="32">
        <v>490</v>
      </c>
      <c r="B503" s="90">
        <v>7.4150520090589369</v>
      </c>
    </row>
    <row r="504" spans="1:2">
      <c r="A504" s="32">
        <v>491</v>
      </c>
      <c r="B504" s="90">
        <v>8.8504269332003442</v>
      </c>
    </row>
    <row r="505" spans="1:2">
      <c r="A505" s="32">
        <v>492</v>
      </c>
      <c r="B505" s="90">
        <v>7.7494534466737006</v>
      </c>
    </row>
    <row r="506" spans="1:2">
      <c r="A506" s="32">
        <v>493</v>
      </c>
      <c r="B506" s="90">
        <v>8.2227106971947688</v>
      </c>
    </row>
    <row r="507" spans="1:2">
      <c r="A507" s="32">
        <v>494</v>
      </c>
      <c r="B507" s="90">
        <v>8.0108208287045173</v>
      </c>
    </row>
    <row r="508" spans="1:2">
      <c r="A508" s="32">
        <v>495</v>
      </c>
      <c r="B508" s="90">
        <v>7.9948230393753823</v>
      </c>
    </row>
    <row r="509" spans="1:2">
      <c r="A509" s="32">
        <v>496</v>
      </c>
      <c r="B509" s="90">
        <v>8.0324859919133829</v>
      </c>
    </row>
    <row r="510" spans="1:2">
      <c r="A510" s="32">
        <v>497</v>
      </c>
      <c r="B510" s="90">
        <v>7.4519741260504517</v>
      </c>
    </row>
    <row r="511" spans="1:2">
      <c r="A511" s="32">
        <v>498</v>
      </c>
      <c r="B511" s="90">
        <v>7.1110551709186023</v>
      </c>
    </row>
    <row r="512" spans="1:2">
      <c r="A512" s="32">
        <v>499</v>
      </c>
      <c r="B512" s="90">
        <v>8.3745787153614675</v>
      </c>
    </row>
    <row r="513" spans="1:2">
      <c r="A513" s="32">
        <v>500</v>
      </c>
      <c r="B513" s="90">
        <v>8.4870418032335326</v>
      </c>
    </row>
    <row r="514" spans="1:2">
      <c r="A514" s="32">
        <v>501</v>
      </c>
      <c r="B514" s="90">
        <v>7.9526155723856444</v>
      </c>
    </row>
    <row r="515" spans="1:2">
      <c r="A515" s="32">
        <v>502</v>
      </c>
      <c r="B515" s="90">
        <v>8.7142303673759312</v>
      </c>
    </row>
    <row r="516" spans="1:2">
      <c r="A516" s="32">
        <v>503</v>
      </c>
      <c r="B516" s="90">
        <v>7.1465052070355712</v>
      </c>
    </row>
    <row r="517" spans="1:2">
      <c r="A517" s="32">
        <v>504</v>
      </c>
      <c r="B517" s="90">
        <v>7.9778746052808733</v>
      </c>
    </row>
    <row r="518" spans="1:2">
      <c r="A518" s="32">
        <v>505</v>
      </c>
      <c r="B518" s="90">
        <v>8.6091838266116678</v>
      </c>
    </row>
    <row r="519" spans="1:2">
      <c r="A519" s="32">
        <v>506</v>
      </c>
      <c r="B519" s="90">
        <v>6.9652986428883885</v>
      </c>
    </row>
    <row r="520" spans="1:2">
      <c r="A520" s="32">
        <v>507</v>
      </c>
      <c r="B520" s="90">
        <v>8.2775080972314541</v>
      </c>
    </row>
    <row r="521" spans="1:2">
      <c r="A521" s="32">
        <v>508</v>
      </c>
      <c r="B521" s="90">
        <v>9.0346962308210372</v>
      </c>
    </row>
    <row r="522" spans="1:2">
      <c r="A522" s="32">
        <v>509</v>
      </c>
      <c r="B522" s="90">
        <v>7.1609812561647548</v>
      </c>
    </row>
    <row r="523" spans="1:2">
      <c r="A523" s="32">
        <v>510</v>
      </c>
      <c r="B523" s="90">
        <v>6.7817983054319528</v>
      </c>
    </row>
    <row r="524" spans="1:2">
      <c r="A524" s="32">
        <v>511</v>
      </c>
      <c r="B524" s="90">
        <v>8.6383188363952232</v>
      </c>
    </row>
    <row r="525" spans="1:2">
      <c r="A525" s="32">
        <v>512</v>
      </c>
      <c r="B525" s="90">
        <v>8.1864517554575738</v>
      </c>
    </row>
    <row r="526" spans="1:2">
      <c r="A526" s="32">
        <v>513</v>
      </c>
      <c r="B526" s="90">
        <v>7.2884945199413806</v>
      </c>
    </row>
    <row r="527" spans="1:2">
      <c r="A527" s="32">
        <v>514</v>
      </c>
      <c r="B527" s="90">
        <v>8.5135230416158159</v>
      </c>
    </row>
    <row r="528" spans="1:2">
      <c r="A528" s="32">
        <v>515</v>
      </c>
      <c r="B528" s="90">
        <v>7.5789315286587087</v>
      </c>
    </row>
    <row r="529" spans="1:2">
      <c r="A529" s="32">
        <v>516</v>
      </c>
      <c r="B529" s="90">
        <v>7.7820971654230888</v>
      </c>
    </row>
    <row r="530" spans="1:2">
      <c r="A530" s="32">
        <v>517</v>
      </c>
      <c r="B530" s="90">
        <v>8.0833056879786636</v>
      </c>
    </row>
    <row r="531" spans="1:2">
      <c r="A531" s="32">
        <v>518</v>
      </c>
      <c r="B531" s="90">
        <v>8.8648039580236819</v>
      </c>
    </row>
    <row r="532" spans="1:2">
      <c r="A532" s="32">
        <v>519</v>
      </c>
      <c r="B532" s="90">
        <v>9.5459485613045612</v>
      </c>
    </row>
    <row r="533" spans="1:2">
      <c r="A533" s="32">
        <v>520</v>
      </c>
      <c r="B533" s="90">
        <v>8.0983031506820513</v>
      </c>
    </row>
    <row r="534" spans="1:2">
      <c r="A534" s="32">
        <v>521</v>
      </c>
      <c r="B534" s="90">
        <v>8.0327376267711941</v>
      </c>
    </row>
    <row r="535" spans="1:2">
      <c r="A535" s="32">
        <v>522</v>
      </c>
      <c r="B535" s="90">
        <v>7.545649131110733</v>
      </c>
    </row>
    <row r="536" spans="1:2">
      <c r="A536" s="32">
        <v>523</v>
      </c>
      <c r="B536" s="90">
        <v>8.3022347624458188</v>
      </c>
    </row>
    <row r="537" spans="1:2">
      <c r="A537" s="32">
        <v>524</v>
      </c>
      <c r="B537" s="90">
        <v>8.171669739552728</v>
      </c>
    </row>
    <row r="538" spans="1:2">
      <c r="A538" s="32">
        <v>525</v>
      </c>
      <c r="B538" s="90">
        <v>7.5776614003787115</v>
      </c>
    </row>
    <row r="539" spans="1:2">
      <c r="A539" s="32">
        <v>526</v>
      </c>
      <c r="B539" s="90">
        <v>7.7952162771420124</v>
      </c>
    </row>
    <row r="540" spans="1:2">
      <c r="A540" s="32">
        <v>527</v>
      </c>
      <c r="B540" s="90">
        <v>7.1073679581006957</v>
      </c>
    </row>
    <row r="541" spans="1:2">
      <c r="A541" s="32">
        <v>528</v>
      </c>
      <c r="B541" s="90">
        <v>8.8195834751483133</v>
      </c>
    </row>
    <row r="542" spans="1:2">
      <c r="A542" s="32">
        <v>529</v>
      </c>
      <c r="B542" s="90">
        <v>7.5557783778313681</v>
      </c>
    </row>
    <row r="543" spans="1:2">
      <c r="A543" s="32">
        <v>530</v>
      </c>
      <c r="B543" s="90">
        <v>8.13938967395916</v>
      </c>
    </row>
    <row r="544" spans="1:2">
      <c r="A544" s="32">
        <v>531</v>
      </c>
      <c r="B544" s="90">
        <v>7.8149918777750802</v>
      </c>
    </row>
    <row r="545" spans="1:2">
      <c r="A545" s="32">
        <v>532</v>
      </c>
      <c r="B545" s="90">
        <v>7.6088202454426295</v>
      </c>
    </row>
    <row r="546" spans="1:2">
      <c r="A546" s="32">
        <v>533</v>
      </c>
      <c r="B546" s="90">
        <v>8.6148935718509119</v>
      </c>
    </row>
    <row r="547" spans="1:2">
      <c r="A547" s="32">
        <v>534</v>
      </c>
      <c r="B547" s="90">
        <v>9.4489906098668861</v>
      </c>
    </row>
    <row r="548" spans="1:2">
      <c r="A548" s="32">
        <v>535</v>
      </c>
      <c r="B548" s="90">
        <v>9.3721048221601198</v>
      </c>
    </row>
    <row r="549" spans="1:2">
      <c r="A549" s="32">
        <v>536</v>
      </c>
      <c r="B549" s="90">
        <v>8.1925865246306309</v>
      </c>
    </row>
    <row r="550" spans="1:2">
      <c r="A550" s="32">
        <v>537</v>
      </c>
      <c r="B550" s="90">
        <v>8.0217652225958993</v>
      </c>
    </row>
    <row r="551" spans="1:2">
      <c r="A551" s="32">
        <v>538</v>
      </c>
      <c r="B551" s="90">
        <v>8.8198326379168428</v>
      </c>
    </row>
    <row r="552" spans="1:2">
      <c r="A552" s="32">
        <v>539</v>
      </c>
      <c r="B552" s="90">
        <v>8.8776775466718156</v>
      </c>
    </row>
    <row r="553" spans="1:2">
      <c r="A553" s="32">
        <v>540</v>
      </c>
      <c r="B553" s="90">
        <v>9.7050064573139014</v>
      </c>
    </row>
    <row r="554" spans="1:2">
      <c r="A554" s="32">
        <v>541</v>
      </c>
      <c r="B554" s="90">
        <v>9.761634261444927</v>
      </c>
    </row>
    <row r="555" spans="1:2">
      <c r="A555" s="32">
        <v>542</v>
      </c>
      <c r="B555" s="90">
        <v>7.8713603129259715</v>
      </c>
    </row>
    <row r="556" spans="1:2">
      <c r="A556" s="32">
        <v>543</v>
      </c>
      <c r="B556" s="90">
        <v>7.9002402899874324</v>
      </c>
    </row>
    <row r="557" spans="1:2">
      <c r="A557" s="32">
        <v>544</v>
      </c>
      <c r="B557" s="90">
        <v>10.333877353979272</v>
      </c>
    </row>
    <row r="558" spans="1:2">
      <c r="A558" s="32">
        <v>545</v>
      </c>
      <c r="B558" s="90">
        <v>9.229265067407562</v>
      </c>
    </row>
    <row r="559" spans="1:2">
      <c r="A559" s="32">
        <v>546</v>
      </c>
      <c r="B559" s="90">
        <v>8.0229029277692376</v>
      </c>
    </row>
    <row r="560" spans="1:2">
      <c r="A560" s="32">
        <v>547</v>
      </c>
      <c r="B560" s="90">
        <v>8.0397119420284433</v>
      </c>
    </row>
    <row r="561" spans="1:2">
      <c r="A561" s="32">
        <v>548</v>
      </c>
      <c r="B561" s="90">
        <v>8.9375306559388328</v>
      </c>
    </row>
    <row r="562" spans="1:2">
      <c r="A562" s="32">
        <v>549</v>
      </c>
      <c r="B562" s="90">
        <v>8.2605998967155223</v>
      </c>
    </row>
    <row r="563" spans="1:2">
      <c r="A563" s="32">
        <v>550</v>
      </c>
      <c r="B563" s="90">
        <v>7.9362683010034623</v>
      </c>
    </row>
    <row r="564" spans="1:2">
      <c r="A564" s="32">
        <v>551</v>
      </c>
      <c r="B564" s="90">
        <v>7.8449293527027244</v>
      </c>
    </row>
    <row r="565" spans="1:2">
      <c r="A565" s="32">
        <v>552</v>
      </c>
      <c r="B565" s="90">
        <v>9.3969125134598332</v>
      </c>
    </row>
    <row r="566" spans="1:2">
      <c r="A566" s="32">
        <v>553</v>
      </c>
      <c r="B566" s="90">
        <v>8.7342804314622047</v>
      </c>
    </row>
    <row r="567" spans="1:2">
      <c r="A567" s="32">
        <v>554</v>
      </c>
      <c r="B567" s="90">
        <v>7.2642723614699181</v>
      </c>
    </row>
    <row r="568" spans="1:2">
      <c r="A568" s="32">
        <v>555</v>
      </c>
      <c r="B568" s="90">
        <v>7.8457365255089666</v>
      </c>
    </row>
    <row r="569" spans="1:2">
      <c r="A569" s="32">
        <v>556</v>
      </c>
      <c r="B569" s="90">
        <v>8.4104035008402782</v>
      </c>
    </row>
    <row r="570" spans="1:2">
      <c r="A570" s="32">
        <v>557</v>
      </c>
      <c r="B570" s="90">
        <v>7.6616743666315097</v>
      </c>
    </row>
    <row r="571" spans="1:2">
      <c r="A571" s="32">
        <v>558</v>
      </c>
      <c r="B571" s="90">
        <v>9.1019057885331183</v>
      </c>
    </row>
    <row r="572" spans="1:2">
      <c r="A572" s="32">
        <v>559</v>
      </c>
      <c r="B572" s="90">
        <v>10.043103972957796</v>
      </c>
    </row>
    <row r="573" spans="1:2">
      <c r="A573" s="32">
        <v>560</v>
      </c>
      <c r="B573" s="90">
        <v>7.9562421996403039</v>
      </c>
    </row>
    <row r="574" spans="1:2">
      <c r="A574" s="32">
        <v>561</v>
      </c>
      <c r="B574" s="90">
        <v>8.0399436364220982</v>
      </c>
    </row>
    <row r="575" spans="1:2">
      <c r="A575" s="32">
        <v>562</v>
      </c>
      <c r="B575" s="90">
        <v>8.9375972305408364</v>
      </c>
    </row>
    <row r="576" spans="1:2">
      <c r="A576" s="32">
        <v>563</v>
      </c>
      <c r="B576" s="90">
        <v>8.6561293835440569</v>
      </c>
    </row>
    <row r="577" spans="1:2">
      <c r="A577" s="32">
        <v>564</v>
      </c>
      <c r="B577" s="90">
        <v>7.9777367943378783</v>
      </c>
    </row>
    <row r="578" spans="1:2">
      <c r="A578" s="32">
        <v>565</v>
      </c>
      <c r="B578" s="90">
        <v>8.8390789332654798</v>
      </c>
    </row>
    <row r="579" spans="1:2">
      <c r="A579" s="32">
        <v>566</v>
      </c>
      <c r="B579" s="90">
        <v>7.214896764822492</v>
      </c>
    </row>
    <row r="580" spans="1:2">
      <c r="A580" s="32">
        <v>567</v>
      </c>
      <c r="B580" s="90">
        <v>8.650473136741903</v>
      </c>
    </row>
    <row r="581" spans="1:2">
      <c r="A581" s="32">
        <v>568</v>
      </c>
      <c r="B581" s="90">
        <v>8.0998588360931958</v>
      </c>
    </row>
    <row r="582" spans="1:2">
      <c r="A582" s="32">
        <v>569</v>
      </c>
      <c r="B582" s="90">
        <v>6.9764088261416042</v>
      </c>
    </row>
    <row r="583" spans="1:2">
      <c r="A583" s="32">
        <v>570</v>
      </c>
      <c r="B583" s="90">
        <v>7.7548434355921092</v>
      </c>
    </row>
    <row r="584" spans="1:2">
      <c r="A584" s="32">
        <v>571</v>
      </c>
      <c r="B584" s="90">
        <v>8.0227688918906601</v>
      </c>
    </row>
    <row r="585" spans="1:2">
      <c r="A585" s="32">
        <v>572</v>
      </c>
      <c r="B585" s="90">
        <v>8.350972740727503</v>
      </c>
    </row>
    <row r="586" spans="1:2">
      <c r="A586" s="32">
        <v>573</v>
      </c>
      <c r="B586" s="90">
        <v>7.357010670837056</v>
      </c>
    </row>
    <row r="587" spans="1:2">
      <c r="A587" s="32">
        <v>574</v>
      </c>
      <c r="B587" s="90">
        <v>7.3942045874158007</v>
      </c>
    </row>
    <row r="588" spans="1:2">
      <c r="A588" s="32">
        <v>575</v>
      </c>
      <c r="B588" s="90">
        <v>8.720647913269012</v>
      </c>
    </row>
    <row r="589" spans="1:2">
      <c r="A589" s="32">
        <v>576</v>
      </c>
      <c r="B589" s="90">
        <v>10.23157372635853</v>
      </c>
    </row>
    <row r="590" spans="1:2">
      <c r="A590" s="32">
        <v>577</v>
      </c>
      <c r="B590" s="90">
        <v>7.4085115095961429</v>
      </c>
    </row>
    <row r="591" spans="1:2">
      <c r="A591" s="32">
        <v>578</v>
      </c>
      <c r="B591" s="90">
        <v>7.704245703621126</v>
      </c>
    </row>
    <row r="592" spans="1:2">
      <c r="A592" s="32">
        <v>579</v>
      </c>
      <c r="B592" s="90">
        <v>7.8262361540621033</v>
      </c>
    </row>
    <row r="593" spans="1:2">
      <c r="A593" s="32">
        <v>580</v>
      </c>
      <c r="B593" s="90">
        <v>8.170917113477147</v>
      </c>
    </row>
    <row r="594" spans="1:2">
      <c r="A594" s="32">
        <v>581</v>
      </c>
      <c r="B594" s="90">
        <v>7.8733996287331358</v>
      </c>
    </row>
    <row r="595" spans="1:2">
      <c r="A595" s="32">
        <v>582</v>
      </c>
      <c r="B595" s="90">
        <v>8.4032603318043009</v>
      </c>
    </row>
    <row r="596" spans="1:2">
      <c r="A596" s="32">
        <v>583</v>
      </c>
      <c r="B596" s="90">
        <v>8.9489265882251434</v>
      </c>
    </row>
    <row r="597" spans="1:2">
      <c r="A597" s="32">
        <v>584</v>
      </c>
      <c r="B597" s="90">
        <v>7.9224670094277432</v>
      </c>
    </row>
    <row r="598" spans="1:2">
      <c r="A598" s="32">
        <v>585</v>
      </c>
      <c r="B598" s="90">
        <v>7.5781221486289709</v>
      </c>
    </row>
    <row r="599" spans="1:2">
      <c r="A599" s="32">
        <v>586</v>
      </c>
      <c r="B599" s="90">
        <v>8.2597995562197468</v>
      </c>
    </row>
    <row r="600" spans="1:2">
      <c r="A600" s="32">
        <v>587</v>
      </c>
      <c r="B600" s="90">
        <v>7.7119360013147915</v>
      </c>
    </row>
    <row r="601" spans="1:2">
      <c r="A601" s="32">
        <v>588</v>
      </c>
      <c r="B601" s="90">
        <v>7.8331949305809614</v>
      </c>
    </row>
    <row r="602" spans="1:2">
      <c r="A602" s="32">
        <v>589</v>
      </c>
      <c r="B602" s="90">
        <v>7.6530238431028978</v>
      </c>
    </row>
    <row r="603" spans="1:2">
      <c r="A603" s="32">
        <v>590</v>
      </c>
      <c r="B603" s="90">
        <v>9.3979267263277197</v>
      </c>
    </row>
    <row r="604" spans="1:2">
      <c r="A604" s="32">
        <v>591</v>
      </c>
      <c r="B604" s="90">
        <v>8.7928934353412735</v>
      </c>
    </row>
    <row r="605" spans="1:2">
      <c r="A605" s="32">
        <v>592</v>
      </c>
      <c r="B605" s="90">
        <v>7.9761533041776653</v>
      </c>
    </row>
    <row r="606" spans="1:2">
      <c r="A606" s="32">
        <v>593</v>
      </c>
      <c r="B606" s="90">
        <v>7.9286744187672378</v>
      </c>
    </row>
    <row r="607" spans="1:2">
      <c r="A607" s="32">
        <v>594</v>
      </c>
      <c r="B607" s="90">
        <v>8.3313518542126879</v>
      </c>
    </row>
    <row r="608" spans="1:2">
      <c r="A608" s="32">
        <v>595</v>
      </c>
      <c r="B608" s="90">
        <v>7.6256836310931666</v>
      </c>
    </row>
    <row r="609" spans="1:2">
      <c r="A609" s="32">
        <v>596</v>
      </c>
      <c r="B609" s="90">
        <v>8.7794469889591671</v>
      </c>
    </row>
    <row r="610" spans="1:2">
      <c r="A610" s="32">
        <v>597</v>
      </c>
      <c r="B610" s="90">
        <v>7.9675259555693296</v>
      </c>
    </row>
    <row r="611" spans="1:2">
      <c r="A611" s="32">
        <v>598</v>
      </c>
      <c r="B611" s="90">
        <v>8.3905725617600577</v>
      </c>
    </row>
    <row r="612" spans="1:2">
      <c r="A612" s="32">
        <v>599</v>
      </c>
      <c r="B612" s="90">
        <v>7.4187614408513411</v>
      </c>
    </row>
    <row r="613" spans="1:2">
      <c r="A613" s="32">
        <v>600</v>
      </c>
      <c r="B613" s="90">
        <v>8.5215382453892126</v>
      </c>
    </row>
    <row r="614" spans="1:2">
      <c r="A614" s="32">
        <v>601</v>
      </c>
      <c r="B614" s="90">
        <v>8.3446060657109804</v>
      </c>
    </row>
    <row r="615" spans="1:2">
      <c r="A615" s="32">
        <v>602</v>
      </c>
      <c r="B615" s="90">
        <v>7.1569197210109294</v>
      </c>
    </row>
    <row r="616" spans="1:2">
      <c r="A616" s="32">
        <v>603</v>
      </c>
      <c r="B616" s="90">
        <v>8.836201504711882</v>
      </c>
    </row>
    <row r="617" spans="1:2">
      <c r="A617" s="32">
        <v>604</v>
      </c>
      <c r="B617" s="90">
        <v>8.0578161388656788</v>
      </c>
    </row>
    <row r="618" spans="1:2">
      <c r="A618" s="32">
        <v>605</v>
      </c>
      <c r="B618" s="90">
        <v>8.3522332773160475</v>
      </c>
    </row>
    <row r="619" spans="1:2">
      <c r="A619" s="32">
        <v>606</v>
      </c>
      <c r="B619" s="90">
        <v>7.4955091477943485</v>
      </c>
    </row>
    <row r="620" spans="1:2">
      <c r="A620" s="32">
        <v>607</v>
      </c>
      <c r="B620" s="90">
        <v>10.131888208147094</v>
      </c>
    </row>
    <row r="621" spans="1:2">
      <c r="A621" s="32">
        <v>608</v>
      </c>
      <c r="B621" s="90">
        <v>7.0731263457500209</v>
      </c>
    </row>
    <row r="622" spans="1:2">
      <c r="A622" s="32">
        <v>609</v>
      </c>
      <c r="B622" s="90">
        <v>7.3036627963199958</v>
      </c>
    </row>
    <row r="623" spans="1:2">
      <c r="A623" s="32">
        <v>610</v>
      </c>
      <c r="B623" s="90">
        <v>8.5113825559618181</v>
      </c>
    </row>
    <row r="624" spans="1:2">
      <c r="A624" s="32">
        <v>611</v>
      </c>
      <c r="B624" s="90">
        <v>8.0430736639756848</v>
      </c>
    </row>
    <row r="625" spans="1:2">
      <c r="A625" s="32">
        <v>612</v>
      </c>
      <c r="B625" s="90">
        <v>8.2833537231656589</v>
      </c>
    </row>
    <row r="626" spans="1:2">
      <c r="A626" s="32">
        <v>613</v>
      </c>
      <c r="B626" s="90">
        <v>8.7717278802890313</v>
      </c>
    </row>
    <row r="627" spans="1:2">
      <c r="A627" s="32">
        <v>614</v>
      </c>
      <c r="B627" s="90">
        <v>6.9800872538445065</v>
      </c>
    </row>
    <row r="628" spans="1:2">
      <c r="A628" s="32">
        <v>615</v>
      </c>
      <c r="B628" s="90">
        <v>8.3660757136300035</v>
      </c>
    </row>
    <row r="629" spans="1:2">
      <c r="A629" s="32">
        <v>616</v>
      </c>
      <c r="B629" s="90">
        <v>8.1364810163934589</v>
      </c>
    </row>
    <row r="630" spans="1:2">
      <c r="A630" s="32">
        <v>617</v>
      </c>
      <c r="B630" s="90">
        <v>7.4225697975995466</v>
      </c>
    </row>
    <row r="631" spans="1:2">
      <c r="A631" s="32">
        <v>618</v>
      </c>
      <c r="B631" s="90">
        <v>8.3111425517086861</v>
      </c>
    </row>
    <row r="632" spans="1:2">
      <c r="A632" s="32">
        <v>619</v>
      </c>
      <c r="B632" s="90">
        <v>7.8499306138923366</v>
      </c>
    </row>
    <row r="633" spans="1:2">
      <c r="A633" s="32">
        <v>620</v>
      </c>
      <c r="B633" s="90">
        <v>9.1852788661571907</v>
      </c>
    </row>
    <row r="634" spans="1:2">
      <c r="A634" s="32">
        <v>621</v>
      </c>
      <c r="B634" s="90">
        <v>6.9144340741889732</v>
      </c>
    </row>
    <row r="635" spans="1:2">
      <c r="A635" s="32">
        <v>622</v>
      </c>
      <c r="B635" s="90">
        <v>8.2009910251415654</v>
      </c>
    </row>
    <row r="636" spans="1:2">
      <c r="A636" s="32">
        <v>623</v>
      </c>
      <c r="B636" s="90">
        <v>7.6376986585254327</v>
      </c>
    </row>
    <row r="637" spans="1:2">
      <c r="A637" s="32">
        <v>624</v>
      </c>
      <c r="B637" s="90">
        <v>8.8842258219925192</v>
      </c>
    </row>
    <row r="638" spans="1:2">
      <c r="A638" s="32">
        <v>625</v>
      </c>
      <c r="B638" s="90">
        <v>9.5537425207850522</v>
      </c>
    </row>
    <row r="639" spans="1:2">
      <c r="A639" s="32">
        <v>626</v>
      </c>
      <c r="B639" s="90">
        <v>8.3921122249981668</v>
      </c>
    </row>
    <row r="640" spans="1:2">
      <c r="A640" s="32">
        <v>627</v>
      </c>
      <c r="B640" s="90">
        <v>7.8059553900838816</v>
      </c>
    </row>
    <row r="641" spans="1:2">
      <c r="A641" s="32">
        <v>628</v>
      </c>
      <c r="B641" s="90">
        <v>7.7928819129863456</v>
      </c>
    </row>
    <row r="642" spans="1:2">
      <c r="A642" s="32">
        <v>629</v>
      </c>
      <c r="B642" s="90">
        <v>9.076436563016868</v>
      </c>
    </row>
    <row r="643" spans="1:2">
      <c r="A643" s="32">
        <v>630</v>
      </c>
      <c r="B643" s="90">
        <v>7.4655905070966373</v>
      </c>
    </row>
    <row r="644" spans="1:2">
      <c r="A644" s="32">
        <v>631</v>
      </c>
      <c r="B644" s="90">
        <v>8.0510599526719666</v>
      </c>
    </row>
    <row r="645" spans="1:2">
      <c r="A645" s="32">
        <v>632</v>
      </c>
      <c r="B645" s="90">
        <v>6.7647740452602383</v>
      </c>
    </row>
    <row r="646" spans="1:2">
      <c r="A646" s="32">
        <v>633</v>
      </c>
      <c r="B646" s="90">
        <v>7.4889207877687527</v>
      </c>
    </row>
    <row r="647" spans="1:2">
      <c r="A647" s="32">
        <v>634</v>
      </c>
      <c r="B647" s="90">
        <v>7.6113179662733179</v>
      </c>
    </row>
    <row r="648" spans="1:2">
      <c r="A648" s="32">
        <v>635</v>
      </c>
      <c r="B648" s="90">
        <v>8.2200968859195385</v>
      </c>
    </row>
    <row r="649" spans="1:2">
      <c r="A649" s="32">
        <v>636</v>
      </c>
      <c r="B649" s="90">
        <v>7.4171914597923418</v>
      </c>
    </row>
    <row r="650" spans="1:2">
      <c r="A650" s="32">
        <v>637</v>
      </c>
      <c r="B650" s="90">
        <v>6.3656120768121642</v>
      </c>
    </row>
    <row r="651" spans="1:2">
      <c r="A651" s="32">
        <v>638</v>
      </c>
      <c r="B651" s="90">
        <v>7.317726867141169</v>
      </c>
    </row>
    <row r="652" spans="1:2">
      <c r="A652" s="32">
        <v>639</v>
      </c>
      <c r="B652" s="90">
        <v>7.1723894669167292</v>
      </c>
    </row>
    <row r="653" spans="1:2">
      <c r="A653" s="32">
        <v>640</v>
      </c>
      <c r="B653" s="90">
        <v>7.3368266154928357</v>
      </c>
    </row>
    <row r="654" spans="1:2">
      <c r="A654" s="32">
        <v>641</v>
      </c>
      <c r="B654" s="90">
        <v>8.2781285776428071</v>
      </c>
    </row>
    <row r="655" spans="1:2">
      <c r="A655" s="32">
        <v>642</v>
      </c>
      <c r="B655" s="90">
        <v>8.2020368282476674</v>
      </c>
    </row>
    <row r="656" spans="1:2">
      <c r="A656" s="32">
        <v>643</v>
      </c>
      <c r="B656" s="90">
        <v>8.4215288237191483</v>
      </c>
    </row>
    <row r="657" spans="1:2">
      <c r="A657" s="32">
        <v>644</v>
      </c>
      <c r="B657" s="90">
        <v>8.7270789953635379</v>
      </c>
    </row>
    <row r="658" spans="1:2">
      <c r="A658" s="32">
        <v>645</v>
      </c>
      <c r="B658" s="90">
        <v>8.1652879763538362</v>
      </c>
    </row>
    <row r="659" spans="1:2">
      <c r="A659" s="32">
        <v>646</v>
      </c>
      <c r="B659" s="90">
        <v>7.8020215493429292</v>
      </c>
    </row>
    <row r="660" spans="1:2">
      <c r="A660" s="32">
        <v>647</v>
      </c>
      <c r="B660" s="90">
        <v>7.9521430619267308</v>
      </c>
    </row>
    <row r="661" spans="1:2">
      <c r="A661" s="32">
        <v>648</v>
      </c>
      <c r="B661" s="90">
        <v>8.0633123202116899</v>
      </c>
    </row>
    <row r="662" spans="1:2">
      <c r="A662" s="32">
        <v>649</v>
      </c>
      <c r="B662" s="90">
        <v>7.3609654870843029</v>
      </c>
    </row>
    <row r="663" spans="1:2">
      <c r="A663" s="32">
        <v>650</v>
      </c>
      <c r="B663" s="90">
        <v>8.6872056243275395</v>
      </c>
    </row>
    <row r="664" spans="1:2">
      <c r="A664" s="32">
        <v>651</v>
      </c>
      <c r="B664" s="90">
        <v>6.9665414792701812</v>
      </c>
    </row>
    <row r="665" spans="1:2">
      <c r="A665" s="32">
        <v>652</v>
      </c>
      <c r="B665" s="90">
        <v>8.5546685220779608</v>
      </c>
    </row>
    <row r="666" spans="1:2">
      <c r="A666" s="32">
        <v>653</v>
      </c>
      <c r="B666" s="90">
        <v>9.670667218650248</v>
      </c>
    </row>
    <row r="667" spans="1:2">
      <c r="A667" s="32">
        <v>654</v>
      </c>
      <c r="B667" s="90">
        <v>7.274985407544909</v>
      </c>
    </row>
    <row r="668" spans="1:2">
      <c r="A668" s="32">
        <v>655</v>
      </c>
      <c r="B668" s="90">
        <v>8.5368736564822285</v>
      </c>
    </row>
    <row r="669" spans="1:2">
      <c r="A669" s="32">
        <v>656</v>
      </c>
      <c r="B669" s="90">
        <v>8.4980492971534911</v>
      </c>
    </row>
    <row r="670" spans="1:2">
      <c r="A670" s="32">
        <v>657</v>
      </c>
      <c r="B670" s="90">
        <v>8.7763741946169329</v>
      </c>
    </row>
    <row r="671" spans="1:2">
      <c r="A671" s="32">
        <v>658</v>
      </c>
      <c r="B671" s="90">
        <v>8.3003954981530921</v>
      </c>
    </row>
    <row r="672" spans="1:2">
      <c r="A672" s="32">
        <v>659</v>
      </c>
      <c r="B672" s="90">
        <v>7.716414358762786</v>
      </c>
    </row>
    <row r="673" spans="1:2">
      <c r="A673" s="32">
        <v>660</v>
      </c>
      <c r="B673" s="90">
        <v>7.4561379350766428</v>
      </c>
    </row>
    <row r="674" spans="1:2">
      <c r="A674" s="32">
        <v>661</v>
      </c>
      <c r="B674" s="90">
        <v>7.6633070932857761</v>
      </c>
    </row>
    <row r="675" spans="1:2">
      <c r="A675" s="32">
        <v>662</v>
      </c>
      <c r="B675" s="90">
        <v>7.543655989861711</v>
      </c>
    </row>
    <row r="676" spans="1:2">
      <c r="A676" s="32">
        <v>663</v>
      </c>
      <c r="B676" s="90">
        <v>7.9231999843268035</v>
      </c>
    </row>
    <row r="677" spans="1:2">
      <c r="A677" s="32">
        <v>664</v>
      </c>
      <c r="B677" s="90">
        <v>8.4029593808253669</v>
      </c>
    </row>
    <row r="678" spans="1:2">
      <c r="A678" s="32">
        <v>665</v>
      </c>
      <c r="B678" s="90">
        <v>9.2006225572251807</v>
      </c>
    </row>
    <row r="679" spans="1:2">
      <c r="A679" s="32">
        <v>666</v>
      </c>
      <c r="B679" s="90">
        <v>7.6100047556308246</v>
      </c>
    </row>
    <row r="680" spans="1:2">
      <c r="A680" s="32">
        <v>667</v>
      </c>
      <c r="B680" s="90">
        <v>6.8611220778372717</v>
      </c>
    </row>
    <row r="681" spans="1:2">
      <c r="A681" s="32">
        <v>668</v>
      </c>
      <c r="B681" s="90">
        <v>7.9057530215109084</v>
      </c>
    </row>
    <row r="682" spans="1:2">
      <c r="A682" s="32">
        <v>669</v>
      </c>
      <c r="B682" s="90">
        <v>8.1203778764105792</v>
      </c>
    </row>
    <row r="683" spans="1:2">
      <c r="A683" s="32">
        <v>670</v>
      </c>
      <c r="B683" s="90">
        <v>7.817379921250394</v>
      </c>
    </row>
    <row r="684" spans="1:2">
      <c r="A684" s="32">
        <v>671</v>
      </c>
      <c r="B684" s="90">
        <v>7.5838092034585687</v>
      </c>
    </row>
    <row r="685" spans="1:2">
      <c r="A685" s="32">
        <v>672</v>
      </c>
      <c r="B685" s="90">
        <v>7.440530623585933</v>
      </c>
    </row>
    <row r="686" spans="1:2">
      <c r="A686" s="32">
        <v>673</v>
      </c>
      <c r="B686" s="90">
        <v>8.6264009107123432</v>
      </c>
    </row>
    <row r="687" spans="1:2">
      <c r="A687" s="32">
        <v>674</v>
      </c>
      <c r="B687" s="90">
        <v>7.6348536007751377</v>
      </c>
    </row>
    <row r="688" spans="1:2">
      <c r="A688" s="32">
        <v>675</v>
      </c>
      <c r="B688" s="90">
        <v>8.7658348549958767</v>
      </c>
    </row>
    <row r="689" spans="1:2">
      <c r="A689" s="32">
        <v>676</v>
      </c>
      <c r="B689" s="90">
        <v>8.6846306453078093</v>
      </c>
    </row>
    <row r="690" spans="1:2">
      <c r="A690" s="32">
        <v>677</v>
      </c>
      <c r="B690" s="90">
        <v>8.8108358422269664</v>
      </c>
    </row>
    <row r="691" spans="1:2">
      <c r="A691" s="32">
        <v>678</v>
      </c>
      <c r="B691" s="90">
        <v>8.8035071804645852</v>
      </c>
    </row>
    <row r="692" spans="1:2">
      <c r="A692" s="32">
        <v>679</v>
      </c>
      <c r="B692" s="90">
        <v>8.6075501865390667</v>
      </c>
    </row>
    <row r="693" spans="1:2">
      <c r="A693" s="32">
        <v>680</v>
      </c>
      <c r="B693" s="90">
        <v>9.1250272966277155</v>
      </c>
    </row>
    <row r="694" spans="1:2">
      <c r="A694" s="32">
        <v>681</v>
      </c>
      <c r="B694" s="90">
        <v>8.0048249124046151</v>
      </c>
    </row>
    <row r="695" spans="1:2">
      <c r="A695" s="32">
        <v>682</v>
      </c>
      <c r="B695" s="90">
        <v>8.858479028956447</v>
      </c>
    </row>
    <row r="696" spans="1:2">
      <c r="A696" s="32">
        <v>683</v>
      </c>
      <c r="B696" s="90">
        <v>7.6970360733102066</v>
      </c>
    </row>
    <row r="697" spans="1:2">
      <c r="A697" s="32">
        <v>684</v>
      </c>
      <c r="B697" s="90">
        <v>7.6722924619402528</v>
      </c>
    </row>
    <row r="698" spans="1:2">
      <c r="A698" s="32">
        <v>685</v>
      </c>
      <c r="B698" s="90">
        <v>7.5677222285626629</v>
      </c>
    </row>
    <row r="699" spans="1:2">
      <c r="A699" s="32">
        <v>686</v>
      </c>
      <c r="B699" s="90">
        <v>8.7712560494048208</v>
      </c>
    </row>
    <row r="700" spans="1:2">
      <c r="A700" s="32">
        <v>687</v>
      </c>
      <c r="B700" s="90">
        <v>9.6115241476594093</v>
      </c>
    </row>
    <row r="701" spans="1:2">
      <c r="A701" s="32">
        <v>688</v>
      </c>
      <c r="B701" s="90">
        <v>9.0458569022889588</v>
      </c>
    </row>
    <row r="702" spans="1:2">
      <c r="A702" s="32">
        <v>689</v>
      </c>
      <c r="B702" s="90">
        <v>9.8054479180301133</v>
      </c>
    </row>
    <row r="703" spans="1:2">
      <c r="A703" s="32">
        <v>690</v>
      </c>
      <c r="B703" s="90">
        <v>8.2170967640352135</v>
      </c>
    </row>
    <row r="704" spans="1:2">
      <c r="A704" s="32">
        <v>691</v>
      </c>
      <c r="B704" s="90">
        <v>7.0435159109332757</v>
      </c>
    </row>
    <row r="705" spans="1:2">
      <c r="A705" s="32">
        <v>692</v>
      </c>
      <c r="B705" s="90">
        <v>7.4098598336725452</v>
      </c>
    </row>
    <row r="706" spans="1:2">
      <c r="A706" s="32">
        <v>693</v>
      </c>
      <c r="B706" s="90">
        <v>8.7547198672794106</v>
      </c>
    </row>
    <row r="707" spans="1:2">
      <c r="A707" s="32">
        <v>694</v>
      </c>
      <c r="B707" s="90">
        <v>8.7165326939374257</v>
      </c>
    </row>
    <row r="708" spans="1:2">
      <c r="A708" s="32">
        <v>695</v>
      </c>
      <c r="B708" s="90">
        <v>7.3546024134012695</v>
      </c>
    </row>
    <row r="709" spans="1:2">
      <c r="A709" s="32">
        <v>696</v>
      </c>
      <c r="B709" s="90">
        <v>8.3813923700730601</v>
      </c>
    </row>
    <row r="710" spans="1:2">
      <c r="A710" s="32">
        <v>697</v>
      </c>
      <c r="B710" s="90">
        <v>7.0523983745449774</v>
      </c>
    </row>
    <row r="711" spans="1:2">
      <c r="A711" s="32">
        <v>698</v>
      </c>
      <c r="B711" s="90">
        <v>8.7293533293392258</v>
      </c>
    </row>
    <row r="712" spans="1:2">
      <c r="A712" s="32">
        <v>699</v>
      </c>
      <c r="B712" s="90">
        <v>7.5929424887030752</v>
      </c>
    </row>
    <row r="713" spans="1:2">
      <c r="A713" s="32">
        <v>700</v>
      </c>
      <c r="B713" s="90">
        <v>9.1425696570753576</v>
      </c>
    </row>
    <row r="714" spans="1:2">
      <c r="A714" s="32">
        <v>701</v>
      </c>
      <c r="B714" s="90">
        <v>7.9778948768984916</v>
      </c>
    </row>
    <row r="715" spans="1:2">
      <c r="A715" s="32">
        <v>702</v>
      </c>
      <c r="B715" s="90">
        <v>9.13911184338704</v>
      </c>
    </row>
    <row r="716" spans="1:2">
      <c r="A716" s="32">
        <v>703</v>
      </c>
      <c r="B716" s="90">
        <v>7.0499093357297076</v>
      </c>
    </row>
    <row r="717" spans="1:2">
      <c r="A717" s="32">
        <v>704</v>
      </c>
      <c r="B717" s="90">
        <v>7.0432977011876421</v>
      </c>
    </row>
    <row r="718" spans="1:2">
      <c r="A718" s="32">
        <v>705</v>
      </c>
      <c r="B718" s="90">
        <v>8.9877014353853895</v>
      </c>
    </row>
    <row r="719" spans="1:2">
      <c r="A719" s="32">
        <v>706</v>
      </c>
      <c r="B719" s="90">
        <v>7.9739672959033481</v>
      </c>
    </row>
    <row r="720" spans="1:2">
      <c r="A720" s="32">
        <v>707</v>
      </c>
      <c r="B720" s="90">
        <v>7.9749584755403218</v>
      </c>
    </row>
    <row r="721" spans="1:2">
      <c r="A721" s="32">
        <v>708</v>
      </c>
      <c r="B721" s="90">
        <v>8.4083315845287032</v>
      </c>
    </row>
    <row r="722" spans="1:2">
      <c r="A722" s="32">
        <v>709</v>
      </c>
      <c r="B722" s="90">
        <v>7.8055702442223049</v>
      </c>
    </row>
    <row r="723" spans="1:2">
      <c r="A723" s="32">
        <v>710</v>
      </c>
      <c r="B723" s="90">
        <v>8.0355459299595768</v>
      </c>
    </row>
    <row r="724" spans="1:2">
      <c r="A724" s="32">
        <v>711</v>
      </c>
      <c r="B724" s="90">
        <v>8.4835432376907232</v>
      </c>
    </row>
    <row r="725" spans="1:2">
      <c r="A725" s="32">
        <v>712</v>
      </c>
      <c r="B725" s="90">
        <v>8.1121592013913233</v>
      </c>
    </row>
    <row r="726" spans="1:2">
      <c r="A726" s="32">
        <v>713</v>
      </c>
      <c r="B726" s="90">
        <v>10.586325742353166</v>
      </c>
    </row>
    <row r="727" spans="1:2">
      <c r="A727" s="32">
        <v>714</v>
      </c>
      <c r="B727" s="90">
        <v>8.1970820965009867</v>
      </c>
    </row>
    <row r="728" spans="1:2">
      <c r="A728" s="32">
        <v>715</v>
      </c>
      <c r="B728" s="90">
        <v>8.5347704283367776</v>
      </c>
    </row>
    <row r="729" spans="1:2">
      <c r="A729" s="32">
        <v>716</v>
      </c>
      <c r="B729" s="90">
        <v>8.6717741818905871</v>
      </c>
    </row>
    <row r="730" spans="1:2">
      <c r="A730" s="32">
        <v>717</v>
      </c>
      <c r="B730" s="90">
        <v>8.6932515359773319</v>
      </c>
    </row>
    <row r="731" spans="1:2">
      <c r="A731" s="32">
        <v>718</v>
      </c>
      <c r="B731" s="90">
        <v>8.5266854074785901</v>
      </c>
    </row>
    <row r="732" spans="1:2">
      <c r="A732" s="32">
        <v>719</v>
      </c>
      <c r="B732" s="90">
        <v>8.2113314751000299</v>
      </c>
    </row>
    <row r="733" spans="1:2">
      <c r="A733" s="32">
        <v>720</v>
      </c>
      <c r="B733" s="90">
        <v>7.9079593031679103</v>
      </c>
    </row>
    <row r="734" spans="1:2">
      <c r="A734" s="32">
        <v>721</v>
      </c>
      <c r="B734" s="90">
        <v>7.8093938634625175</v>
      </c>
    </row>
    <row r="735" spans="1:2">
      <c r="A735" s="32">
        <v>722</v>
      </c>
      <c r="B735" s="90">
        <v>8.6263120125491444</v>
      </c>
    </row>
    <row r="736" spans="1:2">
      <c r="A736" s="32">
        <v>723</v>
      </c>
      <c r="B736" s="90">
        <v>8.1034906462323093</v>
      </c>
    </row>
    <row r="737" spans="1:2">
      <c r="A737" s="32">
        <v>724</v>
      </c>
      <c r="B737" s="90">
        <v>7.2332936470350413</v>
      </c>
    </row>
    <row r="738" spans="1:2">
      <c r="A738" s="32">
        <v>725</v>
      </c>
      <c r="B738" s="90">
        <v>8.6720761800670054</v>
      </c>
    </row>
    <row r="739" spans="1:2">
      <c r="A739" s="32">
        <v>726</v>
      </c>
      <c r="B739" s="90">
        <v>7.5745903828512846</v>
      </c>
    </row>
    <row r="740" spans="1:2">
      <c r="A740" s="32">
        <v>727</v>
      </c>
      <c r="B740" s="90">
        <v>9.3753506685619641</v>
      </c>
    </row>
    <row r="741" spans="1:2">
      <c r="A741" s="32">
        <v>728</v>
      </c>
      <c r="B741" s="90">
        <v>6.9448684855371043</v>
      </c>
    </row>
    <row r="742" spans="1:2">
      <c r="A742" s="32">
        <v>729</v>
      </c>
      <c r="B742" s="90">
        <v>8.6651170285392762</v>
      </c>
    </row>
    <row r="743" spans="1:2">
      <c r="A743" s="32">
        <v>730</v>
      </c>
      <c r="B743" s="90">
        <v>7.9595052826978518</v>
      </c>
    </row>
    <row r="744" spans="1:2">
      <c r="A744" s="32">
        <v>731</v>
      </c>
      <c r="B744" s="90">
        <v>7.7685312030355549</v>
      </c>
    </row>
    <row r="745" spans="1:2">
      <c r="A745" s="32">
        <v>732</v>
      </c>
      <c r="B745" s="90">
        <v>8.4286088166175066</v>
      </c>
    </row>
    <row r="746" spans="1:2">
      <c r="A746" s="32">
        <v>733</v>
      </c>
      <c r="B746" s="90">
        <v>7.6169911262237271</v>
      </c>
    </row>
    <row r="747" spans="1:2">
      <c r="A747" s="32">
        <v>734</v>
      </c>
      <c r="B747" s="90">
        <v>7.8429317987772436</v>
      </c>
    </row>
    <row r="748" spans="1:2">
      <c r="A748" s="32">
        <v>735</v>
      </c>
      <c r="B748" s="90">
        <v>7.831881622431764</v>
      </c>
    </row>
    <row r="749" spans="1:2">
      <c r="A749" s="32">
        <v>736</v>
      </c>
      <c r="B749" s="90">
        <v>7.7674593058403643</v>
      </c>
    </row>
    <row r="750" spans="1:2">
      <c r="A750" s="32">
        <v>737</v>
      </c>
      <c r="B750" s="90">
        <v>8.1742882438462896</v>
      </c>
    </row>
    <row r="751" spans="1:2">
      <c r="A751" s="32">
        <v>738</v>
      </c>
      <c r="B751" s="90">
        <v>8.0657178860479721</v>
      </c>
    </row>
    <row r="752" spans="1:2">
      <c r="A752" s="32">
        <v>739</v>
      </c>
      <c r="B752" s="90">
        <v>8.5577991593582894</v>
      </c>
    </row>
    <row r="753" spans="1:2">
      <c r="A753" s="32">
        <v>740</v>
      </c>
      <c r="B753" s="90">
        <v>8.2944267547745447</v>
      </c>
    </row>
    <row r="754" spans="1:2">
      <c r="A754" s="32">
        <v>741</v>
      </c>
      <c r="B754" s="90">
        <v>9.4917573770732417</v>
      </c>
    </row>
    <row r="755" spans="1:2">
      <c r="A755" s="32">
        <v>742</v>
      </c>
      <c r="B755" s="90">
        <v>7.1952184617981993</v>
      </c>
    </row>
    <row r="756" spans="1:2">
      <c r="A756" s="32">
        <v>743</v>
      </c>
      <c r="B756" s="90">
        <v>8.6716422568529783</v>
      </c>
    </row>
    <row r="757" spans="1:2">
      <c r="A757" s="32">
        <v>744</v>
      </c>
      <c r="B757" s="90">
        <v>8.2984357062065168</v>
      </c>
    </row>
    <row r="758" spans="1:2">
      <c r="A758" s="32">
        <v>745</v>
      </c>
      <c r="B758" s="90">
        <v>8.3539961506943907</v>
      </c>
    </row>
    <row r="759" spans="1:2">
      <c r="A759" s="32">
        <v>746</v>
      </c>
      <c r="B759" s="90">
        <v>8.2598147005089899</v>
      </c>
    </row>
    <row r="760" spans="1:2">
      <c r="A760" s="32">
        <v>747</v>
      </c>
      <c r="B760" s="90">
        <v>9.659081171883571</v>
      </c>
    </row>
    <row r="761" spans="1:2">
      <c r="A761" s="32">
        <v>748</v>
      </c>
      <c r="B761" s="90">
        <v>8.2236359441991116</v>
      </c>
    </row>
    <row r="762" spans="1:2">
      <c r="A762" s="32">
        <v>749</v>
      </c>
      <c r="B762" s="90">
        <v>9.2159568099165838</v>
      </c>
    </row>
    <row r="763" spans="1:2">
      <c r="A763" s="32">
        <v>750</v>
      </c>
      <c r="B763" s="90">
        <v>7.8960400548081928</v>
      </c>
    </row>
    <row r="764" spans="1:2">
      <c r="A764" s="32">
        <v>751</v>
      </c>
      <c r="B764" s="90">
        <v>8.1870822187824235</v>
      </c>
    </row>
    <row r="765" spans="1:2">
      <c r="A765" s="32">
        <v>752</v>
      </c>
      <c r="B765" s="90">
        <v>7.6855876858292964</v>
      </c>
    </row>
    <row r="766" spans="1:2">
      <c r="A766" s="32">
        <v>753</v>
      </c>
      <c r="B766" s="90">
        <v>7.6360049628745363</v>
      </c>
    </row>
    <row r="767" spans="1:2">
      <c r="A767" s="32">
        <v>754</v>
      </c>
      <c r="B767" s="90">
        <v>8.8406312707965959</v>
      </c>
    </row>
    <row r="768" spans="1:2">
      <c r="A768" s="32">
        <v>755</v>
      </c>
      <c r="B768" s="90">
        <v>7.7865946879357386</v>
      </c>
    </row>
    <row r="769" spans="1:2">
      <c r="A769" s="32">
        <v>756</v>
      </c>
      <c r="B769" s="90">
        <v>7.4321243214851549</v>
      </c>
    </row>
    <row r="770" spans="1:2">
      <c r="A770" s="32">
        <v>757</v>
      </c>
      <c r="B770" s="90">
        <v>7.9487976300095271</v>
      </c>
    </row>
    <row r="771" spans="1:2">
      <c r="A771" s="32">
        <v>758</v>
      </c>
      <c r="B771" s="90">
        <v>6.9817514217607171</v>
      </c>
    </row>
    <row r="772" spans="1:2">
      <c r="A772" s="32">
        <v>759</v>
      </c>
      <c r="B772" s="90">
        <v>8.9010905002168066</v>
      </c>
    </row>
    <row r="773" spans="1:2">
      <c r="A773" s="32">
        <v>760</v>
      </c>
      <c r="B773" s="90">
        <v>8.3025501166311333</v>
      </c>
    </row>
    <row r="774" spans="1:2">
      <c r="A774" s="32">
        <v>761</v>
      </c>
      <c r="B774" s="90">
        <v>8.478269239305634</v>
      </c>
    </row>
    <row r="775" spans="1:2">
      <c r="A775" s="32">
        <v>762</v>
      </c>
      <c r="B775" s="90">
        <v>8.3103126544366912</v>
      </c>
    </row>
    <row r="776" spans="1:2">
      <c r="A776" s="32">
        <v>763</v>
      </c>
      <c r="B776" s="90">
        <v>7.8965016008607227</v>
      </c>
    </row>
    <row r="777" spans="1:2">
      <c r="A777" s="32">
        <v>764</v>
      </c>
      <c r="B777" s="90">
        <v>8.2178453874819688</v>
      </c>
    </row>
    <row r="778" spans="1:2">
      <c r="A778" s="32">
        <v>765</v>
      </c>
      <c r="B778" s="90">
        <v>8.2706284133054524</v>
      </c>
    </row>
    <row r="779" spans="1:2">
      <c r="A779" s="32">
        <v>766</v>
      </c>
      <c r="B779" s="90">
        <v>7.187166663091026</v>
      </c>
    </row>
    <row r="780" spans="1:2">
      <c r="A780" s="32">
        <v>767</v>
      </c>
      <c r="B780" s="90">
        <v>7.4561484944273921</v>
      </c>
    </row>
    <row r="781" spans="1:2">
      <c r="A781" s="32">
        <v>768</v>
      </c>
      <c r="B781" s="90">
        <v>7.7071369657828477</v>
      </c>
    </row>
    <row r="782" spans="1:2">
      <c r="A782" s="32">
        <v>769</v>
      </c>
      <c r="B782" s="90">
        <v>9.9877202263143587</v>
      </c>
    </row>
    <row r="783" spans="1:2">
      <c r="A783" s="32">
        <v>770</v>
      </c>
      <c r="B783" s="90">
        <v>9.0092109391826494</v>
      </c>
    </row>
    <row r="784" spans="1:2">
      <c r="A784" s="32">
        <v>771</v>
      </c>
      <c r="B784" s="90">
        <v>7.9013653477155881</v>
      </c>
    </row>
    <row r="785" spans="1:2">
      <c r="A785" s="32">
        <v>772</v>
      </c>
      <c r="B785" s="90">
        <v>6.4058865778747283</v>
      </c>
    </row>
    <row r="786" spans="1:2">
      <c r="A786" s="32">
        <v>773</v>
      </c>
      <c r="B786" s="90">
        <v>8.2705600542702467</v>
      </c>
    </row>
    <row r="787" spans="1:2">
      <c r="A787" s="32">
        <v>774</v>
      </c>
      <c r="B787" s="90">
        <v>7.693086516293353</v>
      </c>
    </row>
    <row r="788" spans="1:2">
      <c r="A788" s="32">
        <v>775</v>
      </c>
      <c r="B788" s="90">
        <v>8.3310432399117111</v>
      </c>
    </row>
    <row r="789" spans="1:2">
      <c r="A789" s="32">
        <v>776</v>
      </c>
      <c r="B789" s="90">
        <v>7.7843286339147815</v>
      </c>
    </row>
    <row r="790" spans="1:2">
      <c r="A790" s="32">
        <v>777</v>
      </c>
      <c r="B790" s="90">
        <v>8.1704124738897441</v>
      </c>
    </row>
    <row r="791" spans="1:2">
      <c r="A791" s="32">
        <v>778</v>
      </c>
      <c r="B791" s="90">
        <v>9.3814565663372633</v>
      </c>
    </row>
    <row r="792" spans="1:2">
      <c r="A792" s="32">
        <v>779</v>
      </c>
      <c r="B792" s="90">
        <v>7.6573068521952878</v>
      </c>
    </row>
    <row r="793" spans="1:2">
      <c r="A793" s="32">
        <v>780</v>
      </c>
      <c r="B793" s="90">
        <v>9.0286143478912724</v>
      </c>
    </row>
    <row r="794" spans="1:2">
      <c r="A794" s="32">
        <v>781</v>
      </c>
      <c r="B794" s="90">
        <v>7.2762693130320093</v>
      </c>
    </row>
    <row r="795" spans="1:2">
      <c r="A795" s="32">
        <v>782</v>
      </c>
      <c r="B795" s="90">
        <v>8.173346831959698</v>
      </c>
    </row>
    <row r="796" spans="1:2">
      <c r="A796" s="32">
        <v>783</v>
      </c>
      <c r="B796" s="90">
        <v>8.3431961500021838</v>
      </c>
    </row>
    <row r="797" spans="1:2">
      <c r="A797" s="32">
        <v>784</v>
      </c>
      <c r="B797" s="90">
        <v>8.3472266510924413</v>
      </c>
    </row>
    <row r="798" spans="1:2">
      <c r="A798" s="32">
        <v>785</v>
      </c>
      <c r="B798" s="90">
        <v>7.2031431223361162</v>
      </c>
    </row>
    <row r="799" spans="1:2">
      <c r="A799" s="32">
        <v>786</v>
      </c>
      <c r="B799" s="90">
        <v>9.2727340859058511</v>
      </c>
    </row>
    <row r="800" spans="1:2">
      <c r="A800" s="32">
        <v>787</v>
      </c>
      <c r="B800" s="90">
        <v>8.476473682250159</v>
      </c>
    </row>
    <row r="801" spans="1:2">
      <c r="A801" s="32">
        <v>788</v>
      </c>
      <c r="B801" s="90">
        <v>9.0859775768146083</v>
      </c>
    </row>
    <row r="802" spans="1:2">
      <c r="A802" s="32">
        <v>789</v>
      </c>
      <c r="B802" s="90">
        <v>7.2351668691964139</v>
      </c>
    </row>
    <row r="803" spans="1:2">
      <c r="A803" s="32">
        <v>790</v>
      </c>
      <c r="B803" s="90">
        <v>7.6719409760665842</v>
      </c>
    </row>
    <row r="804" spans="1:2">
      <c r="A804" s="32">
        <v>791</v>
      </c>
      <c r="B804" s="90">
        <v>8.0550360521482229</v>
      </c>
    </row>
    <row r="805" spans="1:2">
      <c r="A805" s="32">
        <v>792</v>
      </c>
      <c r="B805" s="90">
        <v>8.288085495191666</v>
      </c>
    </row>
    <row r="806" spans="1:2">
      <c r="A806" s="32">
        <v>793</v>
      </c>
      <c r="B806" s="90">
        <v>9.3182943649677661</v>
      </c>
    </row>
    <row r="807" spans="1:2">
      <c r="A807" s="32">
        <v>794</v>
      </c>
      <c r="B807" s="90">
        <v>7.6306319291154017</v>
      </c>
    </row>
    <row r="808" spans="1:2">
      <c r="A808" s="32">
        <v>795</v>
      </c>
      <c r="B808" s="90">
        <v>9.0860960877168182</v>
      </c>
    </row>
    <row r="809" spans="1:2">
      <c r="A809" s="32">
        <v>796</v>
      </c>
      <c r="B809" s="90">
        <v>8.2744790359230009</v>
      </c>
    </row>
    <row r="810" spans="1:2">
      <c r="A810" s="32">
        <v>797</v>
      </c>
      <c r="B810" s="90">
        <v>6.2194005427340313</v>
      </c>
    </row>
    <row r="811" spans="1:2">
      <c r="A811" s="32">
        <v>798</v>
      </c>
      <c r="B811" s="90">
        <v>8.6813332258317608</v>
      </c>
    </row>
    <row r="812" spans="1:2">
      <c r="A812" s="32">
        <v>799</v>
      </c>
      <c r="B812" s="90">
        <v>6.8264627933647697</v>
      </c>
    </row>
    <row r="813" spans="1:2">
      <c r="A813" s="32">
        <v>800</v>
      </c>
      <c r="B813" s="90">
        <v>8.907547532012444</v>
      </c>
    </row>
    <row r="814" spans="1:2">
      <c r="A814" s="32">
        <v>801</v>
      </c>
      <c r="B814" s="90">
        <v>7.8736197389559139</v>
      </c>
    </row>
    <row r="815" spans="1:2">
      <c r="A815" s="32">
        <v>802</v>
      </c>
      <c r="B815" s="90">
        <v>9.3773703957216075</v>
      </c>
    </row>
    <row r="816" spans="1:2">
      <c r="A816" s="32">
        <v>803</v>
      </c>
      <c r="B816" s="90">
        <v>9.8053462582672584</v>
      </c>
    </row>
    <row r="817" spans="1:2">
      <c r="A817" s="32">
        <v>804</v>
      </c>
      <c r="B817" s="90">
        <v>7.8647736411525955</v>
      </c>
    </row>
    <row r="818" spans="1:2">
      <c r="A818" s="32">
        <v>805</v>
      </c>
      <c r="B818" s="90">
        <v>9.2443883707719987</v>
      </c>
    </row>
    <row r="819" spans="1:2">
      <c r="A819" s="32">
        <v>806</v>
      </c>
      <c r="B819" s="90">
        <v>7.4540155018136405</v>
      </c>
    </row>
    <row r="820" spans="1:2">
      <c r="A820" s="32">
        <v>807</v>
      </c>
      <c r="B820" s="90">
        <v>8.3916431077391156</v>
      </c>
    </row>
    <row r="821" spans="1:2">
      <c r="A821" s="32">
        <v>808</v>
      </c>
      <c r="B821" s="90">
        <v>9.10743011760235</v>
      </c>
    </row>
    <row r="822" spans="1:2">
      <c r="A822" s="32">
        <v>809</v>
      </c>
      <c r="B822" s="90">
        <v>7.6641313050632851</v>
      </c>
    </row>
    <row r="823" spans="1:2">
      <c r="A823" s="32">
        <v>810</v>
      </c>
      <c r="B823" s="90">
        <v>7.9885388699161517</v>
      </c>
    </row>
    <row r="824" spans="1:2">
      <c r="A824" s="32">
        <v>811</v>
      </c>
      <c r="B824" s="90">
        <v>7.7269044394738957</v>
      </c>
    </row>
    <row r="825" spans="1:2">
      <c r="A825" s="32">
        <v>812</v>
      </c>
      <c r="B825" s="90">
        <v>9.007154388393225</v>
      </c>
    </row>
    <row r="826" spans="1:2">
      <c r="A826" s="32">
        <v>813</v>
      </c>
      <c r="B826" s="90">
        <v>8.044187597670577</v>
      </c>
    </row>
    <row r="827" spans="1:2">
      <c r="A827" s="32">
        <v>814</v>
      </c>
      <c r="B827" s="90">
        <v>8.8881577061963348</v>
      </c>
    </row>
    <row r="828" spans="1:2">
      <c r="A828" s="32">
        <v>815</v>
      </c>
      <c r="B828" s="90">
        <v>7.9254120132878159</v>
      </c>
    </row>
    <row r="829" spans="1:2">
      <c r="A829" s="32">
        <v>816</v>
      </c>
      <c r="B829" s="90">
        <v>7.1057553830084697</v>
      </c>
    </row>
    <row r="830" spans="1:2">
      <c r="A830" s="32">
        <v>817</v>
      </c>
      <c r="B830" s="90">
        <v>7.8338202543538671</v>
      </c>
    </row>
    <row r="831" spans="1:2">
      <c r="A831" s="32">
        <v>818</v>
      </c>
      <c r="B831" s="90">
        <v>7.6646919061253849</v>
      </c>
    </row>
    <row r="832" spans="1:2">
      <c r="A832" s="32">
        <v>819</v>
      </c>
      <c r="B832" s="90">
        <v>9.5266058866275252</v>
      </c>
    </row>
    <row r="833" spans="1:2">
      <c r="A833" s="32">
        <v>820</v>
      </c>
      <c r="B833" s="90">
        <v>7.8881723916150799</v>
      </c>
    </row>
    <row r="834" spans="1:2">
      <c r="A834" s="32">
        <v>821</v>
      </c>
      <c r="B834" s="90">
        <v>7.2186620473392606</v>
      </c>
    </row>
    <row r="835" spans="1:2">
      <c r="A835" s="32">
        <v>822</v>
      </c>
      <c r="B835" s="90">
        <v>9.0872797169162336</v>
      </c>
    </row>
    <row r="836" spans="1:2">
      <c r="A836" s="32">
        <v>823</v>
      </c>
      <c r="B836" s="90">
        <v>8.2024914721137492</v>
      </c>
    </row>
    <row r="837" spans="1:2">
      <c r="A837" s="32">
        <v>824</v>
      </c>
      <c r="B837" s="90">
        <v>8.37139642856717</v>
      </c>
    </row>
    <row r="838" spans="1:2">
      <c r="A838" s="32">
        <v>825</v>
      </c>
      <c r="B838" s="90">
        <v>8.3693659930026367</v>
      </c>
    </row>
    <row r="839" spans="1:2">
      <c r="A839" s="32">
        <v>826</v>
      </c>
      <c r="B839" s="90">
        <v>7.930653360126878</v>
      </c>
    </row>
    <row r="840" spans="1:2">
      <c r="A840" s="32">
        <v>827</v>
      </c>
      <c r="B840" s="90">
        <v>8.4382754500304511</v>
      </c>
    </row>
    <row r="841" spans="1:2">
      <c r="A841" s="32">
        <v>828</v>
      </c>
      <c r="B841" s="90">
        <v>8.6290603293566157</v>
      </c>
    </row>
    <row r="842" spans="1:2">
      <c r="A842" s="32">
        <v>829</v>
      </c>
      <c r="B842" s="90">
        <v>9.1844074672107574</v>
      </c>
    </row>
    <row r="843" spans="1:2">
      <c r="A843" s="32">
        <v>830</v>
      </c>
      <c r="B843" s="90">
        <v>8.0693106136338368</v>
      </c>
    </row>
    <row r="844" spans="1:2">
      <c r="A844" s="32">
        <v>831</v>
      </c>
      <c r="B844" s="90">
        <v>7.5286905161025892</v>
      </c>
    </row>
    <row r="845" spans="1:2">
      <c r="A845" s="32">
        <v>832</v>
      </c>
      <c r="B845" s="90">
        <v>7.5398440041958059</v>
      </c>
    </row>
    <row r="846" spans="1:2">
      <c r="A846" s="32">
        <v>833</v>
      </c>
      <c r="B846" s="90">
        <v>7.4991816808325256</v>
      </c>
    </row>
    <row r="847" spans="1:2">
      <c r="A847" s="32">
        <v>834</v>
      </c>
      <c r="B847" s="90">
        <v>8.2348890776029329</v>
      </c>
    </row>
    <row r="848" spans="1:2">
      <c r="A848" s="32">
        <v>835</v>
      </c>
      <c r="B848" s="90">
        <v>9.0136235666728908</v>
      </c>
    </row>
    <row r="849" spans="1:2">
      <c r="A849" s="32">
        <v>836</v>
      </c>
      <c r="B849" s="90">
        <v>7.1443264412941634</v>
      </c>
    </row>
    <row r="850" spans="1:2">
      <c r="A850" s="32">
        <v>837</v>
      </c>
      <c r="B850" s="90">
        <v>8.2080519039607456</v>
      </c>
    </row>
    <row r="851" spans="1:2">
      <c r="A851" s="32">
        <v>838</v>
      </c>
      <c r="B851" s="90">
        <v>10.579956882446851</v>
      </c>
    </row>
    <row r="852" spans="1:2">
      <c r="A852" s="32">
        <v>839</v>
      </c>
      <c r="B852" s="90">
        <v>8.6997137020991087</v>
      </c>
    </row>
    <row r="853" spans="1:2">
      <c r="A853" s="32">
        <v>840</v>
      </c>
      <c r="B853" s="90">
        <v>7.0067146964036313</v>
      </c>
    </row>
    <row r="854" spans="1:2">
      <c r="A854" s="32">
        <v>841</v>
      </c>
      <c r="B854" s="90">
        <v>9.2681686189311669</v>
      </c>
    </row>
    <row r="855" spans="1:2">
      <c r="A855" s="32">
        <v>842</v>
      </c>
      <c r="B855" s="90">
        <v>6.7570605050823085</v>
      </c>
    </row>
    <row r="856" spans="1:2">
      <c r="A856" s="32">
        <v>843</v>
      </c>
      <c r="B856" s="90">
        <v>7.5649042945451113</v>
      </c>
    </row>
    <row r="857" spans="1:2">
      <c r="A857" s="32">
        <v>844</v>
      </c>
      <c r="B857" s="90">
        <v>7.5335142406945739</v>
      </c>
    </row>
    <row r="858" spans="1:2">
      <c r="A858" s="32">
        <v>845</v>
      </c>
      <c r="B858" s="90">
        <v>9.0945665167200076</v>
      </c>
    </row>
    <row r="859" spans="1:2">
      <c r="A859" s="32">
        <v>846</v>
      </c>
      <c r="B859" s="90">
        <v>7.8662673753311703</v>
      </c>
    </row>
    <row r="860" spans="1:2">
      <c r="A860" s="32">
        <v>847</v>
      </c>
      <c r="B860" s="90">
        <v>8.7746426113355813</v>
      </c>
    </row>
    <row r="861" spans="1:2">
      <c r="A861" s="32">
        <v>848</v>
      </c>
      <c r="B861" s="90">
        <v>8.2717638125121216</v>
      </c>
    </row>
    <row r="862" spans="1:2">
      <c r="A862" s="32">
        <v>849</v>
      </c>
      <c r="B862" s="90">
        <v>7.3695392511374189</v>
      </c>
    </row>
    <row r="863" spans="1:2">
      <c r="A863" s="32">
        <v>850</v>
      </c>
      <c r="B863" s="90">
        <v>8.6553827400377816</v>
      </c>
    </row>
    <row r="864" spans="1:2">
      <c r="A864" s="32">
        <v>851</v>
      </c>
      <c r="B864" s="90">
        <v>8.4554281699568268</v>
      </c>
    </row>
    <row r="865" spans="1:2">
      <c r="A865" s="32">
        <v>852</v>
      </c>
      <c r="B865" s="90">
        <v>8.7504517235053765</v>
      </c>
    </row>
    <row r="866" spans="1:2">
      <c r="A866" s="32">
        <v>853</v>
      </c>
      <c r="B866" s="90">
        <v>8.4940615451213244</v>
      </c>
    </row>
    <row r="867" spans="1:2">
      <c r="A867" s="32">
        <v>854</v>
      </c>
      <c r="B867" s="90">
        <v>8.4120389751918161</v>
      </c>
    </row>
    <row r="868" spans="1:2">
      <c r="A868" s="32">
        <v>855</v>
      </c>
      <c r="B868" s="90">
        <v>7.117677830908673</v>
      </c>
    </row>
    <row r="869" spans="1:2">
      <c r="A869" s="32">
        <v>856</v>
      </c>
      <c r="B869" s="90">
        <v>8.6046688304098851</v>
      </c>
    </row>
    <row r="870" spans="1:2">
      <c r="A870" s="32">
        <v>857</v>
      </c>
      <c r="B870" s="90">
        <v>8.7225613332429059</v>
      </c>
    </row>
    <row r="871" spans="1:2">
      <c r="A871" s="32">
        <v>858</v>
      </c>
      <c r="B871" s="90">
        <v>7.7098678219979195</v>
      </c>
    </row>
    <row r="872" spans="1:2">
      <c r="A872" s="32">
        <v>859</v>
      </c>
      <c r="B872" s="90">
        <v>8.5070957352608119</v>
      </c>
    </row>
    <row r="873" spans="1:2">
      <c r="A873" s="32">
        <v>860</v>
      </c>
      <c r="B873" s="90">
        <v>8.3135572008877912</v>
      </c>
    </row>
    <row r="874" spans="1:2">
      <c r="A874" s="32">
        <v>861</v>
      </c>
      <c r="B874" s="90">
        <v>7.5176190937513736</v>
      </c>
    </row>
    <row r="875" spans="1:2">
      <c r="A875" s="32">
        <v>862</v>
      </c>
      <c r="B875" s="90">
        <v>7.8602780240701486</v>
      </c>
    </row>
    <row r="876" spans="1:2">
      <c r="A876" s="32">
        <v>863</v>
      </c>
      <c r="B876" s="90">
        <v>9.5286373149584165</v>
      </c>
    </row>
    <row r="877" spans="1:2">
      <c r="A877" s="32">
        <v>864</v>
      </c>
      <c r="B877" s="90">
        <v>8.319702341311741</v>
      </c>
    </row>
    <row r="878" spans="1:2">
      <c r="A878" s="32">
        <v>865</v>
      </c>
      <c r="B878" s="90">
        <v>7.6235599635345039</v>
      </c>
    </row>
    <row r="879" spans="1:2">
      <c r="A879" s="32">
        <v>866</v>
      </c>
      <c r="B879" s="90">
        <v>9.3697434940588078</v>
      </c>
    </row>
    <row r="880" spans="1:2">
      <c r="A880" s="32">
        <v>867</v>
      </c>
      <c r="B880" s="90">
        <v>9.6106214812626778</v>
      </c>
    </row>
    <row r="881" spans="1:2">
      <c r="A881" s="32">
        <v>868</v>
      </c>
      <c r="B881" s="90">
        <v>7.5255529797103344</v>
      </c>
    </row>
    <row r="882" spans="1:2">
      <c r="A882" s="32">
        <v>869</v>
      </c>
      <c r="B882" s="90">
        <v>7.786402638025252</v>
      </c>
    </row>
    <row r="883" spans="1:2">
      <c r="A883" s="32">
        <v>870</v>
      </c>
      <c r="B883" s="90">
        <v>7.8117445417288964</v>
      </c>
    </row>
    <row r="884" spans="1:2">
      <c r="A884" s="32">
        <v>871</v>
      </c>
      <c r="B884" s="90">
        <v>7.5443712088584372</v>
      </c>
    </row>
    <row r="885" spans="1:2">
      <c r="A885" s="32">
        <v>872</v>
      </c>
      <c r="B885" s="90">
        <v>9.4101821818321714</v>
      </c>
    </row>
    <row r="886" spans="1:2">
      <c r="A886" s="32">
        <v>873</v>
      </c>
      <c r="B886" s="90">
        <v>9.124495375029996</v>
      </c>
    </row>
    <row r="887" spans="1:2">
      <c r="A887" s="32">
        <v>874</v>
      </c>
      <c r="B887" s="90">
        <v>8.9576470602174094</v>
      </c>
    </row>
    <row r="888" spans="1:2">
      <c r="A888" s="32">
        <v>875</v>
      </c>
      <c r="B888" s="90">
        <v>7.463207594523908</v>
      </c>
    </row>
    <row r="889" spans="1:2">
      <c r="A889" s="32">
        <v>876</v>
      </c>
      <c r="B889" s="90">
        <v>10.139945699272838</v>
      </c>
    </row>
    <row r="890" spans="1:2">
      <c r="A890" s="32">
        <v>877</v>
      </c>
      <c r="B890" s="90">
        <v>7.280822928518754</v>
      </c>
    </row>
    <row r="891" spans="1:2">
      <c r="A891" s="32">
        <v>878</v>
      </c>
      <c r="B891" s="90">
        <v>7.2033338165972998</v>
      </c>
    </row>
    <row r="892" spans="1:2">
      <c r="A892" s="32">
        <v>879</v>
      </c>
      <c r="B892" s="90">
        <v>8.7461349705312461</v>
      </c>
    </row>
    <row r="893" spans="1:2">
      <c r="A893" s="32">
        <v>880</v>
      </c>
      <c r="B893" s="90">
        <v>7.1598781763781272</v>
      </c>
    </row>
    <row r="894" spans="1:2">
      <c r="A894" s="32">
        <v>881</v>
      </c>
      <c r="B894" s="90">
        <v>7.0496536152564762</v>
      </c>
    </row>
    <row r="895" spans="1:2">
      <c r="A895" s="32">
        <v>882</v>
      </c>
      <c r="B895" s="90">
        <v>7.9213365350668612</v>
      </c>
    </row>
    <row r="896" spans="1:2">
      <c r="A896" s="32">
        <v>883</v>
      </c>
      <c r="B896" s="90">
        <v>7.9600891027702252</v>
      </c>
    </row>
    <row r="897" spans="1:2">
      <c r="A897" s="32">
        <v>884</v>
      </c>
      <c r="B897" s="90">
        <v>7.1653151715756849</v>
      </c>
    </row>
    <row r="898" spans="1:2">
      <c r="A898" s="32">
        <v>885</v>
      </c>
      <c r="B898" s="90">
        <v>8.2511950991150513</v>
      </c>
    </row>
    <row r="899" spans="1:2">
      <c r="A899" s="32">
        <v>886</v>
      </c>
      <c r="B899" s="90">
        <v>8.8447141003961054</v>
      </c>
    </row>
    <row r="900" spans="1:2">
      <c r="A900" s="32">
        <v>887</v>
      </c>
      <c r="B900" s="90">
        <v>7.6243792190160136</v>
      </c>
    </row>
    <row r="901" spans="1:2">
      <c r="A901" s="32">
        <v>888</v>
      </c>
      <c r="B901" s="90">
        <v>9.3751932949354035</v>
      </c>
    </row>
    <row r="902" spans="1:2">
      <c r="A902" s="32">
        <v>889</v>
      </c>
      <c r="B902" s="90">
        <v>8.3876205179772203</v>
      </c>
    </row>
    <row r="903" spans="1:2">
      <c r="A903" s="32">
        <v>890</v>
      </c>
      <c r="B903" s="90">
        <v>9.4805401224149897</v>
      </c>
    </row>
    <row r="904" spans="1:2">
      <c r="A904" s="32">
        <v>891</v>
      </c>
      <c r="B904" s="90">
        <v>7.4448643318760466</v>
      </c>
    </row>
    <row r="905" spans="1:2">
      <c r="A905" s="32">
        <v>892</v>
      </c>
      <c r="B905" s="90">
        <v>8.9684840549130005</v>
      </c>
    </row>
    <row r="906" spans="1:2">
      <c r="A906" s="32">
        <v>893</v>
      </c>
      <c r="B906" s="90">
        <v>7.7238621763553086</v>
      </c>
    </row>
    <row r="907" spans="1:2">
      <c r="A907" s="32">
        <v>894</v>
      </c>
      <c r="B907" s="90">
        <v>7.6485836292290621</v>
      </c>
    </row>
    <row r="908" spans="1:2">
      <c r="A908" s="32">
        <v>895</v>
      </c>
      <c r="B908" s="90">
        <v>7.9582082471509601</v>
      </c>
    </row>
    <row r="909" spans="1:2">
      <c r="A909" s="32">
        <v>896</v>
      </c>
      <c r="B909" s="90">
        <v>7.4831016710387059</v>
      </c>
    </row>
    <row r="910" spans="1:2">
      <c r="A910" s="32">
        <v>897</v>
      </c>
      <c r="B910" s="90">
        <v>8.7826914057350773</v>
      </c>
    </row>
    <row r="911" spans="1:2">
      <c r="A911" s="32">
        <v>898</v>
      </c>
      <c r="B911" s="90">
        <v>7.3892463503426491</v>
      </c>
    </row>
    <row r="912" spans="1:2">
      <c r="A912" s="32">
        <v>899</v>
      </c>
      <c r="B912" s="90">
        <v>7.281485291165577</v>
      </c>
    </row>
    <row r="913" spans="1:2">
      <c r="A913" s="32">
        <v>900</v>
      </c>
      <c r="B913" s="90">
        <v>7.358303569208319</v>
      </c>
    </row>
    <row r="914" spans="1:2">
      <c r="A914" s="32">
        <v>901</v>
      </c>
      <c r="B914" s="90">
        <v>9.2350715173445383</v>
      </c>
    </row>
    <row r="915" spans="1:2">
      <c r="A915" s="32">
        <v>902</v>
      </c>
      <c r="B915" s="90">
        <v>7.338652109481397</v>
      </c>
    </row>
    <row r="916" spans="1:2">
      <c r="A916" s="32">
        <v>903</v>
      </c>
      <c r="B916" s="90">
        <v>8.1599727947493719</v>
      </c>
    </row>
    <row r="917" spans="1:2">
      <c r="A917" s="32">
        <v>904</v>
      </c>
      <c r="B917" s="90">
        <v>8.1696888906009164</v>
      </c>
    </row>
    <row r="918" spans="1:2">
      <c r="A918" s="32">
        <v>905</v>
      </c>
      <c r="B918" s="90">
        <v>7.2448637240654357</v>
      </c>
    </row>
    <row r="919" spans="1:2">
      <c r="A919" s="32">
        <v>906</v>
      </c>
      <c r="B919" s="90">
        <v>9.1893106846868324</v>
      </c>
    </row>
    <row r="920" spans="1:2">
      <c r="A920" s="32">
        <v>907</v>
      </c>
      <c r="B920" s="90">
        <v>8.1885699972093651</v>
      </c>
    </row>
    <row r="921" spans="1:2">
      <c r="A921" s="32">
        <v>908</v>
      </c>
      <c r="B921" s="90">
        <v>7.6708493161260485</v>
      </c>
    </row>
    <row r="922" spans="1:2">
      <c r="A922" s="32">
        <v>909</v>
      </c>
      <c r="B922" s="90">
        <v>7.4180053597317555</v>
      </c>
    </row>
    <row r="923" spans="1:2">
      <c r="A923" s="32">
        <v>910</v>
      </c>
      <c r="B923" s="90">
        <v>7.8391400180038708</v>
      </c>
    </row>
    <row r="924" spans="1:2">
      <c r="A924" s="32">
        <v>911</v>
      </c>
      <c r="B924" s="90">
        <v>8.9508236890815382</v>
      </c>
    </row>
    <row r="925" spans="1:2">
      <c r="A925" s="32">
        <v>912</v>
      </c>
      <c r="B925" s="90">
        <v>9.0355366479331849</v>
      </c>
    </row>
    <row r="926" spans="1:2">
      <c r="A926" s="32">
        <v>913</v>
      </c>
      <c r="B926" s="90">
        <v>8.4905269843035889</v>
      </c>
    </row>
    <row r="927" spans="1:2">
      <c r="A927" s="32">
        <v>914</v>
      </c>
      <c r="B927" s="90">
        <v>8.4559228163725191</v>
      </c>
    </row>
    <row r="928" spans="1:2">
      <c r="A928" s="32">
        <v>915</v>
      </c>
      <c r="B928" s="90">
        <v>8.123367105746448</v>
      </c>
    </row>
    <row r="929" spans="1:2">
      <c r="A929" s="32">
        <v>916</v>
      </c>
      <c r="B929" s="90">
        <v>7.6536770536644605</v>
      </c>
    </row>
    <row r="930" spans="1:2">
      <c r="A930" s="32">
        <v>917</v>
      </c>
      <c r="B930" s="90">
        <v>7.5435196856224405</v>
      </c>
    </row>
    <row r="931" spans="1:2">
      <c r="A931" s="32">
        <v>918</v>
      </c>
      <c r="B931" s="90">
        <v>8.4831767493227552</v>
      </c>
    </row>
    <row r="932" spans="1:2">
      <c r="A932" s="32">
        <v>919</v>
      </c>
      <c r="B932" s="90">
        <v>8.5646418189944864</v>
      </c>
    </row>
    <row r="933" spans="1:2">
      <c r="A933" s="32">
        <v>920</v>
      </c>
      <c r="B933" s="90">
        <v>9.4934087091324315</v>
      </c>
    </row>
    <row r="934" spans="1:2">
      <c r="A934" s="32">
        <v>921</v>
      </c>
      <c r="B934" s="90">
        <v>7.6739390341944418</v>
      </c>
    </row>
    <row r="935" spans="1:2">
      <c r="A935" s="32">
        <v>922</v>
      </c>
      <c r="B935" s="90">
        <v>8.0597889276925851</v>
      </c>
    </row>
    <row r="936" spans="1:2">
      <c r="A936" s="32">
        <v>923</v>
      </c>
      <c r="B936" s="90">
        <v>8.5238216236701536</v>
      </c>
    </row>
    <row r="937" spans="1:2">
      <c r="A937" s="32">
        <v>924</v>
      </c>
      <c r="B937" s="90">
        <v>7.7674186316238254</v>
      </c>
    </row>
    <row r="938" spans="1:2">
      <c r="A938" s="32">
        <v>925</v>
      </c>
      <c r="B938" s="90">
        <v>8.263447531232714</v>
      </c>
    </row>
    <row r="939" spans="1:2">
      <c r="A939" s="32">
        <v>926</v>
      </c>
      <c r="B939" s="90">
        <v>8.4153082882399897</v>
      </c>
    </row>
    <row r="940" spans="1:2">
      <c r="A940" s="32">
        <v>927</v>
      </c>
      <c r="B940" s="90">
        <v>7.7509098101822662</v>
      </c>
    </row>
    <row r="941" spans="1:2">
      <c r="A941" s="32">
        <v>928</v>
      </c>
      <c r="B941" s="90">
        <v>7.7173041314883992</v>
      </c>
    </row>
    <row r="942" spans="1:2">
      <c r="A942" s="32">
        <v>929</v>
      </c>
      <c r="B942" s="90">
        <v>7.5409311181556129</v>
      </c>
    </row>
    <row r="943" spans="1:2">
      <c r="A943" s="32">
        <v>930</v>
      </c>
      <c r="B943" s="90">
        <v>8.4455494146980943</v>
      </c>
    </row>
    <row r="944" spans="1:2">
      <c r="A944" s="32">
        <v>931</v>
      </c>
      <c r="B944" s="90">
        <v>7.1324446318633097</v>
      </c>
    </row>
    <row r="945" spans="1:2">
      <c r="A945" s="32">
        <v>932</v>
      </c>
      <c r="B945" s="90">
        <v>8.6329751410424276</v>
      </c>
    </row>
    <row r="946" spans="1:2">
      <c r="A946" s="32">
        <v>933</v>
      </c>
      <c r="B946" s="90">
        <v>7.4634085204238101</v>
      </c>
    </row>
    <row r="947" spans="1:2">
      <c r="A947" s="32">
        <v>934</v>
      </c>
      <c r="B947" s="90">
        <v>8.4980154350806369</v>
      </c>
    </row>
    <row r="948" spans="1:2">
      <c r="A948" s="32">
        <v>935</v>
      </c>
      <c r="B948" s="90">
        <v>7.7145503065787064</v>
      </c>
    </row>
    <row r="949" spans="1:2">
      <c r="A949" s="32">
        <v>936</v>
      </c>
      <c r="B949" s="90">
        <v>7.0233309029707236</v>
      </c>
    </row>
    <row r="950" spans="1:2">
      <c r="A950" s="32">
        <v>937</v>
      </c>
      <c r="B950" s="90">
        <v>9.3832655425549891</v>
      </c>
    </row>
    <row r="951" spans="1:2">
      <c r="A951" s="32">
        <v>938</v>
      </c>
      <c r="B951" s="90">
        <v>8.1553669912294815</v>
      </c>
    </row>
    <row r="952" spans="1:2">
      <c r="A952" s="32">
        <v>939</v>
      </c>
      <c r="B952" s="90">
        <v>6.3382118814004471</v>
      </c>
    </row>
    <row r="953" spans="1:2">
      <c r="A953" s="32">
        <v>940</v>
      </c>
      <c r="B953" s="90">
        <v>7.0535741204086442</v>
      </c>
    </row>
    <row r="954" spans="1:2">
      <c r="A954" s="32">
        <v>941</v>
      </c>
      <c r="B954" s="90">
        <v>7.5651206194173408</v>
      </c>
    </row>
    <row r="955" spans="1:2">
      <c r="A955" s="32">
        <v>942</v>
      </c>
      <c r="B955" s="90">
        <v>8.4837454291615408</v>
      </c>
    </row>
    <row r="956" spans="1:2">
      <c r="A956" s="32">
        <v>943</v>
      </c>
      <c r="B956" s="90">
        <v>6.7771417729256438</v>
      </c>
    </row>
    <row r="957" spans="1:2">
      <c r="A957" s="32">
        <v>944</v>
      </c>
      <c r="B957" s="90">
        <v>8.3302920060328169</v>
      </c>
    </row>
    <row r="958" spans="1:2">
      <c r="A958" s="32">
        <v>945</v>
      </c>
      <c r="B958" s="90">
        <v>7.8191541840963108</v>
      </c>
    </row>
    <row r="959" spans="1:2">
      <c r="A959" s="32">
        <v>946</v>
      </c>
      <c r="B959" s="90">
        <v>7.3489135123020883</v>
      </c>
    </row>
    <row r="960" spans="1:2">
      <c r="A960" s="32">
        <v>947</v>
      </c>
      <c r="B960" s="90">
        <v>7.5121262878713351</v>
      </c>
    </row>
    <row r="961" spans="1:2">
      <c r="A961" s="32">
        <v>948</v>
      </c>
      <c r="B961" s="90">
        <v>8.8854184212146006</v>
      </c>
    </row>
    <row r="962" spans="1:2">
      <c r="A962" s="32">
        <v>949</v>
      </c>
      <c r="B962" s="90">
        <v>8.2638479905812456</v>
      </c>
    </row>
    <row r="963" spans="1:2">
      <c r="A963" s="32">
        <v>950</v>
      </c>
      <c r="B963" s="90">
        <v>8.585757112648766</v>
      </c>
    </row>
    <row r="964" spans="1:2">
      <c r="A964" s="32">
        <v>951</v>
      </c>
      <c r="B964" s="90">
        <v>7.0735611708870012</v>
      </c>
    </row>
    <row r="965" spans="1:2">
      <c r="A965" s="32">
        <v>952</v>
      </c>
      <c r="B965" s="90">
        <v>8.4064188238405819</v>
      </c>
    </row>
    <row r="966" spans="1:2">
      <c r="A966" s="32">
        <v>953</v>
      </c>
      <c r="B966" s="90">
        <v>8.4146354561106289</v>
      </c>
    </row>
    <row r="967" spans="1:2">
      <c r="A967" s="32">
        <v>954</v>
      </c>
      <c r="B967" s="90">
        <v>7.8521840196832926</v>
      </c>
    </row>
    <row r="968" spans="1:2">
      <c r="A968" s="32">
        <v>955</v>
      </c>
      <c r="B968" s="90">
        <v>7.8834611990970984</v>
      </c>
    </row>
    <row r="969" spans="1:2">
      <c r="A969" s="32">
        <v>956</v>
      </c>
      <c r="B969" s="90">
        <v>8.5888965891860796</v>
      </c>
    </row>
    <row r="970" spans="1:2">
      <c r="A970" s="32">
        <v>957</v>
      </c>
      <c r="B970" s="90">
        <v>8.257034878465042</v>
      </c>
    </row>
    <row r="971" spans="1:2">
      <c r="A971" s="32">
        <v>958</v>
      </c>
      <c r="B971" s="90">
        <v>7.1219214056092026</v>
      </c>
    </row>
    <row r="972" spans="1:2">
      <c r="A972" s="32">
        <v>959</v>
      </c>
      <c r="B972" s="90">
        <v>7.5849210597457963</v>
      </c>
    </row>
    <row r="973" spans="1:2">
      <c r="A973" s="32">
        <v>960</v>
      </c>
      <c r="B973" s="90">
        <v>7.6717484606330677</v>
      </c>
    </row>
    <row r="974" spans="1:2">
      <c r="A974" s="32">
        <v>961</v>
      </c>
      <c r="B974" s="90">
        <v>7.3023706247696545</v>
      </c>
    </row>
    <row r="975" spans="1:2">
      <c r="A975" s="32">
        <v>962</v>
      </c>
      <c r="B975" s="90">
        <v>8.9273587755272779</v>
      </c>
    </row>
    <row r="976" spans="1:2">
      <c r="A976" s="32">
        <v>963</v>
      </c>
      <c r="B976" s="90">
        <v>7.9385470749042319</v>
      </c>
    </row>
    <row r="977" spans="1:2">
      <c r="A977" s="32">
        <v>964</v>
      </c>
      <c r="B977" s="90">
        <v>9.2375213034742991</v>
      </c>
    </row>
    <row r="978" spans="1:2">
      <c r="A978" s="32">
        <v>965</v>
      </c>
      <c r="B978" s="90">
        <v>7.6396936921987502</v>
      </c>
    </row>
    <row r="979" spans="1:2">
      <c r="A979" s="32">
        <v>966</v>
      </c>
      <c r="B979" s="90">
        <v>8.3958152573406082</v>
      </c>
    </row>
    <row r="980" spans="1:2">
      <c r="A980" s="32">
        <v>967</v>
      </c>
      <c r="B980" s="90">
        <v>7.6811168728744441</v>
      </c>
    </row>
    <row r="981" spans="1:2">
      <c r="A981" s="32">
        <v>968</v>
      </c>
      <c r="B981" s="90">
        <v>7.3495642759944539</v>
      </c>
    </row>
    <row r="982" spans="1:2">
      <c r="A982" s="32">
        <v>969</v>
      </c>
      <c r="B982" s="90">
        <v>7.5813390169121888</v>
      </c>
    </row>
    <row r="983" spans="1:2">
      <c r="A983" s="32">
        <v>970</v>
      </c>
      <c r="B983" s="90">
        <v>7.2965487974607139</v>
      </c>
    </row>
    <row r="984" spans="1:2">
      <c r="A984" s="32">
        <v>971</v>
      </c>
      <c r="B984" s="90">
        <v>9.0453852725417168</v>
      </c>
    </row>
    <row r="985" spans="1:2">
      <c r="A985" s="32">
        <v>972</v>
      </c>
      <c r="B985" s="90">
        <v>7.8149538715443398</v>
      </c>
    </row>
    <row r="986" spans="1:2">
      <c r="A986" s="32">
        <v>973</v>
      </c>
      <c r="B986" s="90">
        <v>7.9580224969553326</v>
      </c>
    </row>
    <row r="987" spans="1:2">
      <c r="A987" s="32">
        <v>974</v>
      </c>
      <c r="B987" s="90">
        <v>8.0184832708664917</v>
      </c>
    </row>
    <row r="988" spans="1:2">
      <c r="A988" s="32">
        <v>975</v>
      </c>
      <c r="B988" s="90">
        <v>8.6235214804444027</v>
      </c>
    </row>
    <row r="989" spans="1:2">
      <c r="A989" s="32">
        <v>976</v>
      </c>
      <c r="B989" s="90">
        <v>7.779663212003455</v>
      </c>
    </row>
    <row r="990" spans="1:2">
      <c r="A990" s="32">
        <v>977</v>
      </c>
      <c r="B990" s="90">
        <v>7.309074424569479</v>
      </c>
    </row>
    <row r="991" spans="1:2">
      <c r="A991" s="32">
        <v>978</v>
      </c>
      <c r="B991" s="90">
        <v>8.1966388870573805</v>
      </c>
    </row>
    <row r="992" spans="1:2">
      <c r="A992" s="32">
        <v>979</v>
      </c>
      <c r="B992" s="90">
        <v>8.0458470476039992</v>
      </c>
    </row>
    <row r="993" spans="1:2">
      <c r="A993" s="32">
        <v>980</v>
      </c>
      <c r="B993" s="90">
        <v>8.1403751194592679</v>
      </c>
    </row>
    <row r="994" spans="1:2">
      <c r="A994" s="32">
        <v>981</v>
      </c>
      <c r="B994" s="90">
        <v>6.5726903714815634</v>
      </c>
    </row>
    <row r="995" spans="1:2">
      <c r="A995" s="32">
        <v>982</v>
      </c>
      <c r="B995" s="90">
        <v>7.233462426745799</v>
      </c>
    </row>
    <row r="996" spans="1:2">
      <c r="A996" s="32">
        <v>983</v>
      </c>
      <c r="B996" s="90">
        <v>6.9092232259864348</v>
      </c>
    </row>
    <row r="997" spans="1:2">
      <c r="A997" s="32">
        <v>984</v>
      </c>
      <c r="B997" s="90">
        <v>10.309810980774841</v>
      </c>
    </row>
    <row r="998" spans="1:2">
      <c r="A998" s="32">
        <v>985</v>
      </c>
      <c r="B998" s="90">
        <v>9.0525245674039017</v>
      </c>
    </row>
    <row r="999" spans="1:2">
      <c r="A999" s="32">
        <v>986</v>
      </c>
      <c r="B999" s="90">
        <v>9.0230176956791439</v>
      </c>
    </row>
    <row r="1000" spans="1:2">
      <c r="A1000" s="32">
        <v>987</v>
      </c>
      <c r="B1000" s="90">
        <v>7.3695183839677725</v>
      </c>
    </row>
    <row r="1001" spans="1:2">
      <c r="A1001" s="32">
        <v>988</v>
      </c>
      <c r="B1001" s="90">
        <v>7.9688923368041502</v>
      </c>
    </row>
    <row r="1002" spans="1:2">
      <c r="A1002" s="32">
        <v>989</v>
      </c>
      <c r="B1002" s="90">
        <v>8.9544421882900807</v>
      </c>
    </row>
    <row r="1003" spans="1:2">
      <c r="A1003" s="32">
        <v>990</v>
      </c>
      <c r="B1003" s="90">
        <v>8.1168929968550554</v>
      </c>
    </row>
    <row r="1004" spans="1:2">
      <c r="A1004" s="32">
        <v>991</v>
      </c>
      <c r="B1004" s="90">
        <v>7.1024865086378997</v>
      </c>
    </row>
    <row r="1005" spans="1:2">
      <c r="A1005" s="32">
        <v>992</v>
      </c>
      <c r="B1005" s="90">
        <v>8.3159989059025428</v>
      </c>
    </row>
    <row r="1006" spans="1:2">
      <c r="A1006" s="32">
        <v>993</v>
      </c>
      <c r="B1006" s="90">
        <v>8.7597082021210522</v>
      </c>
    </row>
    <row r="1007" spans="1:2">
      <c r="A1007" s="32">
        <v>994</v>
      </c>
      <c r="B1007" s="90">
        <v>8.0056399918479837</v>
      </c>
    </row>
    <row r="1008" spans="1:2">
      <c r="A1008" s="32">
        <v>995</v>
      </c>
      <c r="B1008" s="90">
        <v>7.5231350471576128</v>
      </c>
    </row>
    <row r="1009" spans="1:2">
      <c r="A1009" s="32">
        <v>996</v>
      </c>
      <c r="B1009" s="90">
        <v>7.4920476673607208</v>
      </c>
    </row>
    <row r="1010" spans="1:2">
      <c r="A1010" s="32">
        <v>997</v>
      </c>
      <c r="B1010" s="90">
        <v>8.6100766247242024</v>
      </c>
    </row>
    <row r="1011" spans="1:2">
      <c r="A1011" s="32">
        <v>998</v>
      </c>
      <c r="B1011" s="90">
        <v>8.9618205842716865</v>
      </c>
    </row>
    <row r="1012" spans="1:2">
      <c r="A1012" s="32">
        <v>999</v>
      </c>
      <c r="B1012" s="90">
        <v>8.3950700553330542</v>
      </c>
    </row>
    <row r="1013" spans="1:2">
      <c r="A1013" s="32">
        <v>1000</v>
      </c>
      <c r="B1013" s="90">
        <v>9.1662808003624168</v>
      </c>
    </row>
    <row r="1014" spans="1:2">
      <c r="A1014" s="32">
        <v>1001</v>
      </c>
      <c r="B1014" s="90">
        <v>7.9355554981620804</v>
      </c>
    </row>
    <row r="1015" spans="1:2">
      <c r="A1015" s="32">
        <v>1002</v>
      </c>
      <c r="B1015" s="90">
        <v>8.5897498679698163</v>
      </c>
    </row>
    <row r="1016" spans="1:2">
      <c r="A1016" s="32">
        <v>1003</v>
      </c>
      <c r="B1016" s="90">
        <v>7.8214332035374339</v>
      </c>
    </row>
    <row r="1017" spans="1:2">
      <c r="A1017" s="32">
        <v>1004</v>
      </c>
      <c r="B1017" s="90">
        <v>9.1849522389328762</v>
      </c>
    </row>
    <row r="1018" spans="1:2">
      <c r="A1018" s="32">
        <v>1005</v>
      </c>
      <c r="B1018" s="90">
        <v>7.8852788056712662</v>
      </c>
    </row>
    <row r="1019" spans="1:2">
      <c r="A1019" s="32">
        <v>1006</v>
      </c>
      <c r="B1019" s="90">
        <v>10.171667553520882</v>
      </c>
    </row>
    <row r="1020" spans="1:2">
      <c r="A1020" s="32">
        <v>1007</v>
      </c>
      <c r="B1020" s="90">
        <v>7.6177787151241931</v>
      </c>
    </row>
    <row r="1021" spans="1:2">
      <c r="A1021" s="32">
        <v>1008</v>
      </c>
      <c r="B1021" s="90">
        <v>8.2643849094400643</v>
      </c>
    </row>
    <row r="1022" spans="1:2">
      <c r="A1022" s="32">
        <v>1009</v>
      </c>
      <c r="B1022" s="90">
        <v>7.8081636836054846</v>
      </c>
    </row>
    <row r="1023" spans="1:2">
      <c r="A1023" s="32">
        <v>1010</v>
      </c>
      <c r="B1023" s="90">
        <v>8.1985209537961339</v>
      </c>
    </row>
    <row r="1024" spans="1:2">
      <c r="A1024" s="32">
        <v>1011</v>
      </c>
      <c r="B1024" s="90">
        <v>8.1157399769238889</v>
      </c>
    </row>
    <row r="1025" spans="1:2">
      <c r="A1025" s="32">
        <v>1012</v>
      </c>
      <c r="B1025" s="90">
        <v>9.2320645846837035</v>
      </c>
    </row>
    <row r="1026" spans="1:2">
      <c r="A1026" s="32">
        <v>1013</v>
      </c>
      <c r="B1026" s="90">
        <v>8.5122425372350783</v>
      </c>
    </row>
    <row r="1027" spans="1:2">
      <c r="A1027" s="32">
        <v>1014</v>
      </c>
      <c r="B1027" s="90">
        <v>9.2439459552053815</v>
      </c>
    </row>
    <row r="1028" spans="1:2">
      <c r="A1028" s="32">
        <v>1015</v>
      </c>
      <c r="B1028" s="90">
        <v>8.3739212227000817</v>
      </c>
    </row>
    <row r="1029" spans="1:2">
      <c r="A1029" s="32">
        <v>1016</v>
      </c>
      <c r="B1029" s="90">
        <v>8.4386609088251472</v>
      </c>
    </row>
    <row r="1030" spans="1:2">
      <c r="A1030" s="32">
        <v>1017</v>
      </c>
      <c r="B1030" s="90">
        <v>9.7234521045067872</v>
      </c>
    </row>
    <row r="1031" spans="1:2">
      <c r="A1031" s="32">
        <v>1018</v>
      </c>
      <c r="B1031" s="90">
        <v>8.9768104455089155</v>
      </c>
    </row>
    <row r="1032" spans="1:2">
      <c r="A1032" s="32">
        <v>1019</v>
      </c>
      <c r="B1032" s="90">
        <v>7.7951485489569965</v>
      </c>
    </row>
    <row r="1033" spans="1:2">
      <c r="A1033" s="32">
        <v>1020</v>
      </c>
      <c r="B1033" s="90">
        <v>9.1795917750015406</v>
      </c>
    </row>
    <row r="1034" spans="1:2">
      <c r="A1034" s="32">
        <v>1021</v>
      </c>
      <c r="B1034" s="90">
        <v>7.8330203389484589</v>
      </c>
    </row>
    <row r="1035" spans="1:2">
      <c r="A1035" s="32">
        <v>1022</v>
      </c>
      <c r="B1035" s="90">
        <v>7.2979486202235844</v>
      </c>
    </row>
    <row r="1036" spans="1:2">
      <c r="A1036" s="32">
        <v>1023</v>
      </c>
      <c r="B1036" s="90">
        <v>9.1222751761446812</v>
      </c>
    </row>
    <row r="1037" spans="1:2">
      <c r="A1037" s="32">
        <v>1024</v>
      </c>
      <c r="B1037" s="90">
        <v>8.7279134557915121</v>
      </c>
    </row>
    <row r="1038" spans="1:2">
      <c r="A1038" s="32">
        <v>1025</v>
      </c>
      <c r="B1038" s="90">
        <v>7.5391901933662631</v>
      </c>
    </row>
    <row r="1039" spans="1:2">
      <c r="A1039" s="32">
        <v>1026</v>
      </c>
      <c r="B1039" s="90">
        <v>7.5394053663423026</v>
      </c>
    </row>
    <row r="1040" spans="1:2">
      <c r="A1040" s="32">
        <v>1027</v>
      </c>
      <c r="B1040" s="90">
        <v>8.1901805349459949</v>
      </c>
    </row>
    <row r="1041" spans="1:2">
      <c r="A1041" s="32">
        <v>1028</v>
      </c>
      <c r="B1041" s="90">
        <v>8.0528654364761358</v>
      </c>
    </row>
    <row r="1042" spans="1:2">
      <c r="A1042" s="32">
        <v>1029</v>
      </c>
      <c r="B1042" s="90">
        <v>8.7381295376059107</v>
      </c>
    </row>
    <row r="1043" spans="1:2">
      <c r="A1043" s="32">
        <v>1030</v>
      </c>
      <c r="B1043" s="90">
        <v>8.7268211476279589</v>
      </c>
    </row>
    <row r="1044" spans="1:2">
      <c r="A1044" s="32">
        <v>1031</v>
      </c>
      <c r="B1044" s="90">
        <v>7.9029353109848097</v>
      </c>
    </row>
    <row r="1045" spans="1:2">
      <c r="A1045" s="32">
        <v>1032</v>
      </c>
      <c r="B1045" s="90">
        <v>8.2948555453605266</v>
      </c>
    </row>
    <row r="1046" spans="1:2">
      <c r="A1046" s="32">
        <v>1033</v>
      </c>
      <c r="B1046" s="90">
        <v>7.9080257758641865</v>
      </c>
    </row>
    <row r="1047" spans="1:2">
      <c r="A1047" s="32">
        <v>1034</v>
      </c>
      <c r="B1047" s="90">
        <v>9.1952684536010789</v>
      </c>
    </row>
    <row r="1048" spans="1:2">
      <c r="A1048" s="32">
        <v>1035</v>
      </c>
      <c r="B1048" s="90">
        <v>8.3254317622075771</v>
      </c>
    </row>
    <row r="1049" spans="1:2">
      <c r="A1049" s="32">
        <v>1036</v>
      </c>
      <c r="B1049" s="90">
        <v>9.5037158260004109</v>
      </c>
    </row>
    <row r="1050" spans="1:2">
      <c r="A1050" s="32">
        <v>1037</v>
      </c>
      <c r="B1050" s="90">
        <v>7.4069886061263155</v>
      </c>
    </row>
    <row r="1051" spans="1:2">
      <c r="A1051" s="32">
        <v>1038</v>
      </c>
      <c r="B1051" s="90">
        <v>9.1156567565326672</v>
      </c>
    </row>
    <row r="1052" spans="1:2">
      <c r="A1052" s="32">
        <v>1039</v>
      </c>
      <c r="B1052" s="90">
        <v>8.7779765552364459</v>
      </c>
    </row>
    <row r="1053" spans="1:2">
      <c r="A1053" s="32">
        <v>1040</v>
      </c>
      <c r="B1053" s="90">
        <v>7.8777410242432202</v>
      </c>
    </row>
    <row r="1054" spans="1:2">
      <c r="A1054" s="32">
        <v>1041</v>
      </c>
      <c r="B1054" s="90">
        <v>9.1662497456261942</v>
      </c>
    </row>
    <row r="1055" spans="1:2">
      <c r="A1055" s="32">
        <v>1042</v>
      </c>
      <c r="B1055" s="90">
        <v>8.0273817853434508</v>
      </c>
    </row>
    <row r="1056" spans="1:2">
      <c r="A1056" s="32">
        <v>1043</v>
      </c>
      <c r="B1056" s="90">
        <v>8.1865695815525701</v>
      </c>
    </row>
    <row r="1057" spans="1:2">
      <c r="A1057" s="32">
        <v>1044</v>
      </c>
      <c r="B1057" s="90">
        <v>8.0939804645226214</v>
      </c>
    </row>
    <row r="1058" spans="1:2">
      <c r="A1058" s="32">
        <v>1045</v>
      </c>
      <c r="B1058" s="90">
        <v>9.1331595346353716</v>
      </c>
    </row>
    <row r="1059" spans="1:2">
      <c r="A1059" s="32">
        <v>1046</v>
      </c>
      <c r="B1059" s="90">
        <v>7.2490662731723887</v>
      </c>
    </row>
    <row r="1060" spans="1:2">
      <c r="A1060" s="32">
        <v>1047</v>
      </c>
      <c r="B1060" s="90">
        <v>8.588676799854003</v>
      </c>
    </row>
    <row r="1061" spans="1:2">
      <c r="A1061" s="32">
        <v>1048</v>
      </c>
      <c r="B1061" s="90">
        <v>8.2865565713619453</v>
      </c>
    </row>
    <row r="1062" spans="1:2">
      <c r="A1062" s="32">
        <v>1049</v>
      </c>
      <c r="B1062" s="90">
        <v>7.309718840711942</v>
      </c>
    </row>
    <row r="1063" spans="1:2">
      <c r="A1063" s="32">
        <v>1050</v>
      </c>
      <c r="B1063" s="90">
        <v>7.6887097956059023</v>
      </c>
    </row>
    <row r="1064" spans="1:2">
      <c r="A1064" s="32">
        <v>1051</v>
      </c>
      <c r="B1064" s="90">
        <v>7.907928626222458</v>
      </c>
    </row>
    <row r="1065" spans="1:2">
      <c r="A1065" s="32">
        <v>1052</v>
      </c>
      <c r="B1065" s="90">
        <v>7.6524638462301544</v>
      </c>
    </row>
    <row r="1066" spans="1:2">
      <c r="A1066" s="32">
        <v>1053</v>
      </c>
      <c r="B1066" s="90">
        <v>8.2252642869788541</v>
      </c>
    </row>
    <row r="1067" spans="1:2">
      <c r="A1067" s="32">
        <v>1054</v>
      </c>
      <c r="B1067" s="90">
        <v>8.4613395538193661</v>
      </c>
    </row>
    <row r="1068" spans="1:2">
      <c r="A1068" s="32">
        <v>1055</v>
      </c>
      <c r="B1068" s="90">
        <v>8.9076934885547754</v>
      </c>
    </row>
    <row r="1069" spans="1:2">
      <c r="A1069" s="32">
        <v>1056</v>
      </c>
      <c r="B1069" s="90">
        <v>8.9352573478328363</v>
      </c>
    </row>
    <row r="1070" spans="1:2">
      <c r="A1070" s="32">
        <v>1057</v>
      </c>
      <c r="B1070" s="90">
        <v>9.0786038704290402</v>
      </c>
    </row>
    <row r="1071" spans="1:2">
      <c r="A1071" s="32">
        <v>1058</v>
      </c>
      <c r="B1071" s="90">
        <v>8.3494425490199813</v>
      </c>
    </row>
    <row r="1072" spans="1:2">
      <c r="A1072" s="32">
        <v>1059</v>
      </c>
      <c r="B1072" s="90">
        <v>8.3561900679169572</v>
      </c>
    </row>
    <row r="1073" spans="1:2">
      <c r="A1073" s="32">
        <v>1060</v>
      </c>
      <c r="B1073" s="90">
        <v>7.7091118412867132</v>
      </c>
    </row>
    <row r="1074" spans="1:2">
      <c r="A1074" s="32">
        <v>1061</v>
      </c>
      <c r="B1074" s="90">
        <v>7.4409291679537244</v>
      </c>
    </row>
    <row r="1075" spans="1:2">
      <c r="A1075" s="32">
        <v>1062</v>
      </c>
      <c r="B1075" s="90">
        <v>7.9321510378074285</v>
      </c>
    </row>
    <row r="1076" spans="1:2">
      <c r="A1076" s="32">
        <v>1063</v>
      </c>
      <c r="B1076" s="90">
        <v>8.9452976088174481</v>
      </c>
    </row>
    <row r="1077" spans="1:2">
      <c r="A1077" s="32">
        <v>1064</v>
      </c>
      <c r="B1077" s="90">
        <v>7.717387526797757</v>
      </c>
    </row>
    <row r="1078" spans="1:2">
      <c r="A1078" s="32">
        <v>1065</v>
      </c>
      <c r="B1078" s="90">
        <v>7.8104065760287904</v>
      </c>
    </row>
    <row r="1079" spans="1:2">
      <c r="A1079" s="32">
        <v>1066</v>
      </c>
      <c r="B1079" s="90">
        <v>8.4596327372483699</v>
      </c>
    </row>
    <row r="1080" spans="1:2">
      <c r="A1080" s="32">
        <v>1067</v>
      </c>
      <c r="B1080" s="90">
        <v>8.3373046559600148</v>
      </c>
    </row>
    <row r="1081" spans="1:2">
      <c r="A1081" s="32">
        <v>1068</v>
      </c>
      <c r="B1081" s="90">
        <v>8.3591619960347963</v>
      </c>
    </row>
    <row r="1082" spans="1:2">
      <c r="A1082" s="32">
        <v>1069</v>
      </c>
      <c r="B1082" s="90">
        <v>7.7764665771023473</v>
      </c>
    </row>
    <row r="1083" spans="1:2">
      <c r="A1083" s="32">
        <v>1070</v>
      </c>
      <c r="B1083" s="90">
        <v>8.8176635471030771</v>
      </c>
    </row>
    <row r="1084" spans="1:2">
      <c r="A1084" s="32">
        <v>1071</v>
      </c>
      <c r="B1084" s="90">
        <v>8.7211926123072132</v>
      </c>
    </row>
    <row r="1085" spans="1:2">
      <c r="A1085" s="32">
        <v>1072</v>
      </c>
      <c r="B1085" s="90">
        <v>8.5152311374032887</v>
      </c>
    </row>
    <row r="1086" spans="1:2">
      <c r="A1086" s="32">
        <v>1073</v>
      </c>
      <c r="B1086" s="90">
        <v>7.3518477055730473</v>
      </c>
    </row>
    <row r="1087" spans="1:2">
      <c r="A1087" s="32">
        <v>1074</v>
      </c>
      <c r="B1087" s="90">
        <v>8.9272060936539486</v>
      </c>
    </row>
    <row r="1088" spans="1:2">
      <c r="A1088" s="32">
        <v>1075</v>
      </c>
      <c r="B1088" s="90">
        <v>8.5724301517520356</v>
      </c>
    </row>
    <row r="1089" spans="1:2">
      <c r="A1089" s="32">
        <v>1076</v>
      </c>
      <c r="B1089" s="90">
        <v>8.0588489353658961</v>
      </c>
    </row>
    <row r="1090" spans="1:2">
      <c r="A1090" s="32">
        <v>1077</v>
      </c>
      <c r="B1090" s="90">
        <v>8.6880767065823168</v>
      </c>
    </row>
    <row r="1091" spans="1:2">
      <c r="A1091" s="32">
        <v>1078</v>
      </c>
      <c r="B1091" s="90">
        <v>8.2499095596645624</v>
      </c>
    </row>
    <row r="1092" spans="1:2">
      <c r="A1092" s="32">
        <v>1079</v>
      </c>
      <c r="B1092" s="90">
        <v>9.0924375789639456</v>
      </c>
    </row>
    <row r="1093" spans="1:2">
      <c r="A1093" s="32">
        <v>1080</v>
      </c>
      <c r="B1093" s="90">
        <v>7.9141574988273478</v>
      </c>
    </row>
    <row r="1094" spans="1:2">
      <c r="A1094" s="32">
        <v>1081</v>
      </c>
      <c r="B1094" s="90">
        <v>7.4081897142073663</v>
      </c>
    </row>
    <row r="1095" spans="1:2">
      <c r="A1095" s="32">
        <v>1082</v>
      </c>
      <c r="B1095" s="90">
        <v>8.1640362319779261</v>
      </c>
    </row>
    <row r="1096" spans="1:2">
      <c r="A1096" s="32">
        <v>1083</v>
      </c>
      <c r="B1096" s="90">
        <v>8.2972503120288916</v>
      </c>
    </row>
    <row r="1097" spans="1:2">
      <c r="A1097" s="32">
        <v>1084</v>
      </c>
      <c r="B1097" s="90">
        <v>7.9941850882654011</v>
      </c>
    </row>
    <row r="1098" spans="1:2">
      <c r="A1098" s="32">
        <v>1085</v>
      </c>
      <c r="B1098" s="90">
        <v>9.3338047774820954</v>
      </c>
    </row>
    <row r="1099" spans="1:2">
      <c r="A1099" s="32">
        <v>1086</v>
      </c>
      <c r="B1099" s="90">
        <v>7.4560208589939956</v>
      </c>
    </row>
    <row r="1100" spans="1:2">
      <c r="A1100" s="32">
        <v>1087</v>
      </c>
      <c r="B1100" s="90">
        <v>7.4338425290187109</v>
      </c>
    </row>
    <row r="1101" spans="1:2">
      <c r="A1101" s="32">
        <v>1088</v>
      </c>
      <c r="B1101" s="90">
        <v>9.0548362943671457</v>
      </c>
    </row>
    <row r="1102" spans="1:2">
      <c r="A1102" s="32">
        <v>1089</v>
      </c>
      <c r="B1102" s="90">
        <v>7.9310916944611307</v>
      </c>
    </row>
    <row r="1103" spans="1:2">
      <c r="A1103" s="32">
        <v>1090</v>
      </c>
      <c r="B1103" s="90">
        <v>7.7149274147036309</v>
      </c>
    </row>
    <row r="1104" spans="1:2">
      <c r="A1104" s="32">
        <v>1091</v>
      </c>
      <c r="B1104" s="90">
        <v>7.3793725896027773</v>
      </c>
    </row>
    <row r="1105" spans="1:2">
      <c r="A1105" s="32">
        <v>1092</v>
      </c>
      <c r="B1105" s="90">
        <v>9.296839308567316</v>
      </c>
    </row>
    <row r="1106" spans="1:2">
      <c r="A1106" s="32">
        <v>1093</v>
      </c>
      <c r="B1106" s="90">
        <v>7.2507100385692755</v>
      </c>
    </row>
    <row r="1107" spans="1:2">
      <c r="A1107" s="32">
        <v>1094</v>
      </c>
      <c r="B1107" s="90">
        <v>9.408553146361097</v>
      </c>
    </row>
    <row r="1108" spans="1:2">
      <c r="A1108" s="32">
        <v>1095</v>
      </c>
      <c r="B1108" s="90">
        <v>7.1506679518910516</v>
      </c>
    </row>
    <row r="1109" spans="1:2">
      <c r="A1109" s="32">
        <v>1096</v>
      </c>
      <c r="B1109" s="90">
        <v>8.2117084062465597</v>
      </c>
    </row>
    <row r="1110" spans="1:2">
      <c r="A1110" s="32">
        <v>1097</v>
      </c>
      <c r="B1110" s="90">
        <v>7.9524502322384816</v>
      </c>
    </row>
    <row r="1111" spans="1:2">
      <c r="A1111" s="32">
        <v>1098</v>
      </c>
      <c r="B1111" s="90">
        <v>8.4199861992605456</v>
      </c>
    </row>
    <row r="1112" spans="1:2">
      <c r="A1112" s="32">
        <v>1099</v>
      </c>
      <c r="B1112" s="90">
        <v>8.6671685540083097</v>
      </c>
    </row>
    <row r="1113" spans="1:2">
      <c r="A1113" s="32">
        <v>1100</v>
      </c>
      <c r="B1113" s="90">
        <v>8.22769690489047</v>
      </c>
    </row>
    <row r="1114" spans="1:2">
      <c r="A1114" s="32">
        <v>1101</v>
      </c>
      <c r="B1114" s="90">
        <v>8.0006232279946836</v>
      </c>
    </row>
    <row r="1115" spans="1:2">
      <c r="A1115" s="32">
        <v>1102</v>
      </c>
      <c r="B1115" s="90">
        <v>7.7375081677061841</v>
      </c>
    </row>
    <row r="1116" spans="1:2">
      <c r="A1116" s="32">
        <v>1103</v>
      </c>
      <c r="B1116" s="90">
        <v>7.620788901297499</v>
      </c>
    </row>
    <row r="1117" spans="1:2">
      <c r="A1117" s="32">
        <v>1104</v>
      </c>
      <c r="B1117" s="90">
        <v>7.7826528927770298</v>
      </c>
    </row>
    <row r="1118" spans="1:2">
      <c r="A1118" s="32">
        <v>1105</v>
      </c>
      <c r="B1118" s="90">
        <v>8.3395204524555755</v>
      </c>
    </row>
    <row r="1119" spans="1:2">
      <c r="A1119" s="32">
        <v>1106</v>
      </c>
      <c r="B1119" s="90">
        <v>7.9293247571184446</v>
      </c>
    </row>
    <row r="1120" spans="1:2">
      <c r="A1120" s="32">
        <v>1107</v>
      </c>
      <c r="B1120" s="90">
        <v>5.9403322618765264</v>
      </c>
    </row>
    <row r="1121" spans="1:2">
      <c r="A1121" s="32">
        <v>1108</v>
      </c>
      <c r="B1121" s="90">
        <v>7.8016770615868243</v>
      </c>
    </row>
    <row r="1122" spans="1:2">
      <c r="A1122" s="32">
        <v>1109</v>
      </c>
      <c r="B1122" s="90">
        <v>7.8183194419047339</v>
      </c>
    </row>
    <row r="1123" spans="1:2">
      <c r="A1123" s="32">
        <v>1110</v>
      </c>
      <c r="B1123" s="90">
        <v>7.7912352715348607</v>
      </c>
    </row>
    <row r="1124" spans="1:2">
      <c r="A1124" s="32">
        <v>1111</v>
      </c>
      <c r="B1124" s="90">
        <v>8.8231455823521738</v>
      </c>
    </row>
    <row r="1125" spans="1:2">
      <c r="A1125" s="32">
        <v>1112</v>
      </c>
      <c r="B1125" s="90">
        <v>7.4737534986398888</v>
      </c>
    </row>
    <row r="1126" spans="1:2">
      <c r="A1126" s="32">
        <v>1113</v>
      </c>
      <c r="B1126" s="90">
        <v>8.8739339148978171</v>
      </c>
    </row>
    <row r="1127" spans="1:2">
      <c r="A1127" s="32">
        <v>1114</v>
      </c>
      <c r="B1127" s="90">
        <v>7.7321404695739817</v>
      </c>
    </row>
    <row r="1128" spans="1:2">
      <c r="A1128" s="32">
        <v>1115</v>
      </c>
      <c r="B1128" s="90">
        <v>8.3304292799017983</v>
      </c>
    </row>
    <row r="1129" spans="1:2">
      <c r="A1129" s="32">
        <v>1116</v>
      </c>
      <c r="B1129" s="90">
        <v>7.4794460674699819</v>
      </c>
    </row>
    <row r="1130" spans="1:2">
      <c r="A1130" s="32">
        <v>1117</v>
      </c>
      <c r="B1130" s="90">
        <v>7.2822979973900503</v>
      </c>
    </row>
    <row r="1131" spans="1:2">
      <c r="A1131" s="32">
        <v>1118</v>
      </c>
      <c r="B1131" s="90">
        <v>7.9661377686764876</v>
      </c>
    </row>
    <row r="1132" spans="1:2">
      <c r="A1132" s="32">
        <v>1119</v>
      </c>
      <c r="B1132" s="90">
        <v>8.9457142074037712</v>
      </c>
    </row>
    <row r="1133" spans="1:2">
      <c r="A1133" s="32">
        <v>1120</v>
      </c>
      <c r="B1133" s="90">
        <v>7.8308631982898849</v>
      </c>
    </row>
    <row r="1134" spans="1:2">
      <c r="A1134" s="32">
        <v>1121</v>
      </c>
      <c r="B1134" s="90">
        <v>7.4525142244631875</v>
      </c>
    </row>
    <row r="1135" spans="1:2">
      <c r="A1135" s="32">
        <v>1122</v>
      </c>
      <c r="B1135" s="90">
        <v>10.23824350015064</v>
      </c>
    </row>
    <row r="1136" spans="1:2">
      <c r="A1136" s="32">
        <v>1123</v>
      </c>
      <c r="B1136" s="90">
        <v>7.3678132382856534</v>
      </c>
    </row>
    <row r="1137" spans="1:2">
      <c r="A1137" s="32">
        <v>1124</v>
      </c>
      <c r="B1137" s="90">
        <v>7.9241777294855851</v>
      </c>
    </row>
    <row r="1138" spans="1:2">
      <c r="A1138" s="32">
        <v>1125</v>
      </c>
      <c r="B1138" s="90">
        <v>8.5970297094801023</v>
      </c>
    </row>
    <row r="1139" spans="1:2">
      <c r="A1139" s="32">
        <v>1126</v>
      </c>
      <c r="B1139" s="90">
        <v>7.986195514237445</v>
      </c>
    </row>
    <row r="1140" spans="1:2">
      <c r="A1140" s="32">
        <v>1127</v>
      </c>
      <c r="B1140" s="90">
        <v>7.4242524006490092</v>
      </c>
    </row>
    <row r="1141" spans="1:2">
      <c r="A1141" s="32">
        <v>1128</v>
      </c>
      <c r="B1141" s="90">
        <v>8.6504487629165112</v>
      </c>
    </row>
    <row r="1142" spans="1:2">
      <c r="A1142" s="32">
        <v>1129</v>
      </c>
      <c r="B1142" s="90">
        <v>7.3580183121252452</v>
      </c>
    </row>
    <row r="1143" spans="1:2">
      <c r="A1143" s="32">
        <v>1130</v>
      </c>
      <c r="B1143" s="90">
        <v>8.7991878364716261</v>
      </c>
    </row>
    <row r="1144" spans="1:2">
      <c r="A1144" s="32">
        <v>1131</v>
      </c>
      <c r="B1144" s="90">
        <v>7.5190554319171481</v>
      </c>
    </row>
    <row r="1145" spans="1:2">
      <c r="A1145" s="32">
        <v>1132</v>
      </c>
      <c r="B1145" s="90">
        <v>8.4320417152499232</v>
      </c>
    </row>
    <row r="1146" spans="1:2">
      <c r="A1146" s="32">
        <v>1133</v>
      </c>
      <c r="B1146" s="90">
        <v>9.3459101206652768</v>
      </c>
    </row>
    <row r="1147" spans="1:2">
      <c r="A1147" s="32">
        <v>1134</v>
      </c>
      <c r="B1147" s="90">
        <v>8.1891250256160806</v>
      </c>
    </row>
    <row r="1148" spans="1:2">
      <c r="A1148" s="32">
        <v>1135</v>
      </c>
      <c r="B1148" s="90">
        <v>7.0595275746193611</v>
      </c>
    </row>
    <row r="1149" spans="1:2">
      <c r="A1149" s="32">
        <v>1136</v>
      </c>
      <c r="B1149" s="90">
        <v>8.170990145127087</v>
      </c>
    </row>
    <row r="1150" spans="1:2">
      <c r="A1150" s="32">
        <v>1137</v>
      </c>
      <c r="B1150" s="90">
        <v>8.1438764785498083</v>
      </c>
    </row>
    <row r="1151" spans="1:2">
      <c r="A1151" s="32">
        <v>1138</v>
      </c>
      <c r="B1151" s="90">
        <v>8.546689352405247</v>
      </c>
    </row>
    <row r="1152" spans="1:2">
      <c r="A1152" s="32">
        <v>1139</v>
      </c>
      <c r="B1152" s="90">
        <v>9.2933986332673264</v>
      </c>
    </row>
    <row r="1153" spans="1:2">
      <c r="A1153" s="32">
        <v>1140</v>
      </c>
      <c r="B1153" s="90">
        <v>7.9413202688896281</v>
      </c>
    </row>
    <row r="1154" spans="1:2">
      <c r="A1154" s="32">
        <v>1141</v>
      </c>
      <c r="B1154" s="90">
        <v>8.8280105379813651</v>
      </c>
    </row>
    <row r="1155" spans="1:2">
      <c r="A1155" s="32">
        <v>1142</v>
      </c>
      <c r="B1155" s="90">
        <v>7.6016891083060374</v>
      </c>
    </row>
    <row r="1156" spans="1:2">
      <c r="A1156" s="32">
        <v>1143</v>
      </c>
      <c r="B1156" s="90">
        <v>8.0932783532641199</v>
      </c>
    </row>
    <row r="1157" spans="1:2">
      <c r="A1157" s="32">
        <v>1144</v>
      </c>
      <c r="B1157" s="90">
        <v>8.277215108978119</v>
      </c>
    </row>
    <row r="1158" spans="1:2">
      <c r="A1158" s="32">
        <v>1145</v>
      </c>
      <c r="B1158" s="90">
        <v>7.1214672926827873</v>
      </c>
    </row>
    <row r="1159" spans="1:2">
      <c r="A1159" s="32">
        <v>1146</v>
      </c>
      <c r="B1159" s="90">
        <v>9.2013127703745337</v>
      </c>
    </row>
    <row r="1160" spans="1:2">
      <c r="A1160" s="32">
        <v>1147</v>
      </c>
      <c r="B1160" s="90">
        <v>7.9830840512509598</v>
      </c>
    </row>
    <row r="1161" spans="1:2">
      <c r="A1161" s="32">
        <v>1148</v>
      </c>
      <c r="B1161" s="90">
        <v>8.1446732336333891</v>
      </c>
    </row>
    <row r="1162" spans="1:2">
      <c r="A1162" s="32">
        <v>1149</v>
      </c>
      <c r="B1162" s="90">
        <v>7.9138702605601479</v>
      </c>
    </row>
    <row r="1163" spans="1:2">
      <c r="A1163" s="32">
        <v>1150</v>
      </c>
      <c r="B1163" s="90">
        <v>7.9175751902207461</v>
      </c>
    </row>
    <row r="1164" spans="1:2">
      <c r="A1164" s="32">
        <v>1151</v>
      </c>
      <c r="B1164" s="90">
        <v>7.4227302709624299</v>
      </c>
    </row>
    <row r="1165" spans="1:2">
      <c r="A1165" s="32">
        <v>1152</v>
      </c>
      <c r="B1165" s="90">
        <v>8.760166347938922</v>
      </c>
    </row>
    <row r="1166" spans="1:2">
      <c r="A1166" s="32">
        <v>1153</v>
      </c>
      <c r="B1166" s="90">
        <v>7.8242107886941783</v>
      </c>
    </row>
    <row r="1167" spans="1:2">
      <c r="A1167" s="32">
        <v>1154</v>
      </c>
      <c r="B1167" s="90">
        <v>7.7092714115247478</v>
      </c>
    </row>
    <row r="1168" spans="1:2">
      <c r="A1168" s="32">
        <v>1155</v>
      </c>
      <c r="B1168" s="90">
        <v>9.3353132758458841</v>
      </c>
    </row>
    <row r="1169" spans="1:2">
      <c r="A1169" s="32">
        <v>1156</v>
      </c>
      <c r="B1169" s="90">
        <v>8.0767011171101952</v>
      </c>
    </row>
    <row r="1170" spans="1:2">
      <c r="A1170" s="32">
        <v>1157</v>
      </c>
      <c r="B1170" s="90">
        <v>7.4436928973740191</v>
      </c>
    </row>
    <row r="1171" spans="1:2">
      <c r="A1171" s="32">
        <v>1158</v>
      </c>
      <c r="B1171" s="90">
        <v>7.852730373419611</v>
      </c>
    </row>
    <row r="1172" spans="1:2">
      <c r="A1172" s="32">
        <v>1159</v>
      </c>
      <c r="B1172" s="90">
        <v>8.6820358182736062</v>
      </c>
    </row>
    <row r="1173" spans="1:2">
      <c r="A1173" s="32">
        <v>1160</v>
      </c>
      <c r="B1173" s="90">
        <v>7.187765674274754</v>
      </c>
    </row>
    <row r="1174" spans="1:2">
      <c r="A1174" s="32">
        <v>1161</v>
      </c>
      <c r="B1174" s="90">
        <v>8.2729363888045313</v>
      </c>
    </row>
    <row r="1175" spans="1:2">
      <c r="A1175" s="32">
        <v>1162</v>
      </c>
      <c r="B1175" s="90">
        <v>8.9275287563207417</v>
      </c>
    </row>
    <row r="1176" spans="1:2">
      <c r="A1176" s="32">
        <v>1163</v>
      </c>
      <c r="B1176" s="90">
        <v>7.2721072730384311</v>
      </c>
    </row>
    <row r="1177" spans="1:2">
      <c r="A1177" s="32">
        <v>1164</v>
      </c>
      <c r="B1177" s="90">
        <v>8.6331534363803701</v>
      </c>
    </row>
    <row r="1178" spans="1:2">
      <c r="A1178" s="32">
        <v>1165</v>
      </c>
      <c r="B1178" s="90">
        <v>8.0078129638138318</v>
      </c>
    </row>
    <row r="1179" spans="1:2">
      <c r="A1179" s="32">
        <v>1166</v>
      </c>
      <c r="B1179" s="90">
        <v>9.6958808081193553</v>
      </c>
    </row>
    <row r="1180" spans="1:2">
      <c r="A1180" s="32">
        <v>1167</v>
      </c>
      <c r="B1180" s="90">
        <v>8.5599357601542732</v>
      </c>
    </row>
    <row r="1181" spans="1:2">
      <c r="A1181" s="32">
        <v>1168</v>
      </c>
      <c r="B1181" s="90">
        <v>7.9340101949228874</v>
      </c>
    </row>
    <row r="1182" spans="1:2">
      <c r="A1182" s="32">
        <v>1169</v>
      </c>
      <c r="B1182" s="90">
        <v>8.7521536386353009</v>
      </c>
    </row>
    <row r="1183" spans="1:2">
      <c r="A1183" s="32">
        <v>1170</v>
      </c>
      <c r="B1183" s="90">
        <v>8.7562378586714189</v>
      </c>
    </row>
    <row r="1184" spans="1:2">
      <c r="A1184" s="32">
        <v>1171</v>
      </c>
      <c r="B1184" s="90">
        <v>9.1388887007874899</v>
      </c>
    </row>
    <row r="1185" spans="1:2">
      <c r="A1185" s="32">
        <v>1172</v>
      </c>
      <c r="B1185" s="90">
        <v>6.8106090185802808</v>
      </c>
    </row>
    <row r="1186" spans="1:2">
      <c r="A1186" s="32">
        <v>1173</v>
      </c>
      <c r="B1186" s="90">
        <v>7.3544780983051332</v>
      </c>
    </row>
    <row r="1187" spans="1:2">
      <c r="A1187" s="32">
        <v>1174</v>
      </c>
      <c r="B1187" s="90">
        <v>8.5840165232536485</v>
      </c>
    </row>
    <row r="1188" spans="1:2">
      <c r="A1188" s="32">
        <v>1175</v>
      </c>
      <c r="B1188" s="90">
        <v>7.6334044649925783</v>
      </c>
    </row>
    <row r="1189" spans="1:2">
      <c r="A1189" s="32">
        <v>1176</v>
      </c>
      <c r="B1189" s="90">
        <v>8.7635033476697934</v>
      </c>
    </row>
    <row r="1190" spans="1:2">
      <c r="A1190" s="32">
        <v>1177</v>
      </c>
      <c r="B1190" s="90">
        <v>9.4636620925617247</v>
      </c>
    </row>
    <row r="1191" spans="1:2">
      <c r="A1191" s="32">
        <v>1178</v>
      </c>
      <c r="B1191" s="90">
        <v>7.0315867236505216</v>
      </c>
    </row>
    <row r="1192" spans="1:2">
      <c r="A1192" s="32">
        <v>1179</v>
      </c>
      <c r="B1192" s="90">
        <v>7.7562844515912159</v>
      </c>
    </row>
    <row r="1193" spans="1:2">
      <c r="A1193" s="32">
        <v>1180</v>
      </c>
      <c r="B1193" s="90">
        <v>7.9326868914911595</v>
      </c>
    </row>
    <row r="1194" spans="1:2">
      <c r="A1194" s="32">
        <v>1181</v>
      </c>
      <c r="B1194" s="90">
        <v>7.4634772588610829</v>
      </c>
    </row>
    <row r="1195" spans="1:2">
      <c r="A1195" s="32">
        <v>1182</v>
      </c>
      <c r="B1195" s="90">
        <v>7.8342909082761993</v>
      </c>
    </row>
    <row r="1196" spans="1:2">
      <c r="A1196" s="32">
        <v>1183</v>
      </c>
      <c r="B1196" s="90">
        <v>7.4259681807849098</v>
      </c>
    </row>
    <row r="1197" spans="1:2">
      <c r="A1197" s="32">
        <v>1184</v>
      </c>
      <c r="B1197" s="90">
        <v>7.704885814822342</v>
      </c>
    </row>
    <row r="1198" spans="1:2">
      <c r="A1198" s="32">
        <v>1185</v>
      </c>
      <c r="B1198" s="90">
        <v>7.5908020565169529</v>
      </c>
    </row>
    <row r="1199" spans="1:2">
      <c r="A1199" s="32">
        <v>1186</v>
      </c>
      <c r="B1199" s="90">
        <v>8.3530755486177863</v>
      </c>
    </row>
    <row r="1200" spans="1:2">
      <c r="A1200" s="32">
        <v>1187</v>
      </c>
      <c r="B1200" s="90">
        <v>7.2204838922809351</v>
      </c>
    </row>
    <row r="1201" spans="1:2">
      <c r="A1201" s="32">
        <v>1188</v>
      </c>
      <c r="B1201" s="90">
        <v>7.4059225535772217</v>
      </c>
    </row>
    <row r="1202" spans="1:2">
      <c r="A1202" s="32">
        <v>1189</v>
      </c>
      <c r="B1202" s="90">
        <v>8.4084195777639241</v>
      </c>
    </row>
    <row r="1203" spans="1:2">
      <c r="A1203" s="32">
        <v>1190</v>
      </c>
      <c r="B1203" s="90">
        <v>7.9641548544414809</v>
      </c>
    </row>
    <row r="1204" spans="1:2">
      <c r="A1204" s="32">
        <v>1191</v>
      </c>
      <c r="B1204" s="90">
        <v>7.2321336731641068</v>
      </c>
    </row>
    <row r="1205" spans="1:2">
      <c r="A1205" s="32">
        <v>1192</v>
      </c>
      <c r="B1205" s="90">
        <v>7.4781265193304414</v>
      </c>
    </row>
    <row r="1206" spans="1:2">
      <c r="A1206" s="32">
        <v>1193</v>
      </c>
      <c r="B1206" s="90">
        <v>8.1627422907489695</v>
      </c>
    </row>
    <row r="1207" spans="1:2">
      <c r="A1207" s="32">
        <v>1194</v>
      </c>
      <c r="B1207" s="90">
        <v>8.2137162166781081</v>
      </c>
    </row>
    <row r="1208" spans="1:2">
      <c r="A1208" s="32">
        <v>1195</v>
      </c>
      <c r="B1208" s="90">
        <v>9.2230912108747596</v>
      </c>
    </row>
    <row r="1209" spans="1:2">
      <c r="A1209" s="32">
        <v>1196</v>
      </c>
      <c r="B1209" s="90">
        <v>8.8971132835301567</v>
      </c>
    </row>
    <row r="1210" spans="1:2">
      <c r="A1210" s="32">
        <v>1197</v>
      </c>
      <c r="B1210" s="90">
        <v>8.2734190942797063</v>
      </c>
    </row>
    <row r="1211" spans="1:2">
      <c r="A1211" s="32">
        <v>1198</v>
      </c>
      <c r="B1211" s="90">
        <v>7.8224701357858484</v>
      </c>
    </row>
    <row r="1212" spans="1:2">
      <c r="A1212" s="32">
        <v>1199</v>
      </c>
      <c r="B1212" s="90">
        <v>8.8668314593892568</v>
      </c>
    </row>
    <row r="1213" spans="1:2">
      <c r="A1213" s="32">
        <v>1200</v>
      </c>
      <c r="B1213" s="90">
        <v>7.6450196304868729</v>
      </c>
    </row>
    <row r="1214" spans="1:2">
      <c r="A1214" s="32">
        <v>1201</v>
      </c>
      <c r="B1214" s="90">
        <v>7.5822257780770919</v>
      </c>
    </row>
    <row r="1215" spans="1:2">
      <c r="A1215" s="32">
        <v>1202</v>
      </c>
      <c r="B1215" s="90">
        <v>7.7877193299199687</v>
      </c>
    </row>
    <row r="1216" spans="1:2">
      <c r="A1216" s="32">
        <v>1203</v>
      </c>
      <c r="B1216" s="90">
        <v>7.6441222049536792</v>
      </c>
    </row>
    <row r="1217" spans="1:2">
      <c r="A1217" s="32">
        <v>1204</v>
      </c>
      <c r="B1217" s="90">
        <v>8.0286073010357608</v>
      </c>
    </row>
    <row r="1218" spans="1:2">
      <c r="A1218" s="32">
        <v>1205</v>
      </c>
      <c r="B1218" s="90">
        <v>8.3476164667700061</v>
      </c>
    </row>
    <row r="1219" spans="1:2">
      <c r="A1219" s="32">
        <v>1206</v>
      </c>
      <c r="B1219" s="90">
        <v>8.2879413972546789</v>
      </c>
    </row>
    <row r="1220" spans="1:2">
      <c r="A1220" s="32">
        <v>1207</v>
      </c>
      <c r="B1220" s="90">
        <v>6.3837902705205201</v>
      </c>
    </row>
    <row r="1221" spans="1:2">
      <c r="A1221" s="32">
        <v>1208</v>
      </c>
      <c r="B1221" s="90">
        <v>8.8434272098938251</v>
      </c>
    </row>
    <row r="1222" spans="1:2">
      <c r="A1222" s="32">
        <v>1209</v>
      </c>
      <c r="B1222" s="90">
        <v>7.2110489796816228</v>
      </c>
    </row>
    <row r="1223" spans="1:2">
      <c r="A1223" s="32">
        <v>1210</v>
      </c>
      <c r="B1223" s="90">
        <v>8.2528319160791916</v>
      </c>
    </row>
    <row r="1224" spans="1:2">
      <c r="A1224" s="32">
        <v>1211</v>
      </c>
      <c r="B1224" s="90">
        <v>7.9446833677102084</v>
      </c>
    </row>
    <row r="1225" spans="1:2">
      <c r="A1225" s="32">
        <v>1212</v>
      </c>
      <c r="B1225" s="90">
        <v>9.4538234166374195</v>
      </c>
    </row>
    <row r="1226" spans="1:2">
      <c r="A1226" s="32">
        <v>1213</v>
      </c>
      <c r="B1226" s="90">
        <v>7.8895395320002644</v>
      </c>
    </row>
    <row r="1227" spans="1:2">
      <c r="A1227" s="32">
        <v>1214</v>
      </c>
      <c r="B1227" s="90">
        <v>7.8087427195208967</v>
      </c>
    </row>
    <row r="1228" spans="1:2">
      <c r="A1228" s="32">
        <v>1215</v>
      </c>
      <c r="B1228" s="90">
        <v>8.5925368371342277</v>
      </c>
    </row>
    <row r="1229" spans="1:2">
      <c r="A1229" s="32">
        <v>1216</v>
      </c>
      <c r="B1229" s="90">
        <v>7.9197129733571323</v>
      </c>
    </row>
    <row r="1230" spans="1:2">
      <c r="A1230" s="32">
        <v>1217</v>
      </c>
      <c r="B1230" s="90">
        <v>7.3827467815825871</v>
      </c>
    </row>
    <row r="1231" spans="1:2">
      <c r="A1231" s="32">
        <v>1218</v>
      </c>
      <c r="B1231" s="90">
        <v>8.3337836309686484</v>
      </c>
    </row>
    <row r="1232" spans="1:2">
      <c r="A1232" s="32">
        <v>1219</v>
      </c>
      <c r="B1232" s="90">
        <v>7.9939937521720479</v>
      </c>
    </row>
    <row r="1233" spans="1:2">
      <c r="A1233" s="32">
        <v>1220</v>
      </c>
      <c r="B1233" s="90">
        <v>7.1199881328078733</v>
      </c>
    </row>
    <row r="1234" spans="1:2">
      <c r="A1234" s="32">
        <v>1221</v>
      </c>
      <c r="B1234" s="90">
        <v>7.4944504403043428</v>
      </c>
    </row>
    <row r="1235" spans="1:2">
      <c r="A1235" s="32">
        <v>1222</v>
      </c>
      <c r="B1235" s="90">
        <v>9.988595241191879</v>
      </c>
    </row>
    <row r="1236" spans="1:2">
      <c r="A1236" s="32">
        <v>1223</v>
      </c>
      <c r="B1236" s="90">
        <v>7.4903662078756081</v>
      </c>
    </row>
    <row r="1237" spans="1:2">
      <c r="A1237" s="32">
        <v>1224</v>
      </c>
      <c r="B1237" s="90">
        <v>9.1184737070795574</v>
      </c>
    </row>
    <row r="1238" spans="1:2">
      <c r="A1238" s="32">
        <v>1225</v>
      </c>
      <c r="B1238" s="90">
        <v>7.2568809841276947</v>
      </c>
    </row>
    <row r="1239" spans="1:2">
      <c r="A1239" s="32">
        <v>1226</v>
      </c>
      <c r="B1239" s="90">
        <v>8.1691234110893589</v>
      </c>
    </row>
    <row r="1240" spans="1:2">
      <c r="A1240" s="32">
        <v>1227</v>
      </c>
      <c r="B1240" s="90">
        <v>9.3885665623706611</v>
      </c>
    </row>
    <row r="1241" spans="1:2">
      <c r="A1241" s="32">
        <v>1228</v>
      </c>
      <c r="B1241" s="90">
        <v>7.8870904110947491</v>
      </c>
    </row>
    <row r="1242" spans="1:2">
      <c r="A1242" s="32">
        <v>1229</v>
      </c>
      <c r="B1242" s="90">
        <v>7.8497118243592192</v>
      </c>
    </row>
    <row r="1243" spans="1:2">
      <c r="A1243" s="32">
        <v>1230</v>
      </c>
      <c r="B1243" s="90">
        <v>7.7189697259685657</v>
      </c>
    </row>
    <row r="1244" spans="1:2">
      <c r="A1244" s="32">
        <v>1231</v>
      </c>
      <c r="B1244" s="90">
        <v>6.8092710954278362</v>
      </c>
    </row>
    <row r="1245" spans="1:2">
      <c r="A1245" s="32">
        <v>1232</v>
      </c>
      <c r="B1245" s="90">
        <v>7.8531865386927437</v>
      </c>
    </row>
    <row r="1246" spans="1:2">
      <c r="A1246" s="32">
        <v>1233</v>
      </c>
      <c r="B1246" s="90">
        <v>7.9519875724837412</v>
      </c>
    </row>
    <row r="1247" spans="1:2">
      <c r="A1247" s="32">
        <v>1234</v>
      </c>
      <c r="B1247" s="90">
        <v>7.5423659509134087</v>
      </c>
    </row>
    <row r="1248" spans="1:2">
      <c r="A1248" s="32">
        <v>1235</v>
      </c>
      <c r="B1248" s="90">
        <v>8.0796234077606321</v>
      </c>
    </row>
    <row r="1249" spans="1:2">
      <c r="A1249" s="32">
        <v>1236</v>
      </c>
      <c r="B1249" s="90">
        <v>8.0413070323423526</v>
      </c>
    </row>
    <row r="1250" spans="1:2">
      <c r="A1250" s="32">
        <v>1237</v>
      </c>
      <c r="B1250" s="90">
        <v>8.684141288592734</v>
      </c>
    </row>
    <row r="1251" spans="1:2">
      <c r="A1251" s="32">
        <v>1238</v>
      </c>
      <c r="B1251" s="90">
        <v>7.7400122702626879</v>
      </c>
    </row>
    <row r="1252" spans="1:2">
      <c r="A1252" s="32">
        <v>1239</v>
      </c>
      <c r="B1252" s="90">
        <v>7.6671371276224551</v>
      </c>
    </row>
    <row r="1253" spans="1:2">
      <c r="A1253" s="32">
        <v>1240</v>
      </c>
      <c r="B1253" s="90">
        <v>7.7559483378754548</v>
      </c>
    </row>
    <row r="1254" spans="1:2">
      <c r="A1254" s="32">
        <v>1241</v>
      </c>
      <c r="B1254" s="90">
        <v>8.0701545143719606</v>
      </c>
    </row>
    <row r="1255" spans="1:2">
      <c r="A1255" s="32">
        <v>1242</v>
      </c>
      <c r="B1255" s="90">
        <v>9.854963106418376</v>
      </c>
    </row>
    <row r="1256" spans="1:2">
      <c r="A1256" s="32">
        <v>1243</v>
      </c>
      <c r="B1256" s="90">
        <v>9.0693773650115013</v>
      </c>
    </row>
    <row r="1257" spans="1:2">
      <c r="A1257" s="32">
        <v>1244</v>
      </c>
      <c r="B1257" s="90">
        <v>8.7647749102182697</v>
      </c>
    </row>
    <row r="1258" spans="1:2">
      <c r="A1258" s="32">
        <v>1245</v>
      </c>
      <c r="B1258" s="90">
        <v>7.4032510560486431</v>
      </c>
    </row>
    <row r="1259" spans="1:2">
      <c r="A1259" s="32">
        <v>1246</v>
      </c>
      <c r="B1259" s="90">
        <v>7.4128641544619329</v>
      </c>
    </row>
    <row r="1260" spans="1:2">
      <c r="A1260" s="32">
        <v>1247</v>
      </c>
      <c r="B1260" s="90">
        <v>8.1744233449998323</v>
      </c>
    </row>
    <row r="1261" spans="1:2">
      <c r="A1261" s="32">
        <v>1248</v>
      </c>
      <c r="B1261" s="90">
        <v>9.2448927331982542</v>
      </c>
    </row>
    <row r="1262" spans="1:2">
      <c r="A1262" s="32">
        <v>1249</v>
      </c>
      <c r="B1262" s="90">
        <v>7.5354485271656033</v>
      </c>
    </row>
    <row r="1263" spans="1:2">
      <c r="A1263" s="32">
        <v>1250</v>
      </c>
      <c r="B1263" s="90">
        <v>8.2921345746150585</v>
      </c>
    </row>
    <row r="1264" spans="1:2">
      <c r="A1264" s="32">
        <v>1251</v>
      </c>
      <c r="B1264" s="90">
        <v>6.9854593434834369</v>
      </c>
    </row>
    <row r="1265" spans="1:2">
      <c r="A1265" s="32">
        <v>1252</v>
      </c>
      <c r="B1265" s="90">
        <v>8.1640305996116798</v>
      </c>
    </row>
    <row r="1266" spans="1:2">
      <c r="A1266" s="32">
        <v>1253</v>
      </c>
      <c r="B1266" s="90">
        <v>9.3145427158879563</v>
      </c>
    </row>
    <row r="1267" spans="1:2">
      <c r="A1267" s="32">
        <v>1254</v>
      </c>
      <c r="B1267" s="90">
        <v>8.8164001910421419</v>
      </c>
    </row>
    <row r="1268" spans="1:2">
      <c r="A1268" s="32">
        <v>1255</v>
      </c>
      <c r="B1268" s="90">
        <v>8.8366970950574135</v>
      </c>
    </row>
    <row r="1269" spans="1:2">
      <c r="A1269" s="32">
        <v>1256</v>
      </c>
      <c r="B1269" s="90">
        <v>7.5575295578260704</v>
      </c>
    </row>
    <row r="1270" spans="1:2">
      <c r="A1270" s="32">
        <v>1257</v>
      </c>
      <c r="B1270" s="90">
        <v>8.3602649347902638</v>
      </c>
    </row>
    <row r="1271" spans="1:2">
      <c r="A1271" s="32">
        <v>1258</v>
      </c>
      <c r="B1271" s="90">
        <v>7.615094196530066</v>
      </c>
    </row>
    <row r="1272" spans="1:2">
      <c r="A1272" s="32">
        <v>1259</v>
      </c>
      <c r="B1272" s="90">
        <v>9.2865557301287005</v>
      </c>
    </row>
    <row r="1273" spans="1:2">
      <c r="A1273" s="32">
        <v>1260</v>
      </c>
      <c r="B1273" s="90">
        <v>7.9928389760761629</v>
      </c>
    </row>
    <row r="1274" spans="1:2">
      <c r="A1274" s="32">
        <v>1261</v>
      </c>
      <c r="B1274" s="90">
        <v>7.6845182667209384</v>
      </c>
    </row>
    <row r="1275" spans="1:2">
      <c r="A1275" s="32">
        <v>1262</v>
      </c>
      <c r="B1275" s="90">
        <v>9.2456589412967265</v>
      </c>
    </row>
    <row r="1276" spans="1:2">
      <c r="A1276" s="32">
        <v>1263</v>
      </c>
      <c r="B1276" s="90">
        <v>8.1325458862905133</v>
      </c>
    </row>
    <row r="1277" spans="1:2">
      <c r="A1277" s="32">
        <v>1264</v>
      </c>
      <c r="B1277" s="90">
        <v>7.8649961624314111</v>
      </c>
    </row>
    <row r="1278" spans="1:2">
      <c r="A1278" s="32">
        <v>1265</v>
      </c>
      <c r="B1278" s="90">
        <v>7.7726211367814555</v>
      </c>
    </row>
    <row r="1279" spans="1:2">
      <c r="A1279" s="32">
        <v>1266</v>
      </c>
      <c r="B1279" s="90">
        <v>8.7012498289682494</v>
      </c>
    </row>
    <row r="1280" spans="1:2">
      <c r="A1280" s="32">
        <v>1267</v>
      </c>
      <c r="B1280" s="90">
        <v>8.1088696329384931</v>
      </c>
    </row>
    <row r="1281" spans="1:2">
      <c r="A1281" s="32">
        <v>1268</v>
      </c>
      <c r="B1281" s="90">
        <v>8.71572412798829</v>
      </c>
    </row>
    <row r="1282" spans="1:2">
      <c r="A1282" s="32">
        <v>1269</v>
      </c>
      <c r="B1282" s="90">
        <v>8.5219670807716579</v>
      </c>
    </row>
    <row r="1283" spans="1:2">
      <c r="A1283" s="32">
        <v>1270</v>
      </c>
      <c r="B1283" s="90">
        <v>9.5564962923070613</v>
      </c>
    </row>
    <row r="1284" spans="1:2">
      <c r="A1284" s="32">
        <v>1271</v>
      </c>
      <c r="B1284" s="90">
        <v>8.850724285722734</v>
      </c>
    </row>
    <row r="1285" spans="1:2">
      <c r="A1285" s="32">
        <v>1272</v>
      </c>
      <c r="B1285" s="90">
        <v>8.2880528842205141</v>
      </c>
    </row>
    <row r="1286" spans="1:2">
      <c r="A1286" s="32">
        <v>1273</v>
      </c>
      <c r="B1286" s="90">
        <v>8.1099349354914487</v>
      </c>
    </row>
    <row r="1287" spans="1:2">
      <c r="A1287" s="32">
        <v>1274</v>
      </c>
      <c r="B1287" s="90">
        <v>8.1074017754222627</v>
      </c>
    </row>
    <row r="1288" spans="1:2">
      <c r="A1288" s="32">
        <v>1275</v>
      </c>
      <c r="B1288" s="90">
        <v>8.9433469699351527</v>
      </c>
    </row>
    <row r="1289" spans="1:2">
      <c r="A1289" s="32">
        <v>1276</v>
      </c>
      <c r="B1289" s="90">
        <v>8.2855621837214297</v>
      </c>
    </row>
    <row r="1290" spans="1:2">
      <c r="A1290" s="32">
        <v>1277</v>
      </c>
      <c r="B1290" s="90">
        <v>9.2561531763412859</v>
      </c>
    </row>
    <row r="1291" spans="1:2">
      <c r="A1291" s="32">
        <v>1278</v>
      </c>
      <c r="B1291" s="90">
        <v>8.4291407402029375</v>
      </c>
    </row>
    <row r="1292" spans="1:2">
      <c r="A1292" s="32">
        <v>1279</v>
      </c>
      <c r="B1292" s="90">
        <v>7.5778267368660179</v>
      </c>
    </row>
    <row r="1293" spans="1:2">
      <c r="A1293" s="32">
        <v>1280</v>
      </c>
      <c r="B1293" s="90">
        <v>7.9411409935696167</v>
      </c>
    </row>
    <row r="1294" spans="1:2">
      <c r="A1294" s="32">
        <v>1281</v>
      </c>
      <c r="B1294" s="90">
        <v>7.8439166724278921</v>
      </c>
    </row>
    <row r="1295" spans="1:2">
      <c r="A1295" s="32">
        <v>1282</v>
      </c>
      <c r="B1295" s="90">
        <v>7.7081167211688975</v>
      </c>
    </row>
    <row r="1296" spans="1:2">
      <c r="A1296" s="32">
        <v>1283</v>
      </c>
      <c r="B1296" s="90">
        <v>7.6451672928899912</v>
      </c>
    </row>
    <row r="1297" spans="1:2">
      <c r="A1297" s="32">
        <v>1284</v>
      </c>
      <c r="B1297" s="90">
        <v>9.0852902074763389</v>
      </c>
    </row>
    <row r="1298" spans="1:2">
      <c r="A1298" s="32">
        <v>1285</v>
      </c>
      <c r="B1298" s="90">
        <v>9.8241223695769868</v>
      </c>
    </row>
    <row r="1299" spans="1:2">
      <c r="A1299" s="32">
        <v>1286</v>
      </c>
      <c r="B1299" s="90">
        <v>7.7456745928151944</v>
      </c>
    </row>
    <row r="1300" spans="1:2">
      <c r="A1300" s="32">
        <v>1287</v>
      </c>
      <c r="B1300" s="90">
        <v>7.5696519244021934</v>
      </c>
    </row>
    <row r="1301" spans="1:2">
      <c r="A1301" s="32">
        <v>1288</v>
      </c>
      <c r="B1301" s="90">
        <v>6.986919766653374</v>
      </c>
    </row>
    <row r="1302" spans="1:2">
      <c r="A1302" s="32">
        <v>1289</v>
      </c>
      <c r="B1302" s="90">
        <v>8.8077179359251581</v>
      </c>
    </row>
    <row r="1303" spans="1:2">
      <c r="A1303" s="32">
        <v>1290</v>
      </c>
      <c r="B1303" s="90">
        <v>6.9203389866328067</v>
      </c>
    </row>
    <row r="1304" spans="1:2">
      <c r="A1304" s="32">
        <v>1291</v>
      </c>
      <c r="B1304" s="90">
        <v>8.4075747658405984</v>
      </c>
    </row>
    <row r="1305" spans="1:2">
      <c r="A1305" s="32">
        <v>1292</v>
      </c>
      <c r="B1305" s="90">
        <v>8.198616686993498</v>
      </c>
    </row>
    <row r="1306" spans="1:2">
      <c r="A1306" s="32">
        <v>1293</v>
      </c>
      <c r="B1306" s="90">
        <v>7.7374741786696433</v>
      </c>
    </row>
    <row r="1307" spans="1:2">
      <c r="A1307" s="32">
        <v>1294</v>
      </c>
      <c r="B1307" s="90">
        <v>8.2649670347587687</v>
      </c>
    </row>
    <row r="1308" spans="1:2">
      <c r="A1308" s="32">
        <v>1295</v>
      </c>
      <c r="B1308" s="90">
        <v>7.8125154326259487</v>
      </c>
    </row>
    <row r="1309" spans="1:2">
      <c r="A1309" s="32">
        <v>1296</v>
      </c>
      <c r="B1309" s="90">
        <v>7.2357707439715755</v>
      </c>
    </row>
    <row r="1310" spans="1:2">
      <c r="A1310" s="32">
        <v>1297</v>
      </c>
      <c r="B1310" s="90">
        <v>7.2717510308208304</v>
      </c>
    </row>
    <row r="1311" spans="1:2">
      <c r="A1311" s="32">
        <v>1298</v>
      </c>
      <c r="B1311" s="90">
        <v>7.8018349820529194</v>
      </c>
    </row>
    <row r="1312" spans="1:2">
      <c r="A1312" s="32">
        <v>1299</v>
      </c>
      <c r="B1312" s="90">
        <v>7.0099455629605867</v>
      </c>
    </row>
    <row r="1313" spans="1:2">
      <c r="A1313" s="32">
        <v>1300</v>
      </c>
      <c r="B1313" s="90">
        <v>8.0807227024867796</v>
      </c>
    </row>
    <row r="1314" spans="1:2">
      <c r="A1314" s="32">
        <v>1301</v>
      </c>
      <c r="B1314" s="90">
        <v>7.9790149702233881</v>
      </c>
    </row>
    <row r="1315" spans="1:2">
      <c r="A1315" s="32">
        <v>1302</v>
      </c>
      <c r="B1315" s="90">
        <v>7.7089412722765331</v>
      </c>
    </row>
    <row r="1316" spans="1:2">
      <c r="A1316" s="32">
        <v>1303</v>
      </c>
      <c r="B1316" s="90">
        <v>6.8464038237734659</v>
      </c>
    </row>
    <row r="1317" spans="1:2">
      <c r="A1317" s="32">
        <v>1304</v>
      </c>
      <c r="B1317" s="90">
        <v>7.234288847241424</v>
      </c>
    </row>
    <row r="1318" spans="1:2">
      <c r="A1318" s="32">
        <v>1305</v>
      </c>
      <c r="B1318" s="90">
        <v>8.5004753381723273</v>
      </c>
    </row>
    <row r="1319" spans="1:2">
      <c r="A1319" s="32">
        <v>1306</v>
      </c>
      <c r="B1319" s="90">
        <v>7.8852581859193274</v>
      </c>
    </row>
    <row r="1320" spans="1:2">
      <c r="A1320" s="32">
        <v>1307</v>
      </c>
      <c r="B1320" s="90">
        <v>8.3064750831254219</v>
      </c>
    </row>
    <row r="1321" spans="1:2">
      <c r="A1321" s="32">
        <v>1308</v>
      </c>
      <c r="B1321" s="90">
        <v>7.1549528544905527</v>
      </c>
    </row>
    <row r="1322" spans="1:2">
      <c r="A1322" s="32">
        <v>1309</v>
      </c>
      <c r="B1322" s="90">
        <v>8.4778482322953685</v>
      </c>
    </row>
    <row r="1323" spans="1:2">
      <c r="A1323" s="32">
        <v>1310</v>
      </c>
      <c r="B1323" s="90">
        <v>8.3391081562486615</v>
      </c>
    </row>
    <row r="1324" spans="1:2">
      <c r="A1324" s="32">
        <v>1311</v>
      </c>
      <c r="B1324" s="90">
        <v>8.0598690247951001</v>
      </c>
    </row>
    <row r="1325" spans="1:2">
      <c r="A1325" s="32">
        <v>1312</v>
      </c>
      <c r="B1325" s="90">
        <v>8.4179684555111916</v>
      </c>
    </row>
    <row r="1326" spans="1:2">
      <c r="A1326" s="32">
        <v>1313</v>
      </c>
      <c r="B1326" s="90">
        <v>7.3404235923335168</v>
      </c>
    </row>
    <row r="1327" spans="1:2">
      <c r="A1327" s="32">
        <v>1314</v>
      </c>
      <c r="B1327" s="90">
        <v>8.4344863115260136</v>
      </c>
    </row>
    <row r="1328" spans="1:2">
      <c r="A1328" s="32">
        <v>1315</v>
      </c>
      <c r="B1328" s="90">
        <v>9.439769767763325</v>
      </c>
    </row>
    <row r="1329" spans="1:2">
      <c r="A1329" s="32">
        <v>1316</v>
      </c>
      <c r="B1329" s="90">
        <v>9.6378644516290404</v>
      </c>
    </row>
    <row r="1330" spans="1:2">
      <c r="A1330" s="32">
        <v>1317</v>
      </c>
      <c r="B1330" s="90">
        <v>7.974631579063689</v>
      </c>
    </row>
    <row r="1331" spans="1:2">
      <c r="A1331" s="32">
        <v>1318</v>
      </c>
      <c r="B1331" s="90">
        <v>8.0678506143055486</v>
      </c>
    </row>
    <row r="1332" spans="1:2">
      <c r="A1332" s="32">
        <v>1319</v>
      </c>
      <c r="B1332" s="90">
        <v>8.1614730560741986</v>
      </c>
    </row>
    <row r="1333" spans="1:2">
      <c r="A1333" s="32">
        <v>1320</v>
      </c>
      <c r="B1333" s="90">
        <v>7.5624430580438249</v>
      </c>
    </row>
    <row r="1334" spans="1:2">
      <c r="A1334" s="32">
        <v>1321</v>
      </c>
      <c r="B1334" s="90">
        <v>8.937084492914666</v>
      </c>
    </row>
    <row r="1335" spans="1:2">
      <c r="A1335" s="32">
        <v>1322</v>
      </c>
      <c r="B1335" s="90">
        <v>8.3166668899612102</v>
      </c>
    </row>
    <row r="1336" spans="1:2">
      <c r="A1336" s="32">
        <v>1323</v>
      </c>
      <c r="B1336" s="90">
        <v>7.4467198561696959</v>
      </c>
    </row>
    <row r="1337" spans="1:2">
      <c r="A1337" s="32">
        <v>1324</v>
      </c>
      <c r="B1337" s="90">
        <v>8.6073039560589937</v>
      </c>
    </row>
    <row r="1338" spans="1:2">
      <c r="A1338" s="32">
        <v>1325</v>
      </c>
      <c r="B1338" s="90">
        <v>7.5963857786958258</v>
      </c>
    </row>
    <row r="1339" spans="1:2">
      <c r="A1339" s="32">
        <v>1326</v>
      </c>
      <c r="B1339" s="90">
        <v>8.0325494726023017</v>
      </c>
    </row>
    <row r="1340" spans="1:2">
      <c r="A1340" s="32">
        <v>1327</v>
      </c>
      <c r="B1340" s="90">
        <v>7.3925254608680042</v>
      </c>
    </row>
    <row r="1341" spans="1:2">
      <c r="A1341" s="32">
        <v>1328</v>
      </c>
      <c r="B1341" s="90">
        <v>6.9282870982230502</v>
      </c>
    </row>
    <row r="1342" spans="1:2">
      <c r="A1342" s="32">
        <v>1329</v>
      </c>
      <c r="B1342" s="90">
        <v>8.2746965969943265</v>
      </c>
    </row>
    <row r="1343" spans="1:2">
      <c r="A1343" s="32">
        <v>1330</v>
      </c>
      <c r="B1343" s="90">
        <v>8.5161824877234462</v>
      </c>
    </row>
    <row r="1344" spans="1:2">
      <c r="A1344" s="32">
        <v>1331</v>
      </c>
      <c r="B1344" s="90">
        <v>8.9609168313812493</v>
      </c>
    </row>
    <row r="1345" spans="1:2">
      <c r="A1345" s="32">
        <v>1332</v>
      </c>
      <c r="B1345" s="90">
        <v>7.1502669512070636</v>
      </c>
    </row>
    <row r="1346" spans="1:2">
      <c r="A1346" s="32">
        <v>1333</v>
      </c>
      <c r="B1346" s="90">
        <v>7.5008262993998436</v>
      </c>
    </row>
    <row r="1347" spans="1:2">
      <c r="A1347" s="32">
        <v>1334</v>
      </c>
      <c r="B1347" s="90">
        <v>8.2637641230409002</v>
      </c>
    </row>
    <row r="1348" spans="1:2">
      <c r="A1348" s="32">
        <v>1335</v>
      </c>
      <c r="B1348" s="90">
        <v>7.5187034182054751</v>
      </c>
    </row>
    <row r="1349" spans="1:2">
      <c r="A1349" s="32">
        <v>1336</v>
      </c>
      <c r="B1349" s="90">
        <v>9.1337317162170617</v>
      </c>
    </row>
    <row r="1350" spans="1:2">
      <c r="A1350" s="32">
        <v>1337</v>
      </c>
      <c r="B1350" s="90">
        <v>7.5662959513836672</v>
      </c>
    </row>
    <row r="1351" spans="1:2">
      <c r="A1351" s="32">
        <v>1338</v>
      </c>
      <c r="B1351" s="90">
        <v>7.7000687215902746</v>
      </c>
    </row>
    <row r="1352" spans="1:2">
      <c r="A1352" s="32">
        <v>1339</v>
      </c>
      <c r="B1352" s="90">
        <v>7.8758887521337915</v>
      </c>
    </row>
    <row r="1353" spans="1:2">
      <c r="A1353" s="32">
        <v>1340</v>
      </c>
      <c r="B1353" s="90">
        <v>8.7499106043834622</v>
      </c>
    </row>
    <row r="1354" spans="1:2">
      <c r="A1354" s="32">
        <v>1341</v>
      </c>
      <c r="B1354" s="90">
        <v>8.7798459553376791</v>
      </c>
    </row>
    <row r="1355" spans="1:2">
      <c r="A1355" s="32">
        <v>1342</v>
      </c>
      <c r="B1355" s="90">
        <v>7.6660549810044305</v>
      </c>
    </row>
    <row r="1356" spans="1:2">
      <c r="A1356" s="32">
        <v>1343</v>
      </c>
      <c r="B1356" s="90">
        <v>7.6902240256691421</v>
      </c>
    </row>
    <row r="1357" spans="1:2">
      <c r="A1357" s="32">
        <v>1344</v>
      </c>
      <c r="B1357" s="90">
        <v>9.7884251668363653</v>
      </c>
    </row>
    <row r="1358" spans="1:2">
      <c r="A1358" s="32">
        <v>1345</v>
      </c>
      <c r="B1358" s="90">
        <v>8.1765473751081963</v>
      </c>
    </row>
    <row r="1359" spans="1:2">
      <c r="A1359" s="32">
        <v>1346</v>
      </c>
      <c r="B1359" s="90">
        <v>8.4709980731332006</v>
      </c>
    </row>
    <row r="1360" spans="1:2">
      <c r="A1360" s="32">
        <v>1347</v>
      </c>
      <c r="B1360" s="90">
        <v>8.4887862342118918</v>
      </c>
    </row>
    <row r="1361" spans="1:2">
      <c r="A1361" s="32">
        <v>1348</v>
      </c>
      <c r="B1361" s="90">
        <v>7.7847860049148006</v>
      </c>
    </row>
    <row r="1362" spans="1:2">
      <c r="A1362" s="32">
        <v>1349</v>
      </c>
      <c r="B1362" s="90">
        <v>7.8771800760763027</v>
      </c>
    </row>
    <row r="1363" spans="1:2">
      <c r="A1363" s="32">
        <v>1350</v>
      </c>
      <c r="B1363" s="90">
        <v>8.4168125114410657</v>
      </c>
    </row>
    <row r="1364" spans="1:2">
      <c r="A1364" s="32">
        <v>1351</v>
      </c>
      <c r="B1364" s="90">
        <v>9.4340591626288628</v>
      </c>
    </row>
    <row r="1365" spans="1:2">
      <c r="A1365" s="32">
        <v>1352</v>
      </c>
      <c r="B1365" s="90">
        <v>9.7352419905663758</v>
      </c>
    </row>
    <row r="1366" spans="1:2">
      <c r="A1366" s="32">
        <v>1353</v>
      </c>
      <c r="B1366" s="90">
        <v>7.5276435936675128</v>
      </c>
    </row>
    <row r="1367" spans="1:2">
      <c r="A1367" s="32">
        <v>1354</v>
      </c>
      <c r="B1367" s="90">
        <v>8.6331369728841647</v>
      </c>
    </row>
    <row r="1368" spans="1:2">
      <c r="A1368" s="32">
        <v>1355</v>
      </c>
      <c r="B1368" s="90">
        <v>7.877668892134893</v>
      </c>
    </row>
    <row r="1369" spans="1:2">
      <c r="A1369" s="32">
        <v>1356</v>
      </c>
      <c r="B1369" s="90">
        <v>7.7029902396964243</v>
      </c>
    </row>
    <row r="1370" spans="1:2">
      <c r="A1370" s="32">
        <v>1357</v>
      </c>
      <c r="B1370" s="90">
        <v>7.3475026361771594</v>
      </c>
    </row>
    <row r="1371" spans="1:2">
      <c r="A1371" s="32">
        <v>1358</v>
      </c>
      <c r="B1371" s="90">
        <v>7.6509033722633664</v>
      </c>
    </row>
    <row r="1372" spans="1:2">
      <c r="A1372" s="32">
        <v>1359</v>
      </c>
      <c r="B1372" s="90">
        <v>8.1141595583759649</v>
      </c>
    </row>
    <row r="1373" spans="1:2">
      <c r="A1373" s="32">
        <v>1360</v>
      </c>
      <c r="B1373" s="90">
        <v>6.9001156704582147</v>
      </c>
    </row>
    <row r="1374" spans="1:2">
      <c r="A1374" s="32">
        <v>1361</v>
      </c>
      <c r="B1374" s="90">
        <v>9.3310763345406986</v>
      </c>
    </row>
    <row r="1375" spans="1:2">
      <c r="A1375" s="32">
        <v>1362</v>
      </c>
      <c r="B1375" s="90">
        <v>7.3122704423554072</v>
      </c>
    </row>
    <row r="1376" spans="1:2">
      <c r="A1376" s="32">
        <v>1363</v>
      </c>
      <c r="B1376" s="90">
        <v>8.2903730726696452</v>
      </c>
    </row>
    <row r="1377" spans="1:2">
      <c r="A1377" s="32">
        <v>1364</v>
      </c>
      <c r="B1377" s="90">
        <v>8.0144684833944471</v>
      </c>
    </row>
    <row r="1378" spans="1:2">
      <c r="A1378" s="32">
        <v>1365</v>
      </c>
      <c r="B1378" s="90">
        <v>7.7260766689418396</v>
      </c>
    </row>
    <row r="1379" spans="1:2">
      <c r="A1379" s="32">
        <v>1366</v>
      </c>
      <c r="B1379" s="90">
        <v>7.5897727233428993</v>
      </c>
    </row>
    <row r="1380" spans="1:2">
      <c r="A1380" s="32">
        <v>1367</v>
      </c>
      <c r="B1380" s="90">
        <v>6.7308956498386303</v>
      </c>
    </row>
    <row r="1381" spans="1:2">
      <c r="A1381" s="32">
        <v>1368</v>
      </c>
      <c r="B1381" s="90">
        <v>8.8095738140636328</v>
      </c>
    </row>
    <row r="1382" spans="1:2">
      <c r="A1382" s="32">
        <v>1369</v>
      </c>
      <c r="B1382" s="90">
        <v>7.5517244240988246</v>
      </c>
    </row>
    <row r="1383" spans="1:2">
      <c r="A1383" s="32">
        <v>1370</v>
      </c>
      <c r="B1383" s="90">
        <v>8.6205713128125314</v>
      </c>
    </row>
    <row r="1384" spans="1:2">
      <c r="A1384" s="32">
        <v>1371</v>
      </c>
      <c r="B1384" s="90">
        <v>7.6125216893431693</v>
      </c>
    </row>
    <row r="1385" spans="1:2">
      <c r="A1385" s="32">
        <v>1372</v>
      </c>
      <c r="B1385" s="90">
        <v>7.0031682304977432</v>
      </c>
    </row>
    <row r="1386" spans="1:2">
      <c r="A1386" s="32">
        <v>1373</v>
      </c>
      <c r="B1386" s="90">
        <v>9.5609537512425415</v>
      </c>
    </row>
    <row r="1387" spans="1:2">
      <c r="A1387" s="32">
        <v>1374</v>
      </c>
      <c r="B1387" s="90">
        <v>8.7976558569652834</v>
      </c>
    </row>
    <row r="1388" spans="1:2">
      <c r="A1388" s="32">
        <v>1375</v>
      </c>
      <c r="B1388" s="90">
        <v>8.0524229574515811</v>
      </c>
    </row>
    <row r="1389" spans="1:2">
      <c r="A1389" s="32">
        <v>1376</v>
      </c>
      <c r="B1389" s="90">
        <v>8.9395482746465174</v>
      </c>
    </row>
    <row r="1390" spans="1:2">
      <c r="A1390" s="32">
        <v>1377</v>
      </c>
      <c r="B1390" s="90">
        <v>8.0159615258632506</v>
      </c>
    </row>
    <row r="1391" spans="1:2">
      <c r="A1391" s="32">
        <v>1378</v>
      </c>
      <c r="B1391" s="90">
        <v>7.7011037785916212</v>
      </c>
    </row>
    <row r="1392" spans="1:2">
      <c r="A1392" s="32">
        <v>1379</v>
      </c>
      <c r="B1392" s="90">
        <v>8.5386194490187055</v>
      </c>
    </row>
    <row r="1393" spans="1:2">
      <c r="A1393" s="32">
        <v>1380</v>
      </c>
      <c r="B1393" s="90">
        <v>8.3907574002072884</v>
      </c>
    </row>
    <row r="1394" spans="1:2">
      <c r="A1394" s="32">
        <v>1381</v>
      </c>
      <c r="B1394" s="90">
        <v>7.4202560322115243</v>
      </c>
    </row>
    <row r="1395" spans="1:2">
      <c r="A1395" s="32">
        <v>1382</v>
      </c>
      <c r="B1395" s="90">
        <v>8.513209306055014</v>
      </c>
    </row>
    <row r="1396" spans="1:2">
      <c r="A1396" s="32">
        <v>1383</v>
      </c>
      <c r="B1396" s="90">
        <v>8.4206116480493609</v>
      </c>
    </row>
    <row r="1397" spans="1:2">
      <c r="A1397" s="32">
        <v>1384</v>
      </c>
      <c r="B1397" s="90">
        <v>7.448163272784674</v>
      </c>
    </row>
    <row r="1398" spans="1:2">
      <c r="A1398" s="32">
        <v>1385</v>
      </c>
      <c r="B1398" s="90">
        <v>7.0066285876145313</v>
      </c>
    </row>
    <row r="1399" spans="1:2">
      <c r="A1399" s="32">
        <v>1386</v>
      </c>
      <c r="B1399" s="90">
        <v>7.4467779541945189</v>
      </c>
    </row>
    <row r="1400" spans="1:2">
      <c r="A1400" s="32">
        <v>1387</v>
      </c>
      <c r="B1400" s="90">
        <v>9.6419278643152904</v>
      </c>
    </row>
    <row r="1401" spans="1:2">
      <c r="A1401" s="32">
        <v>1388</v>
      </c>
      <c r="B1401" s="90">
        <v>9.817645608107064</v>
      </c>
    </row>
    <row r="1402" spans="1:2">
      <c r="A1402" s="32">
        <v>1389</v>
      </c>
      <c r="B1402" s="90">
        <v>7.6416981752371287</v>
      </c>
    </row>
    <row r="1403" spans="1:2">
      <c r="A1403" s="32">
        <v>1390</v>
      </c>
      <c r="B1403" s="90">
        <v>7.6375736464655724</v>
      </c>
    </row>
    <row r="1404" spans="1:2">
      <c r="A1404" s="32">
        <v>1391</v>
      </c>
      <c r="B1404" s="90">
        <v>8.6760055634528221</v>
      </c>
    </row>
    <row r="1405" spans="1:2">
      <c r="A1405" s="32">
        <v>1392</v>
      </c>
      <c r="B1405" s="90">
        <v>7.6205282234937313</v>
      </c>
    </row>
    <row r="1406" spans="1:2">
      <c r="A1406" s="32">
        <v>1393</v>
      </c>
      <c r="B1406" s="90">
        <v>7.5759487235830463</v>
      </c>
    </row>
    <row r="1407" spans="1:2">
      <c r="A1407" s="32">
        <v>1394</v>
      </c>
      <c r="B1407" s="90">
        <v>8.4944994044710018</v>
      </c>
    </row>
    <row r="1408" spans="1:2">
      <c r="A1408" s="32">
        <v>1395</v>
      </c>
      <c r="B1408" s="90">
        <v>7.122326352185409</v>
      </c>
    </row>
    <row r="1409" spans="1:2">
      <c r="A1409" s="32">
        <v>1396</v>
      </c>
      <c r="B1409" s="90">
        <v>7.8195857549533567</v>
      </c>
    </row>
    <row r="1410" spans="1:2">
      <c r="A1410" s="32">
        <v>1397</v>
      </c>
      <c r="B1410" s="90">
        <v>7.48186606649959</v>
      </c>
    </row>
    <row r="1411" spans="1:2">
      <c r="A1411" s="32">
        <v>1398</v>
      </c>
      <c r="B1411" s="90">
        <v>7.0169773332718561</v>
      </c>
    </row>
    <row r="1412" spans="1:2">
      <c r="A1412" s="32">
        <v>1399</v>
      </c>
      <c r="B1412" s="90">
        <v>9.1683459372487466</v>
      </c>
    </row>
    <row r="1413" spans="1:2">
      <c r="A1413" s="32">
        <v>1400</v>
      </c>
      <c r="B1413" s="90">
        <v>7.5020273715440267</v>
      </c>
    </row>
    <row r="1414" spans="1:2">
      <c r="A1414" s="32">
        <v>1401</v>
      </c>
      <c r="B1414" s="90">
        <v>8.2617913253270387</v>
      </c>
    </row>
    <row r="1415" spans="1:2">
      <c r="A1415" s="32">
        <v>1402</v>
      </c>
      <c r="B1415" s="90">
        <v>8.5585615911556516</v>
      </c>
    </row>
    <row r="1416" spans="1:2">
      <c r="A1416" s="32">
        <v>1403</v>
      </c>
      <c r="B1416" s="90">
        <v>7.0475688580620846</v>
      </c>
    </row>
    <row r="1417" spans="1:2">
      <c r="A1417" s="32">
        <v>1404</v>
      </c>
      <c r="B1417" s="90">
        <v>7.7121046489351004</v>
      </c>
    </row>
    <row r="1418" spans="1:2">
      <c r="A1418" s="32">
        <v>1405</v>
      </c>
      <c r="B1418" s="90">
        <v>7.1360477548263379</v>
      </c>
    </row>
    <row r="1419" spans="1:2">
      <c r="A1419" s="32">
        <v>1406</v>
      </c>
      <c r="B1419" s="90">
        <v>7.8838548487958233</v>
      </c>
    </row>
    <row r="1420" spans="1:2">
      <c r="A1420" s="32">
        <v>1407</v>
      </c>
      <c r="B1420" s="90">
        <v>8.8554334818134013</v>
      </c>
    </row>
    <row r="1421" spans="1:2">
      <c r="A1421" s="32">
        <v>1408</v>
      </c>
      <c r="B1421" s="90">
        <v>9.1266490511896716</v>
      </c>
    </row>
    <row r="1422" spans="1:2">
      <c r="A1422" s="32">
        <v>1409</v>
      </c>
      <c r="B1422" s="90">
        <v>8.4551261446937254</v>
      </c>
    </row>
    <row r="1423" spans="1:2">
      <c r="A1423" s="32">
        <v>1410</v>
      </c>
      <c r="B1423" s="90">
        <v>7.8434276320922693</v>
      </c>
    </row>
    <row r="1424" spans="1:2">
      <c r="A1424" s="32">
        <v>1411</v>
      </c>
      <c r="B1424" s="90">
        <v>7.6316557074259048</v>
      </c>
    </row>
    <row r="1425" spans="1:2">
      <c r="A1425" s="32">
        <v>1412</v>
      </c>
      <c r="B1425" s="90">
        <v>7.5590163746753216</v>
      </c>
    </row>
    <row r="1426" spans="1:2">
      <c r="A1426" s="32">
        <v>1413</v>
      </c>
      <c r="B1426" s="90">
        <v>8.8734524104890333</v>
      </c>
    </row>
    <row r="1427" spans="1:2">
      <c r="A1427" s="32">
        <v>1414</v>
      </c>
      <c r="B1427" s="90">
        <v>6.6195283443561879</v>
      </c>
    </row>
    <row r="1428" spans="1:2">
      <c r="A1428" s="32">
        <v>1415</v>
      </c>
      <c r="B1428" s="90">
        <v>7.4652779541073189</v>
      </c>
    </row>
    <row r="1429" spans="1:2">
      <c r="A1429" s="32">
        <v>1416</v>
      </c>
      <c r="B1429" s="90">
        <v>7.0481289684356376</v>
      </c>
    </row>
    <row r="1430" spans="1:2">
      <c r="A1430" s="32">
        <v>1417</v>
      </c>
      <c r="B1430" s="90">
        <v>8.0921147103701347</v>
      </c>
    </row>
    <row r="1431" spans="1:2">
      <c r="A1431" s="32">
        <v>1418</v>
      </c>
      <c r="B1431" s="90">
        <v>8.5730007286544048</v>
      </c>
    </row>
    <row r="1432" spans="1:2">
      <c r="A1432" s="32">
        <v>1419</v>
      </c>
      <c r="B1432" s="90">
        <v>7.1044999226209509</v>
      </c>
    </row>
    <row r="1433" spans="1:2">
      <c r="A1433" s="32">
        <v>1420</v>
      </c>
      <c r="B1433" s="90">
        <v>7.9510419653760946</v>
      </c>
    </row>
    <row r="1434" spans="1:2">
      <c r="A1434" s="32">
        <v>1421</v>
      </c>
      <c r="B1434" s="90">
        <v>7.7335829810053882</v>
      </c>
    </row>
    <row r="1435" spans="1:2">
      <c r="A1435" s="32">
        <v>1422</v>
      </c>
      <c r="B1435" s="90">
        <v>9.211523095527939</v>
      </c>
    </row>
    <row r="1436" spans="1:2">
      <c r="A1436" s="32">
        <v>1423</v>
      </c>
      <c r="B1436" s="90">
        <v>8.4520946813841871</v>
      </c>
    </row>
    <row r="1437" spans="1:2">
      <c r="A1437" s="32">
        <v>1424</v>
      </c>
      <c r="B1437" s="90">
        <v>6.4720516832480444</v>
      </c>
    </row>
    <row r="1438" spans="1:2">
      <c r="A1438" s="32">
        <v>1425</v>
      </c>
      <c r="B1438" s="90">
        <v>8.6790150106874844</v>
      </c>
    </row>
    <row r="1439" spans="1:2">
      <c r="A1439" s="32">
        <v>1426</v>
      </c>
      <c r="B1439" s="90">
        <v>8.5896367141394627</v>
      </c>
    </row>
    <row r="1440" spans="1:2">
      <c r="A1440" s="32">
        <v>1427</v>
      </c>
      <c r="B1440" s="90">
        <v>6.7179817448803858</v>
      </c>
    </row>
    <row r="1441" spans="1:2">
      <c r="A1441" s="32">
        <v>1428</v>
      </c>
      <c r="B1441" s="90">
        <v>7.7092571523538149</v>
      </c>
    </row>
    <row r="1442" spans="1:2">
      <c r="A1442" s="32">
        <v>1429</v>
      </c>
      <c r="B1442" s="90">
        <v>7.6301172533318962</v>
      </c>
    </row>
    <row r="1443" spans="1:2">
      <c r="A1443" s="32">
        <v>1430</v>
      </c>
      <c r="B1443" s="90">
        <v>7.4598620454474336</v>
      </c>
    </row>
    <row r="1444" spans="1:2">
      <c r="A1444" s="32">
        <v>1431</v>
      </c>
      <c r="B1444" s="90">
        <v>7.7305131545713968</v>
      </c>
    </row>
    <row r="1445" spans="1:2">
      <c r="A1445" s="32">
        <v>1432</v>
      </c>
      <c r="B1445" s="90">
        <v>7.9323719973067996</v>
      </c>
    </row>
    <row r="1446" spans="1:2">
      <c r="A1446" s="32">
        <v>1433</v>
      </c>
      <c r="B1446" s="90">
        <v>7.2796066215721149</v>
      </c>
    </row>
    <row r="1447" spans="1:2">
      <c r="A1447" s="32">
        <v>1434</v>
      </c>
      <c r="B1447" s="90">
        <v>9.8445263314259019</v>
      </c>
    </row>
    <row r="1448" spans="1:2">
      <c r="A1448" s="32">
        <v>1435</v>
      </c>
      <c r="B1448" s="90">
        <v>8.1208439658678877</v>
      </c>
    </row>
    <row r="1449" spans="1:2">
      <c r="A1449" s="32">
        <v>1436</v>
      </c>
      <c r="B1449" s="90">
        <v>8.4781005494357711</v>
      </c>
    </row>
    <row r="1450" spans="1:2">
      <c r="A1450" s="32">
        <v>1437</v>
      </c>
      <c r="B1450" s="90">
        <v>8.1836691807546682</v>
      </c>
    </row>
    <row r="1451" spans="1:2">
      <c r="A1451" s="32">
        <v>1438</v>
      </c>
      <c r="B1451" s="90">
        <v>8.1946329182520721</v>
      </c>
    </row>
    <row r="1452" spans="1:2">
      <c r="A1452" s="32">
        <v>1439</v>
      </c>
      <c r="B1452" s="90">
        <v>8.1361923836789352</v>
      </c>
    </row>
    <row r="1453" spans="1:2">
      <c r="A1453" s="32">
        <v>1440</v>
      </c>
      <c r="B1453" s="90">
        <v>8.1586172676849742</v>
      </c>
    </row>
    <row r="1454" spans="1:2">
      <c r="A1454" s="32">
        <v>1441</v>
      </c>
      <c r="B1454" s="90">
        <v>7.2097238738634628</v>
      </c>
    </row>
    <row r="1455" spans="1:2">
      <c r="A1455" s="32">
        <v>1442</v>
      </c>
      <c r="B1455" s="90">
        <v>6.8829070905623224</v>
      </c>
    </row>
    <row r="1456" spans="1:2">
      <c r="A1456" s="32">
        <v>1443</v>
      </c>
      <c r="B1456" s="90">
        <v>8.8016270526669729</v>
      </c>
    </row>
    <row r="1457" spans="1:2">
      <c r="A1457" s="32">
        <v>1444</v>
      </c>
      <c r="B1457" s="90">
        <v>7.7345206921329765</v>
      </c>
    </row>
    <row r="1458" spans="1:2">
      <c r="A1458" s="32">
        <v>1445</v>
      </c>
      <c r="B1458" s="90">
        <v>7.1797332157255669</v>
      </c>
    </row>
    <row r="1459" spans="1:2">
      <c r="A1459" s="32">
        <v>1446</v>
      </c>
      <c r="B1459" s="90">
        <v>8.7910674086684306</v>
      </c>
    </row>
    <row r="1460" spans="1:2">
      <c r="A1460" s="32">
        <v>1447</v>
      </c>
      <c r="B1460" s="90">
        <v>7.6482761414733957</v>
      </c>
    </row>
    <row r="1461" spans="1:2">
      <c r="A1461" s="32">
        <v>1448</v>
      </c>
      <c r="B1461" s="90">
        <v>7.5241500837291451</v>
      </c>
    </row>
    <row r="1462" spans="1:2">
      <c r="A1462" s="32">
        <v>1449</v>
      </c>
      <c r="B1462" s="90">
        <v>8.4775351868006243</v>
      </c>
    </row>
    <row r="1463" spans="1:2">
      <c r="A1463" s="32">
        <v>1450</v>
      </c>
      <c r="B1463" s="90">
        <v>7.5648649525727851</v>
      </c>
    </row>
    <row r="1464" spans="1:2">
      <c r="A1464" s="32">
        <v>1451</v>
      </c>
      <c r="B1464" s="90">
        <v>9.4120726724489643</v>
      </c>
    </row>
    <row r="1465" spans="1:2">
      <c r="A1465" s="32">
        <v>1452</v>
      </c>
      <c r="B1465" s="90">
        <v>6.7788107009759511</v>
      </c>
    </row>
    <row r="1466" spans="1:2">
      <c r="A1466" s="32">
        <v>1453</v>
      </c>
      <c r="B1466" s="90">
        <v>7.7726371146855726</v>
      </c>
    </row>
    <row r="1467" spans="1:2">
      <c r="A1467" s="32">
        <v>1454</v>
      </c>
      <c r="B1467" s="90">
        <v>7.9503725767676414</v>
      </c>
    </row>
    <row r="1468" spans="1:2">
      <c r="A1468" s="32">
        <v>1455</v>
      </c>
      <c r="B1468" s="90">
        <v>8.7307706661055402</v>
      </c>
    </row>
    <row r="1469" spans="1:2">
      <c r="A1469" s="32">
        <v>1456</v>
      </c>
      <c r="B1469" s="90">
        <v>7.8440152628160007</v>
      </c>
    </row>
    <row r="1470" spans="1:2">
      <c r="A1470" s="32">
        <v>1457</v>
      </c>
      <c r="B1470" s="90">
        <v>8.0971204323937318</v>
      </c>
    </row>
    <row r="1471" spans="1:2">
      <c r="A1471" s="32">
        <v>1458</v>
      </c>
      <c r="B1471" s="90">
        <v>8.8088363694440321</v>
      </c>
    </row>
    <row r="1472" spans="1:2">
      <c r="A1472" s="32">
        <v>1459</v>
      </c>
      <c r="B1472" s="90">
        <v>7.2670930890391654</v>
      </c>
    </row>
    <row r="1473" spans="1:2">
      <c r="A1473" s="32">
        <v>1460</v>
      </c>
      <c r="B1473" s="90">
        <v>7.2948024535199565</v>
      </c>
    </row>
    <row r="1474" spans="1:2">
      <c r="A1474" s="32">
        <v>1461</v>
      </c>
      <c r="B1474" s="90">
        <v>8.155697284261759</v>
      </c>
    </row>
    <row r="1475" spans="1:2">
      <c r="A1475" s="32">
        <v>1462</v>
      </c>
      <c r="B1475" s="90">
        <v>9.0448794290786196</v>
      </c>
    </row>
    <row r="1476" spans="1:2">
      <c r="A1476" s="32">
        <v>1463</v>
      </c>
      <c r="B1476" s="90">
        <v>7.3885085334829439</v>
      </c>
    </row>
    <row r="1477" spans="1:2">
      <c r="A1477" s="32">
        <v>1464</v>
      </c>
      <c r="B1477" s="90">
        <v>7.7355013391593541</v>
      </c>
    </row>
    <row r="1478" spans="1:2">
      <c r="A1478" s="32">
        <v>1465</v>
      </c>
      <c r="B1478" s="90">
        <v>7.4554116354877049</v>
      </c>
    </row>
    <row r="1479" spans="1:2">
      <c r="A1479" s="32">
        <v>1466</v>
      </c>
      <c r="B1479" s="90">
        <v>7.7670950921121902</v>
      </c>
    </row>
    <row r="1480" spans="1:2">
      <c r="A1480" s="32">
        <v>1467</v>
      </c>
      <c r="B1480" s="90">
        <v>7.9516344488849642</v>
      </c>
    </row>
    <row r="1481" spans="1:2">
      <c r="A1481" s="32">
        <v>1468</v>
      </c>
      <c r="B1481" s="90">
        <v>8.0251878700517469</v>
      </c>
    </row>
    <row r="1482" spans="1:2">
      <c r="A1482" s="32">
        <v>1469</v>
      </c>
      <c r="B1482" s="90">
        <v>8.4174723812063874</v>
      </c>
    </row>
    <row r="1483" spans="1:2">
      <c r="A1483" s="32">
        <v>1470</v>
      </c>
      <c r="B1483" s="90">
        <v>7.8794840859633686</v>
      </c>
    </row>
    <row r="1484" spans="1:2">
      <c r="A1484" s="32">
        <v>1471</v>
      </c>
      <c r="B1484" s="90">
        <v>8.182067470759927</v>
      </c>
    </row>
    <row r="1485" spans="1:2">
      <c r="A1485" s="32">
        <v>1472</v>
      </c>
      <c r="B1485" s="90">
        <v>8.996674573402732</v>
      </c>
    </row>
    <row r="1486" spans="1:2">
      <c r="A1486" s="32">
        <v>1473</v>
      </c>
      <c r="B1486" s="90">
        <v>7.6202057425354948</v>
      </c>
    </row>
    <row r="1487" spans="1:2">
      <c r="A1487" s="32">
        <v>1474</v>
      </c>
      <c r="B1487" s="90">
        <v>7.9540898925306021</v>
      </c>
    </row>
    <row r="1488" spans="1:2">
      <c r="A1488" s="32">
        <v>1475</v>
      </c>
      <c r="B1488" s="90">
        <v>9.854415086565611</v>
      </c>
    </row>
    <row r="1489" spans="1:2">
      <c r="A1489" s="32">
        <v>1476</v>
      </c>
      <c r="B1489" s="90">
        <v>8.160115403723367</v>
      </c>
    </row>
    <row r="1490" spans="1:2">
      <c r="A1490" s="32">
        <v>1477</v>
      </c>
      <c r="B1490" s="90">
        <v>8.8080542160085109</v>
      </c>
    </row>
    <row r="1491" spans="1:2">
      <c r="A1491" s="32">
        <v>1478</v>
      </c>
      <c r="B1491" s="90">
        <v>7.7874752799245766</v>
      </c>
    </row>
    <row r="1492" spans="1:2">
      <c r="A1492" s="32">
        <v>1479</v>
      </c>
      <c r="B1492" s="90">
        <v>7.7408643957808714</v>
      </c>
    </row>
    <row r="1493" spans="1:2">
      <c r="A1493" s="32">
        <v>1480</v>
      </c>
      <c r="B1493" s="90">
        <v>8.3006179378878659</v>
      </c>
    </row>
    <row r="1494" spans="1:2">
      <c r="A1494" s="32">
        <v>1481</v>
      </c>
      <c r="B1494" s="90">
        <v>8.6753460629526167</v>
      </c>
    </row>
    <row r="1495" spans="1:2">
      <c r="A1495" s="32">
        <v>1482</v>
      </c>
      <c r="B1495" s="90">
        <v>7.5417752228768258</v>
      </c>
    </row>
    <row r="1496" spans="1:2">
      <c r="A1496" s="32">
        <v>1483</v>
      </c>
      <c r="B1496" s="90">
        <v>9.0603406115381055</v>
      </c>
    </row>
    <row r="1497" spans="1:2">
      <c r="A1497" s="32">
        <v>1484</v>
      </c>
      <c r="B1497" s="90">
        <v>7.6041549284384518</v>
      </c>
    </row>
    <row r="1498" spans="1:2">
      <c r="A1498" s="32">
        <v>1485</v>
      </c>
      <c r="B1498" s="90">
        <v>7.9735602854482748</v>
      </c>
    </row>
    <row r="1499" spans="1:2">
      <c r="A1499" s="32">
        <v>1486</v>
      </c>
      <c r="B1499" s="90">
        <v>9.0012831737285595</v>
      </c>
    </row>
    <row r="1500" spans="1:2">
      <c r="A1500" s="32">
        <v>1487</v>
      </c>
      <c r="B1500" s="90">
        <v>7.6819527344620893</v>
      </c>
    </row>
    <row r="1501" spans="1:2">
      <c r="A1501" s="32">
        <v>1488</v>
      </c>
      <c r="B1501" s="90">
        <v>8.1757881021624623</v>
      </c>
    </row>
    <row r="1502" spans="1:2">
      <c r="A1502" s="32">
        <v>1489</v>
      </c>
      <c r="B1502" s="90">
        <v>7.796050279271423</v>
      </c>
    </row>
    <row r="1503" spans="1:2">
      <c r="A1503" s="32">
        <v>1490</v>
      </c>
      <c r="B1503" s="90">
        <v>8.4021681319335819</v>
      </c>
    </row>
    <row r="1504" spans="1:2">
      <c r="A1504" s="32">
        <v>1491</v>
      </c>
      <c r="B1504" s="90">
        <v>9.0314692250767372</v>
      </c>
    </row>
    <row r="1505" spans="1:2">
      <c r="A1505" s="32">
        <v>1492</v>
      </c>
      <c r="B1505" s="90">
        <v>7.1453108405556796</v>
      </c>
    </row>
    <row r="1506" spans="1:2">
      <c r="A1506" s="32">
        <v>1493</v>
      </c>
      <c r="B1506" s="90">
        <v>7.7833134887452857</v>
      </c>
    </row>
    <row r="1507" spans="1:2">
      <c r="A1507" s="32">
        <v>1494</v>
      </c>
      <c r="B1507" s="90">
        <v>8.0410791098250325</v>
      </c>
    </row>
    <row r="1508" spans="1:2">
      <c r="A1508" s="32">
        <v>1495</v>
      </c>
      <c r="B1508" s="90">
        <v>8.9850224303963824</v>
      </c>
    </row>
    <row r="1509" spans="1:2">
      <c r="A1509" s="32">
        <v>1496</v>
      </c>
      <c r="B1509" s="90">
        <v>9.2523274867529484</v>
      </c>
    </row>
    <row r="1510" spans="1:2">
      <c r="A1510" s="32">
        <v>1497</v>
      </c>
      <c r="B1510" s="90">
        <v>8.1817945397936516</v>
      </c>
    </row>
    <row r="1511" spans="1:2">
      <c r="A1511" s="32">
        <v>1498</v>
      </c>
      <c r="B1511" s="90">
        <v>9.2512659825728729</v>
      </c>
    </row>
    <row r="1512" spans="1:2">
      <c r="A1512" s="32">
        <v>1499</v>
      </c>
      <c r="B1512" s="90">
        <v>7.8287116220389477</v>
      </c>
    </row>
    <row r="1513" spans="1:2">
      <c r="A1513" s="32">
        <v>1500</v>
      </c>
      <c r="B1513" s="90">
        <v>6.596835782966135</v>
      </c>
    </row>
    <row r="1514" spans="1:2">
      <c r="A1514" s="32">
        <v>1501</v>
      </c>
      <c r="B1514" s="90">
        <v>9.5474431163860984</v>
      </c>
    </row>
    <row r="1515" spans="1:2">
      <c r="A1515" s="32">
        <v>1502</v>
      </c>
      <c r="B1515" s="90">
        <v>7.9075031004337193</v>
      </c>
    </row>
    <row r="1516" spans="1:2">
      <c r="A1516" s="32">
        <v>1503</v>
      </c>
      <c r="B1516" s="90">
        <v>7.9724127726481129</v>
      </c>
    </row>
    <row r="1517" spans="1:2">
      <c r="A1517" s="32">
        <v>1504</v>
      </c>
      <c r="B1517" s="90">
        <v>7.8273625856635762</v>
      </c>
    </row>
    <row r="1518" spans="1:2">
      <c r="A1518" s="32">
        <v>1505</v>
      </c>
      <c r="B1518" s="90">
        <v>7.933401773874496</v>
      </c>
    </row>
    <row r="1519" spans="1:2">
      <c r="A1519" s="32">
        <v>1506</v>
      </c>
      <c r="B1519" s="90">
        <v>7.6787093526514232</v>
      </c>
    </row>
    <row r="1520" spans="1:2">
      <c r="A1520" s="32">
        <v>1507</v>
      </c>
      <c r="B1520" s="90">
        <v>9.6376576095686186</v>
      </c>
    </row>
    <row r="1521" spans="1:2">
      <c r="A1521" s="32">
        <v>1508</v>
      </c>
      <c r="B1521" s="90">
        <v>7.090391003731602</v>
      </c>
    </row>
    <row r="1522" spans="1:2">
      <c r="A1522" s="32">
        <v>1509</v>
      </c>
      <c r="B1522" s="90">
        <v>8.3425293392969024</v>
      </c>
    </row>
    <row r="1523" spans="1:2">
      <c r="A1523" s="32">
        <v>1510</v>
      </c>
      <c r="B1523" s="90">
        <v>8.6107983023332721</v>
      </c>
    </row>
    <row r="1524" spans="1:2">
      <c r="A1524" s="32">
        <v>1511</v>
      </c>
      <c r="B1524" s="90">
        <v>8.1250845853546121</v>
      </c>
    </row>
    <row r="1525" spans="1:2">
      <c r="A1525" s="32">
        <v>1512</v>
      </c>
      <c r="B1525" s="90">
        <v>7.8301211028252222</v>
      </c>
    </row>
    <row r="1526" spans="1:2">
      <c r="A1526" s="32">
        <v>1513</v>
      </c>
      <c r="B1526" s="90">
        <v>7.0722177221250666</v>
      </c>
    </row>
    <row r="1527" spans="1:2">
      <c r="A1527" s="32">
        <v>1514</v>
      </c>
      <c r="B1527" s="90">
        <v>7.5844040130523247</v>
      </c>
    </row>
    <row r="1528" spans="1:2">
      <c r="A1528" s="32">
        <v>1515</v>
      </c>
      <c r="B1528" s="90">
        <v>7.6137732605936312</v>
      </c>
    </row>
    <row r="1529" spans="1:2">
      <c r="A1529" s="32">
        <v>1516</v>
      </c>
      <c r="B1529" s="90">
        <v>7.8336415818303546</v>
      </c>
    </row>
    <row r="1530" spans="1:2">
      <c r="A1530" s="32">
        <v>1517</v>
      </c>
      <c r="B1530" s="90">
        <v>8.0641482969162297</v>
      </c>
    </row>
    <row r="1531" spans="1:2">
      <c r="A1531" s="32">
        <v>1518</v>
      </c>
      <c r="B1531" s="90">
        <v>7.4055357609621639</v>
      </c>
    </row>
    <row r="1532" spans="1:2">
      <c r="A1532" s="32">
        <v>1519</v>
      </c>
      <c r="B1532" s="90">
        <v>8.2883576352760766</v>
      </c>
    </row>
    <row r="1533" spans="1:2">
      <c r="A1533" s="32">
        <v>1520</v>
      </c>
      <c r="B1533" s="90">
        <v>9.1649310266497821</v>
      </c>
    </row>
    <row r="1534" spans="1:2">
      <c r="A1534" s="32">
        <v>1521</v>
      </c>
      <c r="B1534" s="90">
        <v>8.3723563466919781</v>
      </c>
    </row>
    <row r="1535" spans="1:2">
      <c r="A1535" s="32">
        <v>1522</v>
      </c>
      <c r="B1535" s="90">
        <v>8.4929804838182772</v>
      </c>
    </row>
    <row r="1536" spans="1:2">
      <c r="A1536" s="32">
        <v>1523</v>
      </c>
      <c r="B1536" s="90">
        <v>8.0839628974259163</v>
      </c>
    </row>
    <row r="1537" spans="1:2">
      <c r="A1537" s="32">
        <v>1524</v>
      </c>
      <c r="B1537" s="90">
        <v>8.0790457471269956</v>
      </c>
    </row>
    <row r="1538" spans="1:2">
      <c r="A1538" s="32">
        <v>1525</v>
      </c>
      <c r="B1538" s="90">
        <v>8.7108491318477803</v>
      </c>
    </row>
    <row r="1539" spans="1:2">
      <c r="A1539" s="32">
        <v>1526</v>
      </c>
      <c r="B1539" s="90">
        <v>6.9325718565805667</v>
      </c>
    </row>
    <row r="1540" spans="1:2">
      <c r="A1540" s="32">
        <v>1527</v>
      </c>
      <c r="B1540" s="90">
        <v>7.2072174239703086</v>
      </c>
    </row>
    <row r="1541" spans="1:2">
      <c r="A1541" s="32">
        <v>1528</v>
      </c>
      <c r="B1541" s="90">
        <v>7.9465135593160516</v>
      </c>
    </row>
    <row r="1542" spans="1:2">
      <c r="A1542" s="32">
        <v>1529</v>
      </c>
      <c r="B1542" s="90">
        <v>8.2533865081305926</v>
      </c>
    </row>
    <row r="1543" spans="1:2">
      <c r="A1543" s="32">
        <v>1530</v>
      </c>
      <c r="B1543" s="90">
        <v>8.2195354507433365</v>
      </c>
    </row>
    <row r="1544" spans="1:2">
      <c r="A1544" s="32">
        <v>1531</v>
      </c>
      <c r="B1544" s="90">
        <v>8.7301882037155387</v>
      </c>
    </row>
    <row r="1545" spans="1:2">
      <c r="A1545" s="32">
        <v>1532</v>
      </c>
      <c r="B1545" s="90">
        <v>8.4368114413311961</v>
      </c>
    </row>
    <row r="1546" spans="1:2">
      <c r="A1546" s="32">
        <v>1533</v>
      </c>
      <c r="B1546" s="90">
        <v>7.42801773723248</v>
      </c>
    </row>
    <row r="1547" spans="1:2">
      <c r="A1547" s="32">
        <v>1534</v>
      </c>
      <c r="B1547" s="90">
        <v>8.3778307663735347</v>
      </c>
    </row>
    <row r="1548" spans="1:2">
      <c r="A1548" s="32">
        <v>1535</v>
      </c>
      <c r="B1548" s="90">
        <v>7.6426895886851325</v>
      </c>
    </row>
    <row r="1549" spans="1:2">
      <c r="A1549" s="32">
        <v>1536</v>
      </c>
      <c r="B1549" s="90">
        <v>8.680780222135569</v>
      </c>
    </row>
    <row r="1550" spans="1:2">
      <c r="A1550" s="32">
        <v>1537</v>
      </c>
      <c r="B1550" s="90">
        <v>7.6661051072584767</v>
      </c>
    </row>
    <row r="1551" spans="1:2">
      <c r="A1551" s="32">
        <v>1538</v>
      </c>
      <c r="B1551" s="90">
        <v>7.00716995689295</v>
      </c>
    </row>
    <row r="1552" spans="1:2">
      <c r="A1552" s="32">
        <v>1539</v>
      </c>
      <c r="B1552" s="90">
        <v>6.8861197598803985</v>
      </c>
    </row>
    <row r="1553" spans="1:2">
      <c r="A1553" s="32">
        <v>1540</v>
      </c>
      <c r="B1553" s="90">
        <v>7.9233586654108032</v>
      </c>
    </row>
    <row r="1554" spans="1:2">
      <c r="A1554" s="32">
        <v>1541</v>
      </c>
      <c r="B1554" s="90">
        <v>8.1265714090268784</v>
      </c>
    </row>
    <row r="1555" spans="1:2">
      <c r="A1555" s="32">
        <v>1542</v>
      </c>
      <c r="B1555" s="90">
        <v>7.5813167541010626</v>
      </c>
    </row>
    <row r="1556" spans="1:2">
      <c r="A1556" s="32">
        <v>1543</v>
      </c>
      <c r="B1556" s="90">
        <v>8.3380477244090692</v>
      </c>
    </row>
    <row r="1557" spans="1:2">
      <c r="A1557" s="32">
        <v>1544</v>
      </c>
      <c r="B1557" s="90">
        <v>7.6747536646147303</v>
      </c>
    </row>
    <row r="1558" spans="1:2">
      <c r="A1558" s="32">
        <v>1545</v>
      </c>
      <c r="B1558" s="90">
        <v>7.5496006957318418</v>
      </c>
    </row>
    <row r="1559" spans="1:2">
      <c r="A1559" s="32">
        <v>1546</v>
      </c>
      <c r="B1559" s="90">
        <v>8.081361169002367</v>
      </c>
    </row>
    <row r="1560" spans="1:2">
      <c r="A1560" s="32">
        <v>1547</v>
      </c>
      <c r="B1560" s="90">
        <v>7.3006117167309421</v>
      </c>
    </row>
    <row r="1561" spans="1:2">
      <c r="A1561" s="32">
        <v>1548</v>
      </c>
      <c r="B1561" s="90">
        <v>8.7822908073840686</v>
      </c>
    </row>
    <row r="1562" spans="1:2">
      <c r="A1562" s="32">
        <v>1549</v>
      </c>
      <c r="B1562" s="90">
        <v>8.8466473228835749</v>
      </c>
    </row>
    <row r="1563" spans="1:2">
      <c r="A1563" s="32">
        <v>1550</v>
      </c>
      <c r="B1563" s="90">
        <v>6.7416125374850076</v>
      </c>
    </row>
    <row r="1564" spans="1:2">
      <c r="A1564" s="32">
        <v>1551</v>
      </c>
      <c r="B1564" s="90">
        <v>8.0237875627187627</v>
      </c>
    </row>
    <row r="1565" spans="1:2">
      <c r="A1565" s="32">
        <v>1552</v>
      </c>
      <c r="B1565" s="90">
        <v>8.176379340064539</v>
      </c>
    </row>
    <row r="1566" spans="1:2">
      <c r="A1566" s="32">
        <v>1553</v>
      </c>
      <c r="B1566" s="90">
        <v>7.8409886061286347</v>
      </c>
    </row>
    <row r="1567" spans="1:2">
      <c r="A1567" s="32">
        <v>1554</v>
      </c>
      <c r="B1567" s="90">
        <v>7.7522925510177547</v>
      </c>
    </row>
    <row r="1568" spans="1:2">
      <c r="A1568" s="32">
        <v>1555</v>
      </c>
      <c r="B1568" s="90">
        <v>7.2918970079321692</v>
      </c>
    </row>
    <row r="1569" spans="1:2">
      <c r="A1569" s="32">
        <v>1556</v>
      </c>
      <c r="B1569" s="90">
        <v>7.5706941114468913</v>
      </c>
    </row>
    <row r="1570" spans="1:2">
      <c r="A1570" s="32">
        <v>1557</v>
      </c>
      <c r="B1570" s="90">
        <v>7.9020004379354738</v>
      </c>
    </row>
    <row r="1571" spans="1:2">
      <c r="A1571" s="32">
        <v>1558</v>
      </c>
      <c r="B1571" s="90">
        <v>8.5320979442141809</v>
      </c>
    </row>
    <row r="1572" spans="1:2">
      <c r="A1572" s="32">
        <v>1559</v>
      </c>
      <c r="B1572" s="90">
        <v>8.2276788120938775</v>
      </c>
    </row>
    <row r="1573" spans="1:2">
      <c r="A1573" s="32">
        <v>1560</v>
      </c>
      <c r="B1573" s="90">
        <v>7.7497740390617214</v>
      </c>
    </row>
    <row r="1574" spans="1:2">
      <c r="A1574" s="32">
        <v>1561</v>
      </c>
      <c r="B1574" s="90">
        <v>8.6328581710880083</v>
      </c>
    </row>
    <row r="1575" spans="1:2">
      <c r="A1575" s="32">
        <v>1562</v>
      </c>
      <c r="B1575" s="90">
        <v>7.363892286014341</v>
      </c>
    </row>
    <row r="1576" spans="1:2">
      <c r="A1576" s="32">
        <v>1563</v>
      </c>
      <c r="B1576" s="90">
        <v>7.590213419688463</v>
      </c>
    </row>
    <row r="1577" spans="1:2">
      <c r="A1577" s="32">
        <v>1564</v>
      </c>
      <c r="B1577" s="90">
        <v>8.211937778188128</v>
      </c>
    </row>
    <row r="1578" spans="1:2">
      <c r="A1578" s="32">
        <v>1565</v>
      </c>
      <c r="B1578" s="90">
        <v>8.5952964230392013</v>
      </c>
    </row>
    <row r="1579" spans="1:2">
      <c r="A1579" s="32">
        <v>1566</v>
      </c>
      <c r="B1579" s="90">
        <v>8.2207191455185331</v>
      </c>
    </row>
    <row r="1580" spans="1:2">
      <c r="A1580" s="32">
        <v>1567</v>
      </c>
      <c r="B1580" s="90">
        <v>8.4671897183997746</v>
      </c>
    </row>
    <row r="1581" spans="1:2">
      <c r="A1581" s="32">
        <v>1568</v>
      </c>
      <c r="B1581" s="90">
        <v>7.2392116483997437</v>
      </c>
    </row>
    <row r="1582" spans="1:2">
      <c r="A1582" s="32">
        <v>1569</v>
      </c>
      <c r="B1582" s="90">
        <v>8.6661344204915505</v>
      </c>
    </row>
    <row r="1583" spans="1:2">
      <c r="A1583" s="32">
        <v>1570</v>
      </c>
      <c r="B1583" s="90">
        <v>10.347246811036394</v>
      </c>
    </row>
    <row r="1584" spans="1:2">
      <c r="A1584" s="32">
        <v>1571</v>
      </c>
      <c r="B1584" s="90">
        <v>7.4275389661169369</v>
      </c>
    </row>
    <row r="1585" spans="1:2">
      <c r="A1585" s="32">
        <v>1572</v>
      </c>
      <c r="B1585" s="90">
        <v>9.2495054521349473</v>
      </c>
    </row>
    <row r="1586" spans="1:2">
      <c r="A1586" s="32">
        <v>1573</v>
      </c>
      <c r="B1586" s="90">
        <v>8.1377913987554535</v>
      </c>
    </row>
    <row r="1587" spans="1:2">
      <c r="A1587" s="32">
        <v>1574</v>
      </c>
      <c r="B1587" s="90">
        <v>8.3458907287599136</v>
      </c>
    </row>
    <row r="1588" spans="1:2">
      <c r="A1588" s="32">
        <v>1575</v>
      </c>
      <c r="B1588" s="90">
        <v>8.7093160559794978</v>
      </c>
    </row>
    <row r="1589" spans="1:2">
      <c r="A1589" s="32">
        <v>1576</v>
      </c>
      <c r="B1589" s="90">
        <v>8.3920274626484819</v>
      </c>
    </row>
    <row r="1590" spans="1:2">
      <c r="A1590" s="32">
        <v>1577</v>
      </c>
      <c r="B1590" s="90">
        <v>8.2394382192254234</v>
      </c>
    </row>
    <row r="1591" spans="1:2">
      <c r="A1591" s="32">
        <v>1578</v>
      </c>
      <c r="B1591" s="90">
        <v>8.5138076418605184</v>
      </c>
    </row>
    <row r="1592" spans="1:2">
      <c r="A1592" s="32">
        <v>1579</v>
      </c>
      <c r="B1592" s="90">
        <v>8.8689480827857583</v>
      </c>
    </row>
    <row r="1593" spans="1:2">
      <c r="A1593" s="32">
        <v>1580</v>
      </c>
      <c r="B1593" s="90">
        <v>7.4395826336093398</v>
      </c>
    </row>
    <row r="1594" spans="1:2">
      <c r="A1594" s="32">
        <v>1581</v>
      </c>
      <c r="B1594" s="90">
        <v>7.9949119203385193</v>
      </c>
    </row>
    <row r="1595" spans="1:2">
      <c r="A1595" s="32">
        <v>1582</v>
      </c>
      <c r="B1595" s="90">
        <v>7.3665772739956052</v>
      </c>
    </row>
    <row r="1596" spans="1:2">
      <c r="A1596" s="32">
        <v>1583</v>
      </c>
      <c r="B1596" s="90">
        <v>8.1857069811734675</v>
      </c>
    </row>
    <row r="1597" spans="1:2">
      <c r="A1597" s="32">
        <v>1584</v>
      </c>
      <c r="B1597" s="90">
        <v>8.5881892962985393</v>
      </c>
    </row>
    <row r="1598" spans="1:2">
      <c r="A1598" s="32">
        <v>1585</v>
      </c>
      <c r="B1598" s="90">
        <v>8.9582969726821808</v>
      </c>
    </row>
    <row r="1599" spans="1:2">
      <c r="A1599" s="32">
        <v>1586</v>
      </c>
      <c r="B1599" s="90">
        <v>7.2493339185586603</v>
      </c>
    </row>
    <row r="1600" spans="1:2">
      <c r="A1600" s="32">
        <v>1587</v>
      </c>
      <c r="B1600" s="90">
        <v>8.7799363527226291</v>
      </c>
    </row>
    <row r="1601" spans="1:2">
      <c r="A1601" s="32">
        <v>1588</v>
      </c>
      <c r="B1601" s="90">
        <v>7.7734299257788839</v>
      </c>
    </row>
    <row r="1602" spans="1:2">
      <c r="A1602" s="32">
        <v>1589</v>
      </c>
      <c r="B1602" s="90">
        <v>9.2459942772233461</v>
      </c>
    </row>
    <row r="1603" spans="1:2">
      <c r="A1603" s="32">
        <v>1590</v>
      </c>
      <c r="B1603" s="90">
        <v>7.4100052973155037</v>
      </c>
    </row>
    <row r="1604" spans="1:2">
      <c r="A1604" s="32">
        <v>1591</v>
      </c>
      <c r="B1604" s="90">
        <v>8.0292149536828052</v>
      </c>
    </row>
    <row r="1605" spans="1:2">
      <c r="A1605" s="32">
        <v>1592</v>
      </c>
      <c r="B1605" s="90">
        <v>9.1029661299972542</v>
      </c>
    </row>
    <row r="1606" spans="1:2">
      <c r="A1606" s="32">
        <v>1593</v>
      </c>
      <c r="B1606" s="90">
        <v>7.4777707765564161</v>
      </c>
    </row>
    <row r="1607" spans="1:2">
      <c r="A1607" s="32">
        <v>1594</v>
      </c>
      <c r="B1607" s="90">
        <v>7.4074157353928554</v>
      </c>
    </row>
    <row r="1608" spans="1:2">
      <c r="A1608" s="32">
        <v>1595</v>
      </c>
      <c r="B1608" s="90">
        <v>8.0842550332573744</v>
      </c>
    </row>
    <row r="1609" spans="1:2">
      <c r="A1609" s="32">
        <v>1596</v>
      </c>
      <c r="B1609" s="90">
        <v>8.6394801322240333</v>
      </c>
    </row>
    <row r="1610" spans="1:2">
      <c r="A1610" s="32">
        <v>1597</v>
      </c>
      <c r="B1610" s="90">
        <v>7.7520593449346169</v>
      </c>
    </row>
    <row r="1611" spans="1:2">
      <c r="A1611" s="32">
        <v>1598</v>
      </c>
      <c r="B1611" s="90">
        <v>6.4267380008445141</v>
      </c>
    </row>
    <row r="1612" spans="1:2">
      <c r="A1612" s="32">
        <v>1599</v>
      </c>
      <c r="B1612" s="90">
        <v>8.449128935990565</v>
      </c>
    </row>
    <row r="1613" spans="1:2">
      <c r="A1613" s="32">
        <v>1600</v>
      </c>
      <c r="B1613" s="90">
        <v>8.6053550894402111</v>
      </c>
    </row>
    <row r="1614" spans="1:2">
      <c r="A1614" s="32">
        <v>1601</v>
      </c>
      <c r="B1614" s="90">
        <v>8.4121019781534887</v>
      </c>
    </row>
    <row r="1615" spans="1:2">
      <c r="A1615" s="32">
        <v>1602</v>
      </c>
      <c r="B1615" s="90">
        <v>7.6681320943856237</v>
      </c>
    </row>
    <row r="1616" spans="1:2">
      <c r="A1616" s="32">
        <v>1603</v>
      </c>
      <c r="B1616" s="90">
        <v>7.3359181295100226</v>
      </c>
    </row>
    <row r="1617" spans="1:2">
      <c r="A1617" s="32">
        <v>1604</v>
      </c>
      <c r="B1617" s="90">
        <v>8.5050054205867429</v>
      </c>
    </row>
    <row r="1618" spans="1:2">
      <c r="A1618" s="32">
        <v>1605</v>
      </c>
      <c r="B1618" s="90">
        <v>7.7361635850786632</v>
      </c>
    </row>
    <row r="1619" spans="1:2">
      <c r="A1619" s="32">
        <v>1606</v>
      </c>
      <c r="B1619" s="90">
        <v>8.1475259086744565</v>
      </c>
    </row>
    <row r="1620" spans="1:2">
      <c r="A1620" s="32">
        <v>1607</v>
      </c>
      <c r="B1620" s="90">
        <v>9.2101248767305144</v>
      </c>
    </row>
    <row r="1621" spans="1:2">
      <c r="A1621" s="32">
        <v>1608</v>
      </c>
      <c r="B1621" s="90">
        <v>7.7670186094716058</v>
      </c>
    </row>
    <row r="1622" spans="1:2">
      <c r="A1622" s="32">
        <v>1609</v>
      </c>
      <c r="B1622" s="90">
        <v>9.296665253601029</v>
      </c>
    </row>
    <row r="1623" spans="1:2">
      <c r="A1623" s="32">
        <v>1610</v>
      </c>
      <c r="B1623" s="90">
        <v>8.6138098656279549</v>
      </c>
    </row>
    <row r="1624" spans="1:2">
      <c r="A1624" s="32">
        <v>1611</v>
      </c>
      <c r="B1624" s="90">
        <v>7.3440185983699937</v>
      </c>
    </row>
    <row r="1625" spans="1:2">
      <c r="A1625" s="32">
        <v>1612</v>
      </c>
      <c r="B1625" s="90">
        <v>9.6103572304096936</v>
      </c>
    </row>
    <row r="1626" spans="1:2">
      <c r="A1626" s="32">
        <v>1613</v>
      </c>
      <c r="B1626" s="90">
        <v>7.9180203622480576</v>
      </c>
    </row>
    <row r="1627" spans="1:2">
      <c r="A1627" s="32">
        <v>1614</v>
      </c>
      <c r="B1627" s="90">
        <v>8.0534810380053852</v>
      </c>
    </row>
    <row r="1628" spans="1:2">
      <c r="A1628" s="32">
        <v>1615</v>
      </c>
      <c r="B1628" s="90">
        <v>8.0513207446354489</v>
      </c>
    </row>
    <row r="1629" spans="1:2">
      <c r="A1629" s="32">
        <v>1616</v>
      </c>
      <c r="B1629" s="90">
        <v>6.9514583176575986</v>
      </c>
    </row>
    <row r="1630" spans="1:2">
      <c r="A1630" s="32">
        <v>1617</v>
      </c>
      <c r="B1630" s="90">
        <v>8.0487616414747674</v>
      </c>
    </row>
    <row r="1631" spans="1:2">
      <c r="A1631" s="32">
        <v>1618</v>
      </c>
      <c r="B1631" s="90">
        <v>7.781915791348446</v>
      </c>
    </row>
    <row r="1632" spans="1:2">
      <c r="A1632" s="32">
        <v>1619</v>
      </c>
      <c r="B1632" s="90">
        <v>8.4045340075047186</v>
      </c>
    </row>
    <row r="1633" spans="1:2">
      <c r="A1633" s="32">
        <v>1620</v>
      </c>
      <c r="B1633" s="90">
        <v>8.7340350777058369</v>
      </c>
    </row>
    <row r="1634" spans="1:2">
      <c r="A1634" s="32">
        <v>1621</v>
      </c>
      <c r="B1634" s="90">
        <v>6.9870241845310099</v>
      </c>
    </row>
    <row r="1635" spans="1:2">
      <c r="A1635" s="32">
        <v>1622</v>
      </c>
      <c r="B1635" s="90">
        <v>8.4021747366645965</v>
      </c>
    </row>
    <row r="1636" spans="1:2">
      <c r="A1636" s="32">
        <v>1623</v>
      </c>
      <c r="B1636" s="90">
        <v>7.944018803574882</v>
      </c>
    </row>
    <row r="1637" spans="1:2">
      <c r="A1637" s="32">
        <v>1624</v>
      </c>
      <c r="B1637" s="90">
        <v>7.8040071842428445</v>
      </c>
    </row>
    <row r="1638" spans="1:2">
      <c r="A1638" s="32">
        <v>1625</v>
      </c>
      <c r="B1638" s="90">
        <v>7.5486450556495202</v>
      </c>
    </row>
    <row r="1639" spans="1:2">
      <c r="A1639" s="32">
        <v>1626</v>
      </c>
      <c r="B1639" s="90">
        <v>7.2512367093834271</v>
      </c>
    </row>
    <row r="1640" spans="1:2">
      <c r="A1640" s="32">
        <v>1627</v>
      </c>
      <c r="B1640" s="90">
        <v>6.9860668671148725</v>
      </c>
    </row>
    <row r="1641" spans="1:2">
      <c r="A1641" s="32">
        <v>1628</v>
      </c>
      <c r="B1641" s="90">
        <v>7.9357223639919203</v>
      </c>
    </row>
    <row r="1642" spans="1:2">
      <c r="A1642" s="32">
        <v>1629</v>
      </c>
      <c r="B1642" s="90">
        <v>8.9627606315074004</v>
      </c>
    </row>
    <row r="1643" spans="1:2">
      <c r="A1643" s="32">
        <v>1630</v>
      </c>
      <c r="B1643" s="90">
        <v>6.4842916875034886</v>
      </c>
    </row>
    <row r="1644" spans="1:2">
      <c r="A1644" s="32">
        <v>1631</v>
      </c>
      <c r="B1644" s="90">
        <v>8.3741801327336827</v>
      </c>
    </row>
    <row r="1645" spans="1:2">
      <c r="A1645" s="32">
        <v>1632</v>
      </c>
      <c r="B1645" s="90">
        <v>8.7817760789960229</v>
      </c>
    </row>
    <row r="1646" spans="1:2">
      <c r="A1646" s="32">
        <v>1633</v>
      </c>
      <c r="B1646" s="90">
        <v>8.0974056443499585</v>
      </c>
    </row>
    <row r="1647" spans="1:2">
      <c r="A1647" s="32">
        <v>1634</v>
      </c>
      <c r="B1647" s="90">
        <v>6.7008189373107987</v>
      </c>
    </row>
    <row r="1648" spans="1:2">
      <c r="A1648" s="32">
        <v>1635</v>
      </c>
      <c r="B1648" s="90">
        <v>8.3257789307264431</v>
      </c>
    </row>
    <row r="1649" spans="1:2">
      <c r="A1649" s="32">
        <v>1636</v>
      </c>
      <c r="B1649" s="90">
        <v>9.6600008846951564</v>
      </c>
    </row>
    <row r="1650" spans="1:2">
      <c r="A1650" s="32">
        <v>1637</v>
      </c>
      <c r="B1650" s="90">
        <v>7.7137463827937101</v>
      </c>
    </row>
    <row r="1651" spans="1:2">
      <c r="A1651" s="32">
        <v>1638</v>
      </c>
      <c r="B1651" s="90">
        <v>7.5007695532780669</v>
      </c>
    </row>
    <row r="1652" spans="1:2">
      <c r="A1652" s="32">
        <v>1639</v>
      </c>
      <c r="B1652" s="90">
        <v>7.8666225116698589</v>
      </c>
    </row>
    <row r="1653" spans="1:2">
      <c r="A1653" s="32">
        <v>1640</v>
      </c>
      <c r="B1653" s="90">
        <v>7.6370945590079193</v>
      </c>
    </row>
    <row r="1654" spans="1:2">
      <c r="A1654" s="32">
        <v>1641</v>
      </c>
      <c r="B1654" s="90">
        <v>8.4266543204350679</v>
      </c>
    </row>
    <row r="1655" spans="1:2">
      <c r="A1655" s="32">
        <v>1642</v>
      </c>
      <c r="B1655" s="90">
        <v>7.3923004136834747</v>
      </c>
    </row>
    <row r="1656" spans="1:2">
      <c r="A1656" s="32">
        <v>1643</v>
      </c>
      <c r="B1656" s="90">
        <v>8.61123707353347</v>
      </c>
    </row>
    <row r="1657" spans="1:2">
      <c r="A1657" s="32">
        <v>1644</v>
      </c>
      <c r="B1657" s="90">
        <v>7.140327516608866</v>
      </c>
    </row>
    <row r="1658" spans="1:2">
      <c r="A1658" s="32">
        <v>1645</v>
      </c>
      <c r="B1658" s="90">
        <v>7.621811106837888</v>
      </c>
    </row>
    <row r="1659" spans="1:2">
      <c r="A1659" s="32">
        <v>1646</v>
      </c>
      <c r="B1659" s="90">
        <v>8.9849931248741068</v>
      </c>
    </row>
    <row r="1660" spans="1:2">
      <c r="A1660" s="32">
        <v>1647</v>
      </c>
      <c r="B1660" s="90">
        <v>8.4508772214708987</v>
      </c>
    </row>
    <row r="1661" spans="1:2">
      <c r="A1661" s="32">
        <v>1648</v>
      </c>
      <c r="B1661" s="90">
        <v>8.112301274395362</v>
      </c>
    </row>
    <row r="1662" spans="1:2">
      <c r="A1662" s="32">
        <v>1649</v>
      </c>
      <c r="B1662" s="90">
        <v>6.889214817545688</v>
      </c>
    </row>
    <row r="1663" spans="1:2">
      <c r="A1663" s="32">
        <v>1650</v>
      </c>
      <c r="B1663" s="90">
        <v>8.3481171433975874</v>
      </c>
    </row>
    <row r="1664" spans="1:2">
      <c r="A1664" s="32">
        <v>1651</v>
      </c>
      <c r="B1664" s="90">
        <v>8.7886032885547376</v>
      </c>
    </row>
    <row r="1665" spans="1:2">
      <c r="A1665" s="32">
        <v>1652</v>
      </c>
      <c r="B1665" s="90">
        <v>8.949862241428578</v>
      </c>
    </row>
    <row r="1666" spans="1:2">
      <c r="A1666" s="32">
        <v>1653</v>
      </c>
      <c r="B1666" s="90">
        <v>7.6382875507549537</v>
      </c>
    </row>
    <row r="1667" spans="1:2">
      <c r="A1667" s="32">
        <v>1654</v>
      </c>
      <c r="B1667" s="90">
        <v>8.9192373757114272</v>
      </c>
    </row>
    <row r="1668" spans="1:2">
      <c r="A1668" s="32">
        <v>1655</v>
      </c>
      <c r="B1668" s="90">
        <v>7.7262058196653438</v>
      </c>
    </row>
    <row r="1669" spans="1:2">
      <c r="A1669" s="32">
        <v>1656</v>
      </c>
      <c r="B1669" s="90">
        <v>7.2106324238141903</v>
      </c>
    </row>
    <row r="1670" spans="1:2">
      <c r="A1670" s="32">
        <v>1657</v>
      </c>
      <c r="B1670" s="90">
        <v>7.3255759029297804</v>
      </c>
    </row>
    <row r="1671" spans="1:2">
      <c r="A1671" s="32">
        <v>1658</v>
      </c>
      <c r="B1671" s="90">
        <v>7.8690255632361934</v>
      </c>
    </row>
    <row r="1672" spans="1:2">
      <c r="A1672" s="32">
        <v>1659</v>
      </c>
      <c r="B1672" s="90">
        <v>7.892304064445347</v>
      </c>
    </row>
    <row r="1673" spans="1:2">
      <c r="A1673" s="32">
        <v>1660</v>
      </c>
      <c r="B1673" s="90">
        <v>8.0893285826130974</v>
      </c>
    </row>
    <row r="1674" spans="1:2">
      <c r="A1674" s="32">
        <v>1661</v>
      </c>
      <c r="B1674" s="90">
        <v>8.5181509355070197</v>
      </c>
    </row>
    <row r="1675" spans="1:2">
      <c r="A1675" s="32">
        <v>1662</v>
      </c>
      <c r="B1675" s="90">
        <v>8.7347341667228022</v>
      </c>
    </row>
    <row r="1676" spans="1:2">
      <c r="A1676" s="32">
        <v>1663</v>
      </c>
      <c r="B1676" s="90">
        <v>8.071712553052361</v>
      </c>
    </row>
    <row r="1677" spans="1:2">
      <c r="A1677" s="32">
        <v>1664</v>
      </c>
      <c r="B1677" s="90">
        <v>8.5216902004104647</v>
      </c>
    </row>
    <row r="1678" spans="1:2">
      <c r="A1678" s="32">
        <v>1665</v>
      </c>
      <c r="B1678" s="90">
        <v>7.279139432475624</v>
      </c>
    </row>
    <row r="1679" spans="1:2">
      <c r="A1679" s="32">
        <v>1666</v>
      </c>
      <c r="B1679" s="90">
        <v>8.2525710815415358</v>
      </c>
    </row>
    <row r="1680" spans="1:2">
      <c r="A1680" s="32">
        <v>1667</v>
      </c>
      <c r="B1680" s="90">
        <v>8.0998365546628897</v>
      </c>
    </row>
    <row r="1681" spans="1:2">
      <c r="A1681" s="32">
        <v>1668</v>
      </c>
      <c r="B1681" s="90">
        <v>8.8248183848041677</v>
      </c>
    </row>
    <row r="1682" spans="1:2">
      <c r="A1682" s="32">
        <v>1669</v>
      </c>
      <c r="B1682" s="90">
        <v>8.1778547015283962</v>
      </c>
    </row>
    <row r="1683" spans="1:2">
      <c r="A1683" s="32">
        <v>1670</v>
      </c>
      <c r="B1683" s="90">
        <v>8.0039012919940635</v>
      </c>
    </row>
    <row r="1684" spans="1:2">
      <c r="A1684" s="32">
        <v>1671</v>
      </c>
      <c r="B1684" s="90">
        <v>8.1051295749644652</v>
      </c>
    </row>
    <row r="1685" spans="1:2">
      <c r="A1685" s="32">
        <v>1672</v>
      </c>
      <c r="B1685" s="90">
        <v>7.6941590979950973</v>
      </c>
    </row>
    <row r="1686" spans="1:2">
      <c r="A1686" s="32">
        <v>1673</v>
      </c>
      <c r="B1686" s="90">
        <v>9.7371434750837036</v>
      </c>
    </row>
    <row r="1687" spans="1:2">
      <c r="A1687" s="32">
        <v>1674</v>
      </c>
      <c r="B1687" s="90">
        <v>8.0101603066219802</v>
      </c>
    </row>
    <row r="1688" spans="1:2">
      <c r="A1688" s="32">
        <v>1675</v>
      </c>
      <c r="B1688" s="90">
        <v>8.3469797279352154</v>
      </c>
    </row>
    <row r="1689" spans="1:2">
      <c r="A1689" s="32">
        <v>1676</v>
      </c>
      <c r="B1689" s="90">
        <v>8.347593505413121</v>
      </c>
    </row>
    <row r="1690" spans="1:2">
      <c r="A1690" s="32">
        <v>1677</v>
      </c>
      <c r="B1690" s="90">
        <v>8.9190483211901253</v>
      </c>
    </row>
    <row r="1691" spans="1:2">
      <c r="A1691" s="32">
        <v>1678</v>
      </c>
      <c r="B1691" s="90">
        <v>6.9053492567151054</v>
      </c>
    </row>
    <row r="1692" spans="1:2">
      <c r="A1692" s="32">
        <v>1679</v>
      </c>
      <c r="B1692" s="90">
        <v>8.1399410889036883</v>
      </c>
    </row>
    <row r="1693" spans="1:2">
      <c r="A1693" s="32">
        <v>1680</v>
      </c>
      <c r="B1693" s="90">
        <v>8.4958054794147131</v>
      </c>
    </row>
    <row r="1694" spans="1:2">
      <c r="A1694" s="32">
        <v>1681</v>
      </c>
      <c r="B1694" s="90">
        <v>7.5034470540880323</v>
      </c>
    </row>
    <row r="1695" spans="1:2">
      <c r="A1695" s="32">
        <v>1682</v>
      </c>
      <c r="B1695" s="90">
        <v>8.543794693949545</v>
      </c>
    </row>
    <row r="1696" spans="1:2">
      <c r="A1696" s="32">
        <v>1683</v>
      </c>
      <c r="B1696" s="90">
        <v>7.7730976382825556</v>
      </c>
    </row>
    <row r="1697" spans="1:2">
      <c r="A1697" s="32">
        <v>1684</v>
      </c>
      <c r="B1697" s="90">
        <v>9.1218404896051943</v>
      </c>
    </row>
    <row r="1698" spans="1:2">
      <c r="A1698" s="32">
        <v>1685</v>
      </c>
      <c r="B1698" s="90">
        <v>9.0708186874415908</v>
      </c>
    </row>
    <row r="1699" spans="1:2">
      <c r="A1699" s="32">
        <v>1686</v>
      </c>
      <c r="B1699" s="90">
        <v>7.6026056010328382</v>
      </c>
    </row>
    <row r="1700" spans="1:2">
      <c r="A1700" s="32">
        <v>1687</v>
      </c>
      <c r="B1700" s="90">
        <v>8.1941036048890101</v>
      </c>
    </row>
    <row r="1701" spans="1:2">
      <c r="A1701" s="32">
        <v>1688</v>
      </c>
      <c r="B1701" s="90">
        <v>7.9397404845410904</v>
      </c>
    </row>
    <row r="1702" spans="1:2">
      <c r="A1702" s="32">
        <v>1689</v>
      </c>
      <c r="B1702" s="90">
        <v>8.9273189680087732</v>
      </c>
    </row>
    <row r="1703" spans="1:2">
      <c r="A1703" s="32">
        <v>1690</v>
      </c>
      <c r="B1703" s="90">
        <v>8.0599119146472447</v>
      </c>
    </row>
    <row r="1704" spans="1:2">
      <c r="A1704" s="32">
        <v>1691</v>
      </c>
      <c r="B1704" s="90">
        <v>7.7233851492930974</v>
      </c>
    </row>
    <row r="1705" spans="1:2">
      <c r="A1705" s="32">
        <v>1692</v>
      </c>
      <c r="B1705" s="90">
        <v>8.4959366684868041</v>
      </c>
    </row>
    <row r="1706" spans="1:2">
      <c r="A1706" s="32">
        <v>1693</v>
      </c>
      <c r="B1706" s="90">
        <v>7.968894245309766</v>
      </c>
    </row>
    <row r="1707" spans="1:2">
      <c r="A1707" s="32">
        <v>1694</v>
      </c>
      <c r="B1707" s="90">
        <v>8.656422188350037</v>
      </c>
    </row>
    <row r="1708" spans="1:2">
      <c r="A1708" s="32">
        <v>1695</v>
      </c>
      <c r="B1708" s="90">
        <v>7.9644107878619428</v>
      </c>
    </row>
    <row r="1709" spans="1:2">
      <c r="A1709" s="32">
        <v>1696</v>
      </c>
      <c r="B1709" s="90">
        <v>8.4235356873922278</v>
      </c>
    </row>
    <row r="1710" spans="1:2">
      <c r="A1710" s="32">
        <v>1697</v>
      </c>
      <c r="B1710" s="90">
        <v>7.8027181521524307</v>
      </c>
    </row>
    <row r="1711" spans="1:2">
      <c r="A1711" s="32">
        <v>1698</v>
      </c>
      <c r="B1711" s="90">
        <v>8.8715386011299415</v>
      </c>
    </row>
    <row r="1712" spans="1:2">
      <c r="A1712" s="32">
        <v>1699</v>
      </c>
      <c r="B1712" s="90">
        <v>8.5038000555464848</v>
      </c>
    </row>
    <row r="1713" spans="1:2">
      <c r="A1713" s="32">
        <v>1700</v>
      </c>
      <c r="B1713" s="90">
        <v>7.5591871222497646</v>
      </c>
    </row>
    <row r="1714" spans="1:2">
      <c r="A1714" s="32">
        <v>1701</v>
      </c>
      <c r="B1714" s="90">
        <v>7.0018459080057651</v>
      </c>
    </row>
    <row r="1715" spans="1:2">
      <c r="A1715" s="32">
        <v>1702</v>
      </c>
      <c r="B1715" s="90">
        <v>8.1458908371142122</v>
      </c>
    </row>
    <row r="1716" spans="1:2">
      <c r="A1716" s="32">
        <v>1703</v>
      </c>
      <c r="B1716" s="90">
        <v>8.3943918893761147</v>
      </c>
    </row>
    <row r="1717" spans="1:2">
      <c r="A1717" s="32">
        <v>1704</v>
      </c>
      <c r="B1717" s="90">
        <v>8.4521657947099982</v>
      </c>
    </row>
    <row r="1718" spans="1:2">
      <c r="A1718" s="32">
        <v>1705</v>
      </c>
      <c r="B1718" s="90">
        <v>6.7880676343890114</v>
      </c>
    </row>
    <row r="1719" spans="1:2">
      <c r="A1719" s="32">
        <v>1706</v>
      </c>
      <c r="B1719" s="90">
        <v>8.4607637920889616</v>
      </c>
    </row>
    <row r="1720" spans="1:2">
      <c r="A1720" s="32">
        <v>1707</v>
      </c>
      <c r="B1720" s="90">
        <v>7.8062530592009738</v>
      </c>
    </row>
    <row r="1721" spans="1:2">
      <c r="A1721" s="32">
        <v>1708</v>
      </c>
      <c r="B1721" s="90">
        <v>7.9054402270610451</v>
      </c>
    </row>
    <row r="1722" spans="1:2">
      <c r="A1722" s="32">
        <v>1709</v>
      </c>
      <c r="B1722" s="90">
        <v>9.0950704465594754</v>
      </c>
    </row>
    <row r="1723" spans="1:2">
      <c r="A1723" s="32">
        <v>1710</v>
      </c>
      <c r="B1723" s="90">
        <v>8.6968466409443277</v>
      </c>
    </row>
    <row r="1724" spans="1:2">
      <c r="A1724" s="32">
        <v>1711</v>
      </c>
      <c r="B1724" s="90">
        <v>7.4671304824696607</v>
      </c>
    </row>
    <row r="1725" spans="1:2">
      <c r="A1725" s="32">
        <v>1712</v>
      </c>
      <c r="B1725" s="90">
        <v>8.6269640418266427</v>
      </c>
    </row>
    <row r="1726" spans="1:2">
      <c r="A1726" s="32">
        <v>1713</v>
      </c>
      <c r="B1726" s="90">
        <v>7.6850803386353927</v>
      </c>
    </row>
    <row r="1727" spans="1:2">
      <c r="A1727" s="32">
        <v>1714</v>
      </c>
      <c r="B1727" s="90">
        <v>6.5255113266268108</v>
      </c>
    </row>
    <row r="1728" spans="1:2">
      <c r="A1728" s="32">
        <v>1715</v>
      </c>
      <c r="B1728" s="90">
        <v>8.4804804899011579</v>
      </c>
    </row>
    <row r="1729" spans="1:2">
      <c r="A1729" s="32">
        <v>1716</v>
      </c>
      <c r="B1729" s="90">
        <v>7.6944793158571105</v>
      </c>
    </row>
    <row r="1730" spans="1:2">
      <c r="A1730" s="32">
        <v>1717</v>
      </c>
      <c r="B1730" s="90">
        <v>7.9423008984882912</v>
      </c>
    </row>
    <row r="1731" spans="1:2">
      <c r="A1731" s="32">
        <v>1718</v>
      </c>
      <c r="B1731" s="90">
        <v>7.3451595626615003</v>
      </c>
    </row>
    <row r="1732" spans="1:2">
      <c r="A1732" s="32">
        <v>1719</v>
      </c>
      <c r="B1732" s="90">
        <v>8.2054205111743901</v>
      </c>
    </row>
    <row r="1733" spans="1:2">
      <c r="A1733" s="32">
        <v>1720</v>
      </c>
      <c r="B1733" s="90">
        <v>7.3636019818262346</v>
      </c>
    </row>
    <row r="1734" spans="1:2">
      <c r="A1734" s="32">
        <v>1721</v>
      </c>
      <c r="B1734" s="90">
        <v>7.5150803831443103</v>
      </c>
    </row>
    <row r="1735" spans="1:2">
      <c r="A1735" s="32">
        <v>1722</v>
      </c>
      <c r="B1735" s="90">
        <v>7.6850266175108057</v>
      </c>
    </row>
    <row r="1736" spans="1:2">
      <c r="A1736" s="32">
        <v>1723</v>
      </c>
      <c r="B1736" s="90">
        <v>8.2397102139915823</v>
      </c>
    </row>
    <row r="1737" spans="1:2">
      <c r="A1737" s="32">
        <v>1724</v>
      </c>
      <c r="B1737" s="90">
        <v>8.6803783289422896</v>
      </c>
    </row>
    <row r="1738" spans="1:2">
      <c r="A1738" s="32">
        <v>1725</v>
      </c>
      <c r="B1738" s="90">
        <v>8.5393699694322045</v>
      </c>
    </row>
    <row r="1739" spans="1:2">
      <c r="A1739" s="32">
        <v>1726</v>
      </c>
      <c r="B1739" s="90">
        <v>8.6013574603184537</v>
      </c>
    </row>
    <row r="1740" spans="1:2">
      <c r="A1740" s="32">
        <v>1727</v>
      </c>
      <c r="B1740" s="90">
        <v>7.6977161369618416</v>
      </c>
    </row>
    <row r="1741" spans="1:2">
      <c r="A1741" s="32">
        <v>1728</v>
      </c>
      <c r="B1741" s="90">
        <v>7.6555516456683748</v>
      </c>
    </row>
    <row r="1742" spans="1:2">
      <c r="A1742" s="32">
        <v>1729</v>
      </c>
      <c r="B1742" s="90">
        <v>8.3279642214752538</v>
      </c>
    </row>
    <row r="1743" spans="1:2">
      <c r="A1743" s="32">
        <v>1730</v>
      </c>
      <c r="B1743" s="90">
        <v>7.90445358378346</v>
      </c>
    </row>
    <row r="1744" spans="1:2">
      <c r="A1744" s="32">
        <v>1731</v>
      </c>
      <c r="B1744" s="90">
        <v>8.4231214251071549</v>
      </c>
    </row>
    <row r="1745" spans="1:2">
      <c r="A1745" s="32">
        <v>1732</v>
      </c>
      <c r="B1745" s="90">
        <v>9.5834339451093467</v>
      </c>
    </row>
    <row r="1746" spans="1:2">
      <c r="A1746" s="32">
        <v>1733</v>
      </c>
      <c r="B1746" s="90">
        <v>9.6289796795988476</v>
      </c>
    </row>
    <row r="1747" spans="1:2">
      <c r="A1747" s="32">
        <v>1734</v>
      </c>
      <c r="B1747" s="90">
        <v>9.0003321748270277</v>
      </c>
    </row>
    <row r="1748" spans="1:2">
      <c r="A1748" s="32">
        <v>1735</v>
      </c>
      <c r="B1748" s="90">
        <v>9.5356600185102067</v>
      </c>
    </row>
    <row r="1749" spans="1:2">
      <c r="A1749" s="32">
        <v>1736</v>
      </c>
      <c r="B1749" s="90">
        <v>8.1661730210371815</v>
      </c>
    </row>
    <row r="1750" spans="1:2">
      <c r="A1750" s="32">
        <v>1737</v>
      </c>
      <c r="B1750" s="90">
        <v>7.9459422548234935</v>
      </c>
    </row>
    <row r="1751" spans="1:2">
      <c r="A1751" s="32">
        <v>1738</v>
      </c>
      <c r="B1751" s="90">
        <v>9.1859137837014924</v>
      </c>
    </row>
    <row r="1752" spans="1:2">
      <c r="A1752" s="32">
        <v>1739</v>
      </c>
      <c r="B1752" s="90">
        <v>7.6447628620878598</v>
      </c>
    </row>
    <row r="1753" spans="1:2">
      <c r="A1753" s="32">
        <v>1740</v>
      </c>
      <c r="B1753" s="90">
        <v>7.201455866614749</v>
      </c>
    </row>
    <row r="1754" spans="1:2">
      <c r="A1754" s="32">
        <v>1741</v>
      </c>
      <c r="B1754" s="90">
        <v>8.4064540448459759</v>
      </c>
    </row>
    <row r="1755" spans="1:2">
      <c r="A1755" s="32">
        <v>1742</v>
      </c>
      <c r="B1755" s="90">
        <v>7.6315992648658897</v>
      </c>
    </row>
    <row r="1756" spans="1:2">
      <c r="A1756" s="32">
        <v>1743</v>
      </c>
      <c r="B1756" s="90">
        <v>8.174317698824451</v>
      </c>
    </row>
    <row r="1757" spans="1:2">
      <c r="A1757" s="32">
        <v>1744</v>
      </c>
      <c r="B1757" s="90">
        <v>8.7716252546283506</v>
      </c>
    </row>
    <row r="1758" spans="1:2">
      <c r="A1758" s="32">
        <v>1745</v>
      </c>
      <c r="B1758" s="90">
        <v>8.1464929957126948</v>
      </c>
    </row>
    <row r="1759" spans="1:2">
      <c r="A1759" s="32">
        <v>1746</v>
      </c>
      <c r="B1759" s="90">
        <v>7.0079363747536023</v>
      </c>
    </row>
    <row r="1760" spans="1:2">
      <c r="A1760" s="32">
        <v>1747</v>
      </c>
      <c r="B1760" s="90">
        <v>8.8696827129940541</v>
      </c>
    </row>
    <row r="1761" spans="1:2">
      <c r="A1761" s="32">
        <v>1748</v>
      </c>
      <c r="B1761" s="90">
        <v>9.0936844169643081</v>
      </c>
    </row>
    <row r="1762" spans="1:2">
      <c r="A1762" s="32">
        <v>1749</v>
      </c>
      <c r="B1762" s="90">
        <v>8.1709058254668143</v>
      </c>
    </row>
    <row r="1763" spans="1:2">
      <c r="A1763" s="32">
        <v>1750</v>
      </c>
      <c r="B1763" s="90">
        <v>8.2092315949462229</v>
      </c>
    </row>
    <row r="1764" spans="1:2">
      <c r="A1764" s="32">
        <v>1751</v>
      </c>
      <c r="B1764" s="90">
        <v>9.3994884557965506</v>
      </c>
    </row>
    <row r="1765" spans="1:2">
      <c r="A1765" s="32">
        <v>1752</v>
      </c>
      <c r="B1765" s="90">
        <v>7.6874169643929076</v>
      </c>
    </row>
    <row r="1766" spans="1:2">
      <c r="A1766" s="32">
        <v>1753</v>
      </c>
      <c r="B1766" s="90">
        <v>8.28118058404511</v>
      </c>
    </row>
    <row r="1767" spans="1:2">
      <c r="A1767" s="32">
        <v>1754</v>
      </c>
      <c r="B1767" s="90">
        <v>7.2944518133935112</v>
      </c>
    </row>
    <row r="1768" spans="1:2">
      <c r="A1768" s="32">
        <v>1755</v>
      </c>
      <c r="B1768" s="90">
        <v>9.978516742279453</v>
      </c>
    </row>
    <row r="1769" spans="1:2">
      <c r="A1769" s="32">
        <v>1756</v>
      </c>
      <c r="B1769" s="90">
        <v>7.3918972303341466</v>
      </c>
    </row>
    <row r="1770" spans="1:2">
      <c r="A1770" s="32">
        <v>1757</v>
      </c>
      <c r="B1770" s="90">
        <v>7.7965231238489174</v>
      </c>
    </row>
    <row r="1771" spans="1:2">
      <c r="A1771" s="32">
        <v>1758</v>
      </c>
      <c r="B1771" s="90">
        <v>8.7940379649736542</v>
      </c>
    </row>
    <row r="1772" spans="1:2">
      <c r="A1772" s="32">
        <v>1759</v>
      </c>
      <c r="B1772" s="90">
        <v>8.3595905131803114</v>
      </c>
    </row>
    <row r="1773" spans="1:2">
      <c r="A1773" s="32">
        <v>1760</v>
      </c>
      <c r="B1773" s="90">
        <v>7.9012482081170479</v>
      </c>
    </row>
    <row r="1774" spans="1:2">
      <c r="A1774" s="32">
        <v>1761</v>
      </c>
      <c r="B1774" s="90">
        <v>7.523217139026114</v>
      </c>
    </row>
    <row r="1775" spans="1:2">
      <c r="A1775" s="32">
        <v>1762</v>
      </c>
      <c r="B1775" s="90">
        <v>7.8879238607099422</v>
      </c>
    </row>
    <row r="1776" spans="1:2">
      <c r="A1776" s="32">
        <v>1763</v>
      </c>
      <c r="B1776" s="90">
        <v>7.7195087820747226</v>
      </c>
    </row>
    <row r="1777" spans="1:2">
      <c r="A1777" s="32">
        <v>1764</v>
      </c>
      <c r="B1777" s="90">
        <v>7.4169512223594829</v>
      </c>
    </row>
    <row r="1778" spans="1:2">
      <c r="A1778" s="32">
        <v>1765</v>
      </c>
      <c r="B1778" s="90">
        <v>7.2162511761152759</v>
      </c>
    </row>
    <row r="1779" spans="1:2">
      <c r="A1779" s="32">
        <v>1766</v>
      </c>
      <c r="B1779" s="90">
        <v>7.605839078717664</v>
      </c>
    </row>
    <row r="1780" spans="1:2">
      <c r="A1780" s="32">
        <v>1767</v>
      </c>
      <c r="B1780" s="90">
        <v>7.1085004443076318</v>
      </c>
    </row>
    <row r="1781" spans="1:2">
      <c r="A1781" s="32">
        <v>1768</v>
      </c>
      <c r="B1781" s="90">
        <v>6.7593459455006561</v>
      </c>
    </row>
    <row r="1782" spans="1:2">
      <c r="A1782" s="32">
        <v>1769</v>
      </c>
      <c r="B1782" s="90">
        <v>9.2976813024142331</v>
      </c>
    </row>
    <row r="1783" spans="1:2">
      <c r="A1783" s="32">
        <v>1770</v>
      </c>
      <c r="B1783" s="90">
        <v>6.5379235994130482</v>
      </c>
    </row>
    <row r="1784" spans="1:2">
      <c r="A1784" s="32">
        <v>1771</v>
      </c>
      <c r="B1784" s="90">
        <v>8.4518768997882709</v>
      </c>
    </row>
    <row r="1785" spans="1:2">
      <c r="A1785" s="32">
        <v>1772</v>
      </c>
      <c r="B1785" s="90">
        <v>6.882999420652137</v>
      </c>
    </row>
    <row r="1786" spans="1:2">
      <c r="A1786" s="32">
        <v>1773</v>
      </c>
      <c r="B1786" s="90">
        <v>8.8945222189651663</v>
      </c>
    </row>
    <row r="1787" spans="1:2">
      <c r="A1787" s="32">
        <v>1774</v>
      </c>
      <c r="B1787" s="90">
        <v>7.6768506484009498</v>
      </c>
    </row>
    <row r="1788" spans="1:2">
      <c r="A1788" s="32">
        <v>1775</v>
      </c>
      <c r="B1788" s="90">
        <v>7.8524569781406877</v>
      </c>
    </row>
    <row r="1789" spans="1:2">
      <c r="A1789" s="32">
        <v>1776</v>
      </c>
      <c r="B1789" s="90">
        <v>7.9208457856836594</v>
      </c>
    </row>
    <row r="1790" spans="1:2">
      <c r="A1790" s="32">
        <v>1777</v>
      </c>
      <c r="B1790" s="90">
        <v>8.1381284283380602</v>
      </c>
    </row>
    <row r="1791" spans="1:2">
      <c r="A1791" s="32">
        <v>1778</v>
      </c>
      <c r="B1791" s="90">
        <v>7.9963928515749094</v>
      </c>
    </row>
    <row r="1792" spans="1:2">
      <c r="A1792" s="32">
        <v>1779</v>
      </c>
      <c r="B1792" s="90">
        <v>8.7546756553828828</v>
      </c>
    </row>
    <row r="1793" spans="1:2">
      <c r="A1793" s="32">
        <v>1780</v>
      </c>
      <c r="B1793" s="90">
        <v>11.264703914178821</v>
      </c>
    </row>
    <row r="1794" spans="1:2">
      <c r="A1794" s="32">
        <v>1781</v>
      </c>
      <c r="B1794" s="90">
        <v>8.4909817556788489</v>
      </c>
    </row>
    <row r="1795" spans="1:2">
      <c r="A1795" s="32">
        <v>1782</v>
      </c>
      <c r="B1795" s="90">
        <v>7.4836396463043293</v>
      </c>
    </row>
    <row r="1796" spans="1:2">
      <c r="A1796" s="32">
        <v>1783</v>
      </c>
      <c r="B1796" s="90">
        <v>7.7923393370402092</v>
      </c>
    </row>
    <row r="1797" spans="1:2">
      <c r="A1797" s="32">
        <v>1784</v>
      </c>
      <c r="B1797" s="90">
        <v>8.4778783167726637</v>
      </c>
    </row>
    <row r="1798" spans="1:2">
      <c r="A1798" s="32">
        <v>1785</v>
      </c>
      <c r="B1798" s="90">
        <v>7.9057305776147366</v>
      </c>
    </row>
    <row r="1799" spans="1:2">
      <c r="A1799" s="32">
        <v>1786</v>
      </c>
      <c r="B1799" s="90">
        <v>7.0957259056431088</v>
      </c>
    </row>
    <row r="1800" spans="1:2">
      <c r="A1800" s="32">
        <v>1787</v>
      </c>
      <c r="B1800" s="90">
        <v>8.7600600020384114</v>
      </c>
    </row>
    <row r="1801" spans="1:2">
      <c r="A1801" s="32">
        <v>1788</v>
      </c>
      <c r="B1801" s="90">
        <v>7.7651846455251015</v>
      </c>
    </row>
    <row r="1802" spans="1:2">
      <c r="A1802" s="32">
        <v>1789</v>
      </c>
      <c r="B1802" s="90">
        <v>8.5041548568024172</v>
      </c>
    </row>
    <row r="1803" spans="1:2">
      <c r="A1803" s="32">
        <v>1790</v>
      </c>
      <c r="B1803" s="90">
        <v>7.6618297378362561</v>
      </c>
    </row>
    <row r="1804" spans="1:2">
      <c r="A1804" s="32">
        <v>1791</v>
      </c>
      <c r="B1804" s="90">
        <v>8.658711210593518</v>
      </c>
    </row>
    <row r="1805" spans="1:2">
      <c r="A1805" s="32">
        <v>1792</v>
      </c>
      <c r="B1805" s="90">
        <v>8.2132329152211199</v>
      </c>
    </row>
    <row r="1806" spans="1:2">
      <c r="A1806" s="32">
        <v>1793</v>
      </c>
      <c r="B1806" s="90">
        <v>7.7987120327243957</v>
      </c>
    </row>
    <row r="1807" spans="1:2">
      <c r="A1807" s="32">
        <v>1794</v>
      </c>
      <c r="B1807" s="90">
        <v>8.1603805776137843</v>
      </c>
    </row>
    <row r="1808" spans="1:2">
      <c r="A1808" s="32">
        <v>1795</v>
      </c>
      <c r="B1808" s="90">
        <v>8.3085294622293091</v>
      </c>
    </row>
    <row r="1809" spans="1:2">
      <c r="A1809" s="32">
        <v>1796</v>
      </c>
      <c r="B1809" s="90">
        <v>9.5958416606372676</v>
      </c>
    </row>
    <row r="1810" spans="1:2">
      <c r="A1810" s="32">
        <v>1797</v>
      </c>
      <c r="B1810" s="90">
        <v>7.6251764595630194</v>
      </c>
    </row>
    <row r="1811" spans="1:2">
      <c r="A1811" s="32">
        <v>1798</v>
      </c>
      <c r="B1811" s="90">
        <v>8.1290941937904719</v>
      </c>
    </row>
    <row r="1812" spans="1:2">
      <c r="A1812" s="32">
        <v>1799</v>
      </c>
      <c r="B1812" s="90">
        <v>8.6272207854841554</v>
      </c>
    </row>
    <row r="1813" spans="1:2">
      <c r="A1813" s="32">
        <v>1800</v>
      </c>
      <c r="B1813" s="90">
        <v>8.9730397371027149</v>
      </c>
    </row>
    <row r="1814" spans="1:2">
      <c r="A1814" s="32">
        <v>1801</v>
      </c>
      <c r="B1814" s="90">
        <v>9.194559651068678</v>
      </c>
    </row>
    <row r="1815" spans="1:2">
      <c r="A1815" s="32">
        <v>1802</v>
      </c>
      <c r="B1815" s="90">
        <v>7.1732676134984539</v>
      </c>
    </row>
    <row r="1816" spans="1:2">
      <c r="A1816" s="32">
        <v>1803</v>
      </c>
      <c r="B1816" s="90">
        <v>8.1892504115349709</v>
      </c>
    </row>
    <row r="1817" spans="1:2">
      <c r="A1817" s="32">
        <v>1804</v>
      </c>
      <c r="B1817" s="90">
        <v>8.2868966874527956</v>
      </c>
    </row>
    <row r="1818" spans="1:2">
      <c r="A1818" s="32">
        <v>1805</v>
      </c>
      <c r="B1818" s="90">
        <v>8.7438214331410702</v>
      </c>
    </row>
    <row r="1819" spans="1:2">
      <c r="A1819" s="32">
        <v>1806</v>
      </c>
      <c r="B1819" s="90">
        <v>7.4767394976546999</v>
      </c>
    </row>
    <row r="1820" spans="1:2">
      <c r="A1820" s="32">
        <v>1807</v>
      </c>
      <c r="B1820" s="90">
        <v>7.6510911898669862</v>
      </c>
    </row>
    <row r="1821" spans="1:2">
      <c r="A1821" s="32">
        <v>1808</v>
      </c>
      <c r="B1821" s="90">
        <v>8.4565103235797938</v>
      </c>
    </row>
    <row r="1822" spans="1:2">
      <c r="A1822" s="32">
        <v>1809</v>
      </c>
      <c r="B1822" s="90">
        <v>8.4736894002821241</v>
      </c>
    </row>
    <row r="1823" spans="1:2">
      <c r="A1823" s="32">
        <v>1810</v>
      </c>
      <c r="B1823" s="90">
        <v>7.837556517616763</v>
      </c>
    </row>
    <row r="1824" spans="1:2">
      <c r="A1824" s="32">
        <v>1811</v>
      </c>
      <c r="B1824" s="90">
        <v>7.1816482684273808</v>
      </c>
    </row>
    <row r="1825" spans="1:2">
      <c r="A1825" s="32">
        <v>1812</v>
      </c>
      <c r="B1825" s="90">
        <v>8.814336958238389</v>
      </c>
    </row>
    <row r="1826" spans="1:2">
      <c r="A1826" s="32">
        <v>1813</v>
      </c>
      <c r="B1826" s="90">
        <v>9.0566000658473538</v>
      </c>
    </row>
    <row r="1827" spans="1:2">
      <c r="A1827" s="32">
        <v>1814</v>
      </c>
      <c r="B1827" s="90">
        <v>7.5917928078900943</v>
      </c>
    </row>
    <row r="1828" spans="1:2">
      <c r="A1828" s="32">
        <v>1815</v>
      </c>
      <c r="B1828" s="90">
        <v>7.4146624379347212</v>
      </c>
    </row>
    <row r="1829" spans="1:2">
      <c r="A1829" s="32">
        <v>1816</v>
      </c>
      <c r="B1829" s="90">
        <v>7.6946451728786274</v>
      </c>
    </row>
    <row r="1830" spans="1:2">
      <c r="A1830" s="32">
        <v>1817</v>
      </c>
      <c r="B1830" s="90">
        <v>8.152528572531855</v>
      </c>
    </row>
    <row r="1831" spans="1:2">
      <c r="A1831" s="32">
        <v>1818</v>
      </c>
      <c r="B1831" s="90">
        <v>7.3942827956059975</v>
      </c>
    </row>
    <row r="1832" spans="1:2">
      <c r="A1832" s="32">
        <v>1819</v>
      </c>
      <c r="B1832" s="90">
        <v>9.134393020086323</v>
      </c>
    </row>
    <row r="1833" spans="1:2">
      <c r="A1833" s="32">
        <v>1820</v>
      </c>
      <c r="B1833" s="90">
        <v>7.4359079693680599</v>
      </c>
    </row>
    <row r="1834" spans="1:2">
      <c r="A1834" s="32">
        <v>1821</v>
      </c>
      <c r="B1834" s="90">
        <v>8.1143607565838263</v>
      </c>
    </row>
    <row r="1835" spans="1:2">
      <c r="A1835" s="32">
        <v>1822</v>
      </c>
      <c r="B1835" s="90">
        <v>8.6985828768885565</v>
      </c>
    </row>
    <row r="1836" spans="1:2">
      <c r="A1836" s="32">
        <v>1823</v>
      </c>
      <c r="B1836" s="90">
        <v>8.081616265549652</v>
      </c>
    </row>
    <row r="1837" spans="1:2">
      <c r="A1837" s="32">
        <v>1824</v>
      </c>
      <c r="B1837" s="90">
        <v>8.3985298653282818</v>
      </c>
    </row>
    <row r="1838" spans="1:2">
      <c r="A1838" s="32">
        <v>1825</v>
      </c>
      <c r="B1838" s="90">
        <v>8.7880088624659507</v>
      </c>
    </row>
    <row r="1839" spans="1:2">
      <c r="A1839" s="32">
        <v>1826</v>
      </c>
      <c r="B1839" s="90">
        <v>7.1712083815126837</v>
      </c>
    </row>
    <row r="1840" spans="1:2">
      <c r="A1840" s="32">
        <v>1827</v>
      </c>
      <c r="B1840" s="90">
        <v>9.0413531800741538</v>
      </c>
    </row>
    <row r="1841" spans="1:2">
      <c r="A1841" s="32">
        <v>1828</v>
      </c>
      <c r="B1841" s="90">
        <v>8.226642080481037</v>
      </c>
    </row>
    <row r="1842" spans="1:2">
      <c r="A1842" s="32">
        <v>1829</v>
      </c>
      <c r="B1842" s="90">
        <v>8.0831863636894461</v>
      </c>
    </row>
    <row r="1843" spans="1:2">
      <c r="A1843" s="32">
        <v>1830</v>
      </c>
      <c r="B1843" s="90">
        <v>7.9674518252750319</v>
      </c>
    </row>
    <row r="1844" spans="1:2">
      <c r="A1844" s="32">
        <v>1831</v>
      </c>
      <c r="B1844" s="90">
        <v>7.0230343600284399</v>
      </c>
    </row>
    <row r="1845" spans="1:2">
      <c r="A1845" s="32">
        <v>1832</v>
      </c>
      <c r="B1845" s="90">
        <v>8.4316969824394281</v>
      </c>
    </row>
    <row r="1846" spans="1:2">
      <c r="A1846" s="32">
        <v>1833</v>
      </c>
      <c r="B1846" s="90">
        <v>7.9531540091639288</v>
      </c>
    </row>
    <row r="1847" spans="1:2">
      <c r="A1847" s="32">
        <v>1834</v>
      </c>
      <c r="B1847" s="90">
        <v>9.8558104500475014</v>
      </c>
    </row>
    <row r="1848" spans="1:2">
      <c r="A1848" s="32">
        <v>1835</v>
      </c>
      <c r="B1848" s="90">
        <v>7.3215688364293987</v>
      </c>
    </row>
    <row r="1849" spans="1:2">
      <c r="A1849" s="32">
        <v>1836</v>
      </c>
      <c r="B1849" s="90">
        <v>9.0711781113491057</v>
      </c>
    </row>
    <row r="1850" spans="1:2">
      <c r="A1850" s="32">
        <v>1837</v>
      </c>
      <c r="B1850" s="90">
        <v>8.6690794896322565</v>
      </c>
    </row>
    <row r="1851" spans="1:2">
      <c r="A1851" s="32">
        <v>1838</v>
      </c>
      <c r="B1851" s="90">
        <v>8.7661018348888931</v>
      </c>
    </row>
    <row r="1852" spans="1:2">
      <c r="A1852" s="32">
        <v>1839</v>
      </c>
      <c r="B1852" s="90">
        <v>7.7688159169373598</v>
      </c>
    </row>
    <row r="1853" spans="1:2">
      <c r="A1853" s="32">
        <v>1840</v>
      </c>
      <c r="B1853" s="90">
        <v>8.0639770114602172</v>
      </c>
    </row>
    <row r="1854" spans="1:2">
      <c r="A1854" s="32">
        <v>1841</v>
      </c>
      <c r="B1854" s="90">
        <v>8.0598471457807204</v>
      </c>
    </row>
    <row r="1855" spans="1:2">
      <c r="A1855" s="32">
        <v>1842</v>
      </c>
      <c r="B1855" s="90">
        <v>8.087705000994708</v>
      </c>
    </row>
    <row r="1856" spans="1:2">
      <c r="A1856" s="32">
        <v>1843</v>
      </c>
      <c r="B1856" s="90">
        <v>7.7254972955373029</v>
      </c>
    </row>
    <row r="1857" spans="1:2">
      <c r="A1857" s="32">
        <v>1844</v>
      </c>
      <c r="B1857" s="90">
        <v>7.8046672804695438</v>
      </c>
    </row>
    <row r="1858" spans="1:2">
      <c r="A1858" s="32">
        <v>1845</v>
      </c>
      <c r="B1858" s="90">
        <v>8.6986100058797327</v>
      </c>
    </row>
    <row r="1859" spans="1:2">
      <c r="A1859" s="32">
        <v>1846</v>
      </c>
      <c r="B1859" s="90">
        <v>7.8531659923128254</v>
      </c>
    </row>
    <row r="1860" spans="1:2">
      <c r="A1860" s="32">
        <v>1847</v>
      </c>
      <c r="B1860" s="90">
        <v>8.528003113888337</v>
      </c>
    </row>
    <row r="1861" spans="1:2">
      <c r="A1861" s="32">
        <v>1848</v>
      </c>
      <c r="B1861" s="90">
        <v>8.4009864720511978</v>
      </c>
    </row>
    <row r="1862" spans="1:2">
      <c r="A1862" s="32">
        <v>1849</v>
      </c>
      <c r="B1862" s="90">
        <v>7.6863805422209346</v>
      </c>
    </row>
    <row r="1863" spans="1:2">
      <c r="A1863" s="32">
        <v>1850</v>
      </c>
      <c r="B1863" s="90">
        <v>7.6635408987189395</v>
      </c>
    </row>
    <row r="1864" spans="1:2">
      <c r="A1864" s="32">
        <v>1851</v>
      </c>
      <c r="B1864" s="90">
        <v>9.4207918339284777</v>
      </c>
    </row>
    <row r="1865" spans="1:2">
      <c r="A1865" s="32">
        <v>1852</v>
      </c>
      <c r="B1865" s="90">
        <v>9.1348050196537525</v>
      </c>
    </row>
    <row r="1866" spans="1:2">
      <c r="A1866" s="32">
        <v>1853</v>
      </c>
      <c r="B1866" s="90">
        <v>8.0571237561421931</v>
      </c>
    </row>
    <row r="1867" spans="1:2">
      <c r="A1867" s="32">
        <v>1854</v>
      </c>
      <c r="B1867" s="90">
        <v>8.1399207590757729</v>
      </c>
    </row>
    <row r="1868" spans="1:2">
      <c r="A1868" s="32">
        <v>1855</v>
      </c>
      <c r="B1868" s="90">
        <v>7.4062613345078683</v>
      </c>
    </row>
    <row r="1869" spans="1:2">
      <c r="A1869" s="32">
        <v>1856</v>
      </c>
      <c r="B1869" s="90">
        <v>8.6562993573327471</v>
      </c>
    </row>
    <row r="1870" spans="1:2">
      <c r="A1870" s="32">
        <v>1857</v>
      </c>
      <c r="B1870" s="90">
        <v>9.620062120614902</v>
      </c>
    </row>
    <row r="1871" spans="1:2">
      <c r="A1871" s="32">
        <v>1858</v>
      </c>
      <c r="B1871" s="90">
        <v>8.2507512026802985</v>
      </c>
    </row>
    <row r="1872" spans="1:2">
      <c r="A1872" s="32">
        <v>1859</v>
      </c>
      <c r="B1872" s="90">
        <v>7.3067891809422854</v>
      </c>
    </row>
    <row r="1873" spans="1:2">
      <c r="A1873" s="32">
        <v>1860</v>
      </c>
      <c r="B1873" s="90">
        <v>7.5221787879386364</v>
      </c>
    </row>
    <row r="1874" spans="1:2">
      <c r="A1874" s="32">
        <v>1861</v>
      </c>
      <c r="B1874" s="90">
        <v>7.9715403276760659</v>
      </c>
    </row>
    <row r="1875" spans="1:2">
      <c r="A1875" s="32">
        <v>1862</v>
      </c>
      <c r="B1875" s="90">
        <v>6.7546780339489452</v>
      </c>
    </row>
    <row r="1876" spans="1:2">
      <c r="A1876" s="32">
        <v>1863</v>
      </c>
      <c r="B1876" s="90">
        <v>9.0509549317186639</v>
      </c>
    </row>
    <row r="1877" spans="1:2">
      <c r="A1877" s="32">
        <v>1864</v>
      </c>
      <c r="B1877" s="90">
        <v>8.2210151359898269</v>
      </c>
    </row>
    <row r="1878" spans="1:2">
      <c r="A1878" s="32">
        <v>1865</v>
      </c>
      <c r="B1878" s="90">
        <v>7.9280288992938965</v>
      </c>
    </row>
    <row r="1879" spans="1:2">
      <c r="A1879" s="32">
        <v>1866</v>
      </c>
      <c r="B1879" s="90">
        <v>7.817652949070923</v>
      </c>
    </row>
    <row r="1880" spans="1:2">
      <c r="A1880" s="32">
        <v>1867</v>
      </c>
      <c r="B1880" s="90">
        <v>7.8061625503288941</v>
      </c>
    </row>
    <row r="1881" spans="1:2">
      <c r="A1881" s="32">
        <v>1868</v>
      </c>
      <c r="B1881" s="90">
        <v>8.5062596831190458</v>
      </c>
    </row>
    <row r="1882" spans="1:2">
      <c r="A1882" s="32">
        <v>1869</v>
      </c>
      <c r="B1882" s="90">
        <v>8.1328450194449058</v>
      </c>
    </row>
    <row r="1883" spans="1:2">
      <c r="A1883" s="32">
        <v>1870</v>
      </c>
      <c r="B1883" s="90">
        <v>8.6253516356532991</v>
      </c>
    </row>
    <row r="1884" spans="1:2">
      <c r="A1884" s="32">
        <v>1871</v>
      </c>
      <c r="B1884" s="90">
        <v>8.1834014370034023</v>
      </c>
    </row>
    <row r="1885" spans="1:2">
      <c r="A1885" s="32">
        <v>1872</v>
      </c>
      <c r="B1885" s="90">
        <v>8.0873976485022734</v>
      </c>
    </row>
    <row r="1886" spans="1:2">
      <c r="A1886" s="32">
        <v>1873</v>
      </c>
      <c r="B1886" s="90">
        <v>6.9984361224159954</v>
      </c>
    </row>
    <row r="1887" spans="1:2">
      <c r="A1887" s="32">
        <v>1874</v>
      </c>
      <c r="B1887" s="90">
        <v>7.3554471042477916</v>
      </c>
    </row>
    <row r="1888" spans="1:2">
      <c r="A1888" s="32">
        <v>1875</v>
      </c>
      <c r="B1888" s="90">
        <v>8.6602287474685031</v>
      </c>
    </row>
    <row r="1889" spans="1:2">
      <c r="A1889" s="32">
        <v>1876</v>
      </c>
      <c r="B1889" s="90">
        <v>7.7525256251476984</v>
      </c>
    </row>
    <row r="1890" spans="1:2">
      <c r="A1890" s="32">
        <v>1877</v>
      </c>
      <c r="B1890" s="90">
        <v>8.3919361414278484</v>
      </c>
    </row>
    <row r="1891" spans="1:2">
      <c r="A1891" s="32">
        <v>1878</v>
      </c>
      <c r="B1891" s="90">
        <v>7.8995175243021771</v>
      </c>
    </row>
    <row r="1892" spans="1:2">
      <c r="A1892" s="32">
        <v>1879</v>
      </c>
      <c r="B1892" s="90">
        <v>7.1084217402824379</v>
      </c>
    </row>
    <row r="1893" spans="1:2">
      <c r="A1893" s="32">
        <v>1880</v>
      </c>
      <c r="B1893" s="90">
        <v>8.4102792768117354</v>
      </c>
    </row>
    <row r="1894" spans="1:2">
      <c r="A1894" s="32">
        <v>1881</v>
      </c>
      <c r="B1894" s="90">
        <v>8.4019765215661959</v>
      </c>
    </row>
    <row r="1895" spans="1:2">
      <c r="A1895" s="32">
        <v>1882</v>
      </c>
      <c r="B1895" s="90">
        <v>8.8966203318925903</v>
      </c>
    </row>
    <row r="1896" spans="1:2">
      <c r="A1896" s="32">
        <v>1883</v>
      </c>
      <c r="B1896" s="90">
        <v>8.7036225751533411</v>
      </c>
    </row>
    <row r="1897" spans="1:2">
      <c r="A1897" s="32">
        <v>1884</v>
      </c>
      <c r="B1897" s="90">
        <v>8.5753165793422816</v>
      </c>
    </row>
    <row r="1898" spans="1:2">
      <c r="A1898" s="32">
        <v>1885</v>
      </c>
      <c r="B1898" s="90">
        <v>7.3930422625080352</v>
      </c>
    </row>
    <row r="1899" spans="1:2">
      <c r="A1899" s="32">
        <v>1886</v>
      </c>
      <c r="B1899" s="90">
        <v>8.331771473182787</v>
      </c>
    </row>
    <row r="1900" spans="1:2">
      <c r="A1900" s="32">
        <v>1887</v>
      </c>
      <c r="B1900" s="90">
        <v>8.7783741503337129</v>
      </c>
    </row>
    <row r="1901" spans="1:2">
      <c r="A1901" s="32">
        <v>1888</v>
      </c>
      <c r="B1901" s="90">
        <v>8.000874854159381</v>
      </c>
    </row>
    <row r="1902" spans="1:2">
      <c r="A1902" s="32">
        <v>1889</v>
      </c>
      <c r="B1902" s="90">
        <v>8.2051076062365436</v>
      </c>
    </row>
    <row r="1903" spans="1:2">
      <c r="A1903" s="32">
        <v>1890</v>
      </c>
      <c r="B1903" s="90">
        <v>8.9550225358952016</v>
      </c>
    </row>
    <row r="1904" spans="1:2">
      <c r="A1904" s="32">
        <v>1891</v>
      </c>
      <c r="B1904" s="90">
        <v>9.452645279288614</v>
      </c>
    </row>
    <row r="1905" spans="1:2">
      <c r="A1905" s="32">
        <v>1892</v>
      </c>
      <c r="B1905" s="90">
        <v>9.3202308581565667</v>
      </c>
    </row>
    <row r="1906" spans="1:2">
      <c r="A1906" s="32">
        <v>1893</v>
      </c>
      <c r="B1906" s="90">
        <v>8.3622241581422045</v>
      </c>
    </row>
    <row r="1907" spans="1:2">
      <c r="A1907" s="32">
        <v>1894</v>
      </c>
      <c r="B1907" s="90">
        <v>8.2680625964920758</v>
      </c>
    </row>
    <row r="1908" spans="1:2">
      <c r="A1908" s="32">
        <v>1895</v>
      </c>
      <c r="B1908" s="90">
        <v>7.6243866464336589</v>
      </c>
    </row>
    <row r="1909" spans="1:2">
      <c r="A1909" s="32">
        <v>1896</v>
      </c>
      <c r="B1909" s="90">
        <v>8.2093735401832042</v>
      </c>
    </row>
    <row r="1910" spans="1:2">
      <c r="A1910" s="32">
        <v>1897</v>
      </c>
      <c r="B1910" s="90">
        <v>7.9623876913236158</v>
      </c>
    </row>
    <row r="1911" spans="1:2">
      <c r="A1911" s="32">
        <v>1898</v>
      </c>
      <c r="B1911" s="90">
        <v>8.4090058248829926</v>
      </c>
    </row>
    <row r="1912" spans="1:2">
      <c r="A1912" s="32">
        <v>1899</v>
      </c>
      <c r="B1912" s="90">
        <v>8.5214411839709197</v>
      </c>
    </row>
    <row r="1913" spans="1:2">
      <c r="A1913" s="32">
        <v>1900</v>
      </c>
      <c r="B1913" s="90">
        <v>7.343965052693032</v>
      </c>
    </row>
    <row r="1914" spans="1:2">
      <c r="A1914" s="32">
        <v>1901</v>
      </c>
      <c r="B1914" s="90">
        <v>8.366656160425693</v>
      </c>
    </row>
    <row r="1915" spans="1:2">
      <c r="A1915" s="32">
        <v>1902</v>
      </c>
      <c r="B1915" s="90">
        <v>6.8754733115202811</v>
      </c>
    </row>
    <row r="1916" spans="1:2">
      <c r="A1916" s="32">
        <v>1903</v>
      </c>
      <c r="B1916" s="90">
        <v>8.7036527994058996</v>
      </c>
    </row>
    <row r="1917" spans="1:2">
      <c r="A1917" s="32">
        <v>1904</v>
      </c>
      <c r="B1917" s="90">
        <v>7.9635170241259274</v>
      </c>
    </row>
    <row r="1918" spans="1:2">
      <c r="A1918" s="32">
        <v>1905</v>
      </c>
      <c r="B1918" s="90">
        <v>8.341498222344109</v>
      </c>
    </row>
    <row r="1919" spans="1:2">
      <c r="A1919" s="32">
        <v>1906</v>
      </c>
      <c r="B1919" s="90">
        <v>7.7941743131536221</v>
      </c>
    </row>
    <row r="1920" spans="1:2">
      <c r="A1920" s="32">
        <v>1907</v>
      </c>
      <c r="B1920" s="90">
        <v>7.7935628490558937</v>
      </c>
    </row>
    <row r="1921" spans="1:2">
      <c r="A1921" s="32">
        <v>1908</v>
      </c>
      <c r="B1921" s="90">
        <v>7.1956064518169898</v>
      </c>
    </row>
    <row r="1922" spans="1:2">
      <c r="A1922" s="32">
        <v>1909</v>
      </c>
      <c r="B1922" s="90">
        <v>7.7704915351032557</v>
      </c>
    </row>
    <row r="1923" spans="1:2">
      <c r="A1923" s="32">
        <v>1910</v>
      </c>
      <c r="B1923" s="90">
        <v>8.6635732822533349</v>
      </c>
    </row>
    <row r="1924" spans="1:2">
      <c r="A1924" s="32">
        <v>1911</v>
      </c>
      <c r="B1924" s="90">
        <v>9.2514053261048463</v>
      </c>
    </row>
    <row r="1925" spans="1:2">
      <c r="A1925" s="32">
        <v>1912</v>
      </c>
      <c r="B1925" s="90">
        <v>8.2666487731850715</v>
      </c>
    </row>
    <row r="1926" spans="1:2">
      <c r="A1926" s="32">
        <v>1913</v>
      </c>
      <c r="B1926" s="90">
        <v>8.6864703717533018</v>
      </c>
    </row>
    <row r="1927" spans="1:2">
      <c r="A1927" s="32">
        <v>1914</v>
      </c>
      <c r="B1927" s="90">
        <v>7.8886131724953259</v>
      </c>
    </row>
    <row r="1928" spans="1:2">
      <c r="A1928" s="32">
        <v>1915</v>
      </c>
      <c r="B1928" s="90">
        <v>7.6972165321631429</v>
      </c>
    </row>
    <row r="1929" spans="1:2">
      <c r="A1929" s="32">
        <v>1916</v>
      </c>
      <c r="B1929" s="90">
        <v>9.080470716380816</v>
      </c>
    </row>
    <row r="1930" spans="1:2">
      <c r="A1930" s="32">
        <v>1917</v>
      </c>
      <c r="B1930" s="90">
        <v>7.4028432313742716</v>
      </c>
    </row>
    <row r="1931" spans="1:2">
      <c r="A1931" s="32">
        <v>1918</v>
      </c>
      <c r="B1931" s="90">
        <v>8.6921131556050621</v>
      </c>
    </row>
    <row r="1932" spans="1:2">
      <c r="A1932" s="32">
        <v>1919</v>
      </c>
      <c r="B1932" s="90">
        <v>7.0970582392383799</v>
      </c>
    </row>
    <row r="1933" spans="1:2">
      <c r="A1933" s="32">
        <v>1920</v>
      </c>
      <c r="B1933" s="90">
        <v>8.3974651760041557</v>
      </c>
    </row>
    <row r="1934" spans="1:2">
      <c r="A1934" s="32">
        <v>1921</v>
      </c>
      <c r="B1934" s="90">
        <v>7.9176828494773543</v>
      </c>
    </row>
    <row r="1935" spans="1:2">
      <c r="A1935" s="32">
        <v>1922</v>
      </c>
      <c r="B1935" s="90">
        <v>7.7790528907008554</v>
      </c>
    </row>
    <row r="1936" spans="1:2">
      <c r="A1936" s="32">
        <v>1923</v>
      </c>
      <c r="B1936" s="90">
        <v>7.5078787865195391</v>
      </c>
    </row>
    <row r="1937" spans="1:2">
      <c r="A1937" s="32">
        <v>1924</v>
      </c>
      <c r="B1937" s="90">
        <v>8.7076480322318055</v>
      </c>
    </row>
    <row r="1938" spans="1:2">
      <c r="A1938" s="32">
        <v>1925</v>
      </c>
      <c r="B1938" s="90">
        <v>9.0985583527433764</v>
      </c>
    </row>
    <row r="1939" spans="1:2">
      <c r="A1939" s="32">
        <v>1926</v>
      </c>
      <c r="B1939" s="90">
        <v>7.9787801536788434</v>
      </c>
    </row>
    <row r="1940" spans="1:2">
      <c r="A1940" s="32">
        <v>1927</v>
      </c>
      <c r="B1940" s="90">
        <v>8.3886700635091831</v>
      </c>
    </row>
    <row r="1941" spans="1:2">
      <c r="A1941" s="32">
        <v>1928</v>
      </c>
      <c r="B1941" s="90">
        <v>8.4835913691868559</v>
      </c>
    </row>
    <row r="1942" spans="1:2">
      <c r="A1942" s="32">
        <v>1929</v>
      </c>
      <c r="B1942" s="90">
        <v>9.4965524372434515</v>
      </c>
    </row>
    <row r="1943" spans="1:2">
      <c r="A1943" s="32">
        <v>1930</v>
      </c>
      <c r="B1943" s="90">
        <v>7.7478891399830525</v>
      </c>
    </row>
    <row r="1944" spans="1:2">
      <c r="A1944" s="32">
        <v>1931</v>
      </c>
      <c r="B1944" s="90">
        <v>8.2363231264878305</v>
      </c>
    </row>
    <row r="1945" spans="1:2">
      <c r="A1945" s="32">
        <v>1932</v>
      </c>
      <c r="B1945" s="90">
        <v>7.6848704022730354</v>
      </c>
    </row>
    <row r="1946" spans="1:2">
      <c r="A1946" s="32">
        <v>1933</v>
      </c>
      <c r="B1946" s="90">
        <v>7.2695712528190635</v>
      </c>
    </row>
    <row r="1947" spans="1:2">
      <c r="A1947" s="32">
        <v>1934</v>
      </c>
      <c r="B1947" s="90">
        <v>8.8335165642721947</v>
      </c>
    </row>
    <row r="1948" spans="1:2">
      <c r="A1948" s="32">
        <v>1935</v>
      </c>
      <c r="B1948" s="90">
        <v>7.6892486232766935</v>
      </c>
    </row>
    <row r="1949" spans="1:2">
      <c r="A1949" s="32">
        <v>1936</v>
      </c>
      <c r="B1949" s="90">
        <v>7.6976252275172961</v>
      </c>
    </row>
    <row r="1950" spans="1:2">
      <c r="A1950" s="32">
        <v>1937</v>
      </c>
      <c r="B1950" s="90">
        <v>8.4916043257550982</v>
      </c>
    </row>
    <row r="1951" spans="1:2">
      <c r="A1951" s="32">
        <v>1938</v>
      </c>
      <c r="B1951" s="90">
        <v>8.2158078953226177</v>
      </c>
    </row>
    <row r="1952" spans="1:2">
      <c r="A1952" s="32">
        <v>1939</v>
      </c>
      <c r="B1952" s="90">
        <v>8.9645267713843992</v>
      </c>
    </row>
    <row r="1953" spans="1:2">
      <c r="A1953" s="32">
        <v>1940</v>
      </c>
      <c r="B1953" s="90">
        <v>6.9836395825477302</v>
      </c>
    </row>
    <row r="1954" spans="1:2">
      <c r="A1954" s="32">
        <v>1941</v>
      </c>
      <c r="B1954" s="90">
        <v>8.9012423529287439</v>
      </c>
    </row>
    <row r="1955" spans="1:2">
      <c r="A1955" s="32">
        <v>1942</v>
      </c>
      <c r="B1955" s="90">
        <v>7.44731133533835</v>
      </c>
    </row>
    <row r="1956" spans="1:2">
      <c r="A1956" s="32">
        <v>1943</v>
      </c>
      <c r="B1956" s="90">
        <v>7.7003138373051359</v>
      </c>
    </row>
    <row r="1957" spans="1:2">
      <c r="A1957" s="32">
        <v>1944</v>
      </c>
      <c r="B1957" s="90">
        <v>8.1880572256122139</v>
      </c>
    </row>
    <row r="1958" spans="1:2">
      <c r="A1958" s="32">
        <v>1945</v>
      </c>
      <c r="B1958" s="90">
        <v>8.3748388389096107</v>
      </c>
    </row>
    <row r="1959" spans="1:2">
      <c r="A1959" s="32">
        <v>1946</v>
      </c>
      <c r="B1959" s="90">
        <v>7.928064444018899</v>
      </c>
    </row>
    <row r="1960" spans="1:2">
      <c r="A1960" s="32">
        <v>1947</v>
      </c>
      <c r="B1960" s="90">
        <v>8.2935230212158135</v>
      </c>
    </row>
    <row r="1961" spans="1:2">
      <c r="A1961" s="32">
        <v>1948</v>
      </c>
      <c r="B1961" s="90">
        <v>8.8229398117993263</v>
      </c>
    </row>
    <row r="1962" spans="1:2">
      <c r="A1962" s="32">
        <v>1949</v>
      </c>
      <c r="B1962" s="90">
        <v>7.4316726151005152</v>
      </c>
    </row>
    <row r="1963" spans="1:2">
      <c r="A1963" s="32">
        <v>1950</v>
      </c>
      <c r="B1963" s="90">
        <v>7.4298786552763856</v>
      </c>
    </row>
    <row r="1964" spans="1:2">
      <c r="A1964" s="32">
        <v>1951</v>
      </c>
      <c r="B1964" s="90">
        <v>8.2092192529114687</v>
      </c>
    </row>
    <row r="1965" spans="1:2">
      <c r="A1965" s="32">
        <v>1952</v>
      </c>
      <c r="B1965" s="90">
        <v>7.1669526422035084</v>
      </c>
    </row>
    <row r="1966" spans="1:2">
      <c r="A1966" s="32">
        <v>1953</v>
      </c>
      <c r="B1966" s="90">
        <v>8.2359401130441015</v>
      </c>
    </row>
    <row r="1967" spans="1:2">
      <c r="A1967" s="32">
        <v>1954</v>
      </c>
      <c r="B1967" s="90">
        <v>8.0057784950863091</v>
      </c>
    </row>
    <row r="1968" spans="1:2">
      <c r="A1968" s="32">
        <v>1955</v>
      </c>
      <c r="B1968" s="90">
        <v>7.5391806093828615</v>
      </c>
    </row>
    <row r="1969" spans="1:2">
      <c r="A1969" s="32">
        <v>1956</v>
      </c>
      <c r="B1969" s="90">
        <v>8.2250948978763905</v>
      </c>
    </row>
    <row r="1970" spans="1:2">
      <c r="A1970" s="32">
        <v>1957</v>
      </c>
      <c r="B1970" s="90">
        <v>7.8249747177371534</v>
      </c>
    </row>
    <row r="1971" spans="1:2">
      <c r="A1971" s="32">
        <v>1958</v>
      </c>
      <c r="B1971" s="90">
        <v>8.7302504135437786</v>
      </c>
    </row>
    <row r="1972" spans="1:2">
      <c r="A1972" s="32">
        <v>1959</v>
      </c>
      <c r="B1972" s="90">
        <v>6.6996041569798317</v>
      </c>
    </row>
    <row r="1973" spans="1:2">
      <c r="A1973" s="32">
        <v>1960</v>
      </c>
      <c r="B1973" s="90">
        <v>8.6237662180389698</v>
      </c>
    </row>
    <row r="1974" spans="1:2">
      <c r="A1974" s="32">
        <v>1961</v>
      </c>
      <c r="B1974" s="90">
        <v>7.7842158090308455</v>
      </c>
    </row>
    <row r="1975" spans="1:2">
      <c r="A1975" s="32">
        <v>1962</v>
      </c>
      <c r="B1975" s="90">
        <v>9.9188974494160398</v>
      </c>
    </row>
    <row r="1976" spans="1:2">
      <c r="A1976" s="32">
        <v>1963</v>
      </c>
      <c r="B1976" s="90">
        <v>7.7969867129266888</v>
      </c>
    </row>
    <row r="1977" spans="1:2">
      <c r="A1977" s="32">
        <v>1964</v>
      </c>
      <c r="B1977" s="90">
        <v>8.6548137232168898</v>
      </c>
    </row>
    <row r="1978" spans="1:2">
      <c r="A1978" s="32">
        <v>1965</v>
      </c>
      <c r="B1978" s="90">
        <v>8.9242369169833697</v>
      </c>
    </row>
    <row r="1979" spans="1:2">
      <c r="A1979" s="32">
        <v>1966</v>
      </c>
      <c r="B1979" s="90">
        <v>8.2606856900864187</v>
      </c>
    </row>
    <row r="1980" spans="1:2">
      <c r="A1980" s="32">
        <v>1967</v>
      </c>
      <c r="B1980" s="90">
        <v>8.7244267982982198</v>
      </c>
    </row>
    <row r="1981" spans="1:2">
      <c r="A1981" s="32">
        <v>1968</v>
      </c>
      <c r="B1981" s="90">
        <v>9.1315398605351312</v>
      </c>
    </row>
    <row r="1982" spans="1:2">
      <c r="A1982" s="32">
        <v>1969</v>
      </c>
      <c r="B1982" s="90">
        <v>8.0800074999949523</v>
      </c>
    </row>
    <row r="1983" spans="1:2">
      <c r="A1983" s="32">
        <v>1970</v>
      </c>
      <c r="B1983" s="90">
        <v>8.8147756279318141</v>
      </c>
    </row>
    <row r="1984" spans="1:2">
      <c r="A1984" s="32">
        <v>1971</v>
      </c>
      <c r="B1984" s="90">
        <v>8.6215827600259107</v>
      </c>
    </row>
    <row r="1985" spans="1:2">
      <c r="A1985" s="32">
        <v>1972</v>
      </c>
      <c r="B1985" s="90">
        <v>7.4666271747667574</v>
      </c>
    </row>
    <row r="1986" spans="1:2">
      <c r="A1986" s="32">
        <v>1973</v>
      </c>
      <c r="B1986" s="90">
        <v>6.9999417700522084</v>
      </c>
    </row>
    <row r="1987" spans="1:2">
      <c r="A1987" s="32">
        <v>1974</v>
      </c>
      <c r="B1987" s="90">
        <v>7.2443847261526768</v>
      </c>
    </row>
    <row r="1988" spans="1:2">
      <c r="A1988" s="32">
        <v>1975</v>
      </c>
      <c r="B1988" s="90">
        <v>9.209814717075556</v>
      </c>
    </row>
    <row r="1989" spans="1:2">
      <c r="A1989" s="32">
        <v>1976</v>
      </c>
      <c r="B1989" s="90">
        <v>8.0279755902885928</v>
      </c>
    </row>
    <row r="1990" spans="1:2">
      <c r="A1990" s="32">
        <v>1977</v>
      </c>
      <c r="B1990" s="90">
        <v>9.009598554322384</v>
      </c>
    </row>
    <row r="1991" spans="1:2">
      <c r="A1991" s="32">
        <v>1978</v>
      </c>
      <c r="B1991" s="90">
        <v>6.8381047110221234</v>
      </c>
    </row>
    <row r="1992" spans="1:2">
      <c r="A1992" s="32">
        <v>1979</v>
      </c>
      <c r="B1992" s="90">
        <v>8.2927296901206589</v>
      </c>
    </row>
    <row r="1993" spans="1:2">
      <c r="A1993" s="32">
        <v>1980</v>
      </c>
      <c r="B1993" s="90">
        <v>7.1508976410525449</v>
      </c>
    </row>
    <row r="1994" spans="1:2">
      <c r="A1994" s="32">
        <v>1981</v>
      </c>
      <c r="B1994" s="90">
        <v>7.8119635666003671</v>
      </c>
    </row>
    <row r="1995" spans="1:2">
      <c r="A1995" s="32">
        <v>1982</v>
      </c>
      <c r="B1995" s="90">
        <v>8.4745049270071959</v>
      </c>
    </row>
    <row r="1996" spans="1:2">
      <c r="A1996" s="32">
        <v>1983</v>
      </c>
      <c r="B1996" s="90">
        <v>7.8865150463112794</v>
      </c>
    </row>
    <row r="1997" spans="1:2">
      <c r="A1997" s="32">
        <v>1984</v>
      </c>
      <c r="B1997" s="90">
        <v>8.2729604372825918</v>
      </c>
    </row>
    <row r="1998" spans="1:2">
      <c r="A1998" s="32">
        <v>1985</v>
      </c>
      <c r="B1998" s="90">
        <v>7.0362825189760176</v>
      </c>
    </row>
    <row r="1999" spans="1:2">
      <c r="A1999" s="32">
        <v>1986</v>
      </c>
      <c r="B1999" s="90">
        <v>8.0065660065828137</v>
      </c>
    </row>
    <row r="2000" spans="1:2">
      <c r="A2000" s="32">
        <v>1987</v>
      </c>
      <c r="B2000" s="90">
        <v>7.6714091331749596</v>
      </c>
    </row>
    <row r="2001" spans="1:2">
      <c r="A2001" s="32">
        <v>1988</v>
      </c>
      <c r="B2001" s="90">
        <v>8.5214294166538025</v>
      </c>
    </row>
    <row r="2002" spans="1:2">
      <c r="A2002" s="32">
        <v>1989</v>
      </c>
      <c r="B2002" s="90">
        <v>8.1357461031539557</v>
      </c>
    </row>
    <row r="2003" spans="1:2">
      <c r="A2003" s="32">
        <v>1990</v>
      </c>
      <c r="B2003" s="90">
        <v>7.9309801863543825</v>
      </c>
    </row>
    <row r="2004" spans="1:2">
      <c r="A2004" s="32">
        <v>1991</v>
      </c>
      <c r="B2004" s="90">
        <v>7.9275276891352782</v>
      </c>
    </row>
    <row r="2005" spans="1:2">
      <c r="A2005" s="32">
        <v>1992</v>
      </c>
      <c r="B2005" s="90">
        <v>7.6173080835504337</v>
      </c>
    </row>
    <row r="2006" spans="1:2">
      <c r="A2006" s="32">
        <v>1993</v>
      </c>
      <c r="B2006" s="90">
        <v>7.6390198134598419</v>
      </c>
    </row>
    <row r="2007" spans="1:2">
      <c r="A2007" s="32">
        <v>1994</v>
      </c>
      <c r="B2007" s="90">
        <v>7.9563161840110572</v>
      </c>
    </row>
    <row r="2008" spans="1:2">
      <c r="A2008" s="32">
        <v>1995</v>
      </c>
      <c r="B2008" s="90">
        <v>8.204718837398687</v>
      </c>
    </row>
    <row r="2009" spans="1:2">
      <c r="A2009" s="32">
        <v>1996</v>
      </c>
      <c r="B2009" s="90">
        <v>7.6716622654138575</v>
      </c>
    </row>
    <row r="2010" spans="1:2">
      <c r="A2010" s="32">
        <v>1997</v>
      </c>
      <c r="B2010" s="90">
        <v>7.5137997584519205</v>
      </c>
    </row>
    <row r="2011" spans="1:2">
      <c r="A2011" s="32">
        <v>1998</v>
      </c>
      <c r="B2011" s="90">
        <v>6.8006288939836699</v>
      </c>
    </row>
    <row r="2012" spans="1:2">
      <c r="A2012" s="32">
        <v>1999</v>
      </c>
      <c r="B2012" s="90">
        <v>7.9387494101401233</v>
      </c>
    </row>
    <row r="2013" spans="1:2">
      <c r="A2013" s="32">
        <v>2000</v>
      </c>
      <c r="B2013" s="90">
        <v>9.0176646793493092</v>
      </c>
    </row>
    <row r="2014" spans="1:2">
      <c r="A2014" s="32">
        <v>2001</v>
      </c>
      <c r="B2014" s="90">
        <v>6.9487274152126561</v>
      </c>
    </row>
    <row r="2015" spans="1:2">
      <c r="A2015" s="32">
        <v>2002</v>
      </c>
      <c r="B2015" s="90">
        <v>7.1846730999131596</v>
      </c>
    </row>
    <row r="2016" spans="1:2">
      <c r="A2016" s="32">
        <v>2003</v>
      </c>
      <c r="B2016" s="90">
        <v>7.8088773012784172</v>
      </c>
    </row>
    <row r="2017" spans="1:2">
      <c r="A2017" s="32">
        <v>2004</v>
      </c>
      <c r="B2017" s="90">
        <v>7.7520293651399506</v>
      </c>
    </row>
    <row r="2018" spans="1:2">
      <c r="A2018" s="32">
        <v>2005</v>
      </c>
      <c r="B2018" s="90">
        <v>8.4470325280658951</v>
      </c>
    </row>
    <row r="2019" spans="1:2">
      <c r="A2019" s="32">
        <v>2006</v>
      </c>
      <c r="B2019" s="90">
        <v>8.8159712778101991</v>
      </c>
    </row>
    <row r="2020" spans="1:2">
      <c r="A2020" s="32">
        <v>2007</v>
      </c>
      <c r="B2020" s="90">
        <v>8.0003747184790264</v>
      </c>
    </row>
    <row r="2021" spans="1:2">
      <c r="A2021" s="32">
        <v>2008</v>
      </c>
      <c r="B2021" s="90">
        <v>9.4107214195867765</v>
      </c>
    </row>
    <row r="2022" spans="1:2">
      <c r="A2022" s="32">
        <v>2009</v>
      </c>
      <c r="B2022" s="90">
        <v>7.6150278918704064</v>
      </c>
    </row>
    <row r="2023" spans="1:2">
      <c r="A2023" s="32">
        <v>2010</v>
      </c>
      <c r="B2023" s="90">
        <v>7.6572766149569302</v>
      </c>
    </row>
    <row r="2024" spans="1:2">
      <c r="A2024" s="32">
        <v>2011</v>
      </c>
      <c r="B2024" s="90">
        <v>8.0133902254734686</v>
      </c>
    </row>
    <row r="2025" spans="1:2">
      <c r="A2025" s="32">
        <v>2012</v>
      </c>
      <c r="B2025" s="90">
        <v>7.6914628794341393</v>
      </c>
    </row>
    <row r="2026" spans="1:2">
      <c r="A2026" s="32">
        <v>2013</v>
      </c>
      <c r="B2026" s="90">
        <v>8.0289407949255907</v>
      </c>
    </row>
    <row r="2027" spans="1:2">
      <c r="A2027" s="32">
        <v>2014</v>
      </c>
      <c r="B2027" s="90">
        <v>8.0841421428378428</v>
      </c>
    </row>
    <row r="2028" spans="1:2">
      <c r="A2028" s="32">
        <v>2015</v>
      </c>
      <c r="B2028" s="90">
        <v>8.2478759766375784</v>
      </c>
    </row>
    <row r="2029" spans="1:2">
      <c r="A2029" s="32">
        <v>2016</v>
      </c>
      <c r="B2029" s="90">
        <v>7.5104186730851392</v>
      </c>
    </row>
    <row r="2030" spans="1:2">
      <c r="A2030" s="32">
        <v>2017</v>
      </c>
      <c r="B2030" s="90">
        <v>7.8430658296488414</v>
      </c>
    </row>
    <row r="2031" spans="1:2">
      <c r="A2031" s="32">
        <v>2018</v>
      </c>
      <c r="B2031" s="90">
        <v>8.3077198062725603</v>
      </c>
    </row>
    <row r="2032" spans="1:2">
      <c r="A2032" s="32">
        <v>2019</v>
      </c>
      <c r="B2032" s="90">
        <v>8.3206271701856416</v>
      </c>
    </row>
    <row r="2033" spans="1:2">
      <c r="A2033" s="32">
        <v>2020</v>
      </c>
      <c r="B2033" s="90">
        <v>8.0826282739411042</v>
      </c>
    </row>
    <row r="2034" spans="1:2">
      <c r="A2034" s="32">
        <v>2021</v>
      </c>
      <c r="B2034" s="90">
        <v>8.0792541649275602</v>
      </c>
    </row>
    <row r="2035" spans="1:2">
      <c r="A2035" s="32">
        <v>2022</v>
      </c>
      <c r="B2035" s="90">
        <v>8.0227296751963628</v>
      </c>
    </row>
    <row r="2036" spans="1:2">
      <c r="A2036" s="32">
        <v>2023</v>
      </c>
      <c r="B2036" s="90">
        <v>8.2777644520351821</v>
      </c>
    </row>
    <row r="2037" spans="1:2">
      <c r="A2037" s="32">
        <v>2024</v>
      </c>
      <c r="B2037" s="90">
        <v>8.5633746254784633</v>
      </c>
    </row>
    <row r="2038" spans="1:2">
      <c r="A2038" s="32">
        <v>2025</v>
      </c>
      <c r="B2038" s="90">
        <v>10.043021707910619</v>
      </c>
    </row>
    <row r="2039" spans="1:2">
      <c r="A2039" s="32">
        <v>2026</v>
      </c>
      <c r="B2039" s="90">
        <v>8.7219400672220502</v>
      </c>
    </row>
    <row r="2040" spans="1:2">
      <c r="A2040" s="32">
        <v>2027</v>
      </c>
      <c r="B2040" s="90">
        <v>7.7758990575868614</v>
      </c>
    </row>
    <row r="2041" spans="1:2">
      <c r="A2041" s="32">
        <v>2028</v>
      </c>
      <c r="B2041" s="90">
        <v>8.1599091545613316</v>
      </c>
    </row>
    <row r="2042" spans="1:2">
      <c r="A2042" s="32">
        <v>2029</v>
      </c>
      <c r="B2042" s="90">
        <v>7.8823533517835491</v>
      </c>
    </row>
    <row r="2043" spans="1:2">
      <c r="A2043" s="32">
        <v>2030</v>
      </c>
      <c r="B2043" s="90">
        <v>7.9389453250944024</v>
      </c>
    </row>
    <row r="2044" spans="1:2">
      <c r="A2044" s="32">
        <v>2031</v>
      </c>
      <c r="B2044" s="90">
        <v>7.0242482561262287</v>
      </c>
    </row>
    <row r="2045" spans="1:2">
      <c r="A2045" s="32">
        <v>2032</v>
      </c>
      <c r="B2045" s="90">
        <v>9.5946325007807509</v>
      </c>
    </row>
    <row r="2046" spans="1:2">
      <c r="A2046" s="32">
        <v>2033</v>
      </c>
      <c r="B2046" s="90">
        <v>6.9911814128920104</v>
      </c>
    </row>
    <row r="2047" spans="1:2">
      <c r="A2047" s="32">
        <v>2034</v>
      </c>
      <c r="B2047" s="90">
        <v>7.2849844393412493</v>
      </c>
    </row>
    <row r="2048" spans="1:2">
      <c r="A2048" s="32">
        <v>2035</v>
      </c>
      <c r="B2048" s="90">
        <v>8.2875506061480877</v>
      </c>
    </row>
    <row r="2049" spans="1:2">
      <c r="A2049" s="32">
        <v>2036</v>
      </c>
      <c r="B2049" s="90">
        <v>7.420843700146591</v>
      </c>
    </row>
    <row r="2050" spans="1:2">
      <c r="A2050" s="32">
        <v>2037</v>
      </c>
      <c r="B2050" s="90">
        <v>8.3642467693387061</v>
      </c>
    </row>
    <row r="2051" spans="1:2">
      <c r="A2051" s="32">
        <v>2038</v>
      </c>
      <c r="B2051" s="90">
        <v>8.9415477183473406</v>
      </c>
    </row>
    <row r="2052" spans="1:2">
      <c r="A2052" s="32">
        <v>2039</v>
      </c>
      <c r="B2052" s="90">
        <v>9.1475408140902115</v>
      </c>
    </row>
    <row r="2053" spans="1:2">
      <c r="A2053" s="32">
        <v>2040</v>
      </c>
      <c r="B2053" s="90">
        <v>6.2641826671581002</v>
      </c>
    </row>
    <row r="2054" spans="1:2">
      <c r="A2054" s="32">
        <v>2041</v>
      </c>
      <c r="B2054" s="90">
        <v>8.034154239121337</v>
      </c>
    </row>
    <row r="2055" spans="1:2">
      <c r="A2055" s="32">
        <v>2042</v>
      </c>
      <c r="B2055" s="90">
        <v>8.5388799489512355</v>
      </c>
    </row>
    <row r="2056" spans="1:2">
      <c r="A2056" s="32">
        <v>2043</v>
      </c>
      <c r="B2056" s="90">
        <v>7.9521229123093562</v>
      </c>
    </row>
    <row r="2057" spans="1:2">
      <c r="A2057" s="32">
        <v>2044</v>
      </c>
      <c r="B2057" s="90">
        <v>8.7724337194335966</v>
      </c>
    </row>
    <row r="2058" spans="1:2">
      <c r="A2058" s="32">
        <v>2045</v>
      </c>
      <c r="B2058" s="90">
        <v>8.6473794845033254</v>
      </c>
    </row>
    <row r="2059" spans="1:2">
      <c r="A2059" s="32">
        <v>2046</v>
      </c>
      <c r="B2059" s="90">
        <v>8.1459960190641283</v>
      </c>
    </row>
    <row r="2060" spans="1:2">
      <c r="A2060" s="32">
        <v>2047</v>
      </c>
      <c r="B2060" s="90">
        <v>8.8086440185162722</v>
      </c>
    </row>
    <row r="2061" spans="1:2">
      <c r="A2061" s="32">
        <v>2048</v>
      </c>
      <c r="B2061" s="90">
        <v>7.6803172158166815</v>
      </c>
    </row>
    <row r="2062" spans="1:2">
      <c r="A2062" s="32">
        <v>2049</v>
      </c>
      <c r="B2062" s="90">
        <v>7.5169855649404624</v>
      </c>
    </row>
    <row r="2063" spans="1:2">
      <c r="A2063" s="32">
        <v>2050</v>
      </c>
      <c r="B2063" s="90">
        <v>7.4183788940226938</v>
      </c>
    </row>
    <row r="2064" spans="1:2">
      <c r="A2064" s="32">
        <v>2051</v>
      </c>
      <c r="B2064" s="90">
        <v>8.4260573113974573</v>
      </c>
    </row>
    <row r="2065" spans="1:2">
      <c r="A2065" s="32">
        <v>2052</v>
      </c>
      <c r="B2065" s="90">
        <v>8.4354163341905437</v>
      </c>
    </row>
    <row r="2066" spans="1:2">
      <c r="A2066" s="32">
        <v>2053</v>
      </c>
      <c r="B2066" s="90">
        <v>7.8205371092894822</v>
      </c>
    </row>
    <row r="2067" spans="1:2">
      <c r="A2067" s="32">
        <v>2054</v>
      </c>
      <c r="B2067" s="90">
        <v>7.396181181694609</v>
      </c>
    </row>
    <row r="2068" spans="1:2">
      <c r="A2068" s="32">
        <v>2055</v>
      </c>
      <c r="B2068" s="90">
        <v>8.4559905008952452</v>
      </c>
    </row>
    <row r="2069" spans="1:2">
      <c r="A2069" s="32">
        <v>2056</v>
      </c>
      <c r="B2069" s="90">
        <v>7.1784591884051165</v>
      </c>
    </row>
    <row r="2070" spans="1:2">
      <c r="A2070" s="32">
        <v>2057</v>
      </c>
      <c r="B2070" s="90">
        <v>7.9614266988888716</v>
      </c>
    </row>
    <row r="2071" spans="1:2">
      <c r="A2071" s="32">
        <v>2058</v>
      </c>
      <c r="B2071" s="90">
        <v>7.3990348307889287</v>
      </c>
    </row>
    <row r="2072" spans="1:2">
      <c r="A2072" s="32">
        <v>2059</v>
      </c>
      <c r="B2072" s="90">
        <v>8.28028510328644</v>
      </c>
    </row>
    <row r="2073" spans="1:2">
      <c r="A2073" s="32">
        <v>2060</v>
      </c>
      <c r="B2073" s="90">
        <v>8.2287926101641524</v>
      </c>
    </row>
    <row r="2074" spans="1:2">
      <c r="A2074" s="32">
        <v>2061</v>
      </c>
      <c r="B2074" s="90">
        <v>7.291126940803486</v>
      </c>
    </row>
    <row r="2075" spans="1:2">
      <c r="A2075" s="32">
        <v>2062</v>
      </c>
      <c r="B2075" s="90">
        <v>7.7496117830661424</v>
      </c>
    </row>
    <row r="2076" spans="1:2">
      <c r="A2076" s="32">
        <v>2063</v>
      </c>
      <c r="B2076" s="90">
        <v>8.4629252617803772</v>
      </c>
    </row>
    <row r="2077" spans="1:2">
      <c r="A2077" s="32">
        <v>2064</v>
      </c>
      <c r="B2077" s="90">
        <v>7.4188819570459232</v>
      </c>
    </row>
    <row r="2078" spans="1:2">
      <c r="A2078" s="32">
        <v>2065</v>
      </c>
      <c r="B2078" s="90">
        <v>8.6383560583343879</v>
      </c>
    </row>
    <row r="2079" spans="1:2">
      <c r="A2079" s="32">
        <v>2066</v>
      </c>
      <c r="B2079" s="90">
        <v>7.0655705844279497</v>
      </c>
    </row>
    <row r="2080" spans="1:2">
      <c r="A2080" s="32">
        <v>2067</v>
      </c>
      <c r="B2080" s="90">
        <v>8.3107369297224505</v>
      </c>
    </row>
    <row r="2081" spans="1:2">
      <c r="A2081" s="32">
        <v>2068</v>
      </c>
      <c r="B2081" s="90">
        <v>7.6820962913013124</v>
      </c>
    </row>
    <row r="2082" spans="1:2">
      <c r="A2082" s="32">
        <v>2069</v>
      </c>
      <c r="B2082" s="90">
        <v>7.703053908946492</v>
      </c>
    </row>
    <row r="2083" spans="1:2">
      <c r="A2083" s="32">
        <v>2070</v>
      </c>
      <c r="B2083" s="90">
        <v>6.7490011130031791</v>
      </c>
    </row>
    <row r="2084" spans="1:2">
      <c r="A2084" s="32">
        <v>2071</v>
      </c>
      <c r="B2084" s="90">
        <v>8.5374682667095563</v>
      </c>
    </row>
    <row r="2085" spans="1:2">
      <c r="A2085" s="32">
        <v>2072</v>
      </c>
      <c r="B2085" s="90">
        <v>7.2211275571741567</v>
      </c>
    </row>
    <row r="2086" spans="1:2">
      <c r="A2086" s="32">
        <v>2073</v>
      </c>
      <c r="B2086" s="90">
        <v>8.692871998520646</v>
      </c>
    </row>
    <row r="2087" spans="1:2">
      <c r="A2087" s="32">
        <v>2074</v>
      </c>
      <c r="B2087" s="90">
        <v>7.7570712297400171</v>
      </c>
    </row>
    <row r="2088" spans="1:2">
      <c r="A2088" s="32">
        <v>2075</v>
      </c>
      <c r="B2088" s="90">
        <v>7.9940062800886311</v>
      </c>
    </row>
    <row r="2089" spans="1:2">
      <c r="A2089" s="32">
        <v>2076</v>
      </c>
      <c r="B2089" s="90">
        <v>9.5859568485326516</v>
      </c>
    </row>
    <row r="2090" spans="1:2">
      <c r="A2090" s="32">
        <v>2077</v>
      </c>
      <c r="B2090" s="90">
        <v>7.6272900666617609</v>
      </c>
    </row>
    <row r="2091" spans="1:2">
      <c r="A2091" s="32">
        <v>2078</v>
      </c>
      <c r="B2091" s="90">
        <v>8.3925886344968124</v>
      </c>
    </row>
    <row r="2092" spans="1:2">
      <c r="A2092" s="32">
        <v>2079</v>
      </c>
      <c r="B2092" s="90">
        <v>8.4972089546570082</v>
      </c>
    </row>
    <row r="2093" spans="1:2">
      <c r="A2093" s="32">
        <v>2080</v>
      </c>
      <c r="B2093" s="90">
        <v>9.4516948786732087</v>
      </c>
    </row>
    <row r="2094" spans="1:2">
      <c r="A2094" s="32">
        <v>2081</v>
      </c>
      <c r="B2094" s="90">
        <v>8.4594564303564184</v>
      </c>
    </row>
    <row r="2095" spans="1:2">
      <c r="A2095" s="32">
        <v>2082</v>
      </c>
      <c r="B2095" s="90">
        <v>8.5006089996611962</v>
      </c>
    </row>
    <row r="2096" spans="1:2">
      <c r="A2096" s="32">
        <v>2083</v>
      </c>
      <c r="B2096" s="90">
        <v>8.3972574479186264</v>
      </c>
    </row>
    <row r="2097" spans="1:2">
      <c r="A2097" s="32">
        <v>2084</v>
      </c>
      <c r="B2097" s="90">
        <v>6.9963240253668637</v>
      </c>
    </row>
    <row r="2098" spans="1:2">
      <c r="A2098" s="32">
        <v>2085</v>
      </c>
      <c r="B2098" s="90">
        <v>8.0926067332205953</v>
      </c>
    </row>
    <row r="2099" spans="1:2">
      <c r="A2099" s="32">
        <v>2086</v>
      </c>
      <c r="B2099" s="90">
        <v>8.0820061859658718</v>
      </c>
    </row>
    <row r="2100" spans="1:2">
      <c r="A2100" s="32">
        <v>2087</v>
      </c>
      <c r="B2100" s="90">
        <v>7.1237450676654479</v>
      </c>
    </row>
    <row r="2101" spans="1:2">
      <c r="A2101" s="32">
        <v>2088</v>
      </c>
      <c r="B2101" s="90">
        <v>9.1758254733185645</v>
      </c>
    </row>
    <row r="2102" spans="1:2">
      <c r="A2102" s="32">
        <v>2089</v>
      </c>
      <c r="B2102" s="90">
        <v>8.4279259988362725</v>
      </c>
    </row>
    <row r="2103" spans="1:2">
      <c r="A2103" s="32">
        <v>2090</v>
      </c>
      <c r="B2103" s="90">
        <v>7.7862421646437561</v>
      </c>
    </row>
    <row r="2104" spans="1:2">
      <c r="A2104" s="32">
        <v>2091</v>
      </c>
      <c r="B2104" s="90">
        <v>8.350646026276312</v>
      </c>
    </row>
    <row r="2105" spans="1:2">
      <c r="A2105" s="32">
        <v>2092</v>
      </c>
      <c r="B2105" s="90">
        <v>8.0383882636203339</v>
      </c>
    </row>
    <row r="2106" spans="1:2">
      <c r="A2106" s="32">
        <v>2093</v>
      </c>
      <c r="B2106" s="90">
        <v>7.4883968150813427</v>
      </c>
    </row>
    <row r="2107" spans="1:2">
      <c r="A2107" s="32">
        <v>2094</v>
      </c>
      <c r="B2107" s="90">
        <v>8.7923271512313139</v>
      </c>
    </row>
    <row r="2108" spans="1:2">
      <c r="A2108" s="32">
        <v>2095</v>
      </c>
      <c r="B2108" s="90">
        <v>7.9528471189426178</v>
      </c>
    </row>
    <row r="2109" spans="1:2">
      <c r="A2109" s="32">
        <v>2096</v>
      </c>
      <c r="B2109" s="90">
        <v>7.8348238924713671</v>
      </c>
    </row>
    <row r="2110" spans="1:2">
      <c r="A2110" s="32">
        <v>2097</v>
      </c>
      <c r="B2110" s="90">
        <v>8.928939187298889</v>
      </c>
    </row>
    <row r="2111" spans="1:2">
      <c r="A2111" s="32">
        <v>2098</v>
      </c>
      <c r="B2111" s="90">
        <v>8.0326409540372019</v>
      </c>
    </row>
    <row r="2112" spans="1:2">
      <c r="A2112" s="32">
        <v>2099</v>
      </c>
      <c r="B2112" s="90">
        <v>7.8081262683463528</v>
      </c>
    </row>
    <row r="2113" spans="1:2">
      <c r="A2113" s="32">
        <v>2100</v>
      </c>
      <c r="B2113" s="90">
        <v>7.4839159965209872</v>
      </c>
    </row>
    <row r="2114" spans="1:2">
      <c r="A2114" s="32">
        <v>2101</v>
      </c>
      <c r="B2114" s="90">
        <v>7.5864089375251931</v>
      </c>
    </row>
    <row r="2115" spans="1:2">
      <c r="A2115" s="32">
        <v>2102</v>
      </c>
      <c r="B2115" s="90">
        <v>8.6944897376263164</v>
      </c>
    </row>
    <row r="2116" spans="1:2">
      <c r="A2116" s="32">
        <v>2103</v>
      </c>
      <c r="B2116" s="90">
        <v>8.0460867344077123</v>
      </c>
    </row>
    <row r="2117" spans="1:2">
      <c r="A2117" s="32">
        <v>2104</v>
      </c>
      <c r="B2117" s="90">
        <v>7.7764784390036867</v>
      </c>
    </row>
    <row r="2118" spans="1:2">
      <c r="A2118" s="32">
        <v>2105</v>
      </c>
      <c r="B2118" s="90">
        <v>8.0873055143250436</v>
      </c>
    </row>
    <row r="2119" spans="1:2">
      <c r="A2119" s="32">
        <v>2106</v>
      </c>
      <c r="B2119" s="90">
        <v>7.5941696478896432</v>
      </c>
    </row>
    <row r="2120" spans="1:2">
      <c r="A2120" s="32">
        <v>2107</v>
      </c>
      <c r="B2120" s="90">
        <v>8.7651652918290583</v>
      </c>
    </row>
    <row r="2121" spans="1:2">
      <c r="A2121" s="32">
        <v>2108</v>
      </c>
      <c r="B2121" s="90">
        <v>7.6229956684424636</v>
      </c>
    </row>
    <row r="2122" spans="1:2">
      <c r="A2122" s="32">
        <v>2109</v>
      </c>
      <c r="B2122" s="90">
        <v>8.4264966520758513</v>
      </c>
    </row>
    <row r="2123" spans="1:2">
      <c r="A2123" s="32">
        <v>2110</v>
      </c>
      <c r="B2123" s="90">
        <v>8.3722237154373218</v>
      </c>
    </row>
    <row r="2124" spans="1:2">
      <c r="A2124" s="32">
        <v>2111</v>
      </c>
      <c r="B2124" s="90">
        <v>7.637564554223613</v>
      </c>
    </row>
    <row r="2125" spans="1:2">
      <c r="A2125" s="32">
        <v>2112</v>
      </c>
      <c r="B2125" s="90">
        <v>7.89552168528677</v>
      </c>
    </row>
    <row r="2126" spans="1:2">
      <c r="A2126" s="32">
        <v>2113</v>
      </c>
      <c r="B2126" s="90">
        <v>9.1341324937722757</v>
      </c>
    </row>
    <row r="2127" spans="1:2">
      <c r="A2127" s="32">
        <v>2114</v>
      </c>
      <c r="B2127" s="90">
        <v>8.8804965552647062</v>
      </c>
    </row>
    <row r="2128" spans="1:2">
      <c r="A2128" s="32">
        <v>2115</v>
      </c>
      <c r="B2128" s="90">
        <v>8.6501609159827506</v>
      </c>
    </row>
    <row r="2129" spans="1:2">
      <c r="A2129" s="32">
        <v>2116</v>
      </c>
      <c r="B2129" s="90">
        <v>8.1213184087851626</v>
      </c>
    </row>
    <row r="2130" spans="1:2">
      <c r="A2130" s="32">
        <v>2117</v>
      </c>
      <c r="B2130" s="90">
        <v>8.2370287809615572</v>
      </c>
    </row>
    <row r="2131" spans="1:2">
      <c r="A2131" s="32">
        <v>2118</v>
      </c>
      <c r="B2131" s="90">
        <v>7.2549638398144163</v>
      </c>
    </row>
    <row r="2132" spans="1:2">
      <c r="A2132" s="32">
        <v>2119</v>
      </c>
      <c r="B2132" s="90">
        <v>8.0425365256924053</v>
      </c>
    </row>
    <row r="2133" spans="1:2">
      <c r="A2133" s="32">
        <v>2120</v>
      </c>
      <c r="B2133" s="90">
        <v>7.1732706972525895</v>
      </c>
    </row>
    <row r="2134" spans="1:2">
      <c r="A2134" s="32">
        <v>2121</v>
      </c>
      <c r="B2134" s="90">
        <v>7.9634856224166386</v>
      </c>
    </row>
    <row r="2135" spans="1:2">
      <c r="A2135" s="32">
        <v>2122</v>
      </c>
      <c r="B2135" s="90">
        <v>8.1454705458166039</v>
      </c>
    </row>
    <row r="2136" spans="1:2">
      <c r="A2136" s="32">
        <v>2123</v>
      </c>
      <c r="B2136" s="90">
        <v>8.3289535471514551</v>
      </c>
    </row>
    <row r="2137" spans="1:2">
      <c r="A2137" s="32">
        <v>2124</v>
      </c>
      <c r="B2137" s="90">
        <v>7.4619454006765258</v>
      </c>
    </row>
    <row r="2138" spans="1:2">
      <c r="A2138" s="32">
        <v>2125</v>
      </c>
      <c r="B2138" s="90">
        <v>7.8997677174894649</v>
      </c>
    </row>
    <row r="2139" spans="1:2">
      <c r="A2139" s="32">
        <v>2126</v>
      </c>
      <c r="B2139" s="90">
        <v>6.8480655301602091</v>
      </c>
    </row>
    <row r="2140" spans="1:2">
      <c r="A2140" s="32">
        <v>2127</v>
      </c>
      <c r="B2140" s="90">
        <v>7.5442749979979604</v>
      </c>
    </row>
    <row r="2141" spans="1:2">
      <c r="A2141" s="32">
        <v>2128</v>
      </c>
      <c r="B2141" s="90">
        <v>9.0028425877280096</v>
      </c>
    </row>
    <row r="2142" spans="1:2">
      <c r="A2142" s="32">
        <v>2129</v>
      </c>
      <c r="B2142" s="90">
        <v>7.1749888497352821</v>
      </c>
    </row>
    <row r="2143" spans="1:2">
      <c r="A2143" s="32">
        <v>2130</v>
      </c>
      <c r="B2143" s="90">
        <v>8.7644092334086174</v>
      </c>
    </row>
    <row r="2144" spans="1:2">
      <c r="A2144" s="32">
        <v>2131</v>
      </c>
      <c r="B2144" s="90">
        <v>8.6351869486512083</v>
      </c>
    </row>
    <row r="2145" spans="1:2">
      <c r="A2145" s="32">
        <v>2132</v>
      </c>
      <c r="B2145" s="90">
        <v>7.8626646624615537</v>
      </c>
    </row>
    <row r="2146" spans="1:2">
      <c r="A2146" s="32">
        <v>2133</v>
      </c>
      <c r="B2146" s="90">
        <v>6.8508880351503745</v>
      </c>
    </row>
    <row r="2147" spans="1:2">
      <c r="A2147" s="32">
        <v>2134</v>
      </c>
      <c r="B2147" s="90">
        <v>8.0971689717845585</v>
      </c>
    </row>
    <row r="2148" spans="1:2">
      <c r="A2148" s="32">
        <v>2135</v>
      </c>
      <c r="B2148" s="90">
        <v>8.3253149870432228</v>
      </c>
    </row>
    <row r="2149" spans="1:2">
      <c r="A2149" s="32">
        <v>2136</v>
      </c>
      <c r="B2149" s="90">
        <v>7.1718104168323027</v>
      </c>
    </row>
    <row r="2150" spans="1:2">
      <c r="A2150" s="32">
        <v>2137</v>
      </c>
      <c r="B2150" s="90">
        <v>8.5927235006499263</v>
      </c>
    </row>
    <row r="2151" spans="1:2">
      <c r="A2151" s="32">
        <v>2138</v>
      </c>
      <c r="B2151" s="90">
        <v>8.4122178275861774</v>
      </c>
    </row>
    <row r="2152" spans="1:2">
      <c r="A2152" s="32">
        <v>2139</v>
      </c>
      <c r="B2152" s="90">
        <v>9.1547894152702867</v>
      </c>
    </row>
    <row r="2153" spans="1:2">
      <c r="A2153" s="32">
        <v>2140</v>
      </c>
      <c r="B2153" s="90">
        <v>7.7076610416470519</v>
      </c>
    </row>
    <row r="2154" spans="1:2">
      <c r="A2154" s="32">
        <v>2141</v>
      </c>
      <c r="B2154" s="90">
        <v>9.2901624961216971</v>
      </c>
    </row>
    <row r="2155" spans="1:2">
      <c r="A2155" s="32">
        <v>2142</v>
      </c>
      <c r="B2155" s="90">
        <v>8.2262572351105909</v>
      </c>
    </row>
    <row r="2156" spans="1:2">
      <c r="A2156" s="32">
        <v>2143</v>
      </c>
      <c r="B2156" s="90">
        <v>9.0111839297329634</v>
      </c>
    </row>
    <row r="2157" spans="1:2">
      <c r="A2157" s="32">
        <v>2144</v>
      </c>
      <c r="B2157" s="90">
        <v>7.7474769237558343</v>
      </c>
    </row>
    <row r="2158" spans="1:2">
      <c r="A2158" s="32">
        <v>2145</v>
      </c>
      <c r="B2158" s="90">
        <v>7.8080546397329851</v>
      </c>
    </row>
    <row r="2159" spans="1:2">
      <c r="A2159" s="32">
        <v>2146</v>
      </c>
      <c r="B2159" s="90">
        <v>7.7003611746253187</v>
      </c>
    </row>
    <row r="2160" spans="1:2">
      <c r="A2160" s="32">
        <v>2147</v>
      </c>
      <c r="B2160" s="90">
        <v>7.5722598390449374</v>
      </c>
    </row>
    <row r="2161" spans="1:2">
      <c r="A2161" s="32">
        <v>2148</v>
      </c>
      <c r="B2161" s="90">
        <v>8.101576977410657</v>
      </c>
    </row>
    <row r="2162" spans="1:2">
      <c r="A2162" s="32">
        <v>2149</v>
      </c>
      <c r="B2162" s="90">
        <v>9.7413615543013261</v>
      </c>
    </row>
    <row r="2163" spans="1:2">
      <c r="A2163" s="32">
        <v>2150</v>
      </c>
      <c r="B2163" s="90">
        <v>8.0448936465282799</v>
      </c>
    </row>
    <row r="2164" spans="1:2">
      <c r="A2164" s="32">
        <v>2151</v>
      </c>
      <c r="B2164" s="90">
        <v>7.9584733976925639</v>
      </c>
    </row>
    <row r="2165" spans="1:2">
      <c r="A2165" s="32">
        <v>2152</v>
      </c>
      <c r="B2165" s="90">
        <v>8.5823515109550534</v>
      </c>
    </row>
    <row r="2166" spans="1:2">
      <c r="A2166" s="32">
        <v>2153</v>
      </c>
      <c r="B2166" s="90">
        <v>7.548491441773141</v>
      </c>
    </row>
    <row r="2167" spans="1:2">
      <c r="A2167" s="32">
        <v>2154</v>
      </c>
      <c r="B2167" s="90">
        <v>8.6205888348440336</v>
      </c>
    </row>
    <row r="2168" spans="1:2">
      <c r="A2168" s="32">
        <v>2155</v>
      </c>
      <c r="B2168" s="90">
        <v>9.9787227238844096</v>
      </c>
    </row>
    <row r="2169" spans="1:2">
      <c r="A2169" s="32">
        <v>2156</v>
      </c>
      <c r="B2169" s="90">
        <v>7.7631038420535994</v>
      </c>
    </row>
    <row r="2170" spans="1:2">
      <c r="A2170" s="32">
        <v>2157</v>
      </c>
      <c r="B2170" s="90">
        <v>8.3581592519709638</v>
      </c>
    </row>
    <row r="2171" spans="1:2">
      <c r="A2171" s="32">
        <v>2158</v>
      </c>
      <c r="B2171" s="90">
        <v>9.5301820856176214</v>
      </c>
    </row>
    <row r="2172" spans="1:2">
      <c r="A2172" s="32">
        <v>2159</v>
      </c>
      <c r="B2172" s="90">
        <v>7.8520292777313818</v>
      </c>
    </row>
    <row r="2173" spans="1:2">
      <c r="A2173" s="32">
        <v>2160</v>
      </c>
      <c r="B2173" s="90">
        <v>8.7174459563523534</v>
      </c>
    </row>
    <row r="2174" spans="1:2">
      <c r="A2174" s="32">
        <v>2161</v>
      </c>
      <c r="B2174" s="90">
        <v>8.4046972973434535</v>
      </c>
    </row>
    <row r="2175" spans="1:2">
      <c r="A2175" s="32">
        <v>2162</v>
      </c>
      <c r="B2175" s="90">
        <v>7.3598110951174016</v>
      </c>
    </row>
    <row r="2176" spans="1:2">
      <c r="A2176" s="32">
        <v>2163</v>
      </c>
      <c r="B2176" s="90">
        <v>7.5262329424660921</v>
      </c>
    </row>
    <row r="2177" spans="1:2">
      <c r="A2177" s="32">
        <v>2164</v>
      </c>
      <c r="B2177" s="90">
        <v>6.4695339927780928</v>
      </c>
    </row>
    <row r="2178" spans="1:2">
      <c r="A2178" s="32">
        <v>2165</v>
      </c>
      <c r="B2178" s="90">
        <v>7.7970041014028633</v>
      </c>
    </row>
    <row r="2179" spans="1:2">
      <c r="A2179" s="32">
        <v>2166</v>
      </c>
      <c r="B2179" s="90">
        <v>7.9351554546053062</v>
      </c>
    </row>
    <row r="2180" spans="1:2">
      <c r="A2180" s="32">
        <v>2167</v>
      </c>
      <c r="B2180" s="90">
        <v>7.0838898947984532</v>
      </c>
    </row>
    <row r="2181" spans="1:2">
      <c r="A2181" s="32">
        <v>2168</v>
      </c>
      <c r="B2181" s="90">
        <v>8.0593203827599904</v>
      </c>
    </row>
    <row r="2182" spans="1:2">
      <c r="A2182" s="32">
        <v>2169</v>
      </c>
      <c r="B2182" s="90">
        <v>7.5171527051961089</v>
      </c>
    </row>
    <row r="2183" spans="1:2">
      <c r="A2183" s="32">
        <v>2170</v>
      </c>
      <c r="B2183" s="90">
        <v>7.5356656436849239</v>
      </c>
    </row>
    <row r="2184" spans="1:2">
      <c r="A2184" s="32">
        <v>2171</v>
      </c>
      <c r="B2184" s="90">
        <v>8.1180321549352552</v>
      </c>
    </row>
    <row r="2185" spans="1:2">
      <c r="A2185" s="32">
        <v>2172</v>
      </c>
      <c r="B2185" s="90">
        <v>8.2406928473514771</v>
      </c>
    </row>
    <row r="2186" spans="1:2">
      <c r="A2186" s="32">
        <v>2173</v>
      </c>
      <c r="B2186" s="90">
        <v>8.5250308787951852</v>
      </c>
    </row>
    <row r="2187" spans="1:2">
      <c r="A2187" s="32">
        <v>2174</v>
      </c>
      <c r="B2187" s="90">
        <v>8.9860060320219564</v>
      </c>
    </row>
    <row r="2188" spans="1:2">
      <c r="A2188" s="32">
        <v>2175</v>
      </c>
      <c r="B2188" s="90">
        <v>8.1858549991125447</v>
      </c>
    </row>
    <row r="2189" spans="1:2">
      <c r="A2189" s="32">
        <v>2176</v>
      </c>
      <c r="B2189" s="90">
        <v>8.4186566681204091</v>
      </c>
    </row>
    <row r="2190" spans="1:2">
      <c r="A2190" s="32">
        <v>2177</v>
      </c>
      <c r="B2190" s="90">
        <v>7.9928740460698249</v>
      </c>
    </row>
    <row r="2191" spans="1:2">
      <c r="A2191" s="32">
        <v>2178</v>
      </c>
      <c r="B2191" s="90">
        <v>8.2517319179736344</v>
      </c>
    </row>
    <row r="2192" spans="1:2">
      <c r="A2192" s="32">
        <v>2179</v>
      </c>
      <c r="B2192" s="90">
        <v>8.3101745755038436</v>
      </c>
    </row>
    <row r="2193" spans="1:2">
      <c r="A2193" s="32">
        <v>2180</v>
      </c>
      <c r="B2193" s="90">
        <v>8.3011168900978571</v>
      </c>
    </row>
    <row r="2194" spans="1:2">
      <c r="A2194" s="32">
        <v>2181</v>
      </c>
      <c r="B2194" s="90">
        <v>7.991363570141889</v>
      </c>
    </row>
    <row r="2195" spans="1:2">
      <c r="A2195" s="32">
        <v>2182</v>
      </c>
      <c r="B2195" s="90">
        <v>7.7621112008042195</v>
      </c>
    </row>
    <row r="2196" spans="1:2">
      <c r="A2196" s="32">
        <v>2183</v>
      </c>
      <c r="B2196" s="90">
        <v>9.2391594151353438</v>
      </c>
    </row>
    <row r="2197" spans="1:2">
      <c r="A2197" s="32">
        <v>2184</v>
      </c>
      <c r="B2197" s="90">
        <v>7.4242335049159793</v>
      </c>
    </row>
    <row r="2198" spans="1:2">
      <c r="A2198" s="32">
        <v>2185</v>
      </c>
      <c r="B2198" s="90">
        <v>7.8975986014189825</v>
      </c>
    </row>
    <row r="2199" spans="1:2">
      <c r="A2199" s="32">
        <v>2186</v>
      </c>
      <c r="B2199" s="90">
        <v>7.3549592806558017</v>
      </c>
    </row>
    <row r="2200" spans="1:2">
      <c r="A2200" s="32">
        <v>2187</v>
      </c>
      <c r="B2200" s="90">
        <v>7.8055154135343061</v>
      </c>
    </row>
    <row r="2201" spans="1:2">
      <c r="A2201" s="32">
        <v>2188</v>
      </c>
      <c r="B2201" s="90">
        <v>8.4166096448104941</v>
      </c>
    </row>
    <row r="2202" spans="1:2">
      <c r="A2202" s="32">
        <v>2189</v>
      </c>
      <c r="B2202" s="90">
        <v>8.754840153611843</v>
      </c>
    </row>
    <row r="2203" spans="1:2">
      <c r="A2203" s="32">
        <v>2190</v>
      </c>
      <c r="B2203" s="90">
        <v>8.7741141144848545</v>
      </c>
    </row>
    <row r="2204" spans="1:2">
      <c r="A2204" s="32">
        <v>2191</v>
      </c>
      <c r="B2204" s="90">
        <v>7.8014037685013173</v>
      </c>
    </row>
    <row r="2205" spans="1:2">
      <c r="A2205" s="32">
        <v>2192</v>
      </c>
      <c r="B2205" s="90">
        <v>8.1951386794734749</v>
      </c>
    </row>
    <row r="2206" spans="1:2">
      <c r="A2206" s="32">
        <v>2193</v>
      </c>
      <c r="B2206" s="90">
        <v>7.4803058133712597</v>
      </c>
    </row>
    <row r="2207" spans="1:2">
      <c r="A2207" s="32">
        <v>2194</v>
      </c>
      <c r="B2207" s="90">
        <v>8.0210806862896273</v>
      </c>
    </row>
    <row r="2208" spans="1:2">
      <c r="A2208" s="32">
        <v>2195</v>
      </c>
      <c r="B2208" s="90">
        <v>7.832746701455779</v>
      </c>
    </row>
    <row r="2209" spans="1:2">
      <c r="A2209" s="32">
        <v>2196</v>
      </c>
      <c r="B2209" s="90">
        <v>8.4592681037639377</v>
      </c>
    </row>
    <row r="2210" spans="1:2">
      <c r="A2210" s="32">
        <v>2197</v>
      </c>
      <c r="B2210" s="90">
        <v>7.9563810524116683</v>
      </c>
    </row>
    <row r="2211" spans="1:2">
      <c r="A2211" s="32">
        <v>2198</v>
      </c>
      <c r="B2211" s="90">
        <v>7.5840104808573967</v>
      </c>
    </row>
    <row r="2212" spans="1:2">
      <c r="A2212" s="32">
        <v>2199</v>
      </c>
      <c r="B2212" s="90">
        <v>8.2735517034172688</v>
      </c>
    </row>
    <row r="2213" spans="1:2">
      <c r="A2213" s="32">
        <v>2200</v>
      </c>
      <c r="B2213" s="90">
        <v>9.3254589036126561</v>
      </c>
    </row>
    <row r="2214" spans="1:2">
      <c r="A2214" s="32">
        <v>2201</v>
      </c>
      <c r="B2214" s="90">
        <v>8.4130111953289948</v>
      </c>
    </row>
    <row r="2215" spans="1:2">
      <c r="A2215" s="32">
        <v>2202</v>
      </c>
      <c r="B2215" s="90">
        <v>8.2840557892755839</v>
      </c>
    </row>
    <row r="2216" spans="1:2">
      <c r="A2216" s="32">
        <v>2203</v>
      </c>
      <c r="B2216" s="90">
        <v>7.2777357234132083</v>
      </c>
    </row>
    <row r="2217" spans="1:2">
      <c r="A2217" s="32">
        <v>2204</v>
      </c>
      <c r="B2217" s="90">
        <v>8.3645990998126933</v>
      </c>
    </row>
    <row r="2218" spans="1:2">
      <c r="A2218" s="32">
        <v>2205</v>
      </c>
      <c r="B2218" s="90">
        <v>8.3872172973616284</v>
      </c>
    </row>
    <row r="2219" spans="1:2">
      <c r="A2219" s="32">
        <v>2206</v>
      </c>
      <c r="B2219" s="90">
        <v>7.702642034128159</v>
      </c>
    </row>
    <row r="2220" spans="1:2">
      <c r="A2220" s="32">
        <v>2207</v>
      </c>
      <c r="B2220" s="90">
        <v>8.1159556213811275</v>
      </c>
    </row>
    <row r="2221" spans="1:2">
      <c r="A2221" s="32">
        <v>2208</v>
      </c>
      <c r="B2221" s="90">
        <v>7.8107600834976703</v>
      </c>
    </row>
    <row r="2222" spans="1:2">
      <c r="A2222" s="32">
        <v>2209</v>
      </c>
      <c r="B2222" s="90">
        <v>8.2037510797252633</v>
      </c>
    </row>
    <row r="2223" spans="1:2">
      <c r="A2223" s="32">
        <v>2210</v>
      </c>
      <c r="B2223" s="90">
        <v>7.4066747625857223</v>
      </c>
    </row>
    <row r="2224" spans="1:2">
      <c r="A2224" s="32">
        <v>2211</v>
      </c>
      <c r="B2224" s="90">
        <v>8.926207485316688</v>
      </c>
    </row>
    <row r="2225" spans="1:2">
      <c r="A2225" s="32">
        <v>2212</v>
      </c>
      <c r="B2225" s="90">
        <v>8.168177711174085</v>
      </c>
    </row>
    <row r="2226" spans="1:2">
      <c r="A2226" s="32">
        <v>2213</v>
      </c>
      <c r="B2226" s="90">
        <v>7.9184919887122955</v>
      </c>
    </row>
    <row r="2227" spans="1:2">
      <c r="A2227" s="32">
        <v>2214</v>
      </c>
      <c r="B2227" s="90">
        <v>8.469913648072275</v>
      </c>
    </row>
    <row r="2228" spans="1:2">
      <c r="A2228" s="32">
        <v>2215</v>
      </c>
      <c r="B2228" s="90">
        <v>8.7811319456473562</v>
      </c>
    </row>
    <row r="2229" spans="1:2">
      <c r="A2229" s="32">
        <v>2216</v>
      </c>
      <c r="B2229" s="90">
        <v>7.4757191973747537</v>
      </c>
    </row>
    <row r="2230" spans="1:2">
      <c r="A2230" s="32">
        <v>2217</v>
      </c>
      <c r="B2230" s="90">
        <v>8.0010762396768005</v>
      </c>
    </row>
    <row r="2231" spans="1:2">
      <c r="A2231" s="32">
        <v>2218</v>
      </c>
      <c r="B2231" s="90">
        <v>7.9888801352302616</v>
      </c>
    </row>
    <row r="2232" spans="1:2">
      <c r="A2232" s="32">
        <v>2219</v>
      </c>
      <c r="B2232" s="90">
        <v>8.2643055836932078</v>
      </c>
    </row>
    <row r="2233" spans="1:2">
      <c r="A2233" s="32">
        <v>2220</v>
      </c>
      <c r="B2233" s="90">
        <v>8.4767495728220261</v>
      </c>
    </row>
    <row r="2234" spans="1:2">
      <c r="A2234" s="32">
        <v>2221</v>
      </c>
      <c r="B2234" s="90">
        <v>7.8299686162627404</v>
      </c>
    </row>
    <row r="2235" spans="1:2">
      <c r="A2235" s="32">
        <v>2222</v>
      </c>
      <c r="B2235" s="90">
        <v>7.9058311107493848</v>
      </c>
    </row>
    <row r="2236" spans="1:2">
      <c r="A2236" s="32">
        <v>2223</v>
      </c>
      <c r="B2236" s="90">
        <v>7.2901662756914964</v>
      </c>
    </row>
    <row r="2237" spans="1:2">
      <c r="A2237" s="32">
        <v>2224</v>
      </c>
      <c r="B2237" s="90">
        <v>8.9024520274012637</v>
      </c>
    </row>
    <row r="2238" spans="1:2">
      <c r="A2238" s="32">
        <v>2225</v>
      </c>
      <c r="B2238" s="90">
        <v>8.9947077713496117</v>
      </c>
    </row>
    <row r="2239" spans="1:2">
      <c r="A2239" s="32">
        <v>2226</v>
      </c>
      <c r="B2239" s="90">
        <v>8.1775282752059777</v>
      </c>
    </row>
    <row r="2240" spans="1:2">
      <c r="A2240" s="32">
        <v>2227</v>
      </c>
      <c r="B2240" s="90">
        <v>8.6538781590385341</v>
      </c>
    </row>
    <row r="2241" spans="1:2">
      <c r="A2241" s="32">
        <v>2228</v>
      </c>
      <c r="B2241" s="90">
        <v>8.6974897796895778</v>
      </c>
    </row>
    <row r="2242" spans="1:2">
      <c r="A2242" s="32">
        <v>2229</v>
      </c>
      <c r="B2242" s="90">
        <v>8.0788872542493113</v>
      </c>
    </row>
    <row r="2243" spans="1:2">
      <c r="A2243" s="32">
        <v>2230</v>
      </c>
      <c r="B2243" s="90">
        <v>7.900278656682632</v>
      </c>
    </row>
    <row r="2244" spans="1:2">
      <c r="A2244" s="32">
        <v>2231</v>
      </c>
      <c r="B2244" s="90">
        <v>8.1653439082429635</v>
      </c>
    </row>
    <row r="2245" spans="1:2">
      <c r="A2245" s="32">
        <v>2232</v>
      </c>
      <c r="B2245" s="90">
        <v>7.2912455055017951</v>
      </c>
    </row>
    <row r="2246" spans="1:2">
      <c r="A2246" s="32">
        <v>2233</v>
      </c>
      <c r="B2246" s="90">
        <v>9.3453529296117601</v>
      </c>
    </row>
    <row r="2247" spans="1:2">
      <c r="A2247" s="32">
        <v>2234</v>
      </c>
      <c r="B2247" s="90">
        <v>7.6086097476830226</v>
      </c>
    </row>
    <row r="2248" spans="1:2">
      <c r="A2248" s="32">
        <v>2235</v>
      </c>
      <c r="B2248" s="90">
        <v>6.7975298256721288</v>
      </c>
    </row>
    <row r="2249" spans="1:2">
      <c r="A2249" s="32">
        <v>2236</v>
      </c>
      <c r="B2249" s="90">
        <v>7.5396775719586806</v>
      </c>
    </row>
    <row r="2250" spans="1:2">
      <c r="A2250" s="32">
        <v>2237</v>
      </c>
      <c r="B2250" s="90">
        <v>7.6723151120941342</v>
      </c>
    </row>
    <row r="2251" spans="1:2">
      <c r="A2251" s="32">
        <v>2238</v>
      </c>
      <c r="B2251" s="90">
        <v>7.7704113298509609</v>
      </c>
    </row>
    <row r="2252" spans="1:2">
      <c r="A2252" s="32">
        <v>2239</v>
      </c>
      <c r="B2252" s="90">
        <v>8.0664329949419198</v>
      </c>
    </row>
    <row r="2253" spans="1:2">
      <c r="A2253" s="32">
        <v>2240</v>
      </c>
      <c r="B2253" s="90">
        <v>7.7359018848488823</v>
      </c>
    </row>
    <row r="2254" spans="1:2">
      <c r="A2254" s="32">
        <v>2241</v>
      </c>
      <c r="B2254" s="90">
        <v>9.0298747173573659</v>
      </c>
    </row>
    <row r="2255" spans="1:2">
      <c r="A2255" s="32">
        <v>2242</v>
      </c>
      <c r="B2255" s="90">
        <v>8.3917950498735614</v>
      </c>
    </row>
    <row r="2256" spans="1:2">
      <c r="A2256" s="32">
        <v>2243</v>
      </c>
      <c r="B2256" s="90">
        <v>8.0782170961829163</v>
      </c>
    </row>
    <row r="2257" spans="1:2">
      <c r="A2257" s="32">
        <v>2244</v>
      </c>
      <c r="B2257" s="90">
        <v>8.5999588706451409</v>
      </c>
    </row>
    <row r="2258" spans="1:2">
      <c r="A2258" s="32">
        <v>2245</v>
      </c>
      <c r="B2258" s="90">
        <v>7.4323884022892788</v>
      </c>
    </row>
    <row r="2259" spans="1:2">
      <c r="A2259" s="32">
        <v>2246</v>
      </c>
      <c r="B2259" s="90">
        <v>8.6184798455696257</v>
      </c>
    </row>
    <row r="2260" spans="1:2">
      <c r="A2260" s="32">
        <v>2247</v>
      </c>
      <c r="B2260" s="90">
        <v>9.0900690219103364</v>
      </c>
    </row>
    <row r="2261" spans="1:2">
      <c r="A2261" s="32">
        <v>2248</v>
      </c>
      <c r="B2261" s="90">
        <v>7.7018003629475258</v>
      </c>
    </row>
    <row r="2262" spans="1:2">
      <c r="A2262" s="32">
        <v>2249</v>
      </c>
      <c r="B2262" s="90">
        <v>9.1176925126943189</v>
      </c>
    </row>
    <row r="2263" spans="1:2">
      <c r="A2263" s="32">
        <v>2250</v>
      </c>
      <c r="B2263" s="90">
        <v>8.4032318286438858</v>
      </c>
    </row>
    <row r="2264" spans="1:2">
      <c r="A2264" s="32">
        <v>2251</v>
      </c>
      <c r="B2264" s="90">
        <v>8.6060712052341124</v>
      </c>
    </row>
    <row r="2265" spans="1:2">
      <c r="A2265" s="32">
        <v>2252</v>
      </c>
      <c r="B2265" s="90">
        <v>8.3823074087422391</v>
      </c>
    </row>
    <row r="2266" spans="1:2">
      <c r="A2266" s="32">
        <v>2253</v>
      </c>
      <c r="B2266" s="90">
        <v>7.6215344110517895</v>
      </c>
    </row>
    <row r="2267" spans="1:2">
      <c r="A2267" s="32">
        <v>2254</v>
      </c>
      <c r="B2267" s="90">
        <v>6.9831162490734764</v>
      </c>
    </row>
    <row r="2268" spans="1:2">
      <c r="A2268" s="32">
        <v>2255</v>
      </c>
      <c r="B2268" s="90">
        <v>8.1394642538181774</v>
      </c>
    </row>
    <row r="2269" spans="1:2">
      <c r="A2269" s="32">
        <v>2256</v>
      </c>
      <c r="B2269" s="90">
        <v>8.1542530434017397</v>
      </c>
    </row>
    <row r="2270" spans="1:2">
      <c r="A2270" s="32">
        <v>2257</v>
      </c>
      <c r="B2270" s="90">
        <v>7.3996672638190457</v>
      </c>
    </row>
    <row r="2271" spans="1:2">
      <c r="A2271" s="32">
        <v>2258</v>
      </c>
      <c r="B2271" s="90">
        <v>7.8706012823557252</v>
      </c>
    </row>
    <row r="2272" spans="1:2">
      <c r="A2272" s="32">
        <v>2259</v>
      </c>
      <c r="B2272" s="90">
        <v>6.697539450879983</v>
      </c>
    </row>
    <row r="2273" spans="1:2">
      <c r="A2273" s="32">
        <v>2260</v>
      </c>
      <c r="B2273" s="90">
        <v>7.8105470103190298</v>
      </c>
    </row>
    <row r="2274" spans="1:2">
      <c r="A2274" s="32">
        <v>2261</v>
      </c>
      <c r="B2274" s="90">
        <v>8.3066154229576608</v>
      </c>
    </row>
    <row r="2275" spans="1:2">
      <c r="A2275" s="32">
        <v>2262</v>
      </c>
      <c r="B2275" s="90">
        <v>8.6929007028124179</v>
      </c>
    </row>
    <row r="2276" spans="1:2">
      <c r="A2276" s="32">
        <v>2263</v>
      </c>
      <c r="B2276" s="90">
        <v>9.1084684150259942</v>
      </c>
    </row>
    <row r="2277" spans="1:2">
      <c r="A2277" s="32">
        <v>2264</v>
      </c>
      <c r="B2277" s="90">
        <v>10.096010969464134</v>
      </c>
    </row>
    <row r="2278" spans="1:2">
      <c r="A2278" s="32">
        <v>2265</v>
      </c>
      <c r="B2278" s="90">
        <v>7.4000461205533226</v>
      </c>
    </row>
    <row r="2279" spans="1:2">
      <c r="A2279" s="32">
        <v>2266</v>
      </c>
      <c r="B2279" s="90">
        <v>8.9964103936935622</v>
      </c>
    </row>
    <row r="2280" spans="1:2">
      <c r="A2280" s="32">
        <v>2267</v>
      </c>
      <c r="B2280" s="90">
        <v>9.0357244829567289</v>
      </c>
    </row>
    <row r="2281" spans="1:2">
      <c r="A2281" s="32">
        <v>2268</v>
      </c>
      <c r="B2281" s="90">
        <v>7.8000389335831661</v>
      </c>
    </row>
    <row r="2282" spans="1:2">
      <c r="A2282" s="32">
        <v>2269</v>
      </c>
      <c r="B2282" s="90">
        <v>8.2464233688445763</v>
      </c>
    </row>
    <row r="2283" spans="1:2">
      <c r="A2283" s="32">
        <v>2270</v>
      </c>
      <c r="B2283" s="90">
        <v>7.2352650506286675</v>
      </c>
    </row>
    <row r="2284" spans="1:2">
      <c r="A2284" s="32">
        <v>2271</v>
      </c>
      <c r="B2284" s="90">
        <v>8.9371900838938387</v>
      </c>
    </row>
    <row r="2285" spans="1:2">
      <c r="A2285" s="32">
        <v>2272</v>
      </c>
      <c r="B2285" s="90">
        <v>8.0522182451464097</v>
      </c>
    </row>
    <row r="2286" spans="1:2">
      <c r="A2286" s="32">
        <v>2273</v>
      </c>
      <c r="B2286" s="90">
        <v>7.9806215004065608</v>
      </c>
    </row>
    <row r="2287" spans="1:2">
      <c r="A2287" s="32">
        <v>2274</v>
      </c>
      <c r="B2287" s="90">
        <v>7.2857759953157268</v>
      </c>
    </row>
    <row r="2288" spans="1:2">
      <c r="A2288" s="32">
        <v>2275</v>
      </c>
      <c r="B2288" s="90">
        <v>7.353854591276451</v>
      </c>
    </row>
    <row r="2289" spans="1:2">
      <c r="A2289" s="32">
        <v>2276</v>
      </c>
      <c r="B2289" s="90">
        <v>8.7559273897035244</v>
      </c>
    </row>
    <row r="2290" spans="1:2">
      <c r="A2290" s="32">
        <v>2277</v>
      </c>
      <c r="B2290" s="90">
        <v>8.7810365033588234</v>
      </c>
    </row>
    <row r="2291" spans="1:2">
      <c r="A2291" s="32">
        <v>2278</v>
      </c>
      <c r="B2291" s="90">
        <v>7.7236314131610584</v>
      </c>
    </row>
    <row r="2292" spans="1:2">
      <c r="A2292" s="32">
        <v>2279</v>
      </c>
      <c r="B2292" s="90">
        <v>8.4404536032491908</v>
      </c>
    </row>
    <row r="2293" spans="1:2">
      <c r="A2293" s="32">
        <v>2280</v>
      </c>
      <c r="B2293" s="90">
        <v>8.8836993027728255</v>
      </c>
    </row>
    <row r="2294" spans="1:2">
      <c r="A2294" s="32">
        <v>2281</v>
      </c>
      <c r="B2294" s="90">
        <v>8.2956515700054645</v>
      </c>
    </row>
    <row r="2295" spans="1:2">
      <c r="A2295" s="32">
        <v>2282</v>
      </c>
      <c r="B2295" s="90">
        <v>7.6752104364753464</v>
      </c>
    </row>
    <row r="2296" spans="1:2">
      <c r="A2296" s="32">
        <v>2283</v>
      </c>
      <c r="B2296" s="90">
        <v>7.7419682077350283</v>
      </c>
    </row>
    <row r="2297" spans="1:2">
      <c r="A2297" s="32">
        <v>2284</v>
      </c>
      <c r="B2297" s="90">
        <v>8.8205723389463326</v>
      </c>
    </row>
    <row r="2298" spans="1:2">
      <c r="A2298" s="32">
        <v>2285</v>
      </c>
      <c r="B2298" s="90">
        <v>8.1217589030413784</v>
      </c>
    </row>
    <row r="2299" spans="1:2">
      <c r="A2299" s="32">
        <v>2286</v>
      </c>
      <c r="B2299" s="90">
        <v>8.8495279340762885</v>
      </c>
    </row>
    <row r="2300" spans="1:2">
      <c r="A2300" s="32">
        <v>2287</v>
      </c>
      <c r="B2300" s="90">
        <v>7.380811919531121</v>
      </c>
    </row>
    <row r="2301" spans="1:2">
      <c r="A2301" s="32">
        <v>2288</v>
      </c>
      <c r="B2301" s="90">
        <v>6.9499895999065835</v>
      </c>
    </row>
    <row r="2302" spans="1:2">
      <c r="A2302" s="32">
        <v>2289</v>
      </c>
      <c r="B2302" s="90">
        <v>7.713274524414377</v>
      </c>
    </row>
    <row r="2303" spans="1:2">
      <c r="A2303" s="32">
        <v>2290</v>
      </c>
      <c r="B2303" s="90">
        <v>8.2817307605852317</v>
      </c>
    </row>
    <row r="2304" spans="1:2">
      <c r="A2304" s="32">
        <v>2291</v>
      </c>
      <c r="B2304" s="90">
        <v>7.1434319559596595</v>
      </c>
    </row>
    <row r="2305" spans="1:2">
      <c r="A2305" s="32">
        <v>2292</v>
      </c>
      <c r="B2305" s="90">
        <v>8.9313206352152541</v>
      </c>
    </row>
    <row r="2306" spans="1:2">
      <c r="A2306" s="32">
        <v>2293</v>
      </c>
      <c r="B2306" s="90">
        <v>7.6657789555751101</v>
      </c>
    </row>
    <row r="2307" spans="1:2">
      <c r="A2307" s="32">
        <v>2294</v>
      </c>
      <c r="B2307" s="90">
        <v>8.2606422523633256</v>
      </c>
    </row>
    <row r="2308" spans="1:2">
      <c r="A2308" s="32">
        <v>2295</v>
      </c>
      <c r="B2308" s="90">
        <v>7.7016385971675607</v>
      </c>
    </row>
    <row r="2309" spans="1:2">
      <c r="A2309" s="32">
        <v>2296</v>
      </c>
      <c r="B2309" s="90">
        <v>7.9525098667621377</v>
      </c>
    </row>
    <row r="2310" spans="1:2">
      <c r="A2310" s="32">
        <v>2297</v>
      </c>
      <c r="B2310" s="90">
        <v>8.9420273936822454</v>
      </c>
    </row>
    <row r="2311" spans="1:2">
      <c r="A2311" s="32">
        <v>2298</v>
      </c>
      <c r="B2311" s="90">
        <v>7.7677346530293399</v>
      </c>
    </row>
    <row r="2312" spans="1:2">
      <c r="A2312" s="32">
        <v>2299</v>
      </c>
      <c r="B2312" s="90">
        <v>8.2110011218046317</v>
      </c>
    </row>
    <row r="2313" spans="1:2">
      <c r="A2313" s="32">
        <v>2300</v>
      </c>
      <c r="B2313" s="90">
        <v>9.8322022707796375</v>
      </c>
    </row>
    <row r="2314" spans="1:2">
      <c r="A2314" s="32">
        <v>2301</v>
      </c>
      <c r="B2314" s="90">
        <v>9.5825688443010471</v>
      </c>
    </row>
    <row r="2315" spans="1:2">
      <c r="A2315" s="32">
        <v>2302</v>
      </c>
      <c r="B2315" s="90">
        <v>8.4490776192494508</v>
      </c>
    </row>
    <row r="2316" spans="1:2">
      <c r="A2316" s="32">
        <v>2303</v>
      </c>
      <c r="B2316" s="90">
        <v>7.1052617410374719</v>
      </c>
    </row>
    <row r="2317" spans="1:2">
      <c r="A2317" s="32">
        <v>2304</v>
      </c>
      <c r="B2317" s="90">
        <v>7.3581109270180383</v>
      </c>
    </row>
    <row r="2318" spans="1:2">
      <c r="A2318" s="32">
        <v>2305</v>
      </c>
      <c r="B2318" s="90">
        <v>8.6688199588784585</v>
      </c>
    </row>
    <row r="2319" spans="1:2">
      <c r="A2319" s="32">
        <v>2306</v>
      </c>
      <c r="B2319" s="90">
        <v>9.4510092953982685</v>
      </c>
    </row>
    <row r="2320" spans="1:2">
      <c r="A2320" s="32">
        <v>2307</v>
      </c>
      <c r="B2320" s="90">
        <v>9.416867004042059</v>
      </c>
    </row>
    <row r="2321" spans="1:2">
      <c r="A2321" s="32">
        <v>2308</v>
      </c>
      <c r="B2321" s="90">
        <v>9.7789486688741416</v>
      </c>
    </row>
    <row r="2322" spans="1:2">
      <c r="A2322" s="32">
        <v>2309</v>
      </c>
      <c r="B2322" s="90">
        <v>8.2022638956877714</v>
      </c>
    </row>
    <row r="2323" spans="1:2">
      <c r="A2323" s="32">
        <v>2310</v>
      </c>
      <c r="B2323" s="90">
        <v>7.3879186090747382</v>
      </c>
    </row>
    <row r="2324" spans="1:2">
      <c r="A2324" s="32">
        <v>2311</v>
      </c>
      <c r="B2324" s="90">
        <v>8.4221718886282826</v>
      </c>
    </row>
    <row r="2325" spans="1:2">
      <c r="A2325" s="32">
        <v>2312</v>
      </c>
      <c r="B2325" s="90">
        <v>8.3539833955342591</v>
      </c>
    </row>
    <row r="2326" spans="1:2">
      <c r="A2326" s="32">
        <v>2313</v>
      </c>
      <c r="B2326" s="90">
        <v>7.3385708636886369</v>
      </c>
    </row>
    <row r="2327" spans="1:2">
      <c r="A2327" s="32">
        <v>2314</v>
      </c>
      <c r="B2327" s="90">
        <v>7.9873199394718268</v>
      </c>
    </row>
    <row r="2328" spans="1:2">
      <c r="A2328" s="32">
        <v>2315</v>
      </c>
      <c r="B2328" s="90">
        <v>8.9223550975292802</v>
      </c>
    </row>
    <row r="2329" spans="1:2">
      <c r="A2329" s="32">
        <v>2316</v>
      </c>
      <c r="B2329" s="90">
        <v>8.26825499042884</v>
      </c>
    </row>
    <row r="2330" spans="1:2">
      <c r="A2330" s="32">
        <v>2317</v>
      </c>
      <c r="B2330" s="90">
        <v>9.2840862672998448</v>
      </c>
    </row>
    <row r="2331" spans="1:2">
      <c r="A2331" s="32">
        <v>2318</v>
      </c>
      <c r="B2331" s="90">
        <v>7.83121901875717</v>
      </c>
    </row>
    <row r="2332" spans="1:2">
      <c r="A2332" s="32">
        <v>2319</v>
      </c>
      <c r="B2332" s="90">
        <v>9.9272819647302484</v>
      </c>
    </row>
    <row r="2333" spans="1:2">
      <c r="A2333" s="32">
        <v>2320</v>
      </c>
      <c r="B2333" s="90">
        <v>8.6789530136863391</v>
      </c>
    </row>
    <row r="2334" spans="1:2">
      <c r="A2334" s="32">
        <v>2321</v>
      </c>
      <c r="B2334" s="90">
        <v>8.1753338480126896</v>
      </c>
    </row>
    <row r="2335" spans="1:2">
      <c r="A2335" s="32">
        <v>2322</v>
      </c>
      <c r="B2335" s="90">
        <v>8.5064700913233704</v>
      </c>
    </row>
    <row r="2336" spans="1:2">
      <c r="A2336" s="32">
        <v>2323</v>
      </c>
      <c r="B2336" s="90">
        <v>7.8074135043060009</v>
      </c>
    </row>
    <row r="2337" spans="1:2">
      <c r="A2337" s="32">
        <v>2324</v>
      </c>
      <c r="B2337" s="90">
        <v>7.3767457997298509</v>
      </c>
    </row>
    <row r="2338" spans="1:2">
      <c r="A2338" s="32">
        <v>2325</v>
      </c>
      <c r="B2338" s="90">
        <v>7.5093754667912229</v>
      </c>
    </row>
    <row r="2339" spans="1:2">
      <c r="A2339" s="32">
        <v>2326</v>
      </c>
      <c r="B2339" s="90">
        <v>8.1420067051118998</v>
      </c>
    </row>
    <row r="2340" spans="1:2">
      <c r="A2340" s="32">
        <v>2327</v>
      </c>
      <c r="B2340" s="90">
        <v>7.0148722709600584</v>
      </c>
    </row>
    <row r="2341" spans="1:2">
      <c r="A2341" s="32">
        <v>2328</v>
      </c>
      <c r="B2341" s="90">
        <v>7.4749367498521204</v>
      </c>
    </row>
    <row r="2342" spans="1:2">
      <c r="A2342" s="32">
        <v>2329</v>
      </c>
      <c r="B2342" s="90">
        <v>8.3558284641796128</v>
      </c>
    </row>
    <row r="2343" spans="1:2">
      <c r="A2343" s="32">
        <v>2330</v>
      </c>
      <c r="B2343" s="90">
        <v>7.6504578077429768</v>
      </c>
    </row>
    <row r="2344" spans="1:2">
      <c r="A2344" s="32">
        <v>2331</v>
      </c>
      <c r="B2344" s="90">
        <v>8.0510184910698719</v>
      </c>
    </row>
    <row r="2345" spans="1:2">
      <c r="A2345" s="32">
        <v>2332</v>
      </c>
      <c r="B2345" s="90">
        <v>8.3926611596802694</v>
      </c>
    </row>
    <row r="2346" spans="1:2">
      <c r="A2346" s="32">
        <v>2333</v>
      </c>
      <c r="B2346" s="90">
        <v>7.7114785254991345</v>
      </c>
    </row>
    <row r="2347" spans="1:2">
      <c r="A2347" s="32">
        <v>2334</v>
      </c>
      <c r="B2347" s="90">
        <v>9.0218169568478963</v>
      </c>
    </row>
    <row r="2348" spans="1:2">
      <c r="A2348" s="32">
        <v>2335</v>
      </c>
      <c r="B2348" s="90">
        <v>7.4526801872130468</v>
      </c>
    </row>
    <row r="2349" spans="1:2">
      <c r="A2349" s="32">
        <v>2336</v>
      </c>
      <c r="B2349" s="90">
        <v>7.663792091756795</v>
      </c>
    </row>
    <row r="2350" spans="1:2">
      <c r="A2350" s="32">
        <v>2337</v>
      </c>
      <c r="B2350" s="90">
        <v>7.9887634785209851</v>
      </c>
    </row>
    <row r="2351" spans="1:2">
      <c r="A2351" s="32">
        <v>2338</v>
      </c>
      <c r="B2351" s="90">
        <v>8.0145192465452499</v>
      </c>
    </row>
    <row r="2352" spans="1:2">
      <c r="A2352" s="32">
        <v>2339</v>
      </c>
      <c r="B2352" s="90">
        <v>8.122109792143311</v>
      </c>
    </row>
    <row r="2353" spans="1:2">
      <c r="A2353" s="32">
        <v>2340</v>
      </c>
      <c r="B2353" s="90">
        <v>8.9232592666544939</v>
      </c>
    </row>
    <row r="2354" spans="1:2">
      <c r="A2354" s="32">
        <v>2341</v>
      </c>
      <c r="B2354" s="90">
        <v>7.3049249952189035</v>
      </c>
    </row>
    <row r="2355" spans="1:2">
      <c r="A2355" s="32">
        <v>2342</v>
      </c>
      <c r="B2355" s="90">
        <v>9.1584612738216808</v>
      </c>
    </row>
    <row r="2356" spans="1:2">
      <c r="A2356" s="32">
        <v>2343</v>
      </c>
      <c r="B2356" s="90">
        <v>7.831605868844961</v>
      </c>
    </row>
    <row r="2357" spans="1:2">
      <c r="A2357" s="32">
        <v>2344</v>
      </c>
      <c r="B2357" s="90">
        <v>7.9062519517777723</v>
      </c>
    </row>
    <row r="2358" spans="1:2">
      <c r="A2358" s="32">
        <v>2345</v>
      </c>
      <c r="B2358" s="90">
        <v>7.5288491156638697</v>
      </c>
    </row>
    <row r="2359" spans="1:2">
      <c r="A2359" s="32">
        <v>2346</v>
      </c>
      <c r="B2359" s="90">
        <v>6.7134476696934859</v>
      </c>
    </row>
    <row r="2360" spans="1:2">
      <c r="A2360" s="32">
        <v>2347</v>
      </c>
      <c r="B2360" s="90">
        <v>7.8942546297337257</v>
      </c>
    </row>
    <row r="2361" spans="1:2">
      <c r="A2361" s="32">
        <v>2348</v>
      </c>
      <c r="B2361" s="90">
        <v>8.2411707750992669</v>
      </c>
    </row>
    <row r="2362" spans="1:2">
      <c r="A2362" s="32">
        <v>2349</v>
      </c>
      <c r="B2362" s="90">
        <v>7.3963624558216621</v>
      </c>
    </row>
    <row r="2363" spans="1:2">
      <c r="A2363" s="32">
        <v>2350</v>
      </c>
      <c r="B2363" s="90">
        <v>8.1192744322770931</v>
      </c>
    </row>
    <row r="2364" spans="1:2">
      <c r="A2364" s="32">
        <v>2351</v>
      </c>
      <c r="B2364" s="90">
        <v>7.8391168187585176</v>
      </c>
    </row>
    <row r="2365" spans="1:2">
      <c r="A2365" s="32">
        <v>2352</v>
      </c>
      <c r="B2365" s="90">
        <v>7.8074034484299197</v>
      </c>
    </row>
    <row r="2366" spans="1:2">
      <c r="A2366" s="32">
        <v>2353</v>
      </c>
      <c r="B2366" s="90">
        <v>7.4450585882277673</v>
      </c>
    </row>
    <row r="2367" spans="1:2">
      <c r="A2367" s="32">
        <v>2354</v>
      </c>
      <c r="B2367" s="90">
        <v>8.7891573937613092</v>
      </c>
    </row>
    <row r="2368" spans="1:2">
      <c r="A2368" s="32">
        <v>2355</v>
      </c>
      <c r="B2368" s="90">
        <v>8.4930942003853467</v>
      </c>
    </row>
    <row r="2369" spans="1:2">
      <c r="A2369" s="32">
        <v>2356</v>
      </c>
      <c r="B2369" s="90">
        <v>8.0096060220948377</v>
      </c>
    </row>
    <row r="2370" spans="1:2">
      <c r="A2370" s="32">
        <v>2357</v>
      </c>
      <c r="B2370" s="90">
        <v>8.1973277333273522</v>
      </c>
    </row>
    <row r="2371" spans="1:2">
      <c r="A2371" s="32">
        <v>2358</v>
      </c>
      <c r="B2371" s="90">
        <v>7.7112458665618329</v>
      </c>
    </row>
    <row r="2372" spans="1:2">
      <c r="A2372" s="32">
        <v>2359</v>
      </c>
      <c r="B2372" s="90">
        <v>7.8103811069922395</v>
      </c>
    </row>
    <row r="2373" spans="1:2">
      <c r="A2373" s="32">
        <v>2360</v>
      </c>
      <c r="B2373" s="90">
        <v>7.2165130020847457</v>
      </c>
    </row>
    <row r="2374" spans="1:2">
      <c r="A2374" s="32">
        <v>2361</v>
      </c>
      <c r="B2374" s="90">
        <v>9.2019551377378157</v>
      </c>
    </row>
    <row r="2375" spans="1:2">
      <c r="A2375" s="32">
        <v>2362</v>
      </c>
      <c r="B2375" s="90">
        <v>8.6614970008128545</v>
      </c>
    </row>
    <row r="2376" spans="1:2">
      <c r="A2376" s="32">
        <v>2363</v>
      </c>
      <c r="B2376" s="90">
        <v>7.6582713361395589</v>
      </c>
    </row>
    <row r="2377" spans="1:2">
      <c r="A2377" s="32">
        <v>2364</v>
      </c>
      <c r="B2377" s="90">
        <v>7.3994641824486092</v>
      </c>
    </row>
    <row r="2378" spans="1:2">
      <c r="A2378" s="32">
        <v>2365</v>
      </c>
      <c r="B2378" s="90">
        <v>10.41599876849275</v>
      </c>
    </row>
    <row r="2379" spans="1:2">
      <c r="A2379" s="32">
        <v>2366</v>
      </c>
      <c r="B2379" s="90">
        <v>7.7030918528560326</v>
      </c>
    </row>
    <row r="2380" spans="1:2">
      <c r="A2380" s="32">
        <v>2367</v>
      </c>
      <c r="B2380" s="90">
        <v>9.0726681748033293</v>
      </c>
    </row>
    <row r="2381" spans="1:2">
      <c r="A2381" s="32">
        <v>2368</v>
      </c>
      <c r="B2381" s="90">
        <v>7.0315747193936202</v>
      </c>
    </row>
    <row r="2382" spans="1:2">
      <c r="A2382" s="32">
        <v>2369</v>
      </c>
      <c r="B2382" s="90">
        <v>9.0020293993945941</v>
      </c>
    </row>
    <row r="2383" spans="1:2">
      <c r="A2383" s="32">
        <v>2370</v>
      </c>
      <c r="B2383" s="90">
        <v>8.2167825201870954</v>
      </c>
    </row>
    <row r="2384" spans="1:2">
      <c r="A2384" s="32">
        <v>2371</v>
      </c>
      <c r="B2384" s="90">
        <v>7.229676491255046</v>
      </c>
    </row>
    <row r="2385" spans="1:2">
      <c r="A2385" s="32">
        <v>2372</v>
      </c>
      <c r="B2385" s="90">
        <v>8.3411931355667104</v>
      </c>
    </row>
    <row r="2386" spans="1:2">
      <c r="A2386" s="32">
        <v>2373</v>
      </c>
      <c r="B2386" s="90">
        <v>7.8120494344474034</v>
      </c>
    </row>
    <row r="2387" spans="1:2">
      <c r="A2387" s="32">
        <v>2374</v>
      </c>
      <c r="B2387" s="90">
        <v>9.1746481415862906</v>
      </c>
    </row>
    <row r="2388" spans="1:2">
      <c r="A2388" s="32">
        <v>2375</v>
      </c>
      <c r="B2388" s="90">
        <v>8.4013720007778598</v>
      </c>
    </row>
    <row r="2389" spans="1:2">
      <c r="A2389" s="32">
        <v>2376</v>
      </c>
      <c r="B2389" s="90">
        <v>8.8291767787014219</v>
      </c>
    </row>
    <row r="2390" spans="1:2">
      <c r="A2390" s="32">
        <v>2377</v>
      </c>
      <c r="B2390" s="90">
        <v>7.4644338518976365</v>
      </c>
    </row>
    <row r="2391" spans="1:2">
      <c r="A2391" s="32">
        <v>2378</v>
      </c>
      <c r="B2391" s="90">
        <v>7.9272566890842704</v>
      </c>
    </row>
    <row r="2392" spans="1:2">
      <c r="A2392" s="32">
        <v>2379</v>
      </c>
      <c r="B2392" s="90">
        <v>8.7922248421532565</v>
      </c>
    </row>
    <row r="2393" spans="1:2">
      <c r="A2393" s="32">
        <v>2380</v>
      </c>
      <c r="B2393" s="90">
        <v>8.5933502536546911</v>
      </c>
    </row>
    <row r="2394" spans="1:2">
      <c r="A2394" s="32">
        <v>2381</v>
      </c>
      <c r="B2394" s="90">
        <v>7.712259302461157</v>
      </c>
    </row>
    <row r="2395" spans="1:2">
      <c r="A2395" s="32">
        <v>2382</v>
      </c>
      <c r="B2395" s="90">
        <v>7.8325826801059755</v>
      </c>
    </row>
    <row r="2396" spans="1:2">
      <c r="A2396" s="32">
        <v>2383</v>
      </c>
      <c r="B2396" s="90">
        <v>8.0926463903196719</v>
      </c>
    </row>
    <row r="2397" spans="1:2">
      <c r="A2397" s="32">
        <v>2384</v>
      </c>
      <c r="B2397" s="90">
        <v>7.6914865497531997</v>
      </c>
    </row>
    <row r="2398" spans="1:2">
      <c r="A2398" s="32">
        <v>2385</v>
      </c>
      <c r="B2398" s="90">
        <v>7.0402063240065669</v>
      </c>
    </row>
    <row r="2399" spans="1:2">
      <c r="A2399" s="32">
        <v>2386</v>
      </c>
      <c r="B2399" s="90">
        <v>8.6143695138183389</v>
      </c>
    </row>
    <row r="2400" spans="1:2">
      <c r="A2400" s="32">
        <v>2387</v>
      </c>
      <c r="B2400" s="90">
        <v>8.7769569991940486</v>
      </c>
    </row>
    <row r="2401" spans="1:2">
      <c r="A2401" s="32">
        <v>2388</v>
      </c>
      <c r="B2401" s="90">
        <v>7.2771431240378481</v>
      </c>
    </row>
    <row r="2402" spans="1:2">
      <c r="A2402" s="32">
        <v>2389</v>
      </c>
      <c r="B2402" s="90">
        <v>7.5552986981212484</v>
      </c>
    </row>
    <row r="2403" spans="1:2">
      <c r="A2403" s="32">
        <v>2390</v>
      </c>
      <c r="B2403" s="90">
        <v>7.8001621539530239</v>
      </c>
    </row>
    <row r="2404" spans="1:2">
      <c r="A2404" s="32">
        <v>2391</v>
      </c>
      <c r="B2404" s="90">
        <v>7.5697251311648364</v>
      </c>
    </row>
    <row r="2405" spans="1:2">
      <c r="A2405" s="32">
        <v>2392</v>
      </c>
      <c r="B2405" s="90">
        <v>7.4759850149425047</v>
      </c>
    </row>
    <row r="2406" spans="1:2">
      <c r="A2406" s="32">
        <v>2393</v>
      </c>
      <c r="B2406" s="90">
        <v>8.149402355211274</v>
      </c>
    </row>
    <row r="2407" spans="1:2">
      <c r="A2407" s="32">
        <v>2394</v>
      </c>
      <c r="B2407" s="90">
        <v>8.3189269592540178</v>
      </c>
    </row>
    <row r="2408" spans="1:2">
      <c r="A2408" s="32">
        <v>2395</v>
      </c>
      <c r="B2408" s="90">
        <v>7.8592623505750376</v>
      </c>
    </row>
    <row r="2409" spans="1:2">
      <c r="A2409" s="32">
        <v>2396</v>
      </c>
      <c r="B2409" s="90">
        <v>7.6885023160374741</v>
      </c>
    </row>
    <row r="2410" spans="1:2">
      <c r="A2410" s="32">
        <v>2397</v>
      </c>
      <c r="B2410" s="90">
        <v>7.810419122011754</v>
      </c>
    </row>
    <row r="2411" spans="1:2">
      <c r="A2411" s="32">
        <v>2398</v>
      </c>
      <c r="B2411" s="90">
        <v>8.6495635911244406</v>
      </c>
    </row>
    <row r="2412" spans="1:2">
      <c r="A2412" s="32">
        <v>2399</v>
      </c>
      <c r="B2412" s="90">
        <v>9.3490194357102929</v>
      </c>
    </row>
    <row r="2413" spans="1:2">
      <c r="A2413" s="32">
        <v>2400</v>
      </c>
      <c r="B2413" s="90">
        <v>7.8556223129314002</v>
      </c>
    </row>
    <row r="2414" spans="1:2">
      <c r="A2414" s="32">
        <v>2401</v>
      </c>
      <c r="B2414" s="90">
        <v>8.4879721315136507</v>
      </c>
    </row>
    <row r="2415" spans="1:2">
      <c r="A2415" s="32">
        <v>2402</v>
      </c>
      <c r="B2415" s="90">
        <v>8.3986740743736128</v>
      </c>
    </row>
    <row r="2416" spans="1:2">
      <c r="A2416" s="32">
        <v>2403</v>
      </c>
      <c r="B2416" s="90">
        <v>8.0619845918921076</v>
      </c>
    </row>
    <row r="2417" spans="1:2">
      <c r="A2417" s="32">
        <v>2404</v>
      </c>
      <c r="B2417" s="90">
        <v>9.0462398022753394</v>
      </c>
    </row>
    <row r="2418" spans="1:2">
      <c r="A2418" s="32">
        <v>2405</v>
      </c>
      <c r="B2418" s="90">
        <v>8.4052297445332123</v>
      </c>
    </row>
    <row r="2419" spans="1:2">
      <c r="A2419" s="32">
        <v>2406</v>
      </c>
      <c r="B2419" s="90">
        <v>7.2615802475691327</v>
      </c>
    </row>
    <row r="2420" spans="1:2">
      <c r="A2420" s="32">
        <v>2407</v>
      </c>
      <c r="B2420" s="90">
        <v>8.5217768571024077</v>
      </c>
    </row>
    <row r="2421" spans="1:2">
      <c r="A2421" s="32">
        <v>2408</v>
      </c>
      <c r="B2421" s="90">
        <v>7.7515092248144395</v>
      </c>
    </row>
    <row r="2422" spans="1:2">
      <c r="A2422" s="32">
        <v>2409</v>
      </c>
      <c r="B2422" s="90">
        <v>7.8220651484837767</v>
      </c>
    </row>
    <row r="2423" spans="1:2">
      <c r="A2423" s="32">
        <v>2410</v>
      </c>
      <c r="B2423" s="90">
        <v>9.0843583619352533</v>
      </c>
    </row>
    <row r="2424" spans="1:2">
      <c r="A2424" s="32">
        <v>2411</v>
      </c>
      <c r="B2424" s="90">
        <v>8.3341845511361861</v>
      </c>
    </row>
    <row r="2425" spans="1:2">
      <c r="A2425" s="32">
        <v>2412</v>
      </c>
      <c r="B2425" s="90">
        <v>6.7904465386490829</v>
      </c>
    </row>
    <row r="2426" spans="1:2">
      <c r="A2426" s="32">
        <v>2413</v>
      </c>
      <c r="B2426" s="90">
        <v>7.835685706992642</v>
      </c>
    </row>
    <row r="2427" spans="1:2">
      <c r="A2427" s="32">
        <v>2414</v>
      </c>
      <c r="B2427" s="90">
        <v>8.816706924987777</v>
      </c>
    </row>
    <row r="2428" spans="1:2">
      <c r="A2428" s="32">
        <v>2415</v>
      </c>
      <c r="B2428" s="90">
        <v>7.8146311877928269</v>
      </c>
    </row>
    <row r="2429" spans="1:2">
      <c r="A2429" s="32">
        <v>2416</v>
      </c>
      <c r="B2429" s="90">
        <v>8.010944064712179</v>
      </c>
    </row>
    <row r="2430" spans="1:2">
      <c r="A2430" s="32">
        <v>2417</v>
      </c>
      <c r="B2430" s="90">
        <v>8.978765545059531</v>
      </c>
    </row>
    <row r="2431" spans="1:2">
      <c r="A2431" s="32">
        <v>2418</v>
      </c>
      <c r="B2431" s="90">
        <v>7.7590842257081887</v>
      </c>
    </row>
    <row r="2432" spans="1:2">
      <c r="A2432" s="32">
        <v>2419</v>
      </c>
      <c r="B2432" s="90">
        <v>8.7245719420584091</v>
      </c>
    </row>
    <row r="2433" spans="1:2">
      <c r="A2433" s="32">
        <v>2420</v>
      </c>
      <c r="B2433" s="90">
        <v>8.7981588863887374</v>
      </c>
    </row>
    <row r="2434" spans="1:2">
      <c r="A2434" s="32">
        <v>2421</v>
      </c>
      <c r="B2434" s="90">
        <v>7.954385800377608</v>
      </c>
    </row>
    <row r="2435" spans="1:2">
      <c r="A2435" s="32">
        <v>2422</v>
      </c>
      <c r="B2435" s="90">
        <v>8.6711818913189642</v>
      </c>
    </row>
    <row r="2436" spans="1:2">
      <c r="A2436" s="32">
        <v>2423</v>
      </c>
      <c r="B2436" s="90">
        <v>7.95429964342211</v>
      </c>
    </row>
    <row r="2437" spans="1:2">
      <c r="A2437" s="32">
        <v>2424</v>
      </c>
      <c r="B2437" s="90">
        <v>8.4032106550590484</v>
      </c>
    </row>
    <row r="2438" spans="1:2">
      <c r="A2438" s="32">
        <v>2425</v>
      </c>
      <c r="B2438" s="90">
        <v>9.2428826348244311</v>
      </c>
    </row>
    <row r="2439" spans="1:2">
      <c r="A2439" s="32">
        <v>2426</v>
      </c>
      <c r="B2439" s="90">
        <v>7.2407536222996498</v>
      </c>
    </row>
    <row r="2440" spans="1:2">
      <c r="A2440" s="32">
        <v>2427</v>
      </c>
      <c r="B2440" s="90">
        <v>8.5761497848426629</v>
      </c>
    </row>
    <row r="2441" spans="1:2">
      <c r="A2441" s="32">
        <v>2428</v>
      </c>
      <c r="B2441" s="90">
        <v>7.8860419261970955</v>
      </c>
    </row>
    <row r="2442" spans="1:2">
      <c r="A2442" s="32">
        <v>2429</v>
      </c>
      <c r="B2442" s="90">
        <v>9.3838894195315241</v>
      </c>
    </row>
    <row r="2443" spans="1:2">
      <c r="A2443" s="32">
        <v>2430</v>
      </c>
      <c r="B2443" s="90">
        <v>8.4294710428657442</v>
      </c>
    </row>
    <row r="2444" spans="1:2">
      <c r="A2444" s="32">
        <v>2431</v>
      </c>
      <c r="B2444" s="90">
        <v>7.8508518888896193</v>
      </c>
    </row>
    <row r="2445" spans="1:2">
      <c r="A2445" s="32">
        <v>2432</v>
      </c>
      <c r="B2445" s="90">
        <v>7.4582678641636626</v>
      </c>
    </row>
    <row r="2446" spans="1:2">
      <c r="A2446" s="32">
        <v>2433</v>
      </c>
      <c r="B2446" s="90">
        <v>8.3009656177803812</v>
      </c>
    </row>
    <row r="2447" spans="1:2">
      <c r="A2447" s="32">
        <v>2434</v>
      </c>
      <c r="B2447" s="90">
        <v>8.3738008951366982</v>
      </c>
    </row>
    <row r="2448" spans="1:2">
      <c r="A2448" s="32">
        <v>2435</v>
      </c>
      <c r="B2448" s="90">
        <v>7.5162540780604896</v>
      </c>
    </row>
    <row r="2449" spans="1:2">
      <c r="A2449" s="32">
        <v>2436</v>
      </c>
      <c r="B2449" s="90">
        <v>7.2935682454266137</v>
      </c>
    </row>
    <row r="2450" spans="1:2">
      <c r="A2450" s="32">
        <v>2437</v>
      </c>
      <c r="B2450" s="90">
        <v>7.8087310952180227</v>
      </c>
    </row>
    <row r="2451" spans="1:2">
      <c r="A2451" s="32">
        <v>2438</v>
      </c>
      <c r="B2451" s="90">
        <v>8.0194431951977379</v>
      </c>
    </row>
    <row r="2452" spans="1:2">
      <c r="A2452" s="32">
        <v>2439</v>
      </c>
      <c r="B2452" s="90">
        <v>8.4947781469171435</v>
      </c>
    </row>
    <row r="2453" spans="1:2">
      <c r="A2453" s="32">
        <v>2440</v>
      </c>
      <c r="B2453" s="90">
        <v>8.1153791269376931</v>
      </c>
    </row>
    <row r="2454" spans="1:2">
      <c r="A2454" s="32">
        <v>2441</v>
      </c>
      <c r="B2454" s="90">
        <v>9.2481006330945732</v>
      </c>
    </row>
    <row r="2455" spans="1:2">
      <c r="A2455" s="32">
        <v>2442</v>
      </c>
      <c r="B2455" s="90">
        <v>8.172811795873054</v>
      </c>
    </row>
    <row r="2456" spans="1:2">
      <c r="A2456" s="32">
        <v>2443</v>
      </c>
      <c r="B2456" s="90">
        <v>9.4682537042715573</v>
      </c>
    </row>
    <row r="2457" spans="1:2">
      <c r="A2457" s="32">
        <v>2444</v>
      </c>
      <c r="B2457" s="90">
        <v>7.7453753113564243</v>
      </c>
    </row>
    <row r="2458" spans="1:2">
      <c r="A2458" s="32">
        <v>2445</v>
      </c>
      <c r="B2458" s="90">
        <v>7.9688539124396538</v>
      </c>
    </row>
    <row r="2459" spans="1:2">
      <c r="A2459" s="32">
        <v>2446</v>
      </c>
      <c r="B2459" s="90">
        <v>8.0117873000102247</v>
      </c>
    </row>
    <row r="2460" spans="1:2">
      <c r="A2460" s="32">
        <v>2447</v>
      </c>
      <c r="B2460" s="90">
        <v>8.2739679152295871</v>
      </c>
    </row>
    <row r="2461" spans="1:2">
      <c r="A2461" s="32">
        <v>2448</v>
      </c>
      <c r="B2461" s="90">
        <v>7.984797923468208</v>
      </c>
    </row>
    <row r="2462" spans="1:2">
      <c r="A2462" s="32">
        <v>2449</v>
      </c>
      <c r="B2462" s="90">
        <v>7.7748417821503448</v>
      </c>
    </row>
    <row r="2463" spans="1:2">
      <c r="A2463" s="32">
        <v>2450</v>
      </c>
      <c r="B2463" s="90">
        <v>6.5557115678196389</v>
      </c>
    </row>
    <row r="2464" spans="1:2">
      <c r="A2464" s="32">
        <v>2451</v>
      </c>
      <c r="B2464" s="90">
        <v>8.6227148304286718</v>
      </c>
    </row>
    <row r="2465" spans="1:2">
      <c r="A2465" s="32">
        <v>2452</v>
      </c>
      <c r="B2465" s="90">
        <v>8.0354675368535808</v>
      </c>
    </row>
    <row r="2466" spans="1:2">
      <c r="A2466" s="32">
        <v>2453</v>
      </c>
      <c r="B2466" s="90">
        <v>9.2937781636061381</v>
      </c>
    </row>
    <row r="2467" spans="1:2">
      <c r="A2467" s="32">
        <v>2454</v>
      </c>
      <c r="B2467" s="90">
        <v>7.8944200023027218</v>
      </c>
    </row>
    <row r="2468" spans="1:2">
      <c r="A2468" s="32">
        <v>2455</v>
      </c>
      <c r="B2468" s="90">
        <v>7.6814125667076647</v>
      </c>
    </row>
    <row r="2469" spans="1:2">
      <c r="A2469" s="32">
        <v>2456</v>
      </c>
      <c r="B2469" s="90">
        <v>8.1438660655333273</v>
      </c>
    </row>
    <row r="2470" spans="1:2">
      <c r="A2470" s="32">
        <v>2457</v>
      </c>
      <c r="B2470" s="90">
        <v>8.424685964829985</v>
      </c>
    </row>
    <row r="2471" spans="1:2">
      <c r="A2471" s="32">
        <v>2458</v>
      </c>
      <c r="B2471" s="90">
        <v>8.7594627143599748</v>
      </c>
    </row>
    <row r="2472" spans="1:2">
      <c r="A2472" s="32">
        <v>2459</v>
      </c>
      <c r="B2472" s="90">
        <v>7.7453382034242715</v>
      </c>
    </row>
    <row r="2473" spans="1:2">
      <c r="A2473" s="32">
        <v>2460</v>
      </c>
      <c r="B2473" s="90">
        <v>7.4846398527923554</v>
      </c>
    </row>
    <row r="2474" spans="1:2">
      <c r="A2474" s="32">
        <v>2461</v>
      </c>
      <c r="B2474" s="90">
        <v>9.5069749932833538</v>
      </c>
    </row>
    <row r="2475" spans="1:2">
      <c r="A2475" s="32">
        <v>2462</v>
      </c>
      <c r="B2475" s="90">
        <v>9.2218047625970865</v>
      </c>
    </row>
    <row r="2476" spans="1:2">
      <c r="A2476" s="32">
        <v>2463</v>
      </c>
      <c r="B2476" s="90">
        <v>7.1281024435594587</v>
      </c>
    </row>
    <row r="2477" spans="1:2">
      <c r="A2477" s="32">
        <v>2464</v>
      </c>
      <c r="B2477" s="90">
        <v>8.1515850855128864</v>
      </c>
    </row>
    <row r="2478" spans="1:2">
      <c r="A2478" s="32">
        <v>2465</v>
      </c>
      <c r="B2478" s="90">
        <v>8.81748256932282</v>
      </c>
    </row>
    <row r="2479" spans="1:2">
      <c r="A2479" s="32">
        <v>2466</v>
      </c>
      <c r="B2479" s="90">
        <v>8.6056270330696556</v>
      </c>
    </row>
    <row r="2480" spans="1:2">
      <c r="A2480" s="32">
        <v>2467</v>
      </c>
      <c r="B2480" s="90">
        <v>8.7535916801101532</v>
      </c>
    </row>
    <row r="2481" spans="1:2">
      <c r="A2481" s="32">
        <v>2468</v>
      </c>
      <c r="B2481" s="90">
        <v>8.1619742295596964</v>
      </c>
    </row>
    <row r="2482" spans="1:2">
      <c r="A2482" s="32">
        <v>2469</v>
      </c>
      <c r="B2482" s="90">
        <v>8.6606764108218908</v>
      </c>
    </row>
    <row r="2483" spans="1:2">
      <c r="A2483" s="32">
        <v>2470</v>
      </c>
      <c r="B2483" s="90">
        <v>7.7787267133247706</v>
      </c>
    </row>
    <row r="2484" spans="1:2">
      <c r="A2484" s="32">
        <v>2471</v>
      </c>
      <c r="B2484" s="90">
        <v>8.6654115633743931</v>
      </c>
    </row>
    <row r="2485" spans="1:2">
      <c r="A2485" s="32">
        <v>2472</v>
      </c>
      <c r="B2485" s="90">
        <v>7.9387143102840749</v>
      </c>
    </row>
    <row r="2486" spans="1:2">
      <c r="A2486" s="32">
        <v>2473</v>
      </c>
      <c r="B2486" s="90">
        <v>8.0668396458733227</v>
      </c>
    </row>
    <row r="2487" spans="1:2">
      <c r="A2487" s="32">
        <v>2474</v>
      </c>
      <c r="B2487" s="90">
        <v>7.1936520461379851</v>
      </c>
    </row>
    <row r="2488" spans="1:2">
      <c r="A2488" s="32">
        <v>2475</v>
      </c>
      <c r="B2488" s="90">
        <v>6.9098206989336202</v>
      </c>
    </row>
    <row r="2489" spans="1:2">
      <c r="A2489" s="32">
        <v>2476</v>
      </c>
      <c r="B2489" s="90">
        <v>6.9178520163682009</v>
      </c>
    </row>
    <row r="2490" spans="1:2">
      <c r="A2490" s="32">
        <v>2477</v>
      </c>
      <c r="B2490" s="90">
        <v>7.1111495554433164</v>
      </c>
    </row>
    <row r="2491" spans="1:2">
      <c r="A2491" s="32">
        <v>2478</v>
      </c>
      <c r="B2491" s="90">
        <v>8.3072769668804138</v>
      </c>
    </row>
    <row r="2492" spans="1:2">
      <c r="A2492" s="32">
        <v>2479</v>
      </c>
      <c r="B2492" s="90">
        <v>7.7133614846256036</v>
      </c>
    </row>
    <row r="2493" spans="1:2">
      <c r="A2493" s="32">
        <v>2480</v>
      </c>
      <c r="B2493" s="90">
        <v>9.64686290831661</v>
      </c>
    </row>
    <row r="2494" spans="1:2">
      <c r="A2494" s="32">
        <v>2481</v>
      </c>
      <c r="B2494" s="90">
        <v>8.7900302756087392</v>
      </c>
    </row>
    <row r="2495" spans="1:2">
      <c r="A2495" s="32">
        <v>2482</v>
      </c>
      <c r="B2495" s="90">
        <v>8.7488329726933216</v>
      </c>
    </row>
    <row r="2496" spans="1:2">
      <c r="A2496" s="32">
        <v>2483</v>
      </c>
      <c r="B2496" s="90">
        <v>7.5266504730699904</v>
      </c>
    </row>
    <row r="2497" spans="1:2">
      <c r="A2497" s="32">
        <v>2484</v>
      </c>
      <c r="B2497" s="90">
        <v>7.098109318811793</v>
      </c>
    </row>
    <row r="2498" spans="1:2">
      <c r="A2498" s="32">
        <v>2485</v>
      </c>
      <c r="B2498" s="90">
        <v>8.8457321545880561</v>
      </c>
    </row>
    <row r="2499" spans="1:2">
      <c r="A2499" s="32">
        <v>2486</v>
      </c>
      <c r="B2499" s="90">
        <v>8.7314042226757813</v>
      </c>
    </row>
    <row r="2500" spans="1:2">
      <c r="A2500" s="32">
        <v>2487</v>
      </c>
      <c r="B2500" s="90">
        <v>8.8958537642571152</v>
      </c>
    </row>
    <row r="2501" spans="1:2">
      <c r="A2501" s="32">
        <v>2488</v>
      </c>
      <c r="B2501" s="90">
        <v>7.4533616706983672</v>
      </c>
    </row>
    <row r="2502" spans="1:2">
      <c r="A2502" s="32">
        <v>2489</v>
      </c>
      <c r="B2502" s="90">
        <v>8.1049712685314521</v>
      </c>
    </row>
    <row r="2503" spans="1:2">
      <c r="A2503" s="32">
        <v>2490</v>
      </c>
      <c r="B2503" s="90">
        <v>6.9626937128905464</v>
      </c>
    </row>
    <row r="2504" spans="1:2">
      <c r="A2504" s="32">
        <v>2491</v>
      </c>
      <c r="B2504" s="90">
        <v>7.5378456653467554</v>
      </c>
    </row>
    <row r="2505" spans="1:2">
      <c r="A2505" s="32">
        <v>2492</v>
      </c>
      <c r="B2505" s="90">
        <v>8.4241208949983921</v>
      </c>
    </row>
    <row r="2506" spans="1:2">
      <c r="A2506" s="32">
        <v>2493</v>
      </c>
      <c r="B2506" s="90">
        <v>8.006153332727207</v>
      </c>
    </row>
    <row r="2507" spans="1:2">
      <c r="A2507" s="32">
        <v>2494</v>
      </c>
      <c r="B2507" s="90">
        <v>8.8937058656169974</v>
      </c>
    </row>
    <row r="2508" spans="1:2">
      <c r="A2508" s="32">
        <v>2495</v>
      </c>
      <c r="B2508" s="90">
        <v>8.1833802670518239</v>
      </c>
    </row>
    <row r="2509" spans="1:2">
      <c r="A2509" s="32">
        <v>2496</v>
      </c>
      <c r="B2509" s="90">
        <v>9.4249888731594922</v>
      </c>
    </row>
    <row r="2510" spans="1:2">
      <c r="A2510" s="32">
        <v>2497</v>
      </c>
      <c r="B2510" s="90">
        <v>7.5974261257805917</v>
      </c>
    </row>
    <row r="2511" spans="1:2">
      <c r="A2511" s="32">
        <v>2498</v>
      </c>
      <c r="B2511" s="90">
        <v>8.2769821069972558</v>
      </c>
    </row>
    <row r="2512" spans="1:2">
      <c r="A2512" s="32">
        <v>2499</v>
      </c>
      <c r="B2512" s="90">
        <v>7.8034529348243522</v>
      </c>
    </row>
    <row r="2513" spans="1:2">
      <c r="A2513" s="32">
        <v>2500</v>
      </c>
      <c r="B2513" s="90">
        <v>7.6980808221431962</v>
      </c>
    </row>
    <row r="2514" spans="1:2">
      <c r="A2514" s="32">
        <v>2501</v>
      </c>
      <c r="B2514" s="90">
        <v>9.4556932196013328</v>
      </c>
    </row>
    <row r="2515" spans="1:2">
      <c r="A2515" s="32">
        <v>2502</v>
      </c>
      <c r="B2515" s="90">
        <v>8.1746603127554938</v>
      </c>
    </row>
    <row r="2516" spans="1:2">
      <c r="A2516" s="32">
        <v>2503</v>
      </c>
      <c r="B2516" s="90">
        <v>8.9363394277580017</v>
      </c>
    </row>
    <row r="2517" spans="1:2">
      <c r="A2517" s="32">
        <v>2504</v>
      </c>
      <c r="B2517" s="90">
        <v>8.2093627364047439</v>
      </c>
    </row>
    <row r="2518" spans="1:2">
      <c r="A2518" s="32">
        <v>2505</v>
      </c>
      <c r="B2518" s="90">
        <v>7.2602068384656269</v>
      </c>
    </row>
    <row r="2519" spans="1:2">
      <c r="A2519" s="32">
        <v>2506</v>
      </c>
      <c r="B2519" s="90">
        <v>8.0489815971467209</v>
      </c>
    </row>
    <row r="2520" spans="1:2">
      <c r="A2520" s="32">
        <v>2507</v>
      </c>
      <c r="B2520" s="90">
        <v>7.9613210079619536</v>
      </c>
    </row>
    <row r="2521" spans="1:2">
      <c r="A2521" s="32">
        <v>2508</v>
      </c>
      <c r="B2521" s="90">
        <v>8.7072123781293627</v>
      </c>
    </row>
    <row r="2522" spans="1:2">
      <c r="A2522" s="32">
        <v>2509</v>
      </c>
      <c r="B2522" s="90">
        <v>8.2061028047985936</v>
      </c>
    </row>
    <row r="2523" spans="1:2">
      <c r="A2523" s="32">
        <v>2510</v>
      </c>
      <c r="B2523" s="90">
        <v>9.5335513056983441</v>
      </c>
    </row>
    <row r="2524" spans="1:2">
      <c r="A2524" s="32">
        <v>2511</v>
      </c>
      <c r="B2524" s="90">
        <v>8.1626524722570846</v>
      </c>
    </row>
    <row r="2525" spans="1:2">
      <c r="A2525" s="32">
        <v>2512</v>
      </c>
      <c r="B2525" s="90">
        <v>8.8598846390541155</v>
      </c>
    </row>
    <row r="2526" spans="1:2">
      <c r="A2526" s="32">
        <v>2513</v>
      </c>
      <c r="B2526" s="90">
        <v>8.0938972675681953</v>
      </c>
    </row>
    <row r="2527" spans="1:2">
      <c r="A2527" s="32">
        <v>2514</v>
      </c>
      <c r="B2527" s="90">
        <v>7.7757366435631878</v>
      </c>
    </row>
    <row r="2528" spans="1:2">
      <c r="A2528" s="32">
        <v>2515</v>
      </c>
      <c r="B2528" s="90">
        <v>8.5903913333773776</v>
      </c>
    </row>
    <row r="2529" spans="1:2">
      <c r="A2529" s="32">
        <v>2516</v>
      </c>
      <c r="B2529" s="90">
        <v>8.2225996475048344</v>
      </c>
    </row>
    <row r="2530" spans="1:2">
      <c r="A2530" s="32">
        <v>2517</v>
      </c>
      <c r="B2530" s="90">
        <v>8.4257490645709865</v>
      </c>
    </row>
    <row r="2531" spans="1:2">
      <c r="A2531" s="32">
        <v>2518</v>
      </c>
      <c r="B2531" s="90">
        <v>8.0686239499513182</v>
      </c>
    </row>
    <row r="2532" spans="1:2">
      <c r="A2532" s="32">
        <v>2519</v>
      </c>
      <c r="B2532" s="90">
        <v>9.0137629676444693</v>
      </c>
    </row>
    <row r="2533" spans="1:2">
      <c r="A2533" s="32">
        <v>2520</v>
      </c>
      <c r="B2533" s="90">
        <v>8.127280962714849</v>
      </c>
    </row>
    <row r="2534" spans="1:2">
      <c r="A2534" s="32">
        <v>2521</v>
      </c>
      <c r="B2534" s="90">
        <v>8.0296759006655609</v>
      </c>
    </row>
    <row r="2535" spans="1:2">
      <c r="A2535" s="32">
        <v>2522</v>
      </c>
      <c r="B2535" s="90">
        <v>7.2111608414871586</v>
      </c>
    </row>
    <row r="2536" spans="1:2">
      <c r="A2536" s="32">
        <v>2523</v>
      </c>
      <c r="B2536" s="90">
        <v>8.0497008078459817</v>
      </c>
    </row>
    <row r="2537" spans="1:2">
      <c r="A2537" s="32">
        <v>2524</v>
      </c>
      <c r="B2537" s="90">
        <v>8.2222951533470603</v>
      </c>
    </row>
    <row r="2538" spans="1:2">
      <c r="A2538" s="32">
        <v>2525</v>
      </c>
      <c r="B2538" s="90">
        <v>8.327543268245396</v>
      </c>
    </row>
    <row r="2539" spans="1:2">
      <c r="A2539" s="32">
        <v>2526</v>
      </c>
      <c r="B2539" s="90">
        <v>8.2119880064584585</v>
      </c>
    </row>
    <row r="2540" spans="1:2">
      <c r="A2540" s="32">
        <v>2527</v>
      </c>
      <c r="B2540" s="90">
        <v>7.8110813682303313</v>
      </c>
    </row>
    <row r="2541" spans="1:2">
      <c r="A2541" s="32">
        <v>2528</v>
      </c>
      <c r="B2541" s="90">
        <v>7.8778137518784943</v>
      </c>
    </row>
    <row r="2542" spans="1:2">
      <c r="A2542" s="32">
        <v>2529</v>
      </c>
      <c r="B2542" s="90">
        <v>7.3502228123620856</v>
      </c>
    </row>
    <row r="2543" spans="1:2">
      <c r="A2543" s="32">
        <v>2530</v>
      </c>
      <c r="B2543" s="90">
        <v>8.6885173721781239</v>
      </c>
    </row>
    <row r="2544" spans="1:2">
      <c r="A2544" s="32">
        <v>2531</v>
      </c>
      <c r="B2544" s="90">
        <v>7.3552861813650212</v>
      </c>
    </row>
    <row r="2545" spans="1:2">
      <c r="A2545" s="32">
        <v>2532</v>
      </c>
      <c r="B2545" s="90">
        <v>7.2441594914782836</v>
      </c>
    </row>
    <row r="2546" spans="1:2">
      <c r="A2546" s="32">
        <v>2533</v>
      </c>
      <c r="B2546" s="90">
        <v>8.0724936325815726</v>
      </c>
    </row>
    <row r="2547" spans="1:2">
      <c r="A2547" s="32">
        <v>2534</v>
      </c>
      <c r="B2547" s="90">
        <v>9.0282937348576127</v>
      </c>
    </row>
    <row r="2548" spans="1:2">
      <c r="A2548" s="32">
        <v>2535</v>
      </c>
      <c r="B2548" s="90">
        <v>9.1397634009091977</v>
      </c>
    </row>
    <row r="2549" spans="1:2">
      <c r="A2549" s="32">
        <v>2536</v>
      </c>
      <c r="B2549" s="90">
        <v>8.0667165349320378</v>
      </c>
    </row>
    <row r="2550" spans="1:2">
      <c r="A2550" s="32">
        <v>2537</v>
      </c>
      <c r="B2550" s="90">
        <v>8.7833643234546663</v>
      </c>
    </row>
    <row r="2551" spans="1:2">
      <c r="A2551" s="32">
        <v>2538</v>
      </c>
      <c r="B2551" s="90">
        <v>8.8335257278304304</v>
      </c>
    </row>
    <row r="2552" spans="1:2">
      <c r="A2552" s="32">
        <v>2539</v>
      </c>
      <c r="B2552" s="90">
        <v>8.4927204225817796</v>
      </c>
    </row>
    <row r="2553" spans="1:2">
      <c r="A2553" s="32">
        <v>2540</v>
      </c>
      <c r="B2553" s="90">
        <v>8.1963811949766026</v>
      </c>
    </row>
    <row r="2554" spans="1:2">
      <c r="A2554" s="32">
        <v>2541</v>
      </c>
      <c r="B2554" s="90">
        <v>7.705506843977151</v>
      </c>
    </row>
    <row r="2555" spans="1:2">
      <c r="A2555" s="32">
        <v>2542</v>
      </c>
      <c r="B2555" s="90">
        <v>8.8115077314490833</v>
      </c>
    </row>
    <row r="2556" spans="1:2">
      <c r="A2556" s="32">
        <v>2543</v>
      </c>
      <c r="B2556" s="90">
        <v>8.0552702884670992</v>
      </c>
    </row>
    <row r="2557" spans="1:2">
      <c r="A2557" s="32">
        <v>2544</v>
      </c>
      <c r="B2557" s="90">
        <v>7.6582383137259251</v>
      </c>
    </row>
    <row r="2558" spans="1:2">
      <c r="A2558" s="32">
        <v>2545</v>
      </c>
      <c r="B2558" s="90">
        <v>7.1039798403018395</v>
      </c>
    </row>
    <row r="2559" spans="1:2">
      <c r="A2559" s="32">
        <v>2546</v>
      </c>
      <c r="B2559" s="90">
        <v>8.4118246971277948</v>
      </c>
    </row>
    <row r="2560" spans="1:2">
      <c r="A2560" s="32">
        <v>2547</v>
      </c>
      <c r="B2560" s="90">
        <v>7.8152209352639739</v>
      </c>
    </row>
    <row r="2561" spans="1:2">
      <c r="A2561" s="32">
        <v>2548</v>
      </c>
      <c r="B2561" s="90">
        <v>7.6935172409649724</v>
      </c>
    </row>
    <row r="2562" spans="1:2">
      <c r="A2562" s="32">
        <v>2549</v>
      </c>
      <c r="B2562" s="90">
        <v>8.3691054111037229</v>
      </c>
    </row>
    <row r="2563" spans="1:2">
      <c r="A2563" s="32">
        <v>2550</v>
      </c>
      <c r="B2563" s="90">
        <v>6.9501957745454046</v>
      </c>
    </row>
    <row r="2564" spans="1:2">
      <c r="A2564" s="32">
        <v>2551</v>
      </c>
      <c r="B2564" s="90">
        <v>7.6323836328739798</v>
      </c>
    </row>
    <row r="2565" spans="1:2">
      <c r="A2565" s="32">
        <v>2552</v>
      </c>
      <c r="B2565" s="90">
        <v>8.9904128345263583</v>
      </c>
    </row>
    <row r="2566" spans="1:2">
      <c r="A2566" s="32">
        <v>2553</v>
      </c>
      <c r="B2566" s="90">
        <v>8.9993648745026693</v>
      </c>
    </row>
    <row r="2567" spans="1:2">
      <c r="A2567" s="32">
        <v>2554</v>
      </c>
      <c r="B2567" s="90">
        <v>10.366022839716452</v>
      </c>
    </row>
    <row r="2568" spans="1:2">
      <c r="A2568" s="32">
        <v>2555</v>
      </c>
      <c r="B2568" s="90">
        <v>7.8890078870600169</v>
      </c>
    </row>
    <row r="2569" spans="1:2">
      <c r="A2569" s="32">
        <v>2556</v>
      </c>
      <c r="B2569" s="90">
        <v>7.8020350082406527</v>
      </c>
    </row>
    <row r="2570" spans="1:2">
      <c r="A2570" s="32">
        <v>2557</v>
      </c>
      <c r="B2570" s="90">
        <v>7.5545663762349999</v>
      </c>
    </row>
    <row r="2571" spans="1:2">
      <c r="A2571" s="32">
        <v>2558</v>
      </c>
      <c r="B2571" s="90">
        <v>7.5755805422949631</v>
      </c>
    </row>
    <row r="2572" spans="1:2">
      <c r="A2572" s="32">
        <v>2559</v>
      </c>
      <c r="B2572" s="90">
        <v>9.0582032057141433</v>
      </c>
    </row>
    <row r="2573" spans="1:2">
      <c r="A2573" s="32">
        <v>2560</v>
      </c>
      <c r="B2573" s="90">
        <v>7.5582353234465103</v>
      </c>
    </row>
    <row r="2574" spans="1:2">
      <c r="A2574" s="32">
        <v>2561</v>
      </c>
      <c r="B2574" s="90">
        <v>8.6430883400004852</v>
      </c>
    </row>
    <row r="2575" spans="1:2">
      <c r="A2575" s="32">
        <v>2562</v>
      </c>
      <c r="B2575" s="90">
        <v>7.8372677793238372</v>
      </c>
    </row>
    <row r="2576" spans="1:2">
      <c r="A2576" s="32">
        <v>2563</v>
      </c>
      <c r="B2576" s="90">
        <v>7.9140229420100336</v>
      </c>
    </row>
    <row r="2577" spans="1:2">
      <c r="A2577" s="32">
        <v>2564</v>
      </c>
      <c r="B2577" s="90">
        <v>8.2187117290490956</v>
      </c>
    </row>
    <row r="2578" spans="1:2">
      <c r="A2578" s="32">
        <v>2565</v>
      </c>
      <c r="B2578" s="90">
        <v>8.106364785285761</v>
      </c>
    </row>
    <row r="2579" spans="1:2">
      <c r="A2579" s="32">
        <v>2566</v>
      </c>
      <c r="B2579" s="90">
        <v>7.0338606886335766</v>
      </c>
    </row>
    <row r="2580" spans="1:2">
      <c r="A2580" s="32">
        <v>2567</v>
      </c>
      <c r="B2580" s="90">
        <v>8.5087792383520373</v>
      </c>
    </row>
    <row r="2581" spans="1:2">
      <c r="A2581" s="32">
        <v>2568</v>
      </c>
      <c r="B2581" s="90">
        <v>7.6692373680596484</v>
      </c>
    </row>
    <row r="2582" spans="1:2">
      <c r="A2582" s="32">
        <v>2569</v>
      </c>
      <c r="B2582" s="90">
        <v>8.2811547195339976</v>
      </c>
    </row>
    <row r="2583" spans="1:2">
      <c r="A2583" s="32">
        <v>2570</v>
      </c>
      <c r="B2583" s="90">
        <v>7.28324786002133</v>
      </c>
    </row>
    <row r="2584" spans="1:2">
      <c r="A2584" s="32">
        <v>2571</v>
      </c>
      <c r="B2584" s="90">
        <v>7.1659520968859143</v>
      </c>
    </row>
    <row r="2585" spans="1:2">
      <c r="A2585" s="32">
        <v>2572</v>
      </c>
      <c r="B2585" s="90">
        <v>8.0999529746672572</v>
      </c>
    </row>
    <row r="2586" spans="1:2">
      <c r="A2586" s="32">
        <v>2573</v>
      </c>
      <c r="B2586" s="90">
        <v>7.5551077471154651</v>
      </c>
    </row>
    <row r="2587" spans="1:2">
      <c r="A2587" s="32">
        <v>2574</v>
      </c>
      <c r="B2587" s="90">
        <v>7.7260499821822179</v>
      </c>
    </row>
    <row r="2588" spans="1:2">
      <c r="A2588" s="32">
        <v>2575</v>
      </c>
      <c r="B2588" s="90">
        <v>8.1341688263617904</v>
      </c>
    </row>
    <row r="2589" spans="1:2">
      <c r="A2589" s="32">
        <v>2576</v>
      </c>
      <c r="B2589" s="90">
        <v>8.7029527681664014</v>
      </c>
    </row>
    <row r="2590" spans="1:2">
      <c r="A2590" s="32">
        <v>2577</v>
      </c>
      <c r="B2590" s="90">
        <v>8.4134942496004452</v>
      </c>
    </row>
    <row r="2591" spans="1:2">
      <c r="A2591" s="32">
        <v>2578</v>
      </c>
      <c r="B2591" s="90">
        <v>7.3726672805283746</v>
      </c>
    </row>
    <row r="2592" spans="1:2">
      <c r="A2592" s="32">
        <v>2579</v>
      </c>
      <c r="B2592" s="90">
        <v>8.1848699188826721</v>
      </c>
    </row>
    <row r="2593" spans="1:2">
      <c r="A2593" s="32">
        <v>2580</v>
      </c>
      <c r="B2593" s="90">
        <v>7.6226705979791802</v>
      </c>
    </row>
    <row r="2594" spans="1:2">
      <c r="A2594" s="32">
        <v>2581</v>
      </c>
      <c r="B2594" s="90">
        <v>7.7392890611526148</v>
      </c>
    </row>
    <row r="2595" spans="1:2">
      <c r="A2595" s="32">
        <v>2582</v>
      </c>
      <c r="B2595" s="90">
        <v>8.4434409208617307</v>
      </c>
    </row>
    <row r="2596" spans="1:2">
      <c r="A2596" s="32">
        <v>2583</v>
      </c>
      <c r="B2596" s="90">
        <v>7.6927718975598163</v>
      </c>
    </row>
    <row r="2597" spans="1:2">
      <c r="A2597" s="32">
        <v>2584</v>
      </c>
      <c r="B2597" s="90">
        <v>8.4049413589641144</v>
      </c>
    </row>
    <row r="2598" spans="1:2">
      <c r="A2598" s="32">
        <v>2585</v>
      </c>
      <c r="B2598" s="90">
        <v>7.5779125006119195</v>
      </c>
    </row>
    <row r="2599" spans="1:2">
      <c r="A2599" s="32">
        <v>2586</v>
      </c>
      <c r="B2599" s="90">
        <v>8.2850055865791301</v>
      </c>
    </row>
    <row r="2600" spans="1:2">
      <c r="A2600" s="32">
        <v>2587</v>
      </c>
      <c r="B2600" s="90">
        <v>8.6280358080844817</v>
      </c>
    </row>
    <row r="2601" spans="1:2">
      <c r="A2601" s="32">
        <v>2588</v>
      </c>
      <c r="B2601" s="90">
        <v>8.1029128125891621</v>
      </c>
    </row>
    <row r="2602" spans="1:2">
      <c r="A2602" s="32">
        <v>2589</v>
      </c>
      <c r="B2602" s="90">
        <v>8.5191217719363372</v>
      </c>
    </row>
    <row r="2603" spans="1:2">
      <c r="A2603" s="32">
        <v>2590</v>
      </c>
      <c r="B2603" s="90">
        <v>7.0876680551072901</v>
      </c>
    </row>
    <row r="2604" spans="1:2">
      <c r="A2604" s="32">
        <v>2591</v>
      </c>
      <c r="B2604" s="90">
        <v>8.5633092162674345</v>
      </c>
    </row>
    <row r="2605" spans="1:2">
      <c r="A2605" s="32">
        <v>2592</v>
      </c>
      <c r="B2605" s="90">
        <v>7.0935937117859202</v>
      </c>
    </row>
    <row r="2606" spans="1:2">
      <c r="A2606" s="32">
        <v>2593</v>
      </c>
      <c r="B2606" s="90">
        <v>8.7975542114548198</v>
      </c>
    </row>
    <row r="2607" spans="1:2">
      <c r="A2607" s="32">
        <v>2594</v>
      </c>
      <c r="B2607" s="90">
        <v>7.4517342596560709</v>
      </c>
    </row>
    <row r="2608" spans="1:2">
      <c r="A2608" s="32">
        <v>2595</v>
      </c>
      <c r="B2608" s="90">
        <v>8.3078335276047159</v>
      </c>
    </row>
    <row r="2609" spans="1:2">
      <c r="A2609" s="32">
        <v>2596</v>
      </c>
      <c r="B2609" s="90">
        <v>8.1964742682321781</v>
      </c>
    </row>
    <row r="2610" spans="1:2">
      <c r="A2610" s="32">
        <v>2597</v>
      </c>
      <c r="B2610" s="90">
        <v>9.0656183258153256</v>
      </c>
    </row>
    <row r="2611" spans="1:2">
      <c r="A2611" s="32">
        <v>2598</v>
      </c>
      <c r="B2611" s="90">
        <v>7.0460934760097134</v>
      </c>
    </row>
    <row r="2612" spans="1:2">
      <c r="A2612" s="32">
        <v>2599</v>
      </c>
      <c r="B2612" s="90">
        <v>8.0901634741303106</v>
      </c>
    </row>
    <row r="2613" spans="1:2">
      <c r="A2613" s="32">
        <v>2600</v>
      </c>
      <c r="B2613" s="90">
        <v>7.5069333459926719</v>
      </c>
    </row>
    <row r="2614" spans="1:2">
      <c r="A2614" s="32">
        <v>2601</v>
      </c>
      <c r="B2614" s="90">
        <v>8.4067245080999129</v>
      </c>
    </row>
    <row r="2615" spans="1:2">
      <c r="A2615" s="32">
        <v>2602</v>
      </c>
      <c r="B2615" s="90">
        <v>7.6974976325112818</v>
      </c>
    </row>
    <row r="2616" spans="1:2">
      <c r="A2616" s="32">
        <v>2603</v>
      </c>
      <c r="B2616" s="90">
        <v>8.7320687624120037</v>
      </c>
    </row>
    <row r="2617" spans="1:2">
      <c r="A2617" s="32">
        <v>2604</v>
      </c>
      <c r="B2617" s="90">
        <v>8.2779415807757655</v>
      </c>
    </row>
    <row r="2618" spans="1:2">
      <c r="A2618" s="32">
        <v>2605</v>
      </c>
      <c r="B2618" s="90">
        <v>8.361267817531159</v>
      </c>
    </row>
    <row r="2619" spans="1:2">
      <c r="A2619" s="32">
        <v>2606</v>
      </c>
      <c r="B2619" s="90">
        <v>7.6971268937910242</v>
      </c>
    </row>
    <row r="2620" spans="1:2">
      <c r="A2620" s="32">
        <v>2607</v>
      </c>
      <c r="B2620" s="90">
        <v>7.7933676813622696</v>
      </c>
    </row>
    <row r="2621" spans="1:2">
      <c r="A2621" s="32">
        <v>2608</v>
      </c>
      <c r="B2621" s="90">
        <v>8.9701439164976229</v>
      </c>
    </row>
    <row r="2622" spans="1:2">
      <c r="A2622" s="32">
        <v>2609</v>
      </c>
      <c r="B2622" s="90">
        <v>9.3310213254105818</v>
      </c>
    </row>
    <row r="2623" spans="1:2">
      <c r="A2623" s="32">
        <v>2610</v>
      </c>
      <c r="B2623" s="90">
        <v>7.3716917313815316</v>
      </c>
    </row>
    <row r="2624" spans="1:2">
      <c r="A2624" s="32">
        <v>2611</v>
      </c>
      <c r="B2624" s="90">
        <v>8.3601103771459719</v>
      </c>
    </row>
    <row r="2625" spans="1:2">
      <c r="A2625" s="32">
        <v>2612</v>
      </c>
      <c r="B2625" s="90">
        <v>7.561402872478312</v>
      </c>
    </row>
    <row r="2626" spans="1:2">
      <c r="A2626" s="32">
        <v>2613</v>
      </c>
      <c r="B2626" s="90">
        <v>9.0965003398849369</v>
      </c>
    </row>
    <row r="2627" spans="1:2">
      <c r="A2627" s="32">
        <v>2614</v>
      </c>
      <c r="B2627" s="90">
        <v>8.7226701039722645</v>
      </c>
    </row>
    <row r="2628" spans="1:2">
      <c r="A2628" s="32">
        <v>2615</v>
      </c>
      <c r="B2628" s="90">
        <v>7.9783968448997378</v>
      </c>
    </row>
    <row r="2629" spans="1:2">
      <c r="A2629" s="32">
        <v>2616</v>
      </c>
      <c r="B2629" s="90">
        <v>8.2758057326117616</v>
      </c>
    </row>
    <row r="2630" spans="1:2">
      <c r="A2630" s="32">
        <v>2617</v>
      </c>
      <c r="B2630" s="90">
        <v>8.4489452271543986</v>
      </c>
    </row>
    <row r="2631" spans="1:2">
      <c r="A2631" s="32">
        <v>2618</v>
      </c>
      <c r="B2631" s="90">
        <v>7.9205236402767945</v>
      </c>
    </row>
    <row r="2632" spans="1:2">
      <c r="A2632" s="32">
        <v>2619</v>
      </c>
      <c r="B2632" s="90">
        <v>7.8667981494838326</v>
      </c>
    </row>
    <row r="2633" spans="1:2">
      <c r="A2633" s="32">
        <v>2620</v>
      </c>
      <c r="B2633" s="90">
        <v>7.6859034753504289</v>
      </c>
    </row>
    <row r="2634" spans="1:2">
      <c r="A2634" s="32">
        <v>2621</v>
      </c>
      <c r="B2634" s="90">
        <v>7.4276621847796669</v>
      </c>
    </row>
    <row r="2635" spans="1:2">
      <c r="A2635" s="32">
        <v>2622</v>
      </c>
      <c r="B2635" s="90">
        <v>9.8098241871516993</v>
      </c>
    </row>
    <row r="2636" spans="1:2">
      <c r="A2636" s="32">
        <v>2623</v>
      </c>
      <c r="B2636" s="90">
        <v>7.8537331135904633</v>
      </c>
    </row>
    <row r="2637" spans="1:2">
      <c r="A2637" s="32">
        <v>2624</v>
      </c>
      <c r="B2637" s="90">
        <v>8.7537520328997172</v>
      </c>
    </row>
    <row r="2638" spans="1:2">
      <c r="A2638" s="32">
        <v>2625</v>
      </c>
      <c r="B2638" s="90">
        <v>8.0380028148983484</v>
      </c>
    </row>
    <row r="2639" spans="1:2">
      <c r="A2639" s="32">
        <v>2626</v>
      </c>
      <c r="B2639" s="90">
        <v>9.8198156432585932</v>
      </c>
    </row>
    <row r="2640" spans="1:2">
      <c r="A2640" s="32">
        <v>2627</v>
      </c>
      <c r="B2640" s="90">
        <v>8.2326930996721703</v>
      </c>
    </row>
    <row r="2641" spans="1:2">
      <c r="A2641" s="32">
        <v>2628</v>
      </c>
      <c r="B2641" s="90">
        <v>6.9619072812087408</v>
      </c>
    </row>
    <row r="2642" spans="1:2">
      <c r="A2642" s="32">
        <v>2629</v>
      </c>
      <c r="B2642" s="90">
        <v>7.9819468930710658</v>
      </c>
    </row>
    <row r="2643" spans="1:2">
      <c r="A2643" s="32">
        <v>2630</v>
      </c>
      <c r="B2643" s="90">
        <v>7.689396946673579</v>
      </c>
    </row>
    <row r="2644" spans="1:2">
      <c r="A2644" s="32">
        <v>2631</v>
      </c>
      <c r="B2644" s="90">
        <v>8.4193896212643384</v>
      </c>
    </row>
    <row r="2645" spans="1:2">
      <c r="A2645" s="32">
        <v>2632</v>
      </c>
      <c r="B2645" s="90">
        <v>7.7238138874577311</v>
      </c>
    </row>
    <row r="2646" spans="1:2">
      <c r="A2646" s="32">
        <v>2633</v>
      </c>
      <c r="B2646" s="90">
        <v>8.0708869629379851</v>
      </c>
    </row>
    <row r="2647" spans="1:2">
      <c r="A2647" s="32">
        <v>2634</v>
      </c>
      <c r="B2647" s="90">
        <v>9.1198667199571286</v>
      </c>
    </row>
    <row r="2648" spans="1:2">
      <c r="A2648" s="32">
        <v>2635</v>
      </c>
      <c r="B2648" s="90">
        <v>8.1604085865047633</v>
      </c>
    </row>
    <row r="2649" spans="1:2">
      <c r="A2649" s="32">
        <v>2636</v>
      </c>
      <c r="B2649" s="90">
        <v>8.0507357667341619</v>
      </c>
    </row>
    <row r="2650" spans="1:2">
      <c r="A2650" s="32">
        <v>2637</v>
      </c>
      <c r="B2650" s="90">
        <v>8.4529789990994075</v>
      </c>
    </row>
    <row r="2651" spans="1:2">
      <c r="A2651" s="32">
        <v>2638</v>
      </c>
      <c r="B2651" s="90">
        <v>7.9615770684114429</v>
      </c>
    </row>
    <row r="2652" spans="1:2">
      <c r="A2652" s="32">
        <v>2639</v>
      </c>
      <c r="B2652" s="90">
        <v>9.2988560097523081</v>
      </c>
    </row>
    <row r="2653" spans="1:2">
      <c r="A2653" s="32">
        <v>2640</v>
      </c>
      <c r="B2653" s="90">
        <v>8.6557745118005158</v>
      </c>
    </row>
    <row r="2654" spans="1:2">
      <c r="A2654" s="32">
        <v>2641</v>
      </c>
      <c r="B2654" s="90">
        <v>8.4116332645358369</v>
      </c>
    </row>
    <row r="2655" spans="1:2">
      <c r="A2655" s="32">
        <v>2642</v>
      </c>
      <c r="B2655" s="90">
        <v>9.5111959080318442</v>
      </c>
    </row>
    <row r="2656" spans="1:2">
      <c r="A2656" s="32">
        <v>2643</v>
      </c>
      <c r="B2656" s="90">
        <v>8.7079004189297677</v>
      </c>
    </row>
    <row r="2657" spans="1:2">
      <c r="A2657" s="32">
        <v>2644</v>
      </c>
      <c r="B2657" s="90">
        <v>8.7547031577283914</v>
      </c>
    </row>
    <row r="2658" spans="1:2">
      <c r="A2658" s="32">
        <v>2645</v>
      </c>
      <c r="B2658" s="90">
        <v>9.2554236904154923</v>
      </c>
    </row>
    <row r="2659" spans="1:2">
      <c r="A2659" s="32">
        <v>2646</v>
      </c>
      <c r="B2659" s="90">
        <v>9.1697225384624002</v>
      </c>
    </row>
    <row r="2660" spans="1:2">
      <c r="A2660" s="32">
        <v>2647</v>
      </c>
      <c r="B2660" s="90">
        <v>7.5404288006465352</v>
      </c>
    </row>
    <row r="2661" spans="1:2">
      <c r="A2661" s="32">
        <v>2648</v>
      </c>
      <c r="B2661" s="90">
        <v>7.5266368423387426</v>
      </c>
    </row>
    <row r="2662" spans="1:2">
      <c r="A2662" s="32">
        <v>2649</v>
      </c>
      <c r="B2662" s="90">
        <v>7.9863761987633017</v>
      </c>
    </row>
    <row r="2663" spans="1:2">
      <c r="A2663" s="32">
        <v>2650</v>
      </c>
      <c r="B2663" s="90">
        <v>8.1927101374265447</v>
      </c>
    </row>
    <row r="2664" spans="1:2">
      <c r="A2664" s="32">
        <v>2651</v>
      </c>
      <c r="B2664" s="90">
        <v>7.8314364206591538</v>
      </c>
    </row>
    <row r="2665" spans="1:2">
      <c r="A2665" s="32">
        <v>2652</v>
      </c>
      <c r="B2665" s="90">
        <v>7.6087102323431832</v>
      </c>
    </row>
    <row r="2666" spans="1:2">
      <c r="A2666" s="32">
        <v>2653</v>
      </c>
      <c r="B2666" s="90">
        <v>8.0563656059940634</v>
      </c>
    </row>
    <row r="2667" spans="1:2">
      <c r="A2667" s="32">
        <v>2654</v>
      </c>
      <c r="B2667" s="90">
        <v>7.6512728720557197</v>
      </c>
    </row>
    <row r="2668" spans="1:2">
      <c r="A2668" s="32">
        <v>2655</v>
      </c>
      <c r="B2668" s="90">
        <v>8.6490938822143146</v>
      </c>
    </row>
    <row r="2669" spans="1:2">
      <c r="A2669" s="32">
        <v>2656</v>
      </c>
      <c r="B2669" s="90">
        <v>8.2890838001721328</v>
      </c>
    </row>
    <row r="2670" spans="1:2">
      <c r="A2670" s="32">
        <v>2657</v>
      </c>
      <c r="B2670" s="90">
        <v>7.0836958531556382</v>
      </c>
    </row>
    <row r="2671" spans="1:2">
      <c r="A2671" s="32">
        <v>2658</v>
      </c>
      <c r="B2671" s="90">
        <v>8.352483105951908</v>
      </c>
    </row>
    <row r="2672" spans="1:2">
      <c r="A2672" s="32">
        <v>2659</v>
      </c>
      <c r="B2672" s="90">
        <v>7.6956143531337489</v>
      </c>
    </row>
    <row r="2673" spans="1:2">
      <c r="A2673" s="32">
        <v>2660</v>
      </c>
      <c r="B2673" s="90">
        <v>7.1098072581406573</v>
      </c>
    </row>
    <row r="2674" spans="1:2">
      <c r="A2674" s="32">
        <v>2661</v>
      </c>
      <c r="B2674" s="90">
        <v>8.6137856581898511</v>
      </c>
    </row>
    <row r="2675" spans="1:2">
      <c r="A2675" s="32">
        <v>2662</v>
      </c>
      <c r="B2675" s="90">
        <v>7.8968506615290304</v>
      </c>
    </row>
    <row r="2676" spans="1:2">
      <c r="A2676" s="32">
        <v>2663</v>
      </c>
      <c r="B2676" s="90">
        <v>9.4567759042234769</v>
      </c>
    </row>
    <row r="2677" spans="1:2">
      <c r="A2677" s="32">
        <v>2664</v>
      </c>
      <c r="B2677" s="90">
        <v>7.2994621823916379</v>
      </c>
    </row>
    <row r="2678" spans="1:2">
      <c r="A2678" s="32">
        <v>2665</v>
      </c>
      <c r="B2678" s="90">
        <v>8.0288915564379799</v>
      </c>
    </row>
    <row r="2679" spans="1:2">
      <c r="A2679" s="32">
        <v>2666</v>
      </c>
      <c r="B2679" s="90">
        <v>8.0099988668521505</v>
      </c>
    </row>
    <row r="2680" spans="1:2">
      <c r="A2680" s="32">
        <v>2667</v>
      </c>
      <c r="B2680" s="90">
        <v>8.518778852997178</v>
      </c>
    </row>
    <row r="2681" spans="1:2">
      <c r="A2681" s="32">
        <v>2668</v>
      </c>
      <c r="B2681" s="90">
        <v>8.1664608472618383</v>
      </c>
    </row>
    <row r="2682" spans="1:2">
      <c r="A2682" s="32">
        <v>2669</v>
      </c>
      <c r="B2682" s="90">
        <v>7.3400706400957239</v>
      </c>
    </row>
    <row r="2683" spans="1:2">
      <c r="A2683" s="32">
        <v>2670</v>
      </c>
      <c r="B2683" s="90">
        <v>7.4574515317815413</v>
      </c>
    </row>
    <row r="2684" spans="1:2">
      <c r="A2684" s="32">
        <v>2671</v>
      </c>
      <c r="B2684" s="90">
        <v>8.2179851264691308</v>
      </c>
    </row>
    <row r="2685" spans="1:2">
      <c r="A2685" s="32">
        <v>2672</v>
      </c>
      <c r="B2685" s="90">
        <v>7.695861580163907</v>
      </c>
    </row>
    <row r="2686" spans="1:2">
      <c r="A2686" s="32">
        <v>2673</v>
      </c>
      <c r="B2686" s="90">
        <v>8.1452654738025458</v>
      </c>
    </row>
    <row r="2687" spans="1:2">
      <c r="A2687" s="32">
        <v>2674</v>
      </c>
      <c r="B2687" s="90">
        <v>7.3306015190870184</v>
      </c>
    </row>
    <row r="2688" spans="1:2">
      <c r="A2688" s="32">
        <v>2675</v>
      </c>
      <c r="B2688" s="90">
        <v>6.7402380722407305</v>
      </c>
    </row>
    <row r="2689" spans="1:2">
      <c r="A2689" s="32">
        <v>2676</v>
      </c>
      <c r="B2689" s="90">
        <v>7.1782634220661317</v>
      </c>
    </row>
    <row r="2690" spans="1:2">
      <c r="A2690" s="32">
        <v>2677</v>
      </c>
      <c r="B2690" s="90">
        <v>7.5297931728150589</v>
      </c>
    </row>
    <row r="2691" spans="1:2">
      <c r="A2691" s="32">
        <v>2678</v>
      </c>
      <c r="B2691" s="90">
        <v>8.0674141225499394</v>
      </c>
    </row>
    <row r="2692" spans="1:2">
      <c r="A2692" s="32">
        <v>2679</v>
      </c>
      <c r="B2692" s="90">
        <v>8.070254345971124</v>
      </c>
    </row>
    <row r="2693" spans="1:2">
      <c r="A2693" s="32">
        <v>2680</v>
      </c>
      <c r="B2693" s="90">
        <v>7.8140634647974077</v>
      </c>
    </row>
    <row r="2694" spans="1:2">
      <c r="A2694" s="32">
        <v>2681</v>
      </c>
      <c r="B2694" s="90">
        <v>7.3981852287715988</v>
      </c>
    </row>
    <row r="2695" spans="1:2">
      <c r="A2695" s="32">
        <v>2682</v>
      </c>
      <c r="B2695" s="90">
        <v>7.5438858509438838</v>
      </c>
    </row>
    <row r="2696" spans="1:2">
      <c r="A2696" s="32">
        <v>2683</v>
      </c>
      <c r="B2696" s="90">
        <v>7.6848557499090573</v>
      </c>
    </row>
    <row r="2697" spans="1:2">
      <c r="A2697" s="32">
        <v>2684</v>
      </c>
      <c r="B2697" s="90">
        <v>7.5462443365571659</v>
      </c>
    </row>
    <row r="2698" spans="1:2">
      <c r="A2698" s="32">
        <v>2685</v>
      </c>
      <c r="B2698" s="90">
        <v>8.3912298183313485</v>
      </c>
    </row>
    <row r="2699" spans="1:2">
      <c r="A2699" s="32">
        <v>2686</v>
      </c>
      <c r="B2699" s="90">
        <v>8.5407282958304513</v>
      </c>
    </row>
    <row r="2700" spans="1:2">
      <c r="A2700" s="32">
        <v>2687</v>
      </c>
      <c r="B2700" s="90">
        <v>8.0053950323695844</v>
      </c>
    </row>
    <row r="2701" spans="1:2">
      <c r="A2701" s="32">
        <v>2688</v>
      </c>
      <c r="B2701" s="90">
        <v>7.7431721800645414</v>
      </c>
    </row>
    <row r="2702" spans="1:2">
      <c r="A2702" s="32">
        <v>2689</v>
      </c>
      <c r="B2702" s="90">
        <v>7.9931155080808587</v>
      </c>
    </row>
    <row r="2703" spans="1:2">
      <c r="A2703" s="32">
        <v>2690</v>
      </c>
      <c r="B2703" s="90">
        <v>8.2189787847483071</v>
      </c>
    </row>
    <row r="2704" spans="1:2">
      <c r="A2704" s="32">
        <v>2691</v>
      </c>
      <c r="B2704" s="90">
        <v>8.5132009764137262</v>
      </c>
    </row>
    <row r="2705" spans="1:2">
      <c r="A2705" s="32">
        <v>2692</v>
      </c>
      <c r="B2705" s="90">
        <v>8.9625813052107954</v>
      </c>
    </row>
    <row r="2706" spans="1:2">
      <c r="A2706" s="32">
        <v>2693</v>
      </c>
      <c r="B2706" s="90">
        <v>7.4294757771561013</v>
      </c>
    </row>
    <row r="2707" spans="1:2">
      <c r="A2707" s="32">
        <v>2694</v>
      </c>
      <c r="B2707" s="90">
        <v>10.107778578082474</v>
      </c>
    </row>
    <row r="2708" spans="1:2">
      <c r="A2708" s="32">
        <v>2695</v>
      </c>
      <c r="B2708" s="90">
        <v>7.6795531774059436</v>
      </c>
    </row>
    <row r="2709" spans="1:2">
      <c r="A2709" s="32">
        <v>2696</v>
      </c>
      <c r="B2709" s="90">
        <v>7.5837057953852653</v>
      </c>
    </row>
    <row r="2710" spans="1:2">
      <c r="A2710" s="32">
        <v>2697</v>
      </c>
      <c r="B2710" s="90">
        <v>7.9918547678852914</v>
      </c>
    </row>
    <row r="2711" spans="1:2">
      <c r="A2711" s="32">
        <v>2698</v>
      </c>
      <c r="B2711" s="90">
        <v>8.7513151657109418</v>
      </c>
    </row>
    <row r="2712" spans="1:2">
      <c r="A2712" s="32">
        <v>2699</v>
      </c>
      <c r="B2712" s="90">
        <v>7.7791840922528399</v>
      </c>
    </row>
    <row r="2713" spans="1:2">
      <c r="A2713" s="32">
        <v>2700</v>
      </c>
      <c r="B2713" s="90">
        <v>9.0493720237014497</v>
      </c>
    </row>
    <row r="2714" spans="1:2">
      <c r="A2714" s="32">
        <v>2701</v>
      </c>
      <c r="B2714" s="90">
        <v>8.119622472930633</v>
      </c>
    </row>
    <row r="2715" spans="1:2">
      <c r="A2715" s="32">
        <v>2702</v>
      </c>
      <c r="B2715" s="90">
        <v>7.9881658741555883</v>
      </c>
    </row>
    <row r="2716" spans="1:2">
      <c r="A2716" s="32">
        <v>2703</v>
      </c>
      <c r="B2716" s="90">
        <v>8.6794713311518858</v>
      </c>
    </row>
    <row r="2717" spans="1:2">
      <c r="A2717" s="32">
        <v>2704</v>
      </c>
      <c r="B2717" s="90">
        <v>8.3650677112542802</v>
      </c>
    </row>
    <row r="2718" spans="1:2">
      <c r="A2718" s="32">
        <v>2705</v>
      </c>
      <c r="B2718" s="90">
        <v>7.7765618891516182</v>
      </c>
    </row>
    <row r="2719" spans="1:2">
      <c r="A2719" s="32">
        <v>2706</v>
      </c>
      <c r="B2719" s="90">
        <v>8.2757487158948049</v>
      </c>
    </row>
    <row r="2720" spans="1:2">
      <c r="A2720" s="32">
        <v>2707</v>
      </c>
      <c r="B2720" s="90">
        <v>7.3665429161288412</v>
      </c>
    </row>
    <row r="2721" spans="1:2">
      <c r="A2721" s="32">
        <v>2708</v>
      </c>
      <c r="B2721" s="90">
        <v>8.4179019410109674</v>
      </c>
    </row>
    <row r="2722" spans="1:2">
      <c r="A2722" s="32">
        <v>2709</v>
      </c>
      <c r="B2722" s="90">
        <v>7.8858934021565323</v>
      </c>
    </row>
    <row r="2723" spans="1:2">
      <c r="A2723" s="32">
        <v>2710</v>
      </c>
      <c r="B2723" s="90">
        <v>8.1361113741050168</v>
      </c>
    </row>
    <row r="2724" spans="1:2">
      <c r="A2724" s="32">
        <v>2711</v>
      </c>
      <c r="B2724" s="90">
        <v>7.2634529226469189</v>
      </c>
    </row>
    <row r="2725" spans="1:2">
      <c r="A2725" s="32">
        <v>2712</v>
      </c>
      <c r="B2725" s="90">
        <v>8.1733857180276122</v>
      </c>
    </row>
    <row r="2726" spans="1:2">
      <c r="A2726" s="32">
        <v>2713</v>
      </c>
      <c r="B2726" s="90">
        <v>8.1761858885554783</v>
      </c>
    </row>
    <row r="2727" spans="1:2">
      <c r="A2727" s="32">
        <v>2714</v>
      </c>
      <c r="B2727" s="90">
        <v>7.8694506366106687</v>
      </c>
    </row>
    <row r="2728" spans="1:2">
      <c r="A2728" s="32">
        <v>2715</v>
      </c>
      <c r="B2728" s="90">
        <v>8.1814947222228351</v>
      </c>
    </row>
    <row r="2729" spans="1:2">
      <c r="A2729" s="32">
        <v>2716</v>
      </c>
      <c r="B2729" s="90">
        <v>8.9380455352162933</v>
      </c>
    </row>
    <row r="2730" spans="1:2">
      <c r="A2730" s="32">
        <v>2717</v>
      </c>
      <c r="B2730" s="90">
        <v>8.9159902713643682</v>
      </c>
    </row>
    <row r="2731" spans="1:2">
      <c r="A2731" s="32">
        <v>2718</v>
      </c>
      <c r="B2731" s="90">
        <v>8.4079278827922082</v>
      </c>
    </row>
    <row r="2732" spans="1:2">
      <c r="A2732" s="32">
        <v>2719</v>
      </c>
      <c r="B2732" s="90">
        <v>7.4270527741110506</v>
      </c>
    </row>
    <row r="2733" spans="1:2">
      <c r="A2733" s="32">
        <v>2720</v>
      </c>
      <c r="B2733" s="90">
        <v>8.3084443797638841</v>
      </c>
    </row>
    <row r="2734" spans="1:2">
      <c r="A2734" s="32">
        <v>2721</v>
      </c>
      <c r="B2734" s="90">
        <v>8.3313123549082118</v>
      </c>
    </row>
    <row r="2735" spans="1:2">
      <c r="A2735" s="32">
        <v>2722</v>
      </c>
      <c r="B2735" s="90">
        <v>7.6151862947583666</v>
      </c>
    </row>
    <row r="2736" spans="1:2">
      <c r="A2736" s="32">
        <v>2723</v>
      </c>
      <c r="B2736" s="90">
        <v>7.6542933482285749</v>
      </c>
    </row>
    <row r="2737" spans="1:2">
      <c r="A2737" s="32">
        <v>2724</v>
      </c>
      <c r="B2737" s="90">
        <v>8.6750438667845131</v>
      </c>
    </row>
    <row r="2738" spans="1:2">
      <c r="A2738" s="32">
        <v>2725</v>
      </c>
      <c r="B2738" s="90">
        <v>8.6542232185558081</v>
      </c>
    </row>
    <row r="2739" spans="1:2">
      <c r="A2739" s="32">
        <v>2726</v>
      </c>
      <c r="B2739" s="90">
        <v>8.0231725160286533</v>
      </c>
    </row>
    <row r="2740" spans="1:2">
      <c r="A2740" s="32">
        <v>2727</v>
      </c>
      <c r="B2740" s="90">
        <v>8.7465523671048864</v>
      </c>
    </row>
    <row r="2741" spans="1:2">
      <c r="A2741" s="32">
        <v>2728</v>
      </c>
      <c r="B2741" s="90">
        <v>8.6837039729279226</v>
      </c>
    </row>
    <row r="2742" spans="1:2">
      <c r="A2742" s="32">
        <v>2729</v>
      </c>
      <c r="B2742" s="90">
        <v>7.6435711910096575</v>
      </c>
    </row>
    <row r="2743" spans="1:2">
      <c r="A2743" s="32">
        <v>2730</v>
      </c>
      <c r="B2743" s="90">
        <v>7.9390102652275552</v>
      </c>
    </row>
    <row r="2744" spans="1:2">
      <c r="A2744" s="32">
        <v>2731</v>
      </c>
      <c r="B2744" s="90">
        <v>8.4965895661139808</v>
      </c>
    </row>
    <row r="2745" spans="1:2">
      <c r="A2745" s="32">
        <v>2732</v>
      </c>
      <c r="B2745" s="90">
        <v>9.2552305696571349</v>
      </c>
    </row>
    <row r="2746" spans="1:2">
      <c r="A2746" s="32">
        <v>2733</v>
      </c>
      <c r="B2746" s="90">
        <v>8.2646263592549776</v>
      </c>
    </row>
    <row r="2747" spans="1:2">
      <c r="A2747" s="32">
        <v>2734</v>
      </c>
      <c r="B2747" s="90">
        <v>8.1025977781342249</v>
      </c>
    </row>
    <row r="2748" spans="1:2">
      <c r="A2748" s="32">
        <v>2735</v>
      </c>
      <c r="B2748" s="90">
        <v>7.6480018287862297</v>
      </c>
    </row>
    <row r="2749" spans="1:2">
      <c r="A2749" s="32">
        <v>2736</v>
      </c>
      <c r="B2749" s="90">
        <v>8.9118488400287283</v>
      </c>
    </row>
    <row r="2750" spans="1:2">
      <c r="A2750" s="32">
        <v>2737</v>
      </c>
      <c r="B2750" s="90">
        <v>7.0760640389568845</v>
      </c>
    </row>
    <row r="2751" spans="1:2">
      <c r="A2751" s="32">
        <v>2738</v>
      </c>
      <c r="B2751" s="90">
        <v>8.272223735020896</v>
      </c>
    </row>
    <row r="2752" spans="1:2">
      <c r="A2752" s="32">
        <v>2739</v>
      </c>
      <c r="B2752" s="90">
        <v>7.7311129208538736</v>
      </c>
    </row>
    <row r="2753" spans="1:2">
      <c r="A2753" s="32">
        <v>2740</v>
      </c>
      <c r="B2753" s="90">
        <v>7.7915143989248934</v>
      </c>
    </row>
    <row r="2754" spans="1:2">
      <c r="A2754" s="32">
        <v>2741</v>
      </c>
      <c r="B2754" s="90">
        <v>7.2139683636046037</v>
      </c>
    </row>
    <row r="2755" spans="1:2">
      <c r="A2755" s="32">
        <v>2742</v>
      </c>
      <c r="B2755" s="90">
        <v>7.2596619415553425</v>
      </c>
    </row>
    <row r="2756" spans="1:2">
      <c r="A2756" s="32">
        <v>2743</v>
      </c>
      <c r="B2756" s="90">
        <v>8.1714275786605874</v>
      </c>
    </row>
    <row r="2757" spans="1:2">
      <c r="A2757" s="32">
        <v>2744</v>
      </c>
      <c r="B2757" s="90">
        <v>7.8674013520151069</v>
      </c>
    </row>
    <row r="2758" spans="1:2">
      <c r="A2758" s="32">
        <v>2745</v>
      </c>
      <c r="B2758" s="90">
        <v>8.7654986779303208</v>
      </c>
    </row>
    <row r="2759" spans="1:2">
      <c r="A2759" s="32">
        <v>2746</v>
      </c>
      <c r="B2759" s="90">
        <v>7.6848579960794163</v>
      </c>
    </row>
    <row r="2760" spans="1:2">
      <c r="A2760" s="32">
        <v>2747</v>
      </c>
      <c r="B2760" s="90">
        <v>9.0032572098879609</v>
      </c>
    </row>
    <row r="2761" spans="1:2">
      <c r="A2761" s="32">
        <v>2748</v>
      </c>
      <c r="B2761" s="90">
        <v>9.5873330655982105</v>
      </c>
    </row>
    <row r="2762" spans="1:2">
      <c r="A2762" s="32">
        <v>2749</v>
      </c>
      <c r="B2762" s="90">
        <v>8.5020212081046456</v>
      </c>
    </row>
    <row r="2763" spans="1:2">
      <c r="A2763" s="32">
        <v>2750</v>
      </c>
      <c r="B2763" s="90">
        <v>7.4137857118629515</v>
      </c>
    </row>
    <row r="2764" spans="1:2">
      <c r="A2764" s="32">
        <v>2751</v>
      </c>
      <c r="B2764" s="90">
        <v>9.0808471924102534</v>
      </c>
    </row>
    <row r="2765" spans="1:2">
      <c r="A2765" s="32">
        <v>2752</v>
      </c>
      <c r="B2765" s="90">
        <v>9.0539622212710196</v>
      </c>
    </row>
    <row r="2766" spans="1:2">
      <c r="A2766" s="32">
        <v>2753</v>
      </c>
      <c r="B2766" s="90">
        <v>8.3017710754413461</v>
      </c>
    </row>
    <row r="2767" spans="1:2">
      <c r="A2767" s="32">
        <v>2754</v>
      </c>
      <c r="B2767" s="90">
        <v>7.7878544223370323</v>
      </c>
    </row>
    <row r="2768" spans="1:2">
      <c r="A2768" s="32">
        <v>2755</v>
      </c>
      <c r="B2768" s="90">
        <v>7.8246569820133107</v>
      </c>
    </row>
    <row r="2769" spans="1:2">
      <c r="A2769" s="32">
        <v>2756</v>
      </c>
      <c r="B2769" s="90">
        <v>8.3651434234973756</v>
      </c>
    </row>
    <row r="2770" spans="1:2">
      <c r="A2770" s="32">
        <v>2757</v>
      </c>
      <c r="B2770" s="90">
        <v>9.9367174841177466</v>
      </c>
    </row>
    <row r="2771" spans="1:2">
      <c r="A2771" s="32">
        <v>2758</v>
      </c>
      <c r="B2771" s="90">
        <v>7.5437239540435028</v>
      </c>
    </row>
    <row r="2772" spans="1:2">
      <c r="A2772" s="32">
        <v>2759</v>
      </c>
      <c r="B2772" s="90">
        <v>7.8258052085939287</v>
      </c>
    </row>
    <row r="2773" spans="1:2">
      <c r="A2773" s="32">
        <v>2760</v>
      </c>
      <c r="B2773" s="90">
        <v>8.117102334344354</v>
      </c>
    </row>
    <row r="2774" spans="1:2">
      <c r="A2774" s="32">
        <v>2761</v>
      </c>
      <c r="B2774" s="90">
        <v>9.6931277759587378</v>
      </c>
    </row>
    <row r="2775" spans="1:2">
      <c r="A2775" s="32">
        <v>2762</v>
      </c>
      <c r="B2775" s="90">
        <v>8.8054189610045732</v>
      </c>
    </row>
    <row r="2776" spans="1:2">
      <c r="A2776" s="32">
        <v>2763</v>
      </c>
      <c r="B2776" s="90">
        <v>8.2174906574044311</v>
      </c>
    </row>
    <row r="2777" spans="1:2">
      <c r="A2777" s="32">
        <v>2764</v>
      </c>
      <c r="B2777" s="90">
        <v>8.6207477641402104</v>
      </c>
    </row>
    <row r="2778" spans="1:2">
      <c r="A2778" s="32">
        <v>2765</v>
      </c>
      <c r="B2778" s="90">
        <v>7.7543103847221753</v>
      </c>
    </row>
    <row r="2779" spans="1:2">
      <c r="A2779" s="32">
        <v>2766</v>
      </c>
      <c r="B2779" s="90">
        <v>7.5818397794650636</v>
      </c>
    </row>
    <row r="2780" spans="1:2">
      <c r="A2780" s="32">
        <v>2767</v>
      </c>
      <c r="B2780" s="90">
        <v>8.0989079253808303</v>
      </c>
    </row>
    <row r="2781" spans="1:2">
      <c r="A2781" s="32">
        <v>2768</v>
      </c>
      <c r="B2781" s="90">
        <v>8.2042246651193036</v>
      </c>
    </row>
    <row r="2782" spans="1:2">
      <c r="A2782" s="32">
        <v>2769</v>
      </c>
      <c r="B2782" s="90">
        <v>8.6035255486007589</v>
      </c>
    </row>
    <row r="2783" spans="1:2">
      <c r="A2783" s="32">
        <v>2770</v>
      </c>
      <c r="B2783" s="90">
        <v>8.0424972016597245</v>
      </c>
    </row>
    <row r="2784" spans="1:2">
      <c r="A2784" s="32">
        <v>2771</v>
      </c>
      <c r="B2784" s="90">
        <v>8.1992620606060918</v>
      </c>
    </row>
    <row r="2785" spans="1:2">
      <c r="A2785" s="32">
        <v>2772</v>
      </c>
      <c r="B2785" s="90">
        <v>7.3896882310528813</v>
      </c>
    </row>
    <row r="2786" spans="1:2">
      <c r="A2786" s="32">
        <v>2773</v>
      </c>
      <c r="B2786" s="90">
        <v>7.723131981316735</v>
      </c>
    </row>
    <row r="2787" spans="1:2">
      <c r="A2787" s="32">
        <v>2774</v>
      </c>
      <c r="B2787" s="90">
        <v>8.5143023128087432</v>
      </c>
    </row>
    <row r="2788" spans="1:2">
      <c r="A2788" s="32">
        <v>2775</v>
      </c>
      <c r="B2788" s="90">
        <v>8.3003347105378307</v>
      </c>
    </row>
    <row r="2789" spans="1:2">
      <c r="A2789" s="32">
        <v>2776</v>
      </c>
      <c r="B2789" s="90">
        <v>7.4603613685897363</v>
      </c>
    </row>
    <row r="2790" spans="1:2">
      <c r="A2790" s="32">
        <v>2777</v>
      </c>
      <c r="B2790" s="90">
        <v>8.455979011004116</v>
      </c>
    </row>
    <row r="2791" spans="1:2">
      <c r="A2791" s="32">
        <v>2778</v>
      </c>
      <c r="B2791" s="90">
        <v>7.0563328695439429</v>
      </c>
    </row>
    <row r="2792" spans="1:2">
      <c r="A2792" s="32">
        <v>2779</v>
      </c>
      <c r="B2792" s="90">
        <v>7.9818645633672505</v>
      </c>
    </row>
    <row r="2793" spans="1:2">
      <c r="A2793" s="32">
        <v>2780</v>
      </c>
      <c r="B2793" s="90">
        <v>9.2835707812046575</v>
      </c>
    </row>
    <row r="2794" spans="1:2">
      <c r="A2794" s="32">
        <v>2781</v>
      </c>
      <c r="B2794" s="90">
        <v>7.8446718835112481</v>
      </c>
    </row>
    <row r="2795" spans="1:2">
      <c r="A2795" s="32">
        <v>2782</v>
      </c>
      <c r="B2795" s="90">
        <v>8.7101261195292743</v>
      </c>
    </row>
    <row r="2796" spans="1:2">
      <c r="A2796" s="32">
        <v>2783</v>
      </c>
      <c r="B2796" s="90">
        <v>8.0191654979251474</v>
      </c>
    </row>
    <row r="2797" spans="1:2">
      <c r="A2797" s="32">
        <v>2784</v>
      </c>
      <c r="B2797" s="90">
        <v>7.1518888344808937</v>
      </c>
    </row>
    <row r="2798" spans="1:2">
      <c r="A2798" s="32">
        <v>2785</v>
      </c>
      <c r="B2798" s="90">
        <v>7.0991705440453323</v>
      </c>
    </row>
    <row r="2799" spans="1:2">
      <c r="A2799" s="32">
        <v>2786</v>
      </c>
      <c r="B2799" s="90">
        <v>9.1800910647570202</v>
      </c>
    </row>
    <row r="2800" spans="1:2">
      <c r="A2800" s="32">
        <v>2787</v>
      </c>
      <c r="B2800" s="90">
        <v>8.5882688121625392</v>
      </c>
    </row>
    <row r="2801" spans="1:2">
      <c r="A2801" s="32">
        <v>2788</v>
      </c>
      <c r="B2801" s="90">
        <v>8.8452474732192066</v>
      </c>
    </row>
    <row r="2802" spans="1:2">
      <c r="A2802" s="32">
        <v>2789</v>
      </c>
      <c r="B2802" s="90">
        <v>8.5135166990269546</v>
      </c>
    </row>
    <row r="2803" spans="1:2">
      <c r="A2803" s="32">
        <v>2790</v>
      </c>
      <c r="B2803" s="90">
        <v>8.1459471647476445</v>
      </c>
    </row>
    <row r="2804" spans="1:2">
      <c r="A2804" s="32">
        <v>2791</v>
      </c>
      <c r="B2804" s="90">
        <v>7.6563566705078001</v>
      </c>
    </row>
    <row r="2805" spans="1:2">
      <c r="A2805" s="32">
        <v>2792</v>
      </c>
      <c r="B2805" s="90">
        <v>8.3926534274407523</v>
      </c>
    </row>
    <row r="2806" spans="1:2">
      <c r="A2806" s="32">
        <v>2793</v>
      </c>
      <c r="B2806" s="90">
        <v>8.3021677645887753</v>
      </c>
    </row>
    <row r="2807" spans="1:2">
      <c r="A2807" s="32">
        <v>2794</v>
      </c>
      <c r="B2807" s="90">
        <v>7.553334583108092</v>
      </c>
    </row>
    <row r="2808" spans="1:2">
      <c r="A2808" s="32">
        <v>2795</v>
      </c>
      <c r="B2808" s="90">
        <v>7.4126721448474564</v>
      </c>
    </row>
    <row r="2809" spans="1:2">
      <c r="A2809" s="32">
        <v>2796</v>
      </c>
      <c r="B2809" s="90">
        <v>8.7312159696290088</v>
      </c>
    </row>
    <row r="2810" spans="1:2">
      <c r="A2810" s="32">
        <v>2797</v>
      </c>
      <c r="B2810" s="90">
        <v>7.3908373430010581</v>
      </c>
    </row>
    <row r="2811" spans="1:2">
      <c r="A2811" s="32">
        <v>2798</v>
      </c>
      <c r="B2811" s="90">
        <v>7.8084440211089614</v>
      </c>
    </row>
    <row r="2812" spans="1:2">
      <c r="A2812" s="32">
        <v>2799</v>
      </c>
      <c r="B2812" s="90">
        <v>10.00967449910185</v>
      </c>
    </row>
    <row r="2813" spans="1:2">
      <c r="A2813" s="32">
        <v>2800</v>
      </c>
      <c r="B2813" s="90">
        <v>8.1576037428427579</v>
      </c>
    </row>
    <row r="2814" spans="1:2">
      <c r="A2814" s="32">
        <v>2801</v>
      </c>
      <c r="B2814" s="90">
        <v>6.8436482733982933</v>
      </c>
    </row>
    <row r="2815" spans="1:2">
      <c r="A2815" s="32">
        <v>2802</v>
      </c>
      <c r="B2815" s="90">
        <v>8.3385870806930882</v>
      </c>
    </row>
    <row r="2816" spans="1:2">
      <c r="A2816" s="32">
        <v>2803</v>
      </c>
      <c r="B2816" s="90">
        <v>7.7249056803240146</v>
      </c>
    </row>
    <row r="2817" spans="1:2">
      <c r="A2817" s="32">
        <v>2804</v>
      </c>
      <c r="B2817" s="90">
        <v>7.2631141937242543</v>
      </c>
    </row>
    <row r="2818" spans="1:2">
      <c r="A2818" s="32">
        <v>2805</v>
      </c>
      <c r="B2818" s="90">
        <v>7.3376123647620775</v>
      </c>
    </row>
    <row r="2819" spans="1:2">
      <c r="A2819" s="32">
        <v>2806</v>
      </c>
      <c r="B2819" s="90">
        <v>7.4168150075113317</v>
      </c>
    </row>
    <row r="2820" spans="1:2">
      <c r="A2820" s="32">
        <v>2807</v>
      </c>
      <c r="B2820" s="90">
        <v>8.5497886498124487</v>
      </c>
    </row>
    <row r="2821" spans="1:2">
      <c r="A2821" s="32">
        <v>2808</v>
      </c>
      <c r="B2821" s="90">
        <v>8.4523531227790922</v>
      </c>
    </row>
    <row r="2822" spans="1:2">
      <c r="A2822" s="32">
        <v>2809</v>
      </c>
      <c r="B2822" s="90">
        <v>7.543033864734098</v>
      </c>
    </row>
    <row r="2823" spans="1:2">
      <c r="A2823" s="32">
        <v>2810</v>
      </c>
      <c r="B2823" s="90">
        <v>8.4948574854793577</v>
      </c>
    </row>
    <row r="2824" spans="1:2">
      <c r="A2824" s="32">
        <v>2811</v>
      </c>
      <c r="B2824" s="90">
        <v>7.3496558168079096</v>
      </c>
    </row>
    <row r="2825" spans="1:2">
      <c r="A2825" s="32">
        <v>2812</v>
      </c>
      <c r="B2825" s="90">
        <v>6.9250234617469077</v>
      </c>
    </row>
    <row r="2826" spans="1:2">
      <c r="A2826" s="32">
        <v>2813</v>
      </c>
      <c r="B2826" s="90">
        <v>7.9876084508261513</v>
      </c>
    </row>
    <row r="2827" spans="1:2">
      <c r="A2827" s="32">
        <v>2814</v>
      </c>
      <c r="B2827" s="90">
        <v>8.2224908530456826</v>
      </c>
    </row>
    <row r="2828" spans="1:2">
      <c r="A2828" s="32">
        <v>2815</v>
      </c>
      <c r="B2828" s="90">
        <v>8.4093474797080123</v>
      </c>
    </row>
    <row r="2829" spans="1:2">
      <c r="A2829" s="32">
        <v>2816</v>
      </c>
      <c r="B2829" s="90">
        <v>7.6176042380026816</v>
      </c>
    </row>
    <row r="2830" spans="1:2">
      <c r="A2830" s="32">
        <v>2817</v>
      </c>
      <c r="B2830" s="90">
        <v>8.3554076625389015</v>
      </c>
    </row>
    <row r="2831" spans="1:2">
      <c r="A2831" s="32">
        <v>2818</v>
      </c>
      <c r="B2831" s="90">
        <v>8.1423165847413426</v>
      </c>
    </row>
    <row r="2832" spans="1:2">
      <c r="A2832" s="32">
        <v>2819</v>
      </c>
      <c r="B2832" s="90">
        <v>7.2270266861759609</v>
      </c>
    </row>
    <row r="2833" spans="1:2">
      <c r="A2833" s="32">
        <v>2820</v>
      </c>
      <c r="B2833" s="90">
        <v>7.3122771259167685</v>
      </c>
    </row>
    <row r="2834" spans="1:2">
      <c r="A2834" s="32">
        <v>2821</v>
      </c>
      <c r="B2834" s="90">
        <v>7.9198932722887232</v>
      </c>
    </row>
    <row r="2835" spans="1:2">
      <c r="A2835" s="32">
        <v>2822</v>
      </c>
      <c r="B2835" s="90">
        <v>8.2773220065350106</v>
      </c>
    </row>
    <row r="2836" spans="1:2">
      <c r="A2836" s="32">
        <v>2823</v>
      </c>
      <c r="B2836" s="90">
        <v>8.4074149421053743</v>
      </c>
    </row>
    <row r="2837" spans="1:2">
      <c r="A2837" s="32">
        <v>2824</v>
      </c>
      <c r="B2837" s="90">
        <v>7.5678460757711505</v>
      </c>
    </row>
    <row r="2838" spans="1:2">
      <c r="A2838" s="32">
        <v>2825</v>
      </c>
      <c r="B2838" s="90">
        <v>8.3109317500831175</v>
      </c>
    </row>
    <row r="2839" spans="1:2">
      <c r="A2839" s="32">
        <v>2826</v>
      </c>
      <c r="B2839" s="90">
        <v>8.7115053957540347</v>
      </c>
    </row>
    <row r="2840" spans="1:2">
      <c r="A2840" s="32">
        <v>2827</v>
      </c>
      <c r="B2840" s="90">
        <v>7.4099361666435541</v>
      </c>
    </row>
    <row r="2841" spans="1:2">
      <c r="A2841" s="32">
        <v>2828</v>
      </c>
      <c r="B2841" s="90">
        <v>8.6528584844569867</v>
      </c>
    </row>
    <row r="2842" spans="1:2">
      <c r="A2842" s="32">
        <v>2829</v>
      </c>
      <c r="B2842" s="90">
        <v>9.0606373851639184</v>
      </c>
    </row>
    <row r="2843" spans="1:2">
      <c r="A2843" s="32">
        <v>2830</v>
      </c>
      <c r="B2843" s="90">
        <v>8.4211323476801159</v>
      </c>
    </row>
    <row r="2844" spans="1:2">
      <c r="A2844" s="32">
        <v>2831</v>
      </c>
      <c r="B2844" s="90">
        <v>7.9198032166800614</v>
      </c>
    </row>
    <row r="2845" spans="1:2">
      <c r="A2845" s="32">
        <v>2832</v>
      </c>
      <c r="B2845" s="90">
        <v>8.1290796655499715</v>
      </c>
    </row>
    <row r="2846" spans="1:2">
      <c r="A2846" s="32">
        <v>2833</v>
      </c>
      <c r="B2846" s="90">
        <v>7.3098516801136917</v>
      </c>
    </row>
    <row r="2847" spans="1:2">
      <c r="A2847" s="32">
        <v>2834</v>
      </c>
      <c r="B2847" s="90">
        <v>6.5721344357287848</v>
      </c>
    </row>
    <row r="2848" spans="1:2">
      <c r="A2848" s="32">
        <v>2835</v>
      </c>
      <c r="B2848" s="90">
        <v>8.1930113898162098</v>
      </c>
    </row>
    <row r="2849" spans="1:2">
      <c r="A2849" s="32">
        <v>2836</v>
      </c>
      <c r="B2849" s="90">
        <v>7.8520455180206117</v>
      </c>
    </row>
    <row r="2850" spans="1:2">
      <c r="A2850" s="32">
        <v>2837</v>
      </c>
      <c r="B2850" s="90">
        <v>8.1995579058228785</v>
      </c>
    </row>
    <row r="2851" spans="1:2">
      <c r="A2851" s="32">
        <v>2838</v>
      </c>
      <c r="B2851" s="90">
        <v>8.4443617322717994</v>
      </c>
    </row>
    <row r="2852" spans="1:2">
      <c r="A2852" s="32">
        <v>2839</v>
      </c>
      <c r="B2852" s="90">
        <v>7.9814934209767632</v>
      </c>
    </row>
    <row r="2853" spans="1:2">
      <c r="A2853" s="32">
        <v>2840</v>
      </c>
      <c r="B2853" s="90">
        <v>7.1958365532614632</v>
      </c>
    </row>
    <row r="2854" spans="1:2">
      <c r="A2854" s="32">
        <v>2841</v>
      </c>
      <c r="B2854" s="90">
        <v>8.3333747805654177</v>
      </c>
    </row>
    <row r="2855" spans="1:2">
      <c r="A2855" s="32">
        <v>2842</v>
      </c>
      <c r="B2855" s="90">
        <v>7.5535658582457241</v>
      </c>
    </row>
    <row r="2856" spans="1:2">
      <c r="A2856" s="32">
        <v>2843</v>
      </c>
      <c r="B2856" s="90">
        <v>8.4725404902978312</v>
      </c>
    </row>
    <row r="2857" spans="1:2">
      <c r="A2857" s="32">
        <v>2844</v>
      </c>
      <c r="B2857" s="90">
        <v>8.1227883794213831</v>
      </c>
    </row>
    <row r="2858" spans="1:2">
      <c r="A2858" s="32">
        <v>2845</v>
      </c>
      <c r="B2858" s="90">
        <v>7.9982524996529083</v>
      </c>
    </row>
    <row r="2859" spans="1:2">
      <c r="A2859" s="32">
        <v>2846</v>
      </c>
      <c r="B2859" s="90">
        <v>8.0170915498826165</v>
      </c>
    </row>
    <row r="2860" spans="1:2">
      <c r="A2860" s="32">
        <v>2847</v>
      </c>
      <c r="B2860" s="90">
        <v>8.4693004484263525</v>
      </c>
    </row>
    <row r="2861" spans="1:2">
      <c r="A2861" s="32">
        <v>2848</v>
      </c>
      <c r="B2861" s="90">
        <v>7.8221282562654659</v>
      </c>
    </row>
    <row r="2862" spans="1:2">
      <c r="A2862" s="32">
        <v>2849</v>
      </c>
      <c r="B2862" s="90">
        <v>9.5997339504453656</v>
      </c>
    </row>
    <row r="2863" spans="1:2">
      <c r="A2863" s="32">
        <v>2850</v>
      </c>
      <c r="B2863" s="90">
        <v>7.5955013935643034</v>
      </c>
    </row>
    <row r="2864" spans="1:2">
      <c r="A2864" s="32">
        <v>2851</v>
      </c>
      <c r="B2864" s="90">
        <v>8.8337814689689704</v>
      </c>
    </row>
    <row r="2865" spans="1:2">
      <c r="A2865" s="32">
        <v>2852</v>
      </c>
      <c r="B2865" s="90">
        <v>8.1918459564171577</v>
      </c>
    </row>
    <row r="2866" spans="1:2">
      <c r="A2866" s="32">
        <v>2853</v>
      </c>
      <c r="B2866" s="90">
        <v>7.2820352608709182</v>
      </c>
    </row>
    <row r="2867" spans="1:2">
      <c r="A2867" s="32">
        <v>2854</v>
      </c>
      <c r="B2867" s="90">
        <v>8.7853908081784908</v>
      </c>
    </row>
    <row r="2868" spans="1:2">
      <c r="A2868" s="32">
        <v>2855</v>
      </c>
      <c r="B2868" s="90">
        <v>7.497219335585851</v>
      </c>
    </row>
    <row r="2869" spans="1:2">
      <c r="A2869" s="32">
        <v>2856</v>
      </c>
      <c r="B2869" s="90">
        <v>8.0992269605407508</v>
      </c>
    </row>
    <row r="2870" spans="1:2">
      <c r="A2870" s="32">
        <v>2857</v>
      </c>
      <c r="B2870" s="90">
        <v>8.1492015885444182</v>
      </c>
    </row>
    <row r="2871" spans="1:2">
      <c r="A2871" s="32">
        <v>2858</v>
      </c>
      <c r="B2871" s="90">
        <v>7.1100587376209265</v>
      </c>
    </row>
    <row r="2872" spans="1:2">
      <c r="A2872" s="32">
        <v>2859</v>
      </c>
      <c r="B2872" s="90">
        <v>7.45363373974073</v>
      </c>
    </row>
    <row r="2873" spans="1:2">
      <c r="A2873" s="32">
        <v>2860</v>
      </c>
      <c r="B2873" s="90">
        <v>9.1689860718008926</v>
      </c>
    </row>
    <row r="2874" spans="1:2">
      <c r="A2874" s="32">
        <v>2861</v>
      </c>
      <c r="B2874" s="90">
        <v>7.4956504767854719</v>
      </c>
    </row>
    <row r="2875" spans="1:2">
      <c r="A2875" s="32">
        <v>2862</v>
      </c>
      <c r="B2875" s="90">
        <v>8.2773832200436512</v>
      </c>
    </row>
    <row r="2876" spans="1:2">
      <c r="A2876" s="32">
        <v>2863</v>
      </c>
      <c r="B2876" s="90">
        <v>7.5604231486013198</v>
      </c>
    </row>
    <row r="2877" spans="1:2">
      <c r="A2877" s="32">
        <v>2864</v>
      </c>
      <c r="B2877" s="90">
        <v>7.9252103681240929</v>
      </c>
    </row>
    <row r="2878" spans="1:2">
      <c r="A2878" s="32">
        <v>2865</v>
      </c>
      <c r="B2878" s="90">
        <v>8.1904561087235042</v>
      </c>
    </row>
    <row r="2879" spans="1:2">
      <c r="A2879" s="32">
        <v>2866</v>
      </c>
      <c r="B2879" s="90">
        <v>8.1894541445107958</v>
      </c>
    </row>
    <row r="2880" spans="1:2">
      <c r="A2880" s="32">
        <v>2867</v>
      </c>
      <c r="B2880" s="90">
        <v>8.5117960528793475</v>
      </c>
    </row>
    <row r="2881" spans="1:2">
      <c r="A2881" s="32">
        <v>2868</v>
      </c>
      <c r="B2881" s="90">
        <v>8.0270930196901027</v>
      </c>
    </row>
    <row r="2882" spans="1:2">
      <c r="A2882" s="32">
        <v>2869</v>
      </c>
      <c r="B2882" s="90">
        <v>7.7342834320684624</v>
      </c>
    </row>
    <row r="2883" spans="1:2">
      <c r="A2883" s="32">
        <v>2870</v>
      </c>
      <c r="B2883" s="90">
        <v>7.5389775889122275</v>
      </c>
    </row>
    <row r="2884" spans="1:2">
      <c r="A2884" s="32">
        <v>2871</v>
      </c>
      <c r="B2884" s="90">
        <v>7.8344713268952306</v>
      </c>
    </row>
    <row r="2885" spans="1:2">
      <c r="A2885" s="32">
        <v>2872</v>
      </c>
      <c r="B2885" s="90">
        <v>8.5256171387917803</v>
      </c>
    </row>
    <row r="2886" spans="1:2">
      <c r="A2886" s="32">
        <v>2873</v>
      </c>
      <c r="B2886" s="90">
        <v>8.5608652897014821</v>
      </c>
    </row>
    <row r="2887" spans="1:2">
      <c r="A2887" s="32">
        <v>2874</v>
      </c>
      <c r="B2887" s="90">
        <v>8.1085491823957341</v>
      </c>
    </row>
    <row r="2888" spans="1:2">
      <c r="A2888" s="32">
        <v>2875</v>
      </c>
      <c r="B2888" s="90">
        <v>7.3972836492326186</v>
      </c>
    </row>
    <row r="2889" spans="1:2">
      <c r="A2889" s="32">
        <v>2876</v>
      </c>
      <c r="B2889" s="90">
        <v>7.0834380071738119</v>
      </c>
    </row>
    <row r="2890" spans="1:2">
      <c r="A2890" s="32">
        <v>2877</v>
      </c>
      <c r="B2890" s="90">
        <v>7.021384209385622</v>
      </c>
    </row>
    <row r="2891" spans="1:2">
      <c r="A2891" s="32">
        <v>2878</v>
      </c>
      <c r="B2891" s="90">
        <v>7.8977366499458164</v>
      </c>
    </row>
    <row r="2892" spans="1:2">
      <c r="A2892" s="32">
        <v>2879</v>
      </c>
      <c r="B2892" s="90">
        <v>8.2737632699799679</v>
      </c>
    </row>
    <row r="2893" spans="1:2">
      <c r="A2893" s="32">
        <v>2880</v>
      </c>
      <c r="B2893" s="90">
        <v>9.0017363184878398</v>
      </c>
    </row>
    <row r="2894" spans="1:2">
      <c r="A2894" s="32">
        <v>2881</v>
      </c>
      <c r="B2894" s="90">
        <v>7.8938659836636624</v>
      </c>
    </row>
    <row r="2895" spans="1:2">
      <c r="A2895" s="32">
        <v>2882</v>
      </c>
      <c r="B2895" s="90">
        <v>8.7747007078039587</v>
      </c>
    </row>
    <row r="2896" spans="1:2">
      <c r="A2896" s="32">
        <v>2883</v>
      </c>
      <c r="B2896" s="90">
        <v>7.5980583419777714</v>
      </c>
    </row>
    <row r="2897" spans="1:2">
      <c r="A2897" s="32">
        <v>2884</v>
      </c>
      <c r="B2897" s="90">
        <v>8.0279488921854529</v>
      </c>
    </row>
    <row r="2898" spans="1:2">
      <c r="A2898" s="32">
        <v>2885</v>
      </c>
      <c r="B2898" s="90">
        <v>7.2631404390660457</v>
      </c>
    </row>
    <row r="2899" spans="1:2">
      <c r="A2899" s="32">
        <v>2886</v>
      </c>
      <c r="B2899" s="90">
        <v>6.6851411160682632</v>
      </c>
    </row>
    <row r="2900" spans="1:2">
      <c r="A2900" s="32">
        <v>2887</v>
      </c>
      <c r="B2900" s="90">
        <v>7.8093270786304716</v>
      </c>
    </row>
    <row r="2901" spans="1:2">
      <c r="A2901" s="32">
        <v>2888</v>
      </c>
      <c r="B2901" s="90">
        <v>8.0057819887436015</v>
      </c>
    </row>
    <row r="2902" spans="1:2">
      <c r="A2902" s="32">
        <v>2889</v>
      </c>
      <c r="B2902" s="90">
        <v>8.0425674235388129</v>
      </c>
    </row>
    <row r="2903" spans="1:2">
      <c r="A2903" s="32">
        <v>2890</v>
      </c>
      <c r="B2903" s="90">
        <v>7.2254420620474544</v>
      </c>
    </row>
    <row r="2904" spans="1:2">
      <c r="A2904" s="32">
        <v>2891</v>
      </c>
      <c r="B2904" s="90">
        <v>8.8299233248334676</v>
      </c>
    </row>
    <row r="2905" spans="1:2">
      <c r="A2905" s="32">
        <v>2892</v>
      </c>
      <c r="B2905" s="90">
        <v>7.4361152850631003</v>
      </c>
    </row>
    <row r="2906" spans="1:2">
      <c r="A2906" s="32">
        <v>2893</v>
      </c>
      <c r="B2906" s="90">
        <v>7.038950757704205</v>
      </c>
    </row>
    <row r="2907" spans="1:2">
      <c r="A2907" s="32">
        <v>2894</v>
      </c>
      <c r="B2907" s="90">
        <v>8.1175567382092559</v>
      </c>
    </row>
    <row r="2908" spans="1:2">
      <c r="A2908" s="32">
        <v>2895</v>
      </c>
      <c r="B2908" s="90">
        <v>7.375911715000961</v>
      </c>
    </row>
    <row r="2909" spans="1:2">
      <c r="A2909" s="32">
        <v>2896</v>
      </c>
      <c r="B2909" s="90">
        <v>8.0952644030679597</v>
      </c>
    </row>
    <row r="2910" spans="1:2">
      <c r="A2910" s="32">
        <v>2897</v>
      </c>
      <c r="B2910" s="90">
        <v>8.3422793045924486</v>
      </c>
    </row>
    <row r="2911" spans="1:2">
      <c r="A2911" s="32">
        <v>2898</v>
      </c>
      <c r="B2911" s="90">
        <v>8.0886362404948411</v>
      </c>
    </row>
    <row r="2912" spans="1:2">
      <c r="A2912" s="32">
        <v>2899</v>
      </c>
      <c r="B2912" s="90">
        <v>8.7811356163062175</v>
      </c>
    </row>
    <row r="2913" spans="1:2">
      <c r="A2913" s="32">
        <v>2900</v>
      </c>
      <c r="B2913" s="90">
        <v>8.61379419280801</v>
      </c>
    </row>
    <row r="2914" spans="1:2">
      <c r="A2914" s="32">
        <v>2901</v>
      </c>
      <c r="B2914" s="90">
        <v>7.7848488451188613</v>
      </c>
    </row>
    <row r="2915" spans="1:2">
      <c r="A2915" s="32">
        <v>2902</v>
      </c>
      <c r="B2915" s="90">
        <v>8.1756749734219465</v>
      </c>
    </row>
    <row r="2916" spans="1:2">
      <c r="A2916" s="32">
        <v>2903</v>
      </c>
      <c r="B2916" s="90">
        <v>7.8260487497412603</v>
      </c>
    </row>
    <row r="2917" spans="1:2">
      <c r="A2917" s="32">
        <v>2904</v>
      </c>
      <c r="B2917" s="90">
        <v>10.114196787049035</v>
      </c>
    </row>
    <row r="2918" spans="1:2">
      <c r="A2918" s="32">
        <v>2905</v>
      </c>
      <c r="B2918" s="90">
        <v>9.0820999339184638</v>
      </c>
    </row>
    <row r="2919" spans="1:2">
      <c r="A2919" s="32">
        <v>2906</v>
      </c>
      <c r="B2919" s="90">
        <v>7.8591635957642429</v>
      </c>
    </row>
    <row r="2920" spans="1:2">
      <c r="A2920" s="32">
        <v>2907</v>
      </c>
      <c r="B2920" s="90">
        <v>8.7479618514955106</v>
      </c>
    </row>
    <row r="2921" spans="1:2">
      <c r="A2921" s="32">
        <v>2908</v>
      </c>
      <c r="B2921" s="90">
        <v>7.8946170948399539</v>
      </c>
    </row>
    <row r="2922" spans="1:2">
      <c r="A2922" s="32">
        <v>2909</v>
      </c>
      <c r="B2922" s="90">
        <v>7.8490832471376155</v>
      </c>
    </row>
    <row r="2923" spans="1:2">
      <c r="A2923" s="32">
        <v>2910</v>
      </c>
      <c r="B2923" s="90">
        <v>8.7024742249466165</v>
      </c>
    </row>
    <row r="2924" spans="1:2">
      <c r="A2924" s="32">
        <v>2911</v>
      </c>
      <c r="B2924" s="90">
        <v>7.7349028135279196</v>
      </c>
    </row>
    <row r="2925" spans="1:2">
      <c r="A2925" s="32">
        <v>2912</v>
      </c>
      <c r="B2925" s="90">
        <v>8.1514219893621629</v>
      </c>
    </row>
    <row r="2926" spans="1:2">
      <c r="A2926" s="32">
        <v>2913</v>
      </c>
      <c r="B2926" s="90">
        <v>7.0156001454146661</v>
      </c>
    </row>
    <row r="2927" spans="1:2">
      <c r="A2927" s="32">
        <v>2914</v>
      </c>
      <c r="B2927" s="90">
        <v>7.2918345501380832</v>
      </c>
    </row>
    <row r="2928" spans="1:2">
      <c r="A2928" s="32">
        <v>2915</v>
      </c>
      <c r="B2928" s="90">
        <v>10.59590576501575</v>
      </c>
    </row>
    <row r="2929" spans="1:2">
      <c r="A2929" s="32">
        <v>2916</v>
      </c>
      <c r="B2929" s="90">
        <v>7.0419515795164465</v>
      </c>
    </row>
    <row r="2930" spans="1:2">
      <c r="A2930" s="32">
        <v>2917</v>
      </c>
      <c r="B2930" s="90">
        <v>7.0789669442466376</v>
      </c>
    </row>
    <row r="2931" spans="1:2">
      <c r="A2931" s="32">
        <v>2918</v>
      </c>
      <c r="B2931" s="90">
        <v>7.7838085663491237</v>
      </c>
    </row>
    <row r="2932" spans="1:2">
      <c r="A2932" s="32">
        <v>2919</v>
      </c>
      <c r="B2932" s="90">
        <v>8.2724684463064868</v>
      </c>
    </row>
    <row r="2933" spans="1:2">
      <c r="A2933" s="32">
        <v>2920</v>
      </c>
      <c r="B2933" s="90">
        <v>7.3850109930443582</v>
      </c>
    </row>
    <row r="2934" spans="1:2">
      <c r="A2934" s="32">
        <v>2921</v>
      </c>
      <c r="B2934" s="90">
        <v>7.1738490765382288</v>
      </c>
    </row>
    <row r="2935" spans="1:2">
      <c r="A2935" s="32">
        <v>2922</v>
      </c>
      <c r="B2935" s="90">
        <v>8.240267194361369</v>
      </c>
    </row>
    <row r="2936" spans="1:2">
      <c r="A2936" s="32">
        <v>2923</v>
      </c>
      <c r="B2936" s="90">
        <v>7.7344758199700179</v>
      </c>
    </row>
    <row r="2937" spans="1:2">
      <c r="A2937" s="32">
        <v>2924</v>
      </c>
      <c r="B2937" s="90">
        <v>8.0235313194221192</v>
      </c>
    </row>
    <row r="2938" spans="1:2">
      <c r="A2938" s="32">
        <v>2925</v>
      </c>
      <c r="B2938" s="90">
        <v>8.346761561837468</v>
      </c>
    </row>
    <row r="2939" spans="1:2">
      <c r="A2939" s="32">
        <v>2926</v>
      </c>
      <c r="B2939" s="90">
        <v>7.7312298594387787</v>
      </c>
    </row>
    <row r="2940" spans="1:2">
      <c r="A2940" s="32">
        <v>2927</v>
      </c>
      <c r="B2940" s="90">
        <v>8.1708780168228241</v>
      </c>
    </row>
    <row r="2941" spans="1:2">
      <c r="A2941" s="32">
        <v>2928</v>
      </c>
      <c r="B2941" s="90">
        <v>8.7196858474825945</v>
      </c>
    </row>
    <row r="2942" spans="1:2">
      <c r="A2942" s="32">
        <v>2929</v>
      </c>
      <c r="B2942" s="90">
        <v>8.2270959239762274</v>
      </c>
    </row>
    <row r="2943" spans="1:2">
      <c r="A2943" s="32">
        <v>2930</v>
      </c>
      <c r="B2943" s="90">
        <v>8.024894794400625</v>
      </c>
    </row>
    <row r="2944" spans="1:2">
      <c r="A2944" s="32">
        <v>2931</v>
      </c>
      <c r="B2944" s="90">
        <v>8.5624293100327122</v>
      </c>
    </row>
    <row r="2945" spans="1:2">
      <c r="A2945" s="32">
        <v>2932</v>
      </c>
      <c r="B2945" s="90">
        <v>7.876941859431362</v>
      </c>
    </row>
    <row r="2946" spans="1:2">
      <c r="A2946" s="32">
        <v>2933</v>
      </c>
      <c r="B2946" s="90">
        <v>7.6444624041279523</v>
      </c>
    </row>
    <row r="2947" spans="1:2">
      <c r="A2947" s="32">
        <v>2934</v>
      </c>
      <c r="B2947" s="90">
        <v>7.9995443988071973</v>
      </c>
    </row>
    <row r="2948" spans="1:2">
      <c r="A2948" s="32">
        <v>2935</v>
      </c>
      <c r="B2948" s="90">
        <v>8.9397880071109448</v>
      </c>
    </row>
    <row r="2949" spans="1:2">
      <c r="A2949" s="32">
        <v>2936</v>
      </c>
      <c r="B2949" s="90">
        <v>8.0321964586307004</v>
      </c>
    </row>
    <row r="2950" spans="1:2">
      <c r="A2950" s="32">
        <v>2937</v>
      </c>
      <c r="B2950" s="90">
        <v>8.276203153712208</v>
      </c>
    </row>
    <row r="2951" spans="1:2">
      <c r="A2951" s="32">
        <v>2938</v>
      </c>
      <c r="B2951" s="90">
        <v>8.0510952989562679</v>
      </c>
    </row>
    <row r="2952" spans="1:2">
      <c r="A2952" s="32">
        <v>2939</v>
      </c>
      <c r="B2952" s="90">
        <v>8.7802113613891031</v>
      </c>
    </row>
    <row r="2953" spans="1:2">
      <c r="A2953" s="32">
        <v>2940</v>
      </c>
      <c r="B2953" s="90">
        <v>8.0516924046213578</v>
      </c>
    </row>
    <row r="2954" spans="1:2">
      <c r="A2954" s="32">
        <v>2941</v>
      </c>
      <c r="B2954" s="90">
        <v>7.6959470173086313</v>
      </c>
    </row>
    <row r="2955" spans="1:2">
      <c r="A2955" s="32">
        <v>2942</v>
      </c>
      <c r="B2955" s="90">
        <v>8.4040856629692318</v>
      </c>
    </row>
    <row r="2956" spans="1:2">
      <c r="A2956" s="32">
        <v>2943</v>
      </c>
      <c r="B2956" s="90">
        <v>8.4181460664768739</v>
      </c>
    </row>
    <row r="2957" spans="1:2">
      <c r="A2957" s="32">
        <v>2944</v>
      </c>
      <c r="B2957" s="90">
        <v>8.2437722821681341</v>
      </c>
    </row>
    <row r="2958" spans="1:2">
      <c r="A2958" s="32">
        <v>2945</v>
      </c>
      <c r="B2958" s="90">
        <v>8.2329908961670561</v>
      </c>
    </row>
    <row r="2959" spans="1:2">
      <c r="A2959" s="32">
        <v>2946</v>
      </c>
      <c r="B2959" s="90">
        <v>8.334637777911972</v>
      </c>
    </row>
    <row r="2960" spans="1:2">
      <c r="A2960" s="32">
        <v>2947</v>
      </c>
      <c r="B2960" s="90">
        <v>7.6599903528841615</v>
      </c>
    </row>
    <row r="2961" spans="1:2">
      <c r="A2961" s="32">
        <v>2948</v>
      </c>
      <c r="B2961" s="90">
        <v>7.7093882996312875</v>
      </c>
    </row>
    <row r="2962" spans="1:2">
      <c r="A2962" s="32">
        <v>2949</v>
      </c>
      <c r="B2962" s="90">
        <v>8.9618245653805158</v>
      </c>
    </row>
    <row r="2963" spans="1:2">
      <c r="A2963" s="32">
        <v>2950</v>
      </c>
      <c r="B2963" s="90">
        <v>7.9896193638820936</v>
      </c>
    </row>
    <row r="2964" spans="1:2">
      <c r="A2964" s="32">
        <v>2951</v>
      </c>
      <c r="B2964" s="90">
        <v>7.8182230182706478</v>
      </c>
    </row>
    <row r="2965" spans="1:2">
      <c r="A2965" s="32">
        <v>2952</v>
      </c>
      <c r="B2965" s="90">
        <v>7.7740735385047559</v>
      </c>
    </row>
    <row r="2966" spans="1:2">
      <c r="A2966" s="32">
        <v>2953</v>
      </c>
      <c r="B2966" s="90">
        <v>8.3122696547832859</v>
      </c>
    </row>
    <row r="2967" spans="1:2">
      <c r="A2967" s="32">
        <v>2954</v>
      </c>
      <c r="B2967" s="90">
        <v>7.3259751612925408</v>
      </c>
    </row>
    <row r="2968" spans="1:2">
      <c r="A2968" s="32">
        <v>2955</v>
      </c>
      <c r="B2968" s="90">
        <v>7.5897922008638519</v>
      </c>
    </row>
    <row r="2969" spans="1:2">
      <c r="A2969" s="32">
        <v>2956</v>
      </c>
      <c r="B2969" s="90">
        <v>7.7039568126399542</v>
      </c>
    </row>
    <row r="2970" spans="1:2">
      <c r="A2970" s="32">
        <v>2957</v>
      </c>
      <c r="B2970" s="90">
        <v>8.2699465042052687</v>
      </c>
    </row>
    <row r="2971" spans="1:2">
      <c r="A2971" s="32">
        <v>2958</v>
      </c>
      <c r="B2971" s="90">
        <v>8.6974611369293555</v>
      </c>
    </row>
    <row r="2972" spans="1:2">
      <c r="A2972" s="32">
        <v>2959</v>
      </c>
      <c r="B2972" s="90">
        <v>7.9790588536683584</v>
      </c>
    </row>
    <row r="2973" spans="1:2">
      <c r="A2973" s="32">
        <v>2960</v>
      </c>
      <c r="B2973" s="90">
        <v>8.4652717358648619</v>
      </c>
    </row>
    <row r="2974" spans="1:2">
      <c r="A2974" s="32">
        <v>2961</v>
      </c>
      <c r="B2974" s="90">
        <v>7.9049286033177859</v>
      </c>
    </row>
    <row r="2975" spans="1:2">
      <c r="A2975" s="32">
        <v>2962</v>
      </c>
      <c r="B2975" s="90">
        <v>8.0497961186991009</v>
      </c>
    </row>
    <row r="2976" spans="1:2">
      <c r="A2976" s="32">
        <v>2963</v>
      </c>
      <c r="B2976" s="90">
        <v>8.6494271737896966</v>
      </c>
    </row>
    <row r="2977" spans="1:2">
      <c r="A2977" s="32">
        <v>2964</v>
      </c>
      <c r="B2977" s="90">
        <v>7.9245506497602847</v>
      </c>
    </row>
    <row r="2978" spans="1:2">
      <c r="A2978" s="32">
        <v>2965</v>
      </c>
      <c r="B2978" s="90">
        <v>7.7409887842031875</v>
      </c>
    </row>
    <row r="2979" spans="1:2">
      <c r="A2979" s="32">
        <v>2966</v>
      </c>
      <c r="B2979" s="90">
        <v>8.0219793019550849</v>
      </c>
    </row>
    <row r="2980" spans="1:2">
      <c r="A2980" s="32">
        <v>2967</v>
      </c>
      <c r="B2980" s="90">
        <v>8.6754513859768689</v>
      </c>
    </row>
    <row r="2981" spans="1:2">
      <c r="A2981" s="32">
        <v>2968</v>
      </c>
      <c r="B2981" s="90">
        <v>10.180420956664324</v>
      </c>
    </row>
    <row r="2982" spans="1:2">
      <c r="A2982" s="32">
        <v>2969</v>
      </c>
      <c r="B2982" s="90">
        <v>9.5891845348163258</v>
      </c>
    </row>
    <row r="2983" spans="1:2">
      <c r="A2983" s="32">
        <v>2970</v>
      </c>
      <c r="B2983" s="90">
        <v>7.7569697856955706</v>
      </c>
    </row>
    <row r="2984" spans="1:2">
      <c r="A2984" s="32">
        <v>2971</v>
      </c>
      <c r="B2984" s="90">
        <v>8.6665082073067925</v>
      </c>
    </row>
    <row r="2985" spans="1:2">
      <c r="A2985" s="32">
        <v>2972</v>
      </c>
      <c r="B2985" s="90">
        <v>8.0489002080722045</v>
      </c>
    </row>
    <row r="2986" spans="1:2">
      <c r="A2986" s="32">
        <v>2973</v>
      </c>
      <c r="B2986" s="90">
        <v>9.3418792875297445</v>
      </c>
    </row>
    <row r="2987" spans="1:2">
      <c r="A2987" s="32">
        <v>2974</v>
      </c>
      <c r="B2987" s="90">
        <v>6.7291516590233602</v>
      </c>
    </row>
    <row r="2988" spans="1:2">
      <c r="A2988" s="32">
        <v>2975</v>
      </c>
      <c r="B2988" s="90">
        <v>8.0916789415401151</v>
      </c>
    </row>
    <row r="2989" spans="1:2">
      <c r="A2989" s="32">
        <v>2976</v>
      </c>
      <c r="B2989" s="90">
        <v>7.5327981081868014</v>
      </c>
    </row>
    <row r="2990" spans="1:2">
      <c r="A2990" s="32">
        <v>2977</v>
      </c>
      <c r="B2990" s="90">
        <v>7.3173801663935567</v>
      </c>
    </row>
    <row r="2991" spans="1:2">
      <c r="A2991" s="32">
        <v>2978</v>
      </c>
      <c r="B2991" s="90">
        <v>7.4412685663547009</v>
      </c>
    </row>
    <row r="2992" spans="1:2">
      <c r="A2992" s="32">
        <v>2979</v>
      </c>
      <c r="B2992" s="90">
        <v>8.312739865356134</v>
      </c>
    </row>
    <row r="2993" spans="1:2">
      <c r="A2993" s="32">
        <v>2980</v>
      </c>
      <c r="B2993" s="90">
        <v>7.6215369612080259</v>
      </c>
    </row>
    <row r="2994" spans="1:2">
      <c r="A2994" s="32">
        <v>2981</v>
      </c>
      <c r="B2994" s="90">
        <v>7.59797648077266</v>
      </c>
    </row>
    <row r="2995" spans="1:2">
      <c r="A2995" s="32">
        <v>2982</v>
      </c>
      <c r="B2995" s="90">
        <v>7.3791068416953411</v>
      </c>
    </row>
    <row r="2996" spans="1:2">
      <c r="A2996" s="32">
        <v>2983</v>
      </c>
      <c r="B2996" s="90">
        <v>8.5322071857053086</v>
      </c>
    </row>
    <row r="2997" spans="1:2">
      <c r="A2997" s="32">
        <v>2984</v>
      </c>
      <c r="B2997" s="90">
        <v>7.6445985973660244</v>
      </c>
    </row>
    <row r="2998" spans="1:2">
      <c r="A2998" s="32">
        <v>2985</v>
      </c>
      <c r="B2998" s="90">
        <v>8.2491079714463869</v>
      </c>
    </row>
    <row r="2999" spans="1:2">
      <c r="A2999" s="32">
        <v>2986</v>
      </c>
      <c r="B2999" s="90">
        <v>8.0727448574297398</v>
      </c>
    </row>
    <row r="3000" spans="1:2">
      <c r="A3000" s="32">
        <v>2987</v>
      </c>
      <c r="B3000" s="90">
        <v>6.9763167119902532</v>
      </c>
    </row>
    <row r="3001" spans="1:2">
      <c r="A3001" s="32">
        <v>2988</v>
      </c>
      <c r="B3001" s="90">
        <v>7.71947900246077</v>
      </c>
    </row>
    <row r="3002" spans="1:2">
      <c r="A3002" s="32">
        <v>2989</v>
      </c>
      <c r="B3002" s="90">
        <v>8.5646933304551265</v>
      </c>
    </row>
    <row r="3003" spans="1:2">
      <c r="A3003" s="32">
        <v>2990</v>
      </c>
      <c r="B3003" s="90">
        <v>8.8515426938636956</v>
      </c>
    </row>
    <row r="3004" spans="1:2">
      <c r="A3004" s="32">
        <v>2991</v>
      </c>
      <c r="B3004" s="90">
        <v>8.3257869878327018</v>
      </c>
    </row>
    <row r="3005" spans="1:2">
      <c r="A3005" s="32">
        <v>2992</v>
      </c>
      <c r="B3005" s="90">
        <v>7.629120793079875</v>
      </c>
    </row>
    <row r="3006" spans="1:2">
      <c r="A3006" s="32">
        <v>2993</v>
      </c>
      <c r="B3006" s="90">
        <v>7.4717439186990724</v>
      </c>
    </row>
    <row r="3007" spans="1:2">
      <c r="A3007" s="32">
        <v>2994</v>
      </c>
      <c r="B3007" s="90">
        <v>7.2691384993148036</v>
      </c>
    </row>
    <row r="3008" spans="1:2">
      <c r="A3008" s="32">
        <v>2995</v>
      </c>
      <c r="B3008" s="90">
        <v>8.6368191752470267</v>
      </c>
    </row>
    <row r="3009" spans="1:2">
      <c r="A3009" s="32">
        <v>2996</v>
      </c>
      <c r="B3009" s="90">
        <v>8.3508598060296126</v>
      </c>
    </row>
    <row r="3010" spans="1:2">
      <c r="A3010" s="32">
        <v>2997</v>
      </c>
      <c r="B3010" s="90">
        <v>7.9154212123869288</v>
      </c>
    </row>
    <row r="3011" spans="1:2">
      <c r="A3011" s="32">
        <v>2998</v>
      </c>
      <c r="B3011" s="90">
        <v>8.2407764486033344</v>
      </c>
    </row>
    <row r="3012" spans="1:2">
      <c r="A3012" s="32">
        <v>2999</v>
      </c>
      <c r="B3012" s="90">
        <v>7.7283404477334887</v>
      </c>
    </row>
    <row r="3013" spans="1:2">
      <c r="A3013" s="32">
        <v>3000</v>
      </c>
      <c r="B3013" s="90">
        <v>8.0873281552930312</v>
      </c>
    </row>
    <row r="3014" spans="1:2">
      <c r="A3014" s="32">
        <v>3001</v>
      </c>
      <c r="B3014" s="90">
        <v>8.4645445298956226</v>
      </c>
    </row>
    <row r="3015" spans="1:2">
      <c r="A3015" s="32">
        <v>3002</v>
      </c>
      <c r="B3015" s="90">
        <v>8.6249596355242915</v>
      </c>
    </row>
    <row r="3016" spans="1:2">
      <c r="A3016" s="32">
        <v>3003</v>
      </c>
      <c r="B3016" s="90">
        <v>7.4482115273036094</v>
      </c>
    </row>
    <row r="3017" spans="1:2">
      <c r="A3017" s="32">
        <v>3004</v>
      </c>
      <c r="B3017" s="90">
        <v>7.3529670754566832</v>
      </c>
    </row>
    <row r="3018" spans="1:2">
      <c r="A3018" s="32">
        <v>3005</v>
      </c>
      <c r="B3018" s="90">
        <v>8.3576070396211026</v>
      </c>
    </row>
    <row r="3019" spans="1:2">
      <c r="A3019" s="32">
        <v>3006</v>
      </c>
      <c r="B3019" s="90">
        <v>8.311471592049136</v>
      </c>
    </row>
    <row r="3020" spans="1:2">
      <c r="A3020" s="32">
        <v>3007</v>
      </c>
      <c r="B3020" s="90">
        <v>7.9236585776746713</v>
      </c>
    </row>
    <row r="3021" spans="1:2">
      <c r="A3021" s="32">
        <v>3008</v>
      </c>
      <c r="B3021" s="90">
        <v>7.9171971900809934</v>
      </c>
    </row>
    <row r="3022" spans="1:2">
      <c r="A3022" s="32">
        <v>3009</v>
      </c>
      <c r="B3022" s="90">
        <v>8.1227333870355718</v>
      </c>
    </row>
    <row r="3023" spans="1:2">
      <c r="A3023" s="32">
        <v>3010</v>
      </c>
      <c r="B3023" s="90">
        <v>8.4071513132878053</v>
      </c>
    </row>
    <row r="3024" spans="1:2">
      <c r="A3024" s="32">
        <v>3011</v>
      </c>
      <c r="B3024" s="90">
        <v>9.131395125978969</v>
      </c>
    </row>
    <row r="3025" spans="1:2">
      <c r="A3025" s="32">
        <v>3012</v>
      </c>
      <c r="B3025" s="90">
        <v>7.8178051349669531</v>
      </c>
    </row>
    <row r="3026" spans="1:2">
      <c r="A3026" s="32">
        <v>3013</v>
      </c>
      <c r="B3026" s="90">
        <v>8.0868087462343983</v>
      </c>
    </row>
    <row r="3027" spans="1:2">
      <c r="A3027" s="32">
        <v>3014</v>
      </c>
      <c r="B3027" s="90">
        <v>7.6422190855476959</v>
      </c>
    </row>
    <row r="3028" spans="1:2">
      <c r="A3028" s="32">
        <v>3015</v>
      </c>
      <c r="B3028" s="90">
        <v>8.3417303320951213</v>
      </c>
    </row>
    <row r="3029" spans="1:2">
      <c r="A3029" s="32">
        <v>3016</v>
      </c>
      <c r="B3029" s="90">
        <v>8.4589627037930253</v>
      </c>
    </row>
    <row r="3030" spans="1:2">
      <c r="A3030" s="32">
        <v>3017</v>
      </c>
      <c r="B3030" s="90">
        <v>8.2189743658941392</v>
      </c>
    </row>
    <row r="3031" spans="1:2">
      <c r="A3031" s="32">
        <v>3018</v>
      </c>
      <c r="B3031" s="90">
        <v>7.6559767276578183</v>
      </c>
    </row>
    <row r="3032" spans="1:2">
      <c r="A3032" s="32">
        <v>3019</v>
      </c>
      <c r="B3032" s="90">
        <v>8.7458098028105962</v>
      </c>
    </row>
    <row r="3033" spans="1:2">
      <c r="A3033" s="32">
        <v>3020</v>
      </c>
      <c r="B3033" s="90">
        <v>9.5621450160095129</v>
      </c>
    </row>
    <row r="3034" spans="1:2">
      <c r="A3034" s="32">
        <v>3021</v>
      </c>
      <c r="B3034" s="90">
        <v>8.6067975769304237</v>
      </c>
    </row>
    <row r="3035" spans="1:2">
      <c r="A3035" s="32">
        <v>3022</v>
      </c>
      <c r="B3035" s="90">
        <v>7.9770784872552136</v>
      </c>
    </row>
    <row r="3036" spans="1:2">
      <c r="A3036" s="32">
        <v>3023</v>
      </c>
      <c r="B3036" s="90">
        <v>6.8902890895329598</v>
      </c>
    </row>
    <row r="3037" spans="1:2">
      <c r="A3037" s="32">
        <v>3024</v>
      </c>
      <c r="B3037" s="90">
        <v>7.1811684518733276</v>
      </c>
    </row>
    <row r="3038" spans="1:2">
      <c r="A3038" s="32">
        <v>3025</v>
      </c>
      <c r="B3038" s="90">
        <v>7.3483512970846903</v>
      </c>
    </row>
    <row r="3039" spans="1:2">
      <c r="A3039" s="32">
        <v>3026</v>
      </c>
      <c r="B3039" s="90">
        <v>10.093354986886832</v>
      </c>
    </row>
    <row r="3040" spans="1:2">
      <c r="A3040" s="32">
        <v>3027</v>
      </c>
      <c r="B3040" s="90">
        <v>8.6207896257528382</v>
      </c>
    </row>
    <row r="3041" spans="1:2">
      <c r="A3041" s="32">
        <v>3028</v>
      </c>
      <c r="B3041" s="90">
        <v>8.1737003090154516</v>
      </c>
    </row>
    <row r="3042" spans="1:2">
      <c r="A3042" s="32">
        <v>3029</v>
      </c>
      <c r="B3042" s="90">
        <v>7.6851039332559763</v>
      </c>
    </row>
    <row r="3043" spans="1:2">
      <c r="A3043" s="32">
        <v>3030</v>
      </c>
      <c r="B3043" s="90">
        <v>7.9111617578493627</v>
      </c>
    </row>
    <row r="3044" spans="1:2">
      <c r="A3044" s="32">
        <v>3031</v>
      </c>
      <c r="B3044" s="90">
        <v>7.8088928693950113</v>
      </c>
    </row>
    <row r="3045" spans="1:2">
      <c r="A3045" s="32">
        <v>3032</v>
      </c>
      <c r="B3045" s="90">
        <v>8.2257320729622911</v>
      </c>
    </row>
    <row r="3046" spans="1:2">
      <c r="A3046" s="32">
        <v>3033</v>
      </c>
      <c r="B3046" s="90">
        <v>6.9114048588502657</v>
      </c>
    </row>
    <row r="3047" spans="1:2">
      <c r="A3047" s="32">
        <v>3034</v>
      </c>
      <c r="B3047" s="90">
        <v>8.8392149767971375</v>
      </c>
    </row>
    <row r="3048" spans="1:2">
      <c r="A3048" s="32">
        <v>3035</v>
      </c>
      <c r="B3048" s="90">
        <v>8.013370901576863</v>
      </c>
    </row>
    <row r="3049" spans="1:2">
      <c r="A3049" s="32">
        <v>3036</v>
      </c>
      <c r="B3049" s="90">
        <v>8.668096953754592</v>
      </c>
    </row>
    <row r="3050" spans="1:2">
      <c r="A3050" s="32">
        <v>3037</v>
      </c>
      <c r="B3050" s="90">
        <v>7.549622312259376</v>
      </c>
    </row>
    <row r="3051" spans="1:2">
      <c r="A3051" s="32">
        <v>3038</v>
      </c>
      <c r="B3051" s="90">
        <v>6.9721544117887104</v>
      </c>
    </row>
    <row r="3052" spans="1:2">
      <c r="A3052" s="32">
        <v>3039</v>
      </c>
      <c r="B3052" s="90">
        <v>7.2327427941286127</v>
      </c>
    </row>
    <row r="3053" spans="1:2">
      <c r="A3053" s="32">
        <v>3040</v>
      </c>
      <c r="B3053" s="90">
        <v>8.0687313046350067</v>
      </c>
    </row>
    <row r="3054" spans="1:2">
      <c r="A3054" s="32">
        <v>3041</v>
      </c>
      <c r="B3054" s="90">
        <v>7.1723173663600255</v>
      </c>
    </row>
    <row r="3055" spans="1:2">
      <c r="A3055" s="32">
        <v>3042</v>
      </c>
      <c r="B3055" s="90">
        <v>7.8218653432677012</v>
      </c>
    </row>
    <row r="3056" spans="1:2">
      <c r="A3056" s="32">
        <v>3043</v>
      </c>
      <c r="B3056" s="90">
        <v>6.8213060214915284</v>
      </c>
    </row>
    <row r="3057" spans="1:2">
      <c r="A3057" s="32">
        <v>3044</v>
      </c>
      <c r="B3057" s="90">
        <v>8.2794329960277793</v>
      </c>
    </row>
    <row r="3058" spans="1:2">
      <c r="A3058" s="32">
        <v>3045</v>
      </c>
      <c r="B3058" s="90">
        <v>7.5178554811860421</v>
      </c>
    </row>
    <row r="3059" spans="1:2">
      <c r="A3059" s="32">
        <v>3046</v>
      </c>
      <c r="B3059" s="90">
        <v>8.626587334356099</v>
      </c>
    </row>
    <row r="3060" spans="1:2">
      <c r="A3060" s="32">
        <v>3047</v>
      </c>
      <c r="B3060" s="90">
        <v>8.3816647944078557</v>
      </c>
    </row>
    <row r="3061" spans="1:2">
      <c r="A3061" s="32">
        <v>3048</v>
      </c>
      <c r="B3061" s="90">
        <v>8.5297890564608139</v>
      </c>
    </row>
    <row r="3062" spans="1:2">
      <c r="A3062" s="32">
        <v>3049</v>
      </c>
      <c r="B3062" s="90">
        <v>8.7963814890503098</v>
      </c>
    </row>
    <row r="3063" spans="1:2">
      <c r="A3063" s="32">
        <v>3050</v>
      </c>
      <c r="B3063" s="90">
        <v>7.5126646087032851</v>
      </c>
    </row>
    <row r="3064" spans="1:2">
      <c r="A3064" s="32">
        <v>3051</v>
      </c>
      <c r="B3064" s="90">
        <v>9.3753770725269163</v>
      </c>
    </row>
    <row r="3065" spans="1:2">
      <c r="A3065" s="32">
        <v>3052</v>
      </c>
      <c r="B3065" s="90">
        <v>8.7581962221467986</v>
      </c>
    </row>
    <row r="3066" spans="1:2">
      <c r="A3066" s="32">
        <v>3053</v>
      </c>
      <c r="B3066" s="90">
        <v>8.0877648194492942</v>
      </c>
    </row>
    <row r="3067" spans="1:2">
      <c r="A3067" s="32">
        <v>3054</v>
      </c>
      <c r="B3067" s="90">
        <v>7.5951978349989613</v>
      </c>
    </row>
    <row r="3068" spans="1:2">
      <c r="A3068" s="32">
        <v>3055</v>
      </c>
      <c r="B3068" s="90">
        <v>7.6923596064699886</v>
      </c>
    </row>
    <row r="3069" spans="1:2">
      <c r="A3069" s="32">
        <v>3056</v>
      </c>
      <c r="B3069" s="90">
        <v>7.821164984302011</v>
      </c>
    </row>
    <row r="3070" spans="1:2">
      <c r="A3070" s="32">
        <v>3057</v>
      </c>
      <c r="B3070" s="90">
        <v>8.3702618231332711</v>
      </c>
    </row>
    <row r="3071" spans="1:2">
      <c r="A3071" s="32">
        <v>3058</v>
      </c>
      <c r="B3071" s="90">
        <v>8.4649131052894084</v>
      </c>
    </row>
    <row r="3072" spans="1:2">
      <c r="A3072" s="32">
        <v>3059</v>
      </c>
      <c r="B3072" s="90">
        <v>8.6290595263152277</v>
      </c>
    </row>
    <row r="3073" spans="1:2">
      <c r="A3073" s="32">
        <v>3060</v>
      </c>
      <c r="B3073" s="90">
        <v>8.4762611845195917</v>
      </c>
    </row>
    <row r="3074" spans="1:2">
      <c r="A3074" s="32">
        <v>3061</v>
      </c>
      <c r="B3074" s="90">
        <v>8.7422902170258752</v>
      </c>
    </row>
    <row r="3075" spans="1:2">
      <c r="A3075" s="32">
        <v>3062</v>
      </c>
      <c r="B3075" s="90">
        <v>8.590533555949758</v>
      </c>
    </row>
    <row r="3076" spans="1:2">
      <c r="A3076" s="32">
        <v>3063</v>
      </c>
      <c r="B3076" s="90">
        <v>7.2342871192950682</v>
      </c>
    </row>
    <row r="3077" spans="1:2">
      <c r="A3077" s="32">
        <v>3064</v>
      </c>
      <c r="B3077" s="90">
        <v>8.3002031502036662</v>
      </c>
    </row>
    <row r="3078" spans="1:2">
      <c r="A3078" s="32">
        <v>3065</v>
      </c>
      <c r="B3078" s="90">
        <v>8.190351420850833</v>
      </c>
    </row>
    <row r="3079" spans="1:2">
      <c r="A3079" s="32">
        <v>3066</v>
      </c>
      <c r="B3079" s="90">
        <v>7.1863275616034654</v>
      </c>
    </row>
    <row r="3080" spans="1:2">
      <c r="A3080" s="32">
        <v>3067</v>
      </c>
      <c r="B3080" s="90">
        <v>7.9201036392383459</v>
      </c>
    </row>
    <row r="3081" spans="1:2">
      <c r="A3081" s="32">
        <v>3068</v>
      </c>
      <c r="B3081" s="90">
        <v>8.2214427941675421</v>
      </c>
    </row>
    <row r="3082" spans="1:2">
      <c r="A3082" s="32">
        <v>3069</v>
      </c>
      <c r="B3082" s="90">
        <v>7.9559628130147164</v>
      </c>
    </row>
    <row r="3083" spans="1:2">
      <c r="A3083" s="32">
        <v>3070</v>
      </c>
      <c r="B3083" s="90">
        <v>6.7901508471582677</v>
      </c>
    </row>
    <row r="3084" spans="1:2">
      <c r="A3084" s="32">
        <v>3071</v>
      </c>
      <c r="B3084" s="90">
        <v>8.2300283471165727</v>
      </c>
    </row>
    <row r="3085" spans="1:2">
      <c r="A3085" s="32">
        <v>3072</v>
      </c>
      <c r="B3085" s="90">
        <v>8.5653575393058716</v>
      </c>
    </row>
    <row r="3086" spans="1:2">
      <c r="A3086" s="32">
        <v>3073</v>
      </c>
      <c r="B3086" s="90">
        <v>8.2612553713797183</v>
      </c>
    </row>
    <row r="3087" spans="1:2">
      <c r="A3087" s="32">
        <v>3074</v>
      </c>
      <c r="B3087" s="90">
        <v>8.2263910231453341</v>
      </c>
    </row>
    <row r="3088" spans="1:2">
      <c r="A3088" s="32">
        <v>3075</v>
      </c>
      <c r="B3088" s="90">
        <v>7.0417111317576522</v>
      </c>
    </row>
    <row r="3089" spans="1:2">
      <c r="A3089" s="32">
        <v>3076</v>
      </c>
      <c r="B3089" s="90">
        <v>7.4957384714544686</v>
      </c>
    </row>
    <row r="3090" spans="1:2">
      <c r="A3090" s="32">
        <v>3077</v>
      </c>
      <c r="B3090" s="90">
        <v>8.2663543584645769</v>
      </c>
    </row>
    <row r="3091" spans="1:2">
      <c r="A3091" s="32">
        <v>3078</v>
      </c>
      <c r="B3091" s="90">
        <v>7.7130859385691295</v>
      </c>
    </row>
    <row r="3092" spans="1:2">
      <c r="A3092" s="32">
        <v>3079</v>
      </c>
      <c r="B3092" s="90">
        <v>8.5876580246539049</v>
      </c>
    </row>
    <row r="3093" spans="1:2">
      <c r="A3093" s="32">
        <v>3080</v>
      </c>
      <c r="B3093" s="90">
        <v>7.3647365957237696</v>
      </c>
    </row>
    <row r="3094" spans="1:2">
      <c r="A3094" s="32">
        <v>3081</v>
      </c>
      <c r="B3094" s="90">
        <v>6.8447956054273336</v>
      </c>
    </row>
    <row r="3095" spans="1:2">
      <c r="A3095" s="32">
        <v>3082</v>
      </c>
      <c r="B3095" s="90">
        <v>7.6607290034317224</v>
      </c>
    </row>
    <row r="3096" spans="1:2">
      <c r="A3096" s="32">
        <v>3083</v>
      </c>
      <c r="B3096" s="90">
        <v>8.3743565006125138</v>
      </c>
    </row>
    <row r="3097" spans="1:2">
      <c r="A3097" s="32">
        <v>3084</v>
      </c>
      <c r="B3097" s="90">
        <v>7.8549694506705148</v>
      </c>
    </row>
    <row r="3098" spans="1:2">
      <c r="A3098" s="32">
        <v>3085</v>
      </c>
      <c r="B3098" s="90">
        <v>7.8399843407481669</v>
      </c>
    </row>
    <row r="3099" spans="1:2">
      <c r="A3099" s="32">
        <v>3086</v>
      </c>
      <c r="B3099" s="90">
        <v>6.2292436793413968</v>
      </c>
    </row>
    <row r="3100" spans="1:2">
      <c r="A3100" s="32">
        <v>3087</v>
      </c>
      <c r="B3100" s="90">
        <v>8.2785812377337162</v>
      </c>
    </row>
    <row r="3101" spans="1:2">
      <c r="A3101" s="32">
        <v>3088</v>
      </c>
      <c r="B3101" s="90">
        <v>7.8229229161529714</v>
      </c>
    </row>
    <row r="3102" spans="1:2">
      <c r="A3102" s="32">
        <v>3089</v>
      </c>
      <c r="B3102" s="90">
        <v>7.5017813795831234</v>
      </c>
    </row>
    <row r="3103" spans="1:2">
      <c r="A3103" s="32">
        <v>3090</v>
      </c>
      <c r="B3103" s="90">
        <v>8.8862089845308709</v>
      </c>
    </row>
    <row r="3104" spans="1:2">
      <c r="A3104" s="32">
        <v>3091</v>
      </c>
      <c r="B3104" s="90">
        <v>9.27788532643949</v>
      </c>
    </row>
    <row r="3105" spans="1:2">
      <c r="A3105" s="32">
        <v>3092</v>
      </c>
      <c r="B3105" s="90">
        <v>8.3737305166465958</v>
      </c>
    </row>
    <row r="3106" spans="1:2">
      <c r="A3106" s="32">
        <v>3093</v>
      </c>
      <c r="B3106" s="90">
        <v>7.6886671200345882</v>
      </c>
    </row>
    <row r="3107" spans="1:2">
      <c r="A3107" s="32">
        <v>3094</v>
      </c>
      <c r="B3107" s="90">
        <v>7.660300090700372</v>
      </c>
    </row>
    <row r="3108" spans="1:2">
      <c r="A3108" s="32">
        <v>3095</v>
      </c>
      <c r="B3108" s="90">
        <v>7.8878813061612902</v>
      </c>
    </row>
    <row r="3109" spans="1:2">
      <c r="A3109" s="32">
        <v>3096</v>
      </c>
      <c r="B3109" s="90">
        <v>8.1573180182084588</v>
      </c>
    </row>
    <row r="3110" spans="1:2">
      <c r="A3110" s="32">
        <v>3097</v>
      </c>
      <c r="B3110" s="90">
        <v>8.5414309791957983</v>
      </c>
    </row>
    <row r="3111" spans="1:2">
      <c r="A3111" s="32">
        <v>3098</v>
      </c>
      <c r="B3111" s="90">
        <v>8.5782784816657429</v>
      </c>
    </row>
    <row r="3112" spans="1:2">
      <c r="A3112" s="32">
        <v>3099</v>
      </c>
      <c r="B3112" s="90">
        <v>8.3227615350614208</v>
      </c>
    </row>
    <row r="3113" spans="1:2">
      <c r="A3113" s="32">
        <v>3100</v>
      </c>
      <c r="B3113" s="90">
        <v>9.446769955968211</v>
      </c>
    </row>
    <row r="3114" spans="1:2">
      <c r="A3114" s="32">
        <v>3101</v>
      </c>
      <c r="B3114" s="90">
        <v>8.1448340919558504</v>
      </c>
    </row>
    <row r="3115" spans="1:2">
      <c r="A3115" s="32">
        <v>3102</v>
      </c>
      <c r="B3115" s="90">
        <v>6.8970129995311824</v>
      </c>
    </row>
    <row r="3116" spans="1:2">
      <c r="A3116" s="32">
        <v>3103</v>
      </c>
      <c r="B3116" s="90">
        <v>7.9308671705897984</v>
      </c>
    </row>
    <row r="3117" spans="1:2">
      <c r="A3117" s="32">
        <v>3104</v>
      </c>
      <c r="B3117" s="90">
        <v>8.4280708355330347</v>
      </c>
    </row>
    <row r="3118" spans="1:2">
      <c r="A3118" s="32">
        <v>3105</v>
      </c>
      <c r="B3118" s="90">
        <v>7.9933719337775715</v>
      </c>
    </row>
    <row r="3119" spans="1:2">
      <c r="A3119" s="32">
        <v>3106</v>
      </c>
      <c r="B3119" s="90">
        <v>8.4496169839710245</v>
      </c>
    </row>
    <row r="3120" spans="1:2">
      <c r="A3120" s="32">
        <v>3107</v>
      </c>
      <c r="B3120" s="90">
        <v>8.1243484521996177</v>
      </c>
    </row>
    <row r="3121" spans="1:2">
      <c r="A3121" s="32">
        <v>3108</v>
      </c>
      <c r="B3121" s="90">
        <v>7.4569081795341177</v>
      </c>
    </row>
    <row r="3122" spans="1:2">
      <c r="A3122" s="32">
        <v>3109</v>
      </c>
      <c r="B3122" s="90">
        <v>8.4752672927308677</v>
      </c>
    </row>
    <row r="3123" spans="1:2">
      <c r="A3123" s="32">
        <v>3110</v>
      </c>
      <c r="B3123" s="90">
        <v>8.7031676571613232</v>
      </c>
    </row>
    <row r="3124" spans="1:2">
      <c r="A3124" s="32">
        <v>3111</v>
      </c>
      <c r="B3124" s="90">
        <v>8.6895711950933272</v>
      </c>
    </row>
    <row r="3125" spans="1:2">
      <c r="A3125" s="32">
        <v>3112</v>
      </c>
      <c r="B3125" s="90">
        <v>8.4112258689906181</v>
      </c>
    </row>
    <row r="3126" spans="1:2">
      <c r="A3126" s="32">
        <v>3113</v>
      </c>
      <c r="B3126" s="90">
        <v>8.4984157454003952</v>
      </c>
    </row>
    <row r="3127" spans="1:2">
      <c r="A3127" s="32">
        <v>3114</v>
      </c>
      <c r="B3127" s="90">
        <v>9.4090944210338385</v>
      </c>
    </row>
    <row r="3128" spans="1:2">
      <c r="A3128" s="32">
        <v>3115</v>
      </c>
      <c r="B3128" s="90">
        <v>8.4482490965881532</v>
      </c>
    </row>
    <row r="3129" spans="1:2">
      <c r="A3129" s="32">
        <v>3116</v>
      </c>
      <c r="B3129" s="90">
        <v>8.564371188642113</v>
      </c>
    </row>
    <row r="3130" spans="1:2">
      <c r="A3130" s="32">
        <v>3117</v>
      </c>
      <c r="B3130" s="90">
        <v>8.3594065531711443</v>
      </c>
    </row>
    <row r="3131" spans="1:2">
      <c r="A3131" s="32">
        <v>3118</v>
      </c>
      <c r="B3131" s="90">
        <v>8.995590270828151</v>
      </c>
    </row>
    <row r="3132" spans="1:2">
      <c r="A3132" s="32">
        <v>3119</v>
      </c>
      <c r="B3132" s="90">
        <v>8.1462083391879858</v>
      </c>
    </row>
    <row r="3133" spans="1:2">
      <c r="A3133" s="32">
        <v>3120</v>
      </c>
      <c r="B3133" s="90">
        <v>8.3921961288817677</v>
      </c>
    </row>
    <row r="3134" spans="1:2">
      <c r="A3134" s="32">
        <v>3121</v>
      </c>
      <c r="B3134" s="90">
        <v>9.1194237637460418</v>
      </c>
    </row>
    <row r="3135" spans="1:2">
      <c r="A3135" s="32">
        <v>3122</v>
      </c>
      <c r="B3135" s="90">
        <v>8.411766750965425</v>
      </c>
    </row>
    <row r="3136" spans="1:2">
      <c r="A3136" s="32">
        <v>3123</v>
      </c>
      <c r="B3136" s="90">
        <v>7.7942904434189257</v>
      </c>
    </row>
    <row r="3137" spans="1:2">
      <c r="A3137" s="32">
        <v>3124</v>
      </c>
      <c r="B3137" s="90">
        <v>7.9416156509879601</v>
      </c>
    </row>
    <row r="3138" spans="1:2">
      <c r="A3138" s="32">
        <v>3125</v>
      </c>
      <c r="B3138" s="90">
        <v>8.5187077840746905</v>
      </c>
    </row>
    <row r="3139" spans="1:2">
      <c r="A3139" s="32">
        <v>3126</v>
      </c>
      <c r="B3139" s="90">
        <v>6.9743235785514086</v>
      </c>
    </row>
    <row r="3140" spans="1:2">
      <c r="A3140" s="32">
        <v>3127</v>
      </c>
      <c r="B3140" s="90">
        <v>7.6774310909564942</v>
      </c>
    </row>
    <row r="3141" spans="1:2">
      <c r="A3141" s="32">
        <v>3128</v>
      </c>
      <c r="B3141" s="90">
        <v>8.0903860093867301</v>
      </c>
    </row>
    <row r="3142" spans="1:2">
      <c r="A3142" s="32">
        <v>3129</v>
      </c>
      <c r="B3142" s="90">
        <v>7.5073282784374404</v>
      </c>
    </row>
    <row r="3143" spans="1:2">
      <c r="A3143" s="32">
        <v>3130</v>
      </c>
      <c r="B3143" s="90">
        <v>7.0846177406362845</v>
      </c>
    </row>
    <row r="3144" spans="1:2">
      <c r="A3144" s="32">
        <v>3131</v>
      </c>
      <c r="B3144" s="90">
        <v>7.9317853875929574</v>
      </c>
    </row>
    <row r="3145" spans="1:2">
      <c r="A3145" s="32">
        <v>3132</v>
      </c>
      <c r="B3145" s="90">
        <v>8.660576225506686</v>
      </c>
    </row>
    <row r="3146" spans="1:2">
      <c r="A3146" s="32">
        <v>3133</v>
      </c>
      <c r="B3146" s="90">
        <v>8.582040434179536</v>
      </c>
    </row>
    <row r="3147" spans="1:2">
      <c r="A3147" s="32">
        <v>3134</v>
      </c>
      <c r="B3147" s="90">
        <v>7.6357955100947441</v>
      </c>
    </row>
    <row r="3148" spans="1:2">
      <c r="A3148" s="32">
        <v>3135</v>
      </c>
      <c r="B3148" s="90">
        <v>9.6422810804654517</v>
      </c>
    </row>
    <row r="3149" spans="1:2">
      <c r="A3149" s="32">
        <v>3136</v>
      </c>
      <c r="B3149" s="90">
        <v>8.8499924476509673</v>
      </c>
    </row>
    <row r="3150" spans="1:2">
      <c r="A3150" s="32">
        <v>3137</v>
      </c>
      <c r="B3150" s="90">
        <v>8.0632214543124814</v>
      </c>
    </row>
    <row r="3151" spans="1:2">
      <c r="A3151" s="32">
        <v>3138</v>
      </c>
      <c r="B3151" s="90">
        <v>7.7655801514342002</v>
      </c>
    </row>
    <row r="3152" spans="1:2">
      <c r="A3152" s="32">
        <v>3139</v>
      </c>
      <c r="B3152" s="90">
        <v>8.6051972612431218</v>
      </c>
    </row>
    <row r="3153" spans="1:2">
      <c r="A3153" s="32">
        <v>3140</v>
      </c>
      <c r="B3153" s="90">
        <v>7.3153455681158279</v>
      </c>
    </row>
    <row r="3154" spans="1:2">
      <c r="A3154" s="32">
        <v>3141</v>
      </c>
      <c r="B3154" s="90">
        <v>9.0679449759580422</v>
      </c>
    </row>
    <row r="3155" spans="1:2">
      <c r="A3155" s="32">
        <v>3142</v>
      </c>
      <c r="B3155" s="90">
        <v>8.4396993445962867</v>
      </c>
    </row>
    <row r="3156" spans="1:2">
      <c r="A3156" s="32">
        <v>3143</v>
      </c>
      <c r="B3156" s="90">
        <v>8.1215456762231106</v>
      </c>
    </row>
    <row r="3157" spans="1:2">
      <c r="A3157" s="32">
        <v>3144</v>
      </c>
      <c r="B3157" s="90">
        <v>7.223899274550301</v>
      </c>
    </row>
    <row r="3158" spans="1:2">
      <c r="A3158" s="32">
        <v>3145</v>
      </c>
      <c r="B3158" s="90">
        <v>8.7285633776759433</v>
      </c>
    </row>
    <row r="3159" spans="1:2">
      <c r="A3159" s="32">
        <v>3146</v>
      </c>
      <c r="B3159" s="90">
        <v>8.6518400930788992</v>
      </c>
    </row>
    <row r="3160" spans="1:2">
      <c r="A3160" s="32">
        <v>3147</v>
      </c>
      <c r="B3160" s="90">
        <v>8.111435433045413</v>
      </c>
    </row>
    <row r="3161" spans="1:2">
      <c r="A3161" s="32">
        <v>3148</v>
      </c>
      <c r="B3161" s="90">
        <v>8.2494742599333328</v>
      </c>
    </row>
    <row r="3162" spans="1:2">
      <c r="A3162" s="32">
        <v>3149</v>
      </c>
      <c r="B3162" s="90">
        <v>7.426057663288983</v>
      </c>
    </row>
    <row r="3163" spans="1:2">
      <c r="A3163" s="32">
        <v>3150</v>
      </c>
      <c r="B3163" s="90">
        <v>8.3823862907192872</v>
      </c>
    </row>
    <row r="3164" spans="1:2">
      <c r="A3164" s="32">
        <v>3151</v>
      </c>
      <c r="B3164" s="90">
        <v>7.9970071632344348</v>
      </c>
    </row>
    <row r="3165" spans="1:2">
      <c r="A3165" s="32">
        <v>3152</v>
      </c>
      <c r="B3165" s="90">
        <v>8.0889225888627916</v>
      </c>
    </row>
    <row r="3166" spans="1:2">
      <c r="A3166" s="32">
        <v>3153</v>
      </c>
      <c r="B3166" s="90">
        <v>8.582501641403061</v>
      </c>
    </row>
    <row r="3167" spans="1:2">
      <c r="A3167" s="32">
        <v>3154</v>
      </c>
      <c r="B3167" s="90">
        <v>7.5029747391836308</v>
      </c>
    </row>
    <row r="3168" spans="1:2">
      <c r="A3168" s="32">
        <v>3155</v>
      </c>
      <c r="B3168" s="90">
        <v>7.7747400993920026</v>
      </c>
    </row>
    <row r="3169" spans="1:2">
      <c r="A3169" s="32">
        <v>3156</v>
      </c>
      <c r="B3169" s="90">
        <v>8.0388435953845239</v>
      </c>
    </row>
    <row r="3170" spans="1:2">
      <c r="A3170" s="32">
        <v>3157</v>
      </c>
      <c r="B3170" s="90">
        <v>8.4713889579529909</v>
      </c>
    </row>
    <row r="3171" spans="1:2">
      <c r="A3171" s="32">
        <v>3158</v>
      </c>
      <c r="B3171" s="90">
        <v>8.4474288212393454</v>
      </c>
    </row>
    <row r="3172" spans="1:2">
      <c r="A3172" s="32">
        <v>3159</v>
      </c>
      <c r="B3172" s="90">
        <v>7.4279392870259304</v>
      </c>
    </row>
    <row r="3173" spans="1:2">
      <c r="A3173" s="32">
        <v>3160</v>
      </c>
      <c r="B3173" s="90">
        <v>7.6439693819280592</v>
      </c>
    </row>
    <row r="3174" spans="1:2">
      <c r="A3174" s="32">
        <v>3161</v>
      </c>
      <c r="B3174" s="90">
        <v>9.2148854207579838</v>
      </c>
    </row>
    <row r="3175" spans="1:2">
      <c r="A3175" s="32">
        <v>3162</v>
      </c>
      <c r="B3175" s="90">
        <v>6.9155213116990293</v>
      </c>
    </row>
    <row r="3176" spans="1:2">
      <c r="A3176" s="32">
        <v>3163</v>
      </c>
      <c r="B3176" s="90">
        <v>8.5513401510353724</v>
      </c>
    </row>
    <row r="3177" spans="1:2">
      <c r="A3177" s="32">
        <v>3164</v>
      </c>
      <c r="B3177" s="90">
        <v>7.2560990084784853</v>
      </c>
    </row>
    <row r="3178" spans="1:2">
      <c r="A3178" s="32">
        <v>3165</v>
      </c>
      <c r="B3178" s="90">
        <v>7.2487585593506925</v>
      </c>
    </row>
    <row r="3179" spans="1:2">
      <c r="A3179" s="32">
        <v>3166</v>
      </c>
      <c r="B3179" s="90">
        <v>7.4647538573568504</v>
      </c>
    </row>
    <row r="3180" spans="1:2">
      <c r="A3180" s="32">
        <v>3167</v>
      </c>
      <c r="B3180" s="90">
        <v>8.5347630304538562</v>
      </c>
    </row>
    <row r="3181" spans="1:2">
      <c r="A3181" s="32">
        <v>3168</v>
      </c>
      <c r="B3181" s="90">
        <v>7.7929058170964325</v>
      </c>
    </row>
    <row r="3182" spans="1:2">
      <c r="A3182" s="32">
        <v>3169</v>
      </c>
      <c r="B3182" s="90">
        <v>9.0294019315789722</v>
      </c>
    </row>
    <row r="3183" spans="1:2">
      <c r="A3183" s="32">
        <v>3170</v>
      </c>
      <c r="B3183" s="90">
        <v>8.0993654883581971</v>
      </c>
    </row>
    <row r="3184" spans="1:2">
      <c r="A3184" s="32">
        <v>3171</v>
      </c>
      <c r="B3184" s="90">
        <v>7.4092829401317513</v>
      </c>
    </row>
    <row r="3185" spans="1:2">
      <c r="A3185" s="32">
        <v>3172</v>
      </c>
      <c r="B3185" s="90">
        <v>9.3426638096393635</v>
      </c>
    </row>
    <row r="3186" spans="1:2">
      <c r="A3186" s="32">
        <v>3173</v>
      </c>
      <c r="B3186" s="90">
        <v>8.9452151806375664</v>
      </c>
    </row>
    <row r="3187" spans="1:2">
      <c r="A3187" s="32">
        <v>3174</v>
      </c>
      <c r="B3187" s="90">
        <v>8.0232239983089038</v>
      </c>
    </row>
    <row r="3188" spans="1:2">
      <c r="A3188" s="32">
        <v>3175</v>
      </c>
      <c r="B3188" s="90">
        <v>7.3807887858927712</v>
      </c>
    </row>
    <row r="3189" spans="1:2">
      <c r="A3189" s="32">
        <v>3176</v>
      </c>
      <c r="B3189" s="90">
        <v>6.9813798941461895</v>
      </c>
    </row>
    <row r="3190" spans="1:2">
      <c r="A3190" s="32">
        <v>3177</v>
      </c>
      <c r="B3190" s="90">
        <v>7.2290749474679323</v>
      </c>
    </row>
    <row r="3191" spans="1:2">
      <c r="A3191" s="32">
        <v>3178</v>
      </c>
      <c r="B3191" s="90">
        <v>7.033936907665673</v>
      </c>
    </row>
    <row r="3192" spans="1:2">
      <c r="A3192" s="32">
        <v>3179</v>
      </c>
      <c r="B3192" s="90">
        <v>8.5177841305670139</v>
      </c>
    </row>
    <row r="3193" spans="1:2">
      <c r="A3193" s="32">
        <v>3180</v>
      </c>
      <c r="B3193" s="90">
        <v>8.2120606186438643</v>
      </c>
    </row>
    <row r="3194" spans="1:2">
      <c r="A3194" s="32">
        <v>3181</v>
      </c>
      <c r="B3194" s="90">
        <v>7.68419059483554</v>
      </c>
    </row>
    <row r="3195" spans="1:2">
      <c r="A3195" s="32">
        <v>3182</v>
      </c>
      <c r="B3195" s="90">
        <v>7.9959498499031954</v>
      </c>
    </row>
    <row r="3196" spans="1:2">
      <c r="A3196" s="32">
        <v>3183</v>
      </c>
      <c r="B3196" s="90">
        <v>9.6537738752458502</v>
      </c>
    </row>
    <row r="3197" spans="1:2">
      <c r="A3197" s="32">
        <v>3184</v>
      </c>
      <c r="B3197" s="90">
        <v>8.2966713340487583</v>
      </c>
    </row>
    <row r="3198" spans="1:2">
      <c r="A3198" s="32">
        <v>3185</v>
      </c>
      <c r="B3198" s="90">
        <v>7.9401432584713145</v>
      </c>
    </row>
    <row r="3199" spans="1:2">
      <c r="A3199" s="32">
        <v>3186</v>
      </c>
      <c r="B3199" s="90">
        <v>7.7026135364750132</v>
      </c>
    </row>
    <row r="3200" spans="1:2">
      <c r="A3200" s="32">
        <v>3187</v>
      </c>
      <c r="B3200" s="90">
        <v>7.7703557726285419</v>
      </c>
    </row>
    <row r="3201" spans="1:2">
      <c r="A3201" s="32">
        <v>3188</v>
      </c>
      <c r="B3201" s="90">
        <v>7.6454266248236147</v>
      </c>
    </row>
    <row r="3202" spans="1:2">
      <c r="A3202" s="32">
        <v>3189</v>
      </c>
      <c r="B3202" s="90">
        <v>6.9524574709727398</v>
      </c>
    </row>
    <row r="3203" spans="1:2">
      <c r="A3203" s="32">
        <v>3190</v>
      </c>
      <c r="B3203" s="90">
        <v>8.8614675482980712</v>
      </c>
    </row>
    <row r="3204" spans="1:2">
      <c r="A3204" s="32">
        <v>3191</v>
      </c>
      <c r="B3204" s="90">
        <v>8.14056849146586</v>
      </c>
    </row>
    <row r="3205" spans="1:2">
      <c r="A3205" s="32">
        <v>3192</v>
      </c>
      <c r="B3205" s="90">
        <v>8.7523452716792178</v>
      </c>
    </row>
    <row r="3206" spans="1:2">
      <c r="A3206" s="32">
        <v>3193</v>
      </c>
      <c r="B3206" s="90">
        <v>7.3378730706958537</v>
      </c>
    </row>
    <row r="3207" spans="1:2">
      <c r="A3207" s="32">
        <v>3194</v>
      </c>
      <c r="B3207" s="90">
        <v>8.1598403925667125</v>
      </c>
    </row>
    <row r="3208" spans="1:2">
      <c r="A3208" s="32">
        <v>3195</v>
      </c>
      <c r="B3208" s="90">
        <v>8.8881675109666958</v>
      </c>
    </row>
    <row r="3209" spans="1:2">
      <c r="A3209" s="32">
        <v>3196</v>
      </c>
      <c r="B3209" s="90">
        <v>9.0736444455310039</v>
      </c>
    </row>
    <row r="3210" spans="1:2">
      <c r="A3210" s="32">
        <v>3197</v>
      </c>
      <c r="B3210" s="90">
        <v>8.2507074400287976</v>
      </c>
    </row>
    <row r="3211" spans="1:2">
      <c r="A3211" s="32">
        <v>3198</v>
      </c>
      <c r="B3211" s="90">
        <v>8.2465290351532818</v>
      </c>
    </row>
    <row r="3212" spans="1:2">
      <c r="A3212" s="32">
        <v>3199</v>
      </c>
      <c r="B3212" s="90">
        <v>7.7353384029758656</v>
      </c>
    </row>
    <row r="3213" spans="1:2">
      <c r="A3213" s="32">
        <v>3200</v>
      </c>
      <c r="B3213" s="90">
        <v>9.2178762969580355</v>
      </c>
    </row>
    <row r="3214" spans="1:2">
      <c r="A3214" s="32">
        <v>3201</v>
      </c>
      <c r="B3214" s="90">
        <v>5.9066520150748971</v>
      </c>
    </row>
    <row r="3215" spans="1:2">
      <c r="A3215" s="32">
        <v>3202</v>
      </c>
      <c r="B3215" s="90">
        <v>8.1981973978786442</v>
      </c>
    </row>
    <row r="3216" spans="1:2">
      <c r="A3216" s="32">
        <v>3203</v>
      </c>
      <c r="B3216" s="90">
        <v>7.356442218733565</v>
      </c>
    </row>
    <row r="3217" spans="1:2">
      <c r="A3217" s="32">
        <v>3204</v>
      </c>
      <c r="B3217" s="90">
        <v>7.9785053678011693</v>
      </c>
    </row>
    <row r="3218" spans="1:2">
      <c r="A3218" s="32">
        <v>3205</v>
      </c>
      <c r="B3218" s="90">
        <v>8.9773008841590425</v>
      </c>
    </row>
    <row r="3219" spans="1:2">
      <c r="A3219" s="32">
        <v>3206</v>
      </c>
      <c r="B3219" s="90">
        <v>8.2534717975797172</v>
      </c>
    </row>
    <row r="3220" spans="1:2">
      <c r="A3220" s="32">
        <v>3207</v>
      </c>
      <c r="B3220" s="90">
        <v>8.1418498650618645</v>
      </c>
    </row>
    <row r="3221" spans="1:2">
      <c r="A3221" s="32">
        <v>3208</v>
      </c>
      <c r="B3221" s="90">
        <v>9.055636394625596</v>
      </c>
    </row>
    <row r="3222" spans="1:2">
      <c r="A3222" s="32">
        <v>3209</v>
      </c>
      <c r="B3222" s="90">
        <v>8.7128863695598078</v>
      </c>
    </row>
    <row r="3223" spans="1:2">
      <c r="A3223" s="32">
        <v>3210</v>
      </c>
      <c r="B3223" s="90">
        <v>8.2912578312926666</v>
      </c>
    </row>
    <row r="3224" spans="1:2">
      <c r="A3224" s="32">
        <v>3211</v>
      </c>
      <c r="B3224" s="90">
        <v>8.8641395916379011</v>
      </c>
    </row>
    <row r="3225" spans="1:2">
      <c r="A3225" s="32">
        <v>3212</v>
      </c>
      <c r="B3225" s="90">
        <v>8.5388330518293483</v>
      </c>
    </row>
    <row r="3226" spans="1:2">
      <c r="A3226" s="32">
        <v>3213</v>
      </c>
      <c r="B3226" s="90">
        <v>8.0562463450474926</v>
      </c>
    </row>
    <row r="3227" spans="1:2">
      <c r="A3227" s="32">
        <v>3214</v>
      </c>
      <c r="B3227" s="90">
        <v>7.7879843410141882</v>
      </c>
    </row>
    <row r="3228" spans="1:2">
      <c r="A3228" s="32">
        <v>3215</v>
      </c>
      <c r="B3228" s="90">
        <v>8.1422690099903168</v>
      </c>
    </row>
    <row r="3229" spans="1:2">
      <c r="A3229" s="32">
        <v>3216</v>
      </c>
      <c r="B3229" s="90">
        <v>8.5552598765214007</v>
      </c>
    </row>
    <row r="3230" spans="1:2">
      <c r="A3230" s="32">
        <v>3217</v>
      </c>
      <c r="B3230" s="90">
        <v>8.6694023912987603</v>
      </c>
    </row>
    <row r="3231" spans="1:2">
      <c r="A3231" s="32">
        <v>3218</v>
      </c>
      <c r="B3231" s="90">
        <v>8.6801486171151137</v>
      </c>
    </row>
    <row r="3232" spans="1:2">
      <c r="A3232" s="32">
        <v>3219</v>
      </c>
      <c r="B3232" s="90">
        <v>8.3544968688339161</v>
      </c>
    </row>
    <row r="3233" spans="1:2">
      <c r="A3233" s="32">
        <v>3220</v>
      </c>
      <c r="B3233" s="90">
        <v>7.2731210657064214</v>
      </c>
    </row>
    <row r="3234" spans="1:2">
      <c r="A3234" s="32">
        <v>3221</v>
      </c>
      <c r="B3234" s="90">
        <v>7.771321896646989</v>
      </c>
    </row>
    <row r="3235" spans="1:2">
      <c r="A3235" s="32">
        <v>3222</v>
      </c>
      <c r="B3235" s="90">
        <v>8.3664223070298274</v>
      </c>
    </row>
    <row r="3236" spans="1:2">
      <c r="A3236" s="32">
        <v>3223</v>
      </c>
      <c r="B3236" s="90">
        <v>8.2275499512524171</v>
      </c>
    </row>
    <row r="3237" spans="1:2">
      <c r="A3237" s="32">
        <v>3224</v>
      </c>
      <c r="B3237" s="90">
        <v>7.9497787783738545</v>
      </c>
    </row>
    <row r="3238" spans="1:2">
      <c r="A3238" s="32">
        <v>3225</v>
      </c>
      <c r="B3238" s="90">
        <v>8.0429911555150415</v>
      </c>
    </row>
    <row r="3239" spans="1:2">
      <c r="A3239" s="32">
        <v>3226</v>
      </c>
      <c r="B3239" s="90">
        <v>7.9027389286599794</v>
      </c>
    </row>
    <row r="3240" spans="1:2">
      <c r="A3240" s="32">
        <v>3227</v>
      </c>
      <c r="B3240" s="90">
        <v>8.4235205308569174</v>
      </c>
    </row>
    <row r="3241" spans="1:2">
      <c r="A3241" s="32">
        <v>3228</v>
      </c>
      <c r="B3241" s="90">
        <v>7.481518486670045</v>
      </c>
    </row>
    <row r="3242" spans="1:2">
      <c r="A3242" s="32">
        <v>3229</v>
      </c>
      <c r="B3242" s="90">
        <v>7.8652005625146879</v>
      </c>
    </row>
    <row r="3243" spans="1:2">
      <c r="A3243" s="32">
        <v>3230</v>
      </c>
      <c r="B3243" s="90">
        <v>7.788404437845327</v>
      </c>
    </row>
    <row r="3244" spans="1:2">
      <c r="A3244" s="32">
        <v>3231</v>
      </c>
      <c r="B3244" s="90">
        <v>7.170296183532213</v>
      </c>
    </row>
    <row r="3245" spans="1:2">
      <c r="A3245" s="32">
        <v>3232</v>
      </c>
      <c r="B3245" s="90">
        <v>9.4286299903030688</v>
      </c>
    </row>
    <row r="3246" spans="1:2">
      <c r="A3246" s="32">
        <v>3233</v>
      </c>
      <c r="B3246" s="90">
        <v>7.9527158339300339</v>
      </c>
    </row>
    <row r="3247" spans="1:2">
      <c r="A3247" s="32">
        <v>3234</v>
      </c>
      <c r="B3247" s="90">
        <v>9.0769065533039441</v>
      </c>
    </row>
    <row r="3248" spans="1:2">
      <c r="A3248" s="32">
        <v>3235</v>
      </c>
      <c r="B3248" s="90">
        <v>7.3853609588727833</v>
      </c>
    </row>
    <row r="3249" spans="1:2">
      <c r="A3249" s="32">
        <v>3236</v>
      </c>
      <c r="B3249" s="90">
        <v>9.8425569721352968</v>
      </c>
    </row>
    <row r="3250" spans="1:2">
      <c r="A3250" s="32">
        <v>3237</v>
      </c>
      <c r="B3250" s="90">
        <v>7.9260634129720202</v>
      </c>
    </row>
    <row r="3251" spans="1:2">
      <c r="A3251" s="32">
        <v>3238</v>
      </c>
      <c r="B3251" s="90">
        <v>8.687545684425956</v>
      </c>
    </row>
    <row r="3252" spans="1:2">
      <c r="A3252" s="32">
        <v>3239</v>
      </c>
      <c r="B3252" s="90">
        <v>8.7608173155198923</v>
      </c>
    </row>
    <row r="3253" spans="1:2">
      <c r="A3253" s="32">
        <v>3240</v>
      </c>
      <c r="B3253" s="90">
        <v>7.2807806008800462</v>
      </c>
    </row>
    <row r="3254" spans="1:2">
      <c r="A3254" s="32">
        <v>3241</v>
      </c>
      <c r="B3254" s="90">
        <v>7.8752707295119233</v>
      </c>
    </row>
    <row r="3255" spans="1:2">
      <c r="A3255" s="32">
        <v>3242</v>
      </c>
      <c r="B3255" s="90">
        <v>7.4044125989197953</v>
      </c>
    </row>
    <row r="3256" spans="1:2">
      <c r="A3256" s="32">
        <v>3243</v>
      </c>
      <c r="B3256" s="90">
        <v>7.8094010849423361</v>
      </c>
    </row>
    <row r="3257" spans="1:2">
      <c r="A3257" s="32">
        <v>3244</v>
      </c>
      <c r="B3257" s="90">
        <v>6.6345855384117804</v>
      </c>
    </row>
    <row r="3258" spans="1:2">
      <c r="A3258" s="32">
        <v>3245</v>
      </c>
      <c r="B3258" s="90">
        <v>8.4917382156111092</v>
      </c>
    </row>
    <row r="3259" spans="1:2">
      <c r="A3259" s="32">
        <v>3246</v>
      </c>
      <c r="B3259" s="90">
        <v>8.8261383748959332</v>
      </c>
    </row>
    <row r="3260" spans="1:2">
      <c r="A3260" s="32">
        <v>3247</v>
      </c>
      <c r="B3260" s="90">
        <v>8.7211749775911933</v>
      </c>
    </row>
    <row r="3261" spans="1:2">
      <c r="A3261" s="32">
        <v>3248</v>
      </c>
      <c r="B3261" s="90">
        <v>9.2598367699358572</v>
      </c>
    </row>
    <row r="3262" spans="1:2">
      <c r="A3262" s="32">
        <v>3249</v>
      </c>
      <c r="B3262" s="90">
        <v>7.359498522833019</v>
      </c>
    </row>
    <row r="3263" spans="1:2">
      <c r="A3263" s="32">
        <v>3250</v>
      </c>
      <c r="B3263" s="90">
        <v>8.2640225307606858</v>
      </c>
    </row>
    <row r="3264" spans="1:2">
      <c r="A3264" s="32">
        <v>3251</v>
      </c>
      <c r="B3264" s="90">
        <v>9.9098189846016318</v>
      </c>
    </row>
    <row r="3265" spans="1:2">
      <c r="A3265" s="32">
        <v>3252</v>
      </c>
      <c r="B3265" s="90">
        <v>8.6350582927980462</v>
      </c>
    </row>
    <row r="3266" spans="1:2">
      <c r="A3266" s="32">
        <v>3253</v>
      </c>
      <c r="B3266" s="90">
        <v>9.6798566466130787</v>
      </c>
    </row>
    <row r="3267" spans="1:2">
      <c r="A3267" s="32">
        <v>3254</v>
      </c>
      <c r="B3267" s="90">
        <v>8.287276176295661</v>
      </c>
    </row>
    <row r="3268" spans="1:2">
      <c r="A3268" s="32">
        <v>3255</v>
      </c>
      <c r="B3268" s="90">
        <v>8.297810478986607</v>
      </c>
    </row>
    <row r="3269" spans="1:2">
      <c r="A3269" s="32">
        <v>3256</v>
      </c>
      <c r="B3269" s="90">
        <v>8.6838788645140177</v>
      </c>
    </row>
    <row r="3270" spans="1:2">
      <c r="A3270" s="32">
        <v>3257</v>
      </c>
      <c r="B3270" s="90">
        <v>8.2178270270611726</v>
      </c>
    </row>
    <row r="3271" spans="1:2">
      <c r="A3271" s="32">
        <v>3258</v>
      </c>
      <c r="B3271" s="90">
        <v>7.629155340604771</v>
      </c>
    </row>
    <row r="3272" spans="1:2">
      <c r="A3272" s="32">
        <v>3259</v>
      </c>
      <c r="B3272" s="90">
        <v>7.1048676166274918</v>
      </c>
    </row>
    <row r="3273" spans="1:2">
      <c r="A3273" s="32">
        <v>3260</v>
      </c>
      <c r="B3273" s="90">
        <v>9.1582452363385123</v>
      </c>
    </row>
    <row r="3274" spans="1:2">
      <c r="A3274" s="32">
        <v>3261</v>
      </c>
      <c r="B3274" s="90">
        <v>8.5406742909431959</v>
      </c>
    </row>
    <row r="3275" spans="1:2">
      <c r="A3275" s="32">
        <v>3262</v>
      </c>
      <c r="B3275" s="90">
        <v>7.3787273991625932</v>
      </c>
    </row>
    <row r="3276" spans="1:2">
      <c r="A3276" s="32">
        <v>3263</v>
      </c>
      <c r="B3276" s="90">
        <v>7.8019342142175834</v>
      </c>
    </row>
    <row r="3277" spans="1:2">
      <c r="A3277" s="32">
        <v>3264</v>
      </c>
      <c r="B3277" s="90">
        <v>8.4687893981569786</v>
      </c>
    </row>
    <row r="3278" spans="1:2">
      <c r="A3278" s="32">
        <v>3265</v>
      </c>
      <c r="B3278" s="90">
        <v>7.6955115239035337</v>
      </c>
    </row>
    <row r="3279" spans="1:2">
      <c r="A3279" s="32">
        <v>3266</v>
      </c>
      <c r="B3279" s="90">
        <v>8.5934313114632452</v>
      </c>
    </row>
    <row r="3280" spans="1:2">
      <c r="A3280" s="32">
        <v>3267</v>
      </c>
      <c r="B3280" s="90">
        <v>8.351973936323418</v>
      </c>
    </row>
    <row r="3281" spans="1:2">
      <c r="A3281" s="32">
        <v>3268</v>
      </c>
      <c r="B3281" s="90">
        <v>8.8561778178360377</v>
      </c>
    </row>
    <row r="3282" spans="1:2">
      <c r="A3282" s="32">
        <v>3269</v>
      </c>
      <c r="B3282" s="90">
        <v>8.540286142740019</v>
      </c>
    </row>
    <row r="3283" spans="1:2">
      <c r="A3283" s="32">
        <v>3270</v>
      </c>
      <c r="B3283" s="90">
        <v>8.1152977049844299</v>
      </c>
    </row>
    <row r="3284" spans="1:2">
      <c r="A3284" s="32">
        <v>3271</v>
      </c>
      <c r="B3284" s="90">
        <v>8.4648085601344576</v>
      </c>
    </row>
    <row r="3285" spans="1:2">
      <c r="A3285" s="32">
        <v>3272</v>
      </c>
      <c r="B3285" s="90">
        <v>8.3720501173611019</v>
      </c>
    </row>
    <row r="3286" spans="1:2">
      <c r="A3286" s="32">
        <v>3273</v>
      </c>
      <c r="B3286" s="90">
        <v>7.8540246040884583</v>
      </c>
    </row>
    <row r="3287" spans="1:2">
      <c r="A3287" s="32">
        <v>3274</v>
      </c>
      <c r="B3287" s="90">
        <v>7.7234414699923981</v>
      </c>
    </row>
    <row r="3288" spans="1:2">
      <c r="A3288" s="32">
        <v>3275</v>
      </c>
      <c r="B3288" s="90">
        <v>7.2335297636751577</v>
      </c>
    </row>
    <row r="3289" spans="1:2">
      <c r="A3289" s="32">
        <v>3276</v>
      </c>
      <c r="B3289" s="90">
        <v>8.2483037843402212</v>
      </c>
    </row>
    <row r="3290" spans="1:2">
      <c r="A3290" s="32">
        <v>3277</v>
      </c>
      <c r="B3290" s="90">
        <v>7.5575318231997235</v>
      </c>
    </row>
    <row r="3291" spans="1:2">
      <c r="A3291" s="32">
        <v>3278</v>
      </c>
      <c r="B3291" s="90">
        <v>7.9748605373083992</v>
      </c>
    </row>
    <row r="3292" spans="1:2">
      <c r="A3292" s="32">
        <v>3279</v>
      </c>
      <c r="B3292" s="90">
        <v>7.2273173641232864</v>
      </c>
    </row>
    <row r="3293" spans="1:2">
      <c r="A3293" s="32">
        <v>3280</v>
      </c>
      <c r="B3293" s="90">
        <v>8.5404154455498364</v>
      </c>
    </row>
    <row r="3294" spans="1:2">
      <c r="A3294" s="32">
        <v>3281</v>
      </c>
      <c r="B3294" s="90">
        <v>7.6849037528568607</v>
      </c>
    </row>
    <row r="3295" spans="1:2">
      <c r="A3295" s="32">
        <v>3282</v>
      </c>
      <c r="B3295" s="90">
        <v>6.5344114118733074</v>
      </c>
    </row>
    <row r="3296" spans="1:2">
      <c r="A3296" s="32">
        <v>3283</v>
      </c>
      <c r="B3296" s="90">
        <v>7.3922520361086468</v>
      </c>
    </row>
    <row r="3297" spans="1:2">
      <c r="A3297" s="32">
        <v>3284</v>
      </c>
      <c r="B3297" s="90">
        <v>7.4523427930170909</v>
      </c>
    </row>
    <row r="3298" spans="1:2">
      <c r="A3298" s="32">
        <v>3285</v>
      </c>
      <c r="B3298" s="90">
        <v>7.9151697278836037</v>
      </c>
    </row>
    <row r="3299" spans="1:2">
      <c r="A3299" s="32">
        <v>3286</v>
      </c>
      <c r="B3299" s="90">
        <v>7.5608655170760981</v>
      </c>
    </row>
    <row r="3300" spans="1:2">
      <c r="A3300" s="32">
        <v>3287</v>
      </c>
      <c r="B3300" s="90">
        <v>7.7320208701431685</v>
      </c>
    </row>
    <row r="3301" spans="1:2">
      <c r="A3301" s="32">
        <v>3288</v>
      </c>
      <c r="B3301" s="90">
        <v>8.4466572829768598</v>
      </c>
    </row>
    <row r="3302" spans="1:2">
      <c r="A3302" s="32">
        <v>3289</v>
      </c>
      <c r="B3302" s="90">
        <v>7.419880513406663</v>
      </c>
    </row>
    <row r="3303" spans="1:2">
      <c r="A3303" s="32">
        <v>3290</v>
      </c>
      <c r="B3303" s="90">
        <v>8.3790482961776824</v>
      </c>
    </row>
    <row r="3304" spans="1:2">
      <c r="A3304" s="32">
        <v>3291</v>
      </c>
      <c r="B3304" s="90">
        <v>7.6984568946041003</v>
      </c>
    </row>
    <row r="3305" spans="1:2">
      <c r="A3305" s="32">
        <v>3292</v>
      </c>
      <c r="B3305" s="90">
        <v>8.153012169462432</v>
      </c>
    </row>
    <row r="3306" spans="1:2">
      <c r="A3306" s="32">
        <v>3293</v>
      </c>
      <c r="B3306" s="90">
        <v>8.8683015979113371</v>
      </c>
    </row>
    <row r="3307" spans="1:2">
      <c r="A3307" s="32">
        <v>3294</v>
      </c>
      <c r="B3307" s="90">
        <v>8.7456136888553679</v>
      </c>
    </row>
    <row r="3308" spans="1:2">
      <c r="A3308" s="32">
        <v>3295</v>
      </c>
      <c r="B3308" s="90">
        <v>9.8968698801407609</v>
      </c>
    </row>
    <row r="3309" spans="1:2">
      <c r="A3309" s="32">
        <v>3296</v>
      </c>
      <c r="B3309" s="90">
        <v>7.5497419777125634</v>
      </c>
    </row>
    <row r="3310" spans="1:2">
      <c r="A3310" s="32">
        <v>3297</v>
      </c>
      <c r="B3310" s="90">
        <v>7.3287934409849447</v>
      </c>
    </row>
    <row r="3311" spans="1:2">
      <c r="A3311" s="32">
        <v>3298</v>
      </c>
      <c r="B3311" s="90">
        <v>7.4787257911094605</v>
      </c>
    </row>
    <row r="3312" spans="1:2">
      <c r="A3312" s="32">
        <v>3299</v>
      </c>
      <c r="B3312" s="90">
        <v>7.5757957577086632</v>
      </c>
    </row>
    <row r="3313" spans="1:2">
      <c r="A3313" s="32">
        <v>3300</v>
      </c>
      <c r="B3313" s="90">
        <v>9.3348274992986369</v>
      </c>
    </row>
    <row r="3314" spans="1:2">
      <c r="A3314" s="32">
        <v>3301</v>
      </c>
      <c r="B3314" s="90">
        <v>7.6824206597316165</v>
      </c>
    </row>
    <row r="3315" spans="1:2">
      <c r="A3315" s="32">
        <v>3302</v>
      </c>
      <c r="B3315" s="90">
        <v>7.4781439079969578</v>
      </c>
    </row>
    <row r="3316" spans="1:2">
      <c r="A3316" s="32">
        <v>3303</v>
      </c>
      <c r="B3316" s="90">
        <v>7.8002721828013994</v>
      </c>
    </row>
    <row r="3317" spans="1:2">
      <c r="A3317" s="32">
        <v>3304</v>
      </c>
      <c r="B3317" s="90">
        <v>8.3703120084457652</v>
      </c>
    </row>
    <row r="3318" spans="1:2">
      <c r="A3318" s="32">
        <v>3305</v>
      </c>
      <c r="B3318" s="90">
        <v>7.7933905960995684</v>
      </c>
    </row>
    <row r="3319" spans="1:2">
      <c r="A3319" s="32">
        <v>3306</v>
      </c>
      <c r="B3319" s="90">
        <v>8.7010711302520303</v>
      </c>
    </row>
    <row r="3320" spans="1:2">
      <c r="A3320" s="32">
        <v>3307</v>
      </c>
      <c r="B3320" s="90">
        <v>9.0145569740932423</v>
      </c>
    </row>
    <row r="3321" spans="1:2">
      <c r="A3321" s="32">
        <v>3308</v>
      </c>
      <c r="B3321" s="90">
        <v>7.4261803603328973</v>
      </c>
    </row>
    <row r="3322" spans="1:2">
      <c r="A3322" s="32">
        <v>3309</v>
      </c>
      <c r="B3322" s="90">
        <v>7.5255160379478481</v>
      </c>
    </row>
    <row r="3323" spans="1:2">
      <c r="A3323" s="32">
        <v>3310</v>
      </c>
      <c r="B3323" s="90">
        <v>7.3665098932951167</v>
      </c>
    </row>
    <row r="3324" spans="1:2">
      <c r="A3324" s="32">
        <v>3311</v>
      </c>
      <c r="B3324" s="90">
        <v>7.556155479316442</v>
      </c>
    </row>
    <row r="3325" spans="1:2">
      <c r="A3325" s="32">
        <v>3312</v>
      </c>
      <c r="B3325" s="90">
        <v>8.6619324365828181</v>
      </c>
    </row>
    <row r="3326" spans="1:2">
      <c r="A3326" s="32">
        <v>3313</v>
      </c>
      <c r="B3326" s="90">
        <v>8.4601108823211035</v>
      </c>
    </row>
    <row r="3327" spans="1:2">
      <c r="A3327" s="32">
        <v>3314</v>
      </c>
      <c r="B3327" s="90">
        <v>10.404787230687683</v>
      </c>
    </row>
    <row r="3328" spans="1:2">
      <c r="A3328" s="32">
        <v>3315</v>
      </c>
      <c r="B3328" s="90">
        <v>10.999021788782423</v>
      </c>
    </row>
    <row r="3329" spans="1:2">
      <c r="A3329" s="32">
        <v>3316</v>
      </c>
      <c r="B3329" s="90">
        <v>7.4628307969095848</v>
      </c>
    </row>
    <row r="3330" spans="1:2">
      <c r="A3330" s="32">
        <v>3317</v>
      </c>
      <c r="B3330" s="90">
        <v>9.1737044212957706</v>
      </c>
    </row>
    <row r="3331" spans="1:2">
      <c r="A3331" s="32">
        <v>3318</v>
      </c>
      <c r="B3331" s="90">
        <v>7.9858650250739789</v>
      </c>
    </row>
    <row r="3332" spans="1:2">
      <c r="A3332" s="32">
        <v>3319</v>
      </c>
      <c r="B3332" s="90">
        <v>7.5810203835745709</v>
      </c>
    </row>
    <row r="3333" spans="1:2">
      <c r="A3333" s="32">
        <v>3320</v>
      </c>
      <c r="B3333" s="90">
        <v>7.6405031029173918</v>
      </c>
    </row>
    <row r="3334" spans="1:2">
      <c r="A3334" s="32">
        <v>3321</v>
      </c>
      <c r="B3334" s="90">
        <v>9.2184547727471884</v>
      </c>
    </row>
    <row r="3335" spans="1:2">
      <c r="A3335" s="32">
        <v>3322</v>
      </c>
      <c r="B3335" s="90">
        <v>7.841995302071914</v>
      </c>
    </row>
    <row r="3336" spans="1:2">
      <c r="A3336" s="32">
        <v>3323</v>
      </c>
      <c r="B3336" s="90">
        <v>7.4476089388320244</v>
      </c>
    </row>
    <row r="3337" spans="1:2">
      <c r="A3337" s="32">
        <v>3324</v>
      </c>
      <c r="B3337" s="90">
        <v>7.5425512000990071</v>
      </c>
    </row>
    <row r="3338" spans="1:2">
      <c r="A3338" s="32">
        <v>3325</v>
      </c>
      <c r="B3338" s="90">
        <v>7.0402139081147741</v>
      </c>
    </row>
    <row r="3339" spans="1:2">
      <c r="A3339" s="32">
        <v>3326</v>
      </c>
      <c r="B3339" s="90">
        <v>6.8730725876698262</v>
      </c>
    </row>
    <row r="3340" spans="1:2">
      <c r="A3340" s="32">
        <v>3327</v>
      </c>
      <c r="B3340" s="90">
        <v>10.300062874193477</v>
      </c>
    </row>
    <row r="3341" spans="1:2">
      <c r="A3341" s="32">
        <v>3328</v>
      </c>
      <c r="B3341" s="90">
        <v>8.0417525499762714</v>
      </c>
    </row>
    <row r="3342" spans="1:2">
      <c r="A3342" s="32">
        <v>3329</v>
      </c>
      <c r="B3342" s="90">
        <v>7.5309895942812357</v>
      </c>
    </row>
    <row r="3343" spans="1:2">
      <c r="A3343" s="32">
        <v>3330</v>
      </c>
      <c r="B3343" s="90">
        <v>7.6622325140879752</v>
      </c>
    </row>
    <row r="3344" spans="1:2">
      <c r="A3344" s="32">
        <v>3331</v>
      </c>
      <c r="B3344" s="90">
        <v>8.5529120131356979</v>
      </c>
    </row>
    <row r="3345" spans="1:2">
      <c r="A3345" s="32">
        <v>3332</v>
      </c>
      <c r="B3345" s="90">
        <v>7.923644042893212</v>
      </c>
    </row>
    <row r="3346" spans="1:2">
      <c r="A3346" s="32">
        <v>3333</v>
      </c>
      <c r="B3346" s="90">
        <v>9.4779043731214738</v>
      </c>
    </row>
    <row r="3347" spans="1:2">
      <c r="A3347" s="32">
        <v>3334</v>
      </c>
      <c r="B3347" s="90">
        <v>8.4314610542940365</v>
      </c>
    </row>
    <row r="3348" spans="1:2">
      <c r="A3348" s="32">
        <v>3335</v>
      </c>
      <c r="B3348" s="90">
        <v>6.7413841210410013</v>
      </c>
    </row>
    <row r="3349" spans="1:2">
      <c r="A3349" s="32">
        <v>3336</v>
      </c>
      <c r="B3349" s="90">
        <v>9.2613735793296943</v>
      </c>
    </row>
    <row r="3350" spans="1:2">
      <c r="A3350" s="32">
        <v>3337</v>
      </c>
      <c r="B3350" s="90">
        <v>7.4392728468215337</v>
      </c>
    </row>
    <row r="3351" spans="1:2">
      <c r="A3351" s="32">
        <v>3338</v>
      </c>
      <c r="B3351" s="90">
        <v>8.7636541684918079</v>
      </c>
    </row>
    <row r="3352" spans="1:2">
      <c r="A3352" s="32">
        <v>3339</v>
      </c>
      <c r="B3352" s="90">
        <v>7.8251283844756623</v>
      </c>
    </row>
    <row r="3353" spans="1:2">
      <c r="A3353" s="32">
        <v>3340</v>
      </c>
      <c r="B3353" s="90">
        <v>9.1502500538484028</v>
      </c>
    </row>
    <row r="3354" spans="1:2">
      <c r="A3354" s="32">
        <v>3341</v>
      </c>
      <c r="B3354" s="90">
        <v>7.7634805798817625</v>
      </c>
    </row>
    <row r="3355" spans="1:2">
      <c r="A3355" s="32">
        <v>3342</v>
      </c>
      <c r="B3355" s="90">
        <v>8.3553940643067062</v>
      </c>
    </row>
    <row r="3356" spans="1:2">
      <c r="A3356" s="32">
        <v>3343</v>
      </c>
      <c r="B3356" s="90">
        <v>7.7856652941108857</v>
      </c>
    </row>
    <row r="3357" spans="1:2">
      <c r="A3357" s="32">
        <v>3344</v>
      </c>
      <c r="B3357" s="90">
        <v>7.7261802587510093</v>
      </c>
    </row>
    <row r="3358" spans="1:2">
      <c r="A3358" s="32">
        <v>3345</v>
      </c>
      <c r="B3358" s="90">
        <v>7.2997258095075974</v>
      </c>
    </row>
    <row r="3359" spans="1:2">
      <c r="A3359" s="32">
        <v>3346</v>
      </c>
      <c r="B3359" s="90">
        <v>7.6268415343132316</v>
      </c>
    </row>
    <row r="3360" spans="1:2">
      <c r="A3360" s="32">
        <v>3347</v>
      </c>
      <c r="B3360" s="90">
        <v>7.4257238503537923</v>
      </c>
    </row>
    <row r="3361" spans="1:2">
      <c r="A3361" s="32">
        <v>3348</v>
      </c>
      <c r="B3361" s="90">
        <v>8.1938575801510822</v>
      </c>
    </row>
    <row r="3362" spans="1:2">
      <c r="A3362" s="32">
        <v>3349</v>
      </c>
      <c r="B3362" s="90">
        <v>8.1099326284626496</v>
      </c>
    </row>
    <row r="3363" spans="1:2">
      <c r="A3363" s="32">
        <v>3350</v>
      </c>
      <c r="B3363" s="90">
        <v>8.7154957342507657</v>
      </c>
    </row>
    <row r="3364" spans="1:2">
      <c r="A3364" s="32">
        <v>3351</v>
      </c>
      <c r="B3364" s="90">
        <v>7.9998891734458377</v>
      </c>
    </row>
    <row r="3365" spans="1:2">
      <c r="A3365" s="32">
        <v>3352</v>
      </c>
      <c r="B3365" s="90">
        <v>8.2642140743946584</v>
      </c>
    </row>
    <row r="3366" spans="1:2">
      <c r="A3366" s="32">
        <v>3353</v>
      </c>
      <c r="B3366" s="90">
        <v>8.6410605306241663</v>
      </c>
    </row>
    <row r="3367" spans="1:2">
      <c r="A3367" s="32">
        <v>3354</v>
      </c>
      <c r="B3367" s="90">
        <v>7.6518112051227014</v>
      </c>
    </row>
    <row r="3368" spans="1:2">
      <c r="A3368" s="32">
        <v>3355</v>
      </c>
      <c r="B3368" s="90">
        <v>7.3122745105299671</v>
      </c>
    </row>
    <row r="3369" spans="1:2">
      <c r="A3369" s="32">
        <v>3356</v>
      </c>
      <c r="B3369" s="90">
        <v>9.4673620491832313</v>
      </c>
    </row>
    <row r="3370" spans="1:2">
      <c r="A3370" s="32">
        <v>3357</v>
      </c>
      <c r="B3370" s="90">
        <v>6.923799979659905</v>
      </c>
    </row>
    <row r="3371" spans="1:2">
      <c r="A3371" s="32">
        <v>3358</v>
      </c>
      <c r="B3371" s="90">
        <v>7.7653931051944554</v>
      </c>
    </row>
    <row r="3372" spans="1:2">
      <c r="A3372" s="32">
        <v>3359</v>
      </c>
      <c r="B3372" s="90">
        <v>9.1823262625594975</v>
      </c>
    </row>
    <row r="3373" spans="1:2">
      <c r="A3373" s="32">
        <v>3360</v>
      </c>
      <c r="B3373" s="90">
        <v>8.8125450043915556</v>
      </c>
    </row>
    <row r="3374" spans="1:2">
      <c r="A3374" s="32">
        <v>3361</v>
      </c>
      <c r="B3374" s="90">
        <v>6.9095435173260968</v>
      </c>
    </row>
    <row r="3375" spans="1:2">
      <c r="A3375" s="32">
        <v>3362</v>
      </c>
      <c r="B3375" s="90">
        <v>10.268987554144008</v>
      </c>
    </row>
    <row r="3376" spans="1:2">
      <c r="A3376" s="32">
        <v>3363</v>
      </c>
      <c r="B3376" s="90">
        <v>8.4142281818770375</v>
      </c>
    </row>
    <row r="3377" spans="1:2">
      <c r="A3377" s="32">
        <v>3364</v>
      </c>
      <c r="B3377" s="90">
        <v>8.1926782661682402</v>
      </c>
    </row>
    <row r="3378" spans="1:2">
      <c r="A3378" s="32">
        <v>3365</v>
      </c>
      <c r="B3378" s="90">
        <v>8.449402460340572</v>
      </c>
    </row>
    <row r="3379" spans="1:2">
      <c r="A3379" s="32">
        <v>3366</v>
      </c>
      <c r="B3379" s="90">
        <v>8.2566779968996027</v>
      </c>
    </row>
    <row r="3380" spans="1:2">
      <c r="A3380" s="32">
        <v>3367</v>
      </c>
      <c r="B3380" s="90">
        <v>7.6730312563590211</v>
      </c>
    </row>
    <row r="3381" spans="1:2">
      <c r="A3381" s="32">
        <v>3368</v>
      </c>
      <c r="B3381" s="90">
        <v>7.8715270747975579</v>
      </c>
    </row>
    <row r="3382" spans="1:2">
      <c r="A3382" s="32">
        <v>3369</v>
      </c>
      <c r="B3382" s="90">
        <v>7.2625323431443123</v>
      </c>
    </row>
    <row r="3383" spans="1:2">
      <c r="A3383" s="32">
        <v>3370</v>
      </c>
      <c r="B3383" s="90">
        <v>7.1822298138776999</v>
      </c>
    </row>
    <row r="3384" spans="1:2">
      <c r="A3384" s="32">
        <v>3371</v>
      </c>
      <c r="B3384" s="90">
        <v>7.4369669383322972</v>
      </c>
    </row>
    <row r="3385" spans="1:2">
      <c r="A3385" s="32">
        <v>3372</v>
      </c>
      <c r="B3385" s="90">
        <v>7.1740496663076927</v>
      </c>
    </row>
    <row r="3386" spans="1:2">
      <c r="A3386" s="32">
        <v>3373</v>
      </c>
      <c r="B3386" s="90">
        <v>7.393212622484632</v>
      </c>
    </row>
    <row r="3387" spans="1:2">
      <c r="A3387" s="32">
        <v>3374</v>
      </c>
      <c r="B3387" s="90">
        <v>7.6021677958137435</v>
      </c>
    </row>
    <row r="3388" spans="1:2">
      <c r="A3388" s="32">
        <v>3375</v>
      </c>
      <c r="B3388" s="90">
        <v>8.449827852428669</v>
      </c>
    </row>
    <row r="3389" spans="1:2">
      <c r="A3389" s="32">
        <v>3376</v>
      </c>
      <c r="B3389" s="90">
        <v>8.9272813989990141</v>
      </c>
    </row>
    <row r="3390" spans="1:2">
      <c r="A3390" s="32">
        <v>3377</v>
      </c>
      <c r="B3390" s="90">
        <v>7.9177644675102137</v>
      </c>
    </row>
    <row r="3391" spans="1:2">
      <c r="A3391" s="32">
        <v>3378</v>
      </c>
      <c r="B3391" s="90">
        <v>8.5613109281173614</v>
      </c>
    </row>
    <row r="3392" spans="1:2">
      <c r="A3392" s="32">
        <v>3379</v>
      </c>
      <c r="B3392" s="90">
        <v>9.0787673158005724</v>
      </c>
    </row>
    <row r="3393" spans="1:2">
      <c r="A3393" s="32">
        <v>3380</v>
      </c>
      <c r="B3393" s="90">
        <v>8.8760634555182012</v>
      </c>
    </row>
    <row r="3394" spans="1:2">
      <c r="A3394" s="32">
        <v>3381</v>
      </c>
      <c r="B3394" s="90">
        <v>7.8454532458828146</v>
      </c>
    </row>
    <row r="3395" spans="1:2">
      <c r="A3395" s="32">
        <v>3382</v>
      </c>
      <c r="B3395" s="90">
        <v>6.5841705870587086</v>
      </c>
    </row>
    <row r="3396" spans="1:2">
      <c r="A3396" s="32">
        <v>3383</v>
      </c>
      <c r="B3396" s="90">
        <v>7.9076577911031798</v>
      </c>
    </row>
    <row r="3397" spans="1:2">
      <c r="A3397" s="32">
        <v>3384</v>
      </c>
      <c r="B3397" s="90">
        <v>8.2975880853408093</v>
      </c>
    </row>
    <row r="3398" spans="1:2">
      <c r="A3398" s="32">
        <v>3385</v>
      </c>
      <c r="B3398" s="90">
        <v>7.7863077151618247</v>
      </c>
    </row>
    <row r="3399" spans="1:2">
      <c r="A3399" s="32">
        <v>3386</v>
      </c>
      <c r="B3399" s="90">
        <v>7.0595460571405004</v>
      </c>
    </row>
    <row r="3400" spans="1:2">
      <c r="A3400" s="32">
        <v>3387</v>
      </c>
      <c r="B3400" s="90">
        <v>7.6916668018381653</v>
      </c>
    </row>
    <row r="3401" spans="1:2">
      <c r="A3401" s="32">
        <v>3388</v>
      </c>
      <c r="B3401" s="90">
        <v>7.978256636041051</v>
      </c>
    </row>
    <row r="3402" spans="1:2">
      <c r="A3402" s="32">
        <v>3389</v>
      </c>
      <c r="B3402" s="90">
        <v>8.6954676413137602</v>
      </c>
    </row>
    <row r="3403" spans="1:2">
      <c r="A3403" s="32">
        <v>3390</v>
      </c>
      <c r="B3403" s="90">
        <v>9.1937781873732067</v>
      </c>
    </row>
    <row r="3404" spans="1:2">
      <c r="A3404" s="32">
        <v>3391</v>
      </c>
      <c r="B3404" s="90">
        <v>8.3567113191864575</v>
      </c>
    </row>
    <row r="3405" spans="1:2">
      <c r="A3405" s="32">
        <v>3392</v>
      </c>
      <c r="B3405" s="90">
        <v>8.5825679446196315</v>
      </c>
    </row>
    <row r="3406" spans="1:2">
      <c r="A3406" s="32">
        <v>3393</v>
      </c>
      <c r="B3406" s="90">
        <v>8.5419838499926755</v>
      </c>
    </row>
    <row r="3407" spans="1:2">
      <c r="A3407" s="32">
        <v>3394</v>
      </c>
      <c r="B3407" s="90">
        <v>7.6369519776461443</v>
      </c>
    </row>
    <row r="3408" spans="1:2">
      <c r="A3408" s="32">
        <v>3395</v>
      </c>
      <c r="B3408" s="90">
        <v>7.2605218322490161</v>
      </c>
    </row>
    <row r="3409" spans="1:2">
      <c r="A3409" s="32">
        <v>3396</v>
      </c>
      <c r="B3409" s="90">
        <v>8.7295303255573913</v>
      </c>
    </row>
    <row r="3410" spans="1:2">
      <c r="A3410" s="32">
        <v>3397</v>
      </c>
      <c r="B3410" s="90">
        <v>8.1112199829558609</v>
      </c>
    </row>
    <row r="3411" spans="1:2">
      <c r="A3411" s="32">
        <v>3398</v>
      </c>
      <c r="B3411" s="90">
        <v>7.4936690637565491</v>
      </c>
    </row>
    <row r="3412" spans="1:2">
      <c r="A3412" s="32">
        <v>3399</v>
      </c>
      <c r="B3412" s="90">
        <v>8.6426242325283749</v>
      </c>
    </row>
    <row r="3413" spans="1:2">
      <c r="A3413" s="32">
        <v>3400</v>
      </c>
      <c r="B3413" s="90">
        <v>7.956087545095504</v>
      </c>
    </row>
    <row r="3414" spans="1:2">
      <c r="A3414" s="32">
        <v>3401</v>
      </c>
      <c r="B3414" s="90">
        <v>8.3354337965193146</v>
      </c>
    </row>
    <row r="3415" spans="1:2">
      <c r="A3415" s="32">
        <v>3402</v>
      </c>
      <c r="B3415" s="90">
        <v>9.7892103629211835</v>
      </c>
    </row>
    <row r="3416" spans="1:2">
      <c r="A3416" s="32">
        <v>3403</v>
      </c>
      <c r="B3416" s="90">
        <v>9.1416085692964852</v>
      </c>
    </row>
    <row r="3417" spans="1:2">
      <c r="A3417" s="32">
        <v>3404</v>
      </c>
      <c r="B3417" s="90">
        <v>6.8427332942347014</v>
      </c>
    </row>
    <row r="3418" spans="1:2">
      <c r="A3418" s="32">
        <v>3405</v>
      </c>
      <c r="B3418" s="90">
        <v>7.5922656874194496</v>
      </c>
    </row>
    <row r="3419" spans="1:2">
      <c r="A3419" s="32">
        <v>3406</v>
      </c>
      <c r="B3419" s="90">
        <v>6.9849491059812463</v>
      </c>
    </row>
    <row r="3420" spans="1:2">
      <c r="A3420" s="32">
        <v>3407</v>
      </c>
      <c r="B3420" s="90">
        <v>8.1897122409966912</v>
      </c>
    </row>
    <row r="3421" spans="1:2">
      <c r="A3421" s="32">
        <v>3408</v>
      </c>
      <c r="B3421" s="90">
        <v>8.0149357274043567</v>
      </c>
    </row>
    <row r="3422" spans="1:2">
      <c r="A3422" s="32">
        <v>3409</v>
      </c>
      <c r="B3422" s="90">
        <v>9.0395047486163538</v>
      </c>
    </row>
    <row r="3423" spans="1:2">
      <c r="A3423" s="32">
        <v>3410</v>
      </c>
      <c r="B3423" s="90">
        <v>8.2670712032837805</v>
      </c>
    </row>
    <row r="3424" spans="1:2">
      <c r="A3424" s="32">
        <v>3411</v>
      </c>
      <c r="B3424" s="90">
        <v>7.9884375674733699</v>
      </c>
    </row>
    <row r="3425" spans="1:2">
      <c r="A3425" s="32">
        <v>3412</v>
      </c>
      <c r="B3425" s="90">
        <v>7.6781011952384919</v>
      </c>
    </row>
    <row r="3426" spans="1:2">
      <c r="A3426" s="32">
        <v>3413</v>
      </c>
      <c r="B3426" s="90">
        <v>7.0288136973945354</v>
      </c>
    </row>
    <row r="3427" spans="1:2">
      <c r="A3427" s="32">
        <v>3414</v>
      </c>
      <c r="B3427" s="90">
        <v>7.9620655439654158</v>
      </c>
    </row>
    <row r="3428" spans="1:2">
      <c r="A3428" s="32">
        <v>3415</v>
      </c>
      <c r="B3428" s="90">
        <v>7.2093539162673261</v>
      </c>
    </row>
    <row r="3429" spans="1:2">
      <c r="A3429" s="32">
        <v>3416</v>
      </c>
      <c r="B3429" s="90">
        <v>8.6056190831475856</v>
      </c>
    </row>
    <row r="3430" spans="1:2">
      <c r="A3430" s="32">
        <v>3417</v>
      </c>
      <c r="B3430" s="90">
        <v>7.8242715480852141</v>
      </c>
    </row>
    <row r="3431" spans="1:2">
      <c r="A3431" s="32">
        <v>3418</v>
      </c>
      <c r="B3431" s="90">
        <v>8.4374852354619705</v>
      </c>
    </row>
    <row r="3432" spans="1:2">
      <c r="A3432" s="32">
        <v>3419</v>
      </c>
      <c r="B3432" s="90">
        <v>9.3059735824181384</v>
      </c>
    </row>
    <row r="3433" spans="1:2">
      <c r="A3433" s="32">
        <v>3420</v>
      </c>
      <c r="B3433" s="90">
        <v>8.5962771252482977</v>
      </c>
    </row>
    <row r="3434" spans="1:2">
      <c r="A3434" s="32">
        <v>3421</v>
      </c>
      <c r="B3434" s="90">
        <v>6.9302623247626762</v>
      </c>
    </row>
    <row r="3435" spans="1:2">
      <c r="A3435" s="32">
        <v>3422</v>
      </c>
      <c r="B3435" s="90">
        <v>8.6572798658855934</v>
      </c>
    </row>
    <row r="3436" spans="1:2">
      <c r="A3436" s="32">
        <v>3423</v>
      </c>
      <c r="B3436" s="90">
        <v>8.3095559830492469</v>
      </c>
    </row>
    <row r="3437" spans="1:2">
      <c r="A3437" s="32">
        <v>3424</v>
      </c>
      <c r="B3437" s="90">
        <v>7.9166906725351867</v>
      </c>
    </row>
    <row r="3438" spans="1:2">
      <c r="A3438" s="32">
        <v>3425</v>
      </c>
      <c r="B3438" s="90">
        <v>7.8460333414560255</v>
      </c>
    </row>
    <row r="3439" spans="1:2">
      <c r="A3439" s="32">
        <v>3426</v>
      </c>
      <c r="B3439" s="90">
        <v>7.9802530847646578</v>
      </c>
    </row>
    <row r="3440" spans="1:2">
      <c r="A3440" s="32">
        <v>3427</v>
      </c>
      <c r="B3440" s="90">
        <v>8.0894158929997637</v>
      </c>
    </row>
    <row r="3441" spans="1:2">
      <c r="A3441" s="32">
        <v>3428</v>
      </c>
      <c r="B3441" s="90">
        <v>8.0748478343452046</v>
      </c>
    </row>
    <row r="3442" spans="1:2">
      <c r="A3442" s="32">
        <v>3429</v>
      </c>
      <c r="B3442" s="90">
        <v>7.7839220474220516</v>
      </c>
    </row>
    <row r="3443" spans="1:2">
      <c r="A3443" s="32">
        <v>3430</v>
      </c>
      <c r="B3443" s="90">
        <v>7.765719800267405</v>
      </c>
    </row>
    <row r="3444" spans="1:2">
      <c r="A3444" s="32">
        <v>3431</v>
      </c>
      <c r="B3444" s="90">
        <v>8.2576794815012509</v>
      </c>
    </row>
    <row r="3445" spans="1:2">
      <c r="A3445" s="32">
        <v>3432</v>
      </c>
      <c r="B3445" s="90">
        <v>7.7505903550125614</v>
      </c>
    </row>
    <row r="3446" spans="1:2">
      <c r="A3446" s="32">
        <v>3433</v>
      </c>
      <c r="B3446" s="90">
        <v>8.0692334999751179</v>
      </c>
    </row>
    <row r="3447" spans="1:2">
      <c r="A3447" s="32">
        <v>3434</v>
      </c>
      <c r="B3447" s="90">
        <v>8.6882537042646568</v>
      </c>
    </row>
    <row r="3448" spans="1:2">
      <c r="A3448" s="32">
        <v>3435</v>
      </c>
      <c r="B3448" s="90">
        <v>7.6036883866693863</v>
      </c>
    </row>
    <row r="3449" spans="1:2">
      <c r="A3449" s="32">
        <v>3436</v>
      </c>
      <c r="B3449" s="90">
        <v>9.4534380449919286</v>
      </c>
    </row>
    <row r="3450" spans="1:2">
      <c r="A3450" s="32">
        <v>3437</v>
      </c>
      <c r="B3450" s="90">
        <v>8.2359316130568789</v>
      </c>
    </row>
    <row r="3451" spans="1:2">
      <c r="A3451" s="32">
        <v>3438</v>
      </c>
      <c r="B3451" s="90">
        <v>7.5125270786708587</v>
      </c>
    </row>
    <row r="3452" spans="1:2">
      <c r="A3452" s="32">
        <v>3439</v>
      </c>
      <c r="B3452" s="90">
        <v>8.5328927313630381</v>
      </c>
    </row>
    <row r="3453" spans="1:2">
      <c r="A3453" s="32">
        <v>3440</v>
      </c>
      <c r="B3453" s="90">
        <v>7.3636167291390517</v>
      </c>
    </row>
    <row r="3454" spans="1:2">
      <c r="A3454" s="32">
        <v>3441</v>
      </c>
      <c r="B3454" s="90">
        <v>8.3341164027771146</v>
      </c>
    </row>
    <row r="3455" spans="1:2">
      <c r="A3455" s="32">
        <v>3442</v>
      </c>
      <c r="B3455" s="90">
        <v>6.6335359126842643</v>
      </c>
    </row>
    <row r="3456" spans="1:2">
      <c r="A3456" s="32">
        <v>3443</v>
      </c>
      <c r="B3456" s="90">
        <v>7.9015840880426031</v>
      </c>
    </row>
    <row r="3457" spans="1:2">
      <c r="A3457" s="32">
        <v>3444</v>
      </c>
      <c r="B3457" s="90">
        <v>7.467902100839817</v>
      </c>
    </row>
    <row r="3458" spans="1:2">
      <c r="A3458" s="32">
        <v>3445</v>
      </c>
      <c r="B3458" s="90">
        <v>8.9482859145410085</v>
      </c>
    </row>
    <row r="3459" spans="1:2">
      <c r="A3459" s="32">
        <v>3446</v>
      </c>
      <c r="B3459" s="90">
        <v>8.8249899079108314</v>
      </c>
    </row>
    <row r="3460" spans="1:2">
      <c r="A3460" s="32">
        <v>3447</v>
      </c>
      <c r="B3460" s="90">
        <v>8.0650365266482531</v>
      </c>
    </row>
    <row r="3461" spans="1:2">
      <c r="A3461" s="32">
        <v>3448</v>
      </c>
      <c r="B3461" s="90">
        <v>9.1493872614648808</v>
      </c>
    </row>
    <row r="3462" spans="1:2">
      <c r="A3462" s="32">
        <v>3449</v>
      </c>
      <c r="B3462" s="90">
        <v>8.6921506915835156</v>
      </c>
    </row>
    <row r="3463" spans="1:2">
      <c r="A3463" s="32">
        <v>3450</v>
      </c>
      <c r="B3463" s="90">
        <v>8.525237694356818</v>
      </c>
    </row>
    <row r="3464" spans="1:2">
      <c r="A3464" s="32">
        <v>3451</v>
      </c>
      <c r="B3464" s="90">
        <v>8.0494080904280807</v>
      </c>
    </row>
    <row r="3465" spans="1:2">
      <c r="A3465" s="32">
        <v>3452</v>
      </c>
      <c r="B3465" s="90">
        <v>9.631166282986511</v>
      </c>
    </row>
    <row r="3466" spans="1:2">
      <c r="A3466" s="32">
        <v>3453</v>
      </c>
      <c r="B3466" s="90">
        <v>8.6206251577852893</v>
      </c>
    </row>
    <row r="3467" spans="1:2">
      <c r="A3467" s="32">
        <v>3454</v>
      </c>
      <c r="B3467" s="90">
        <v>7.7216667924765936</v>
      </c>
    </row>
    <row r="3468" spans="1:2">
      <c r="A3468" s="32">
        <v>3455</v>
      </c>
      <c r="B3468" s="90">
        <v>8.6197024719562627</v>
      </c>
    </row>
    <row r="3469" spans="1:2">
      <c r="A3469" s="32">
        <v>3456</v>
      </c>
      <c r="B3469" s="90">
        <v>9.1318961070573472</v>
      </c>
    </row>
    <row r="3470" spans="1:2">
      <c r="A3470" s="32">
        <v>3457</v>
      </c>
      <c r="B3470" s="90">
        <v>7.3009836182318448</v>
      </c>
    </row>
    <row r="3471" spans="1:2">
      <c r="A3471" s="32">
        <v>3458</v>
      </c>
      <c r="B3471" s="90">
        <v>7.6437807068554875</v>
      </c>
    </row>
    <row r="3472" spans="1:2">
      <c r="A3472" s="32">
        <v>3459</v>
      </c>
      <c r="B3472" s="90">
        <v>8.6389039355581083</v>
      </c>
    </row>
    <row r="3473" spans="1:2">
      <c r="A3473" s="32">
        <v>3460</v>
      </c>
      <c r="B3473" s="90">
        <v>8.7132871416085163</v>
      </c>
    </row>
    <row r="3474" spans="1:2">
      <c r="A3474" s="32">
        <v>3461</v>
      </c>
      <c r="B3474" s="90">
        <v>6.9332083722691094</v>
      </c>
    </row>
    <row r="3475" spans="1:2">
      <c r="A3475" s="32">
        <v>3462</v>
      </c>
      <c r="B3475" s="90">
        <v>8.1817824654223212</v>
      </c>
    </row>
    <row r="3476" spans="1:2">
      <c r="A3476" s="32">
        <v>3463</v>
      </c>
      <c r="B3476" s="90">
        <v>8.0578339347562746</v>
      </c>
    </row>
    <row r="3477" spans="1:2">
      <c r="A3477" s="32">
        <v>3464</v>
      </c>
      <c r="B3477" s="90">
        <v>8.3323407712615989</v>
      </c>
    </row>
    <row r="3478" spans="1:2">
      <c r="A3478" s="32">
        <v>3465</v>
      </c>
      <c r="B3478" s="90">
        <v>7.7265392731998288</v>
      </c>
    </row>
    <row r="3479" spans="1:2">
      <c r="A3479" s="32">
        <v>3466</v>
      </c>
      <c r="B3479" s="90">
        <v>7.2247639758013831</v>
      </c>
    </row>
    <row r="3480" spans="1:2">
      <c r="A3480" s="32">
        <v>3467</v>
      </c>
      <c r="B3480" s="90">
        <v>8.516281691378131</v>
      </c>
    </row>
    <row r="3481" spans="1:2">
      <c r="A3481" s="32">
        <v>3468</v>
      </c>
      <c r="B3481" s="90">
        <v>7.7589290030599898</v>
      </c>
    </row>
    <row r="3482" spans="1:2">
      <c r="A3482" s="32">
        <v>3469</v>
      </c>
      <c r="B3482" s="90">
        <v>7.3605023582046814</v>
      </c>
    </row>
    <row r="3483" spans="1:2">
      <c r="A3483" s="32">
        <v>3470</v>
      </c>
      <c r="B3483" s="90">
        <v>9.6820038317682293</v>
      </c>
    </row>
    <row r="3484" spans="1:2">
      <c r="A3484" s="32">
        <v>3471</v>
      </c>
      <c r="B3484" s="90">
        <v>7.9485510140842486</v>
      </c>
    </row>
    <row r="3485" spans="1:2">
      <c r="A3485" s="32">
        <v>3472</v>
      </c>
      <c r="B3485" s="90">
        <v>8.1412715361373511</v>
      </c>
    </row>
    <row r="3486" spans="1:2">
      <c r="A3486" s="32">
        <v>3473</v>
      </c>
      <c r="B3486" s="90">
        <v>6.7995415582894907</v>
      </c>
    </row>
    <row r="3487" spans="1:2">
      <c r="A3487" s="32">
        <v>3474</v>
      </c>
      <c r="B3487" s="90">
        <v>7.2975480292762187</v>
      </c>
    </row>
    <row r="3488" spans="1:2">
      <c r="A3488" s="32">
        <v>3475</v>
      </c>
      <c r="B3488" s="90">
        <v>8.3615800789254866</v>
      </c>
    </row>
    <row r="3489" spans="1:2">
      <c r="A3489" s="32">
        <v>3476</v>
      </c>
      <c r="B3489" s="90">
        <v>8.103765533216027</v>
      </c>
    </row>
    <row r="3490" spans="1:2">
      <c r="A3490" s="32">
        <v>3477</v>
      </c>
      <c r="B3490" s="90">
        <v>8.0432315851221787</v>
      </c>
    </row>
    <row r="3491" spans="1:2">
      <c r="A3491" s="32">
        <v>3478</v>
      </c>
      <c r="B3491" s="90">
        <v>8.6962293739414953</v>
      </c>
    </row>
    <row r="3492" spans="1:2">
      <c r="A3492" s="32">
        <v>3479</v>
      </c>
      <c r="B3492" s="90">
        <v>8.657471635159915</v>
      </c>
    </row>
    <row r="3493" spans="1:2">
      <c r="A3493" s="32">
        <v>3480</v>
      </c>
      <c r="B3493" s="90">
        <v>8.0153652939506657</v>
      </c>
    </row>
    <row r="3494" spans="1:2">
      <c r="A3494" s="32">
        <v>3481</v>
      </c>
      <c r="B3494" s="90">
        <v>8.8840106589604684</v>
      </c>
    </row>
    <row r="3495" spans="1:2">
      <c r="A3495" s="32">
        <v>3482</v>
      </c>
      <c r="B3495" s="90">
        <v>7.8101482617811993</v>
      </c>
    </row>
    <row r="3496" spans="1:2">
      <c r="A3496" s="32">
        <v>3483</v>
      </c>
      <c r="B3496" s="90">
        <v>7.1102301904838114</v>
      </c>
    </row>
    <row r="3497" spans="1:2">
      <c r="A3497" s="32">
        <v>3484</v>
      </c>
      <c r="B3497" s="90">
        <v>8.455270875325871</v>
      </c>
    </row>
    <row r="3498" spans="1:2">
      <c r="A3498" s="32">
        <v>3485</v>
      </c>
      <c r="B3498" s="90">
        <v>8.8240150175704919</v>
      </c>
    </row>
    <row r="3499" spans="1:2">
      <c r="A3499" s="32">
        <v>3486</v>
      </c>
      <c r="B3499" s="90">
        <v>7.6000961840690833</v>
      </c>
    </row>
    <row r="3500" spans="1:2">
      <c r="A3500" s="32">
        <v>3487</v>
      </c>
      <c r="B3500" s="90">
        <v>8.1086833897371857</v>
      </c>
    </row>
    <row r="3501" spans="1:2">
      <c r="A3501" s="32">
        <v>3488</v>
      </c>
      <c r="B3501" s="90">
        <v>8.5921398849124451</v>
      </c>
    </row>
    <row r="3502" spans="1:2">
      <c r="A3502" s="32">
        <v>3489</v>
      </c>
      <c r="B3502" s="90">
        <v>7.9212820008031706</v>
      </c>
    </row>
    <row r="3503" spans="1:2">
      <c r="A3503" s="32">
        <v>3490</v>
      </c>
      <c r="B3503" s="90">
        <v>8.112623906104842</v>
      </c>
    </row>
    <row r="3504" spans="1:2">
      <c r="A3504" s="32">
        <v>3491</v>
      </c>
      <c r="B3504" s="90">
        <v>7.9378698406080845</v>
      </c>
    </row>
    <row r="3505" spans="1:2">
      <c r="A3505" s="32">
        <v>3492</v>
      </c>
      <c r="B3505" s="90">
        <v>8.330700336753063</v>
      </c>
    </row>
    <row r="3506" spans="1:2">
      <c r="A3506" s="32">
        <v>3493</v>
      </c>
      <c r="B3506" s="90">
        <v>9.1626097576596024</v>
      </c>
    </row>
    <row r="3507" spans="1:2">
      <c r="A3507" s="32">
        <v>3494</v>
      </c>
      <c r="B3507" s="90">
        <v>8.3116194636902421</v>
      </c>
    </row>
    <row r="3508" spans="1:2">
      <c r="A3508" s="32">
        <v>3495</v>
      </c>
      <c r="B3508" s="90">
        <v>7.4134293369166437</v>
      </c>
    </row>
    <row r="3509" spans="1:2">
      <c r="A3509" s="32">
        <v>3496</v>
      </c>
      <c r="B3509" s="90">
        <v>6.8455969781518426</v>
      </c>
    </row>
    <row r="3510" spans="1:2">
      <c r="A3510" s="32">
        <v>3497</v>
      </c>
      <c r="B3510" s="90">
        <v>8.1733555754692286</v>
      </c>
    </row>
    <row r="3511" spans="1:2">
      <c r="A3511" s="32">
        <v>3498</v>
      </c>
      <c r="B3511" s="90">
        <v>7.5229393618868041</v>
      </c>
    </row>
    <row r="3512" spans="1:2">
      <c r="A3512" s="32">
        <v>3499</v>
      </c>
      <c r="B3512" s="90">
        <v>7.9387910895129856</v>
      </c>
    </row>
    <row r="3513" spans="1:2">
      <c r="A3513" s="32">
        <v>3500</v>
      </c>
      <c r="B3513" s="90">
        <v>8.5721915887470566</v>
      </c>
    </row>
    <row r="3514" spans="1:2">
      <c r="A3514" s="32">
        <v>3501</v>
      </c>
      <c r="B3514" s="90">
        <v>9.1218887210153898</v>
      </c>
    </row>
    <row r="3515" spans="1:2">
      <c r="A3515" s="32">
        <v>3502</v>
      </c>
      <c r="B3515" s="90">
        <v>7.4798095146676324</v>
      </c>
    </row>
    <row r="3516" spans="1:2">
      <c r="A3516" s="32">
        <v>3503</v>
      </c>
      <c r="B3516" s="90">
        <v>7.7396363753539523</v>
      </c>
    </row>
    <row r="3517" spans="1:2">
      <c r="A3517" s="32">
        <v>3504</v>
      </c>
      <c r="B3517" s="90">
        <v>8.8950990822091303</v>
      </c>
    </row>
    <row r="3518" spans="1:2">
      <c r="A3518" s="32">
        <v>3505</v>
      </c>
      <c r="B3518" s="90">
        <v>8.5167350890956222</v>
      </c>
    </row>
    <row r="3519" spans="1:2">
      <c r="A3519" s="32">
        <v>3506</v>
      </c>
      <c r="B3519" s="90">
        <v>7.5821635153158828</v>
      </c>
    </row>
    <row r="3520" spans="1:2">
      <c r="A3520" s="32">
        <v>3507</v>
      </c>
      <c r="B3520" s="90">
        <v>8.0894566760210047</v>
      </c>
    </row>
    <row r="3521" spans="1:2">
      <c r="A3521" s="32">
        <v>3508</v>
      </c>
      <c r="B3521" s="90">
        <v>7.058661214028187</v>
      </c>
    </row>
    <row r="3522" spans="1:2">
      <c r="A3522" s="32">
        <v>3509</v>
      </c>
      <c r="B3522" s="90">
        <v>7.6842958942133333</v>
      </c>
    </row>
    <row r="3523" spans="1:2">
      <c r="A3523" s="32">
        <v>3510</v>
      </c>
      <c r="B3523" s="90">
        <v>8.3901903811126886</v>
      </c>
    </row>
    <row r="3524" spans="1:2">
      <c r="A3524" s="32">
        <v>3511</v>
      </c>
      <c r="B3524" s="90">
        <v>7.5159351858630039</v>
      </c>
    </row>
    <row r="3525" spans="1:2">
      <c r="A3525" s="32">
        <v>3512</v>
      </c>
      <c r="B3525" s="90">
        <v>8.3750049093186067</v>
      </c>
    </row>
    <row r="3526" spans="1:2">
      <c r="A3526" s="32">
        <v>3513</v>
      </c>
      <c r="B3526" s="90">
        <v>8.1391895549355731</v>
      </c>
    </row>
    <row r="3527" spans="1:2">
      <c r="A3527" s="32">
        <v>3514</v>
      </c>
      <c r="B3527" s="90">
        <v>8.5998541748120925</v>
      </c>
    </row>
    <row r="3528" spans="1:2">
      <c r="A3528" s="32">
        <v>3515</v>
      </c>
      <c r="B3528" s="90">
        <v>8.0184338751027671</v>
      </c>
    </row>
    <row r="3529" spans="1:2">
      <c r="A3529" s="32">
        <v>3516</v>
      </c>
      <c r="B3529" s="90">
        <v>8.1885682686515882</v>
      </c>
    </row>
    <row r="3530" spans="1:2">
      <c r="A3530" s="32">
        <v>3517</v>
      </c>
      <c r="B3530" s="90">
        <v>7.1767220700193377</v>
      </c>
    </row>
    <row r="3531" spans="1:2">
      <c r="A3531" s="32">
        <v>3518</v>
      </c>
      <c r="B3531" s="90">
        <v>8.301869585781958</v>
      </c>
    </row>
    <row r="3532" spans="1:2">
      <c r="A3532" s="32">
        <v>3519</v>
      </c>
      <c r="B3532" s="90">
        <v>7.8281241202709086</v>
      </c>
    </row>
    <row r="3533" spans="1:2">
      <c r="A3533" s="32">
        <v>3520</v>
      </c>
      <c r="B3533" s="90">
        <v>8.3339610207881272</v>
      </c>
    </row>
    <row r="3534" spans="1:2">
      <c r="A3534" s="32">
        <v>3521</v>
      </c>
      <c r="B3534" s="90">
        <v>8.8619184257889145</v>
      </c>
    </row>
    <row r="3535" spans="1:2">
      <c r="A3535" s="32">
        <v>3522</v>
      </c>
      <c r="B3535" s="90">
        <v>7.8846088810837394</v>
      </c>
    </row>
    <row r="3536" spans="1:2">
      <c r="A3536" s="32">
        <v>3523</v>
      </c>
      <c r="B3536" s="90">
        <v>8.3755848100431027</v>
      </c>
    </row>
    <row r="3537" spans="1:2">
      <c r="A3537" s="32">
        <v>3524</v>
      </c>
      <c r="B3537" s="90">
        <v>8.0116051435191817</v>
      </c>
    </row>
    <row r="3538" spans="1:2">
      <c r="A3538" s="32">
        <v>3525</v>
      </c>
      <c r="B3538" s="90">
        <v>8.9050284426086144</v>
      </c>
    </row>
    <row r="3539" spans="1:2">
      <c r="A3539" s="32">
        <v>3526</v>
      </c>
      <c r="B3539" s="90">
        <v>7.6663634712411035</v>
      </c>
    </row>
    <row r="3540" spans="1:2">
      <c r="A3540" s="32">
        <v>3527</v>
      </c>
      <c r="B3540" s="90">
        <v>7.9034171030642399</v>
      </c>
    </row>
    <row r="3541" spans="1:2">
      <c r="A3541" s="32">
        <v>3528</v>
      </c>
      <c r="B3541" s="90">
        <v>7.6396583864626866</v>
      </c>
    </row>
    <row r="3542" spans="1:2">
      <c r="A3542" s="32">
        <v>3529</v>
      </c>
      <c r="B3542" s="90">
        <v>8.8118421256203501</v>
      </c>
    </row>
    <row r="3543" spans="1:2">
      <c r="A3543" s="32">
        <v>3530</v>
      </c>
      <c r="B3543" s="90">
        <v>8.8752363610579117</v>
      </c>
    </row>
    <row r="3544" spans="1:2">
      <c r="A3544" s="32">
        <v>3531</v>
      </c>
      <c r="B3544" s="90">
        <v>8.2234833791025981</v>
      </c>
    </row>
    <row r="3545" spans="1:2">
      <c r="A3545" s="32">
        <v>3532</v>
      </c>
      <c r="B3545" s="90">
        <v>7.8555608432302719</v>
      </c>
    </row>
    <row r="3546" spans="1:2">
      <c r="A3546" s="32">
        <v>3533</v>
      </c>
      <c r="B3546" s="90">
        <v>8.1637859825467292</v>
      </c>
    </row>
    <row r="3547" spans="1:2">
      <c r="A3547" s="32">
        <v>3534</v>
      </c>
      <c r="B3547" s="90">
        <v>8.2402526203887732</v>
      </c>
    </row>
    <row r="3548" spans="1:2">
      <c r="A3548" s="32">
        <v>3535</v>
      </c>
      <c r="B3548" s="90">
        <v>7.5617477869887963</v>
      </c>
    </row>
    <row r="3549" spans="1:2">
      <c r="A3549" s="32">
        <v>3536</v>
      </c>
      <c r="B3549" s="90">
        <v>8.5790801430751706</v>
      </c>
    </row>
    <row r="3550" spans="1:2">
      <c r="A3550" s="32">
        <v>3537</v>
      </c>
      <c r="B3550" s="90">
        <v>8.8492808974392521</v>
      </c>
    </row>
    <row r="3551" spans="1:2">
      <c r="A3551" s="32">
        <v>3538</v>
      </c>
      <c r="B3551" s="90">
        <v>9.4724986421553314</v>
      </c>
    </row>
    <row r="3552" spans="1:2">
      <c r="A3552" s="32">
        <v>3539</v>
      </c>
      <c r="B3552" s="90">
        <v>7.3377450323921449</v>
      </c>
    </row>
    <row r="3553" spans="1:2">
      <c r="A3553" s="32">
        <v>3540</v>
      </c>
      <c r="B3553" s="90">
        <v>8.315588484691542</v>
      </c>
    </row>
    <row r="3554" spans="1:2">
      <c r="A3554" s="32">
        <v>3541</v>
      </c>
      <c r="B3554" s="90">
        <v>6.8512185087251902</v>
      </c>
    </row>
    <row r="3555" spans="1:2">
      <c r="A3555" s="32">
        <v>3542</v>
      </c>
      <c r="B3555" s="90">
        <v>7.5717233263134345</v>
      </c>
    </row>
    <row r="3556" spans="1:2">
      <c r="A3556" s="32">
        <v>3543</v>
      </c>
      <c r="B3556" s="90">
        <v>8.5662797674730573</v>
      </c>
    </row>
    <row r="3557" spans="1:2">
      <c r="A3557" s="32">
        <v>3544</v>
      </c>
      <c r="B3557" s="90">
        <v>6.9487370333236216</v>
      </c>
    </row>
    <row r="3558" spans="1:2">
      <c r="A3558" s="32">
        <v>3545</v>
      </c>
      <c r="B3558" s="90">
        <v>8.5285570943448796</v>
      </c>
    </row>
    <row r="3559" spans="1:2">
      <c r="A3559" s="32">
        <v>3546</v>
      </c>
      <c r="B3559" s="90">
        <v>8.9137709212007739</v>
      </c>
    </row>
    <row r="3560" spans="1:2">
      <c r="A3560" s="32">
        <v>3547</v>
      </c>
      <c r="B3560" s="90">
        <v>8.1031326447671681</v>
      </c>
    </row>
    <row r="3561" spans="1:2">
      <c r="A3561" s="32">
        <v>3548</v>
      </c>
      <c r="B3561" s="90">
        <v>8.0525447702884101</v>
      </c>
    </row>
    <row r="3562" spans="1:2">
      <c r="A3562" s="32">
        <v>3549</v>
      </c>
      <c r="B3562" s="90">
        <v>7.7205824149766888</v>
      </c>
    </row>
    <row r="3563" spans="1:2">
      <c r="A3563" s="32">
        <v>3550</v>
      </c>
      <c r="B3563" s="90">
        <v>8.1006077603115347</v>
      </c>
    </row>
    <row r="3564" spans="1:2">
      <c r="A3564" s="32">
        <v>3551</v>
      </c>
      <c r="B3564" s="90">
        <v>7.8237274217867201</v>
      </c>
    </row>
    <row r="3565" spans="1:2">
      <c r="A3565" s="32">
        <v>3552</v>
      </c>
      <c r="B3565" s="90">
        <v>7.0722097977254936</v>
      </c>
    </row>
    <row r="3566" spans="1:2">
      <c r="A3566" s="32">
        <v>3553</v>
      </c>
      <c r="B3566" s="90">
        <v>8.2898120831446125</v>
      </c>
    </row>
    <row r="3567" spans="1:2">
      <c r="A3567" s="32">
        <v>3554</v>
      </c>
      <c r="B3567" s="90">
        <v>7.7041297536503688</v>
      </c>
    </row>
    <row r="3568" spans="1:2">
      <c r="A3568" s="32">
        <v>3555</v>
      </c>
      <c r="B3568" s="90">
        <v>8.7651453526091849</v>
      </c>
    </row>
    <row r="3569" spans="1:2">
      <c r="A3569" s="32">
        <v>3556</v>
      </c>
      <c r="B3569" s="90">
        <v>9.0277797651059899</v>
      </c>
    </row>
    <row r="3570" spans="1:2">
      <c r="A3570" s="32">
        <v>3557</v>
      </c>
      <c r="B3570" s="90">
        <v>7.9306595196588239</v>
      </c>
    </row>
    <row r="3571" spans="1:2">
      <c r="A3571" s="32">
        <v>3558</v>
      </c>
      <c r="B3571" s="90">
        <v>8.1956404850716904</v>
      </c>
    </row>
    <row r="3572" spans="1:2">
      <c r="A3572" s="32">
        <v>3559</v>
      </c>
      <c r="B3572" s="90">
        <v>7.7300745439104759</v>
      </c>
    </row>
    <row r="3573" spans="1:2">
      <c r="A3573" s="32">
        <v>3560</v>
      </c>
      <c r="B3573" s="90">
        <v>7.6732535122337646</v>
      </c>
    </row>
    <row r="3574" spans="1:2">
      <c r="A3574" s="32">
        <v>3561</v>
      </c>
      <c r="B3574" s="90">
        <v>8.2531591976974799</v>
      </c>
    </row>
    <row r="3575" spans="1:2">
      <c r="A3575" s="32">
        <v>3562</v>
      </c>
      <c r="B3575" s="90">
        <v>8.9717536277124577</v>
      </c>
    </row>
    <row r="3576" spans="1:2">
      <c r="A3576" s="32">
        <v>3563</v>
      </c>
      <c r="B3576" s="90">
        <v>7.6367876781786874</v>
      </c>
    </row>
    <row r="3577" spans="1:2">
      <c r="A3577" s="32">
        <v>3564</v>
      </c>
      <c r="B3577" s="90">
        <v>9.0796664569575327</v>
      </c>
    </row>
    <row r="3578" spans="1:2">
      <c r="A3578" s="32">
        <v>3565</v>
      </c>
      <c r="B3578" s="90">
        <v>7.7460405833244907</v>
      </c>
    </row>
    <row r="3579" spans="1:2">
      <c r="A3579" s="32">
        <v>3566</v>
      </c>
      <c r="B3579" s="90">
        <v>8.7881084185055069</v>
      </c>
    </row>
    <row r="3580" spans="1:2">
      <c r="A3580" s="32">
        <v>3567</v>
      </c>
      <c r="B3580" s="90">
        <v>7.8602307766226316</v>
      </c>
    </row>
    <row r="3581" spans="1:2">
      <c r="A3581" s="32">
        <v>3568</v>
      </c>
      <c r="B3581" s="90">
        <v>7.7395343613341687</v>
      </c>
    </row>
    <row r="3582" spans="1:2">
      <c r="A3582" s="32">
        <v>3569</v>
      </c>
      <c r="B3582" s="90">
        <v>7.384270801616978</v>
      </c>
    </row>
    <row r="3583" spans="1:2">
      <c r="A3583" s="32">
        <v>3570</v>
      </c>
      <c r="B3583" s="90">
        <v>7.57776841038815</v>
      </c>
    </row>
    <row r="3584" spans="1:2">
      <c r="A3584" s="32">
        <v>3571</v>
      </c>
      <c r="B3584" s="90">
        <v>9.3518618162177507</v>
      </c>
    </row>
    <row r="3585" spans="1:2">
      <c r="A3585" s="32">
        <v>3572</v>
      </c>
      <c r="B3585" s="90">
        <v>7.0069121703406738</v>
      </c>
    </row>
    <row r="3586" spans="1:2">
      <c r="A3586" s="32">
        <v>3573</v>
      </c>
      <c r="B3586" s="90">
        <v>7.2989118435699325</v>
      </c>
    </row>
    <row r="3587" spans="1:2">
      <c r="A3587" s="32">
        <v>3574</v>
      </c>
      <c r="B3587" s="90">
        <v>8.1391502171686803</v>
      </c>
    </row>
    <row r="3588" spans="1:2">
      <c r="A3588" s="32">
        <v>3575</v>
      </c>
      <c r="B3588" s="90">
        <v>9.0880289370524707</v>
      </c>
    </row>
    <row r="3589" spans="1:2">
      <c r="A3589" s="32">
        <v>3576</v>
      </c>
      <c r="B3589" s="90">
        <v>7.8643837915427302</v>
      </c>
    </row>
    <row r="3590" spans="1:2">
      <c r="A3590" s="32">
        <v>3577</v>
      </c>
      <c r="B3590" s="90">
        <v>6.6487810568468912</v>
      </c>
    </row>
    <row r="3591" spans="1:2">
      <c r="A3591" s="32">
        <v>3578</v>
      </c>
      <c r="B3591" s="90">
        <v>8.1951825752751173</v>
      </c>
    </row>
    <row r="3592" spans="1:2">
      <c r="A3592" s="32">
        <v>3579</v>
      </c>
      <c r="B3592" s="90">
        <v>6.6194442792069301</v>
      </c>
    </row>
    <row r="3593" spans="1:2">
      <c r="A3593" s="32">
        <v>3580</v>
      </c>
      <c r="B3593" s="90">
        <v>7.6473971522524256</v>
      </c>
    </row>
    <row r="3594" spans="1:2">
      <c r="A3594" s="32">
        <v>3581</v>
      </c>
      <c r="B3594" s="90">
        <v>8.3657503332036409</v>
      </c>
    </row>
    <row r="3595" spans="1:2">
      <c r="A3595" s="32">
        <v>3582</v>
      </c>
      <c r="B3595" s="90">
        <v>7.8881949991585012</v>
      </c>
    </row>
    <row r="3596" spans="1:2">
      <c r="A3596" s="32">
        <v>3583</v>
      </c>
      <c r="B3596" s="90">
        <v>7.5006960819680977</v>
      </c>
    </row>
    <row r="3597" spans="1:2">
      <c r="A3597" s="32">
        <v>3584</v>
      </c>
      <c r="B3597" s="90">
        <v>8.8274894421382992</v>
      </c>
    </row>
    <row r="3598" spans="1:2">
      <c r="A3598" s="32">
        <v>3585</v>
      </c>
      <c r="B3598" s="90">
        <v>9.569993391911499</v>
      </c>
    </row>
    <row r="3599" spans="1:2">
      <c r="A3599" s="32">
        <v>3586</v>
      </c>
      <c r="B3599" s="90">
        <v>7.3570166188149679</v>
      </c>
    </row>
    <row r="3600" spans="1:2">
      <c r="A3600" s="32">
        <v>3587</v>
      </c>
      <c r="B3600" s="90">
        <v>8.5392344012431192</v>
      </c>
    </row>
    <row r="3601" spans="1:2">
      <c r="A3601" s="32">
        <v>3588</v>
      </c>
      <c r="B3601" s="90">
        <v>7.9232684570700007</v>
      </c>
    </row>
    <row r="3602" spans="1:2">
      <c r="A3602" s="32">
        <v>3589</v>
      </c>
      <c r="B3602" s="90">
        <v>7.855588253781848</v>
      </c>
    </row>
    <row r="3603" spans="1:2">
      <c r="A3603" s="32">
        <v>3590</v>
      </c>
      <c r="B3603" s="90">
        <v>8.345394662754039</v>
      </c>
    </row>
    <row r="3604" spans="1:2">
      <c r="A3604" s="32">
        <v>3591</v>
      </c>
      <c r="B3604" s="90">
        <v>7.665095628097637</v>
      </c>
    </row>
    <row r="3605" spans="1:2">
      <c r="A3605" s="32">
        <v>3592</v>
      </c>
      <c r="B3605" s="90">
        <v>7.90384234653947</v>
      </c>
    </row>
    <row r="3606" spans="1:2">
      <c r="A3606" s="32">
        <v>3593</v>
      </c>
      <c r="B3606" s="90">
        <v>7.9205899742858419</v>
      </c>
    </row>
    <row r="3607" spans="1:2">
      <c r="A3607" s="32">
        <v>3594</v>
      </c>
      <c r="B3607" s="90">
        <v>9.4781173175204465</v>
      </c>
    </row>
    <row r="3608" spans="1:2">
      <c r="A3608" s="32">
        <v>3595</v>
      </c>
      <c r="B3608" s="90">
        <v>6.2658439520554152</v>
      </c>
    </row>
    <row r="3609" spans="1:2">
      <c r="A3609" s="32">
        <v>3596</v>
      </c>
      <c r="B3609" s="90">
        <v>7.3671910749290443</v>
      </c>
    </row>
    <row r="3610" spans="1:2">
      <c r="A3610" s="32">
        <v>3597</v>
      </c>
      <c r="B3610" s="90">
        <v>8.649947506605228</v>
      </c>
    </row>
    <row r="3611" spans="1:2">
      <c r="A3611" s="32">
        <v>3598</v>
      </c>
      <c r="B3611" s="90">
        <v>8.2020249127334139</v>
      </c>
    </row>
    <row r="3612" spans="1:2">
      <c r="A3612" s="32">
        <v>3599</v>
      </c>
      <c r="B3612" s="90">
        <v>7.8173745146459526</v>
      </c>
    </row>
    <row r="3613" spans="1:2">
      <c r="A3613" s="32">
        <v>3600</v>
      </c>
      <c r="B3613" s="90">
        <v>7.739444882856783</v>
      </c>
    </row>
    <row r="3614" spans="1:2">
      <c r="A3614" s="32">
        <v>3601</v>
      </c>
      <c r="B3614" s="90">
        <v>8.1066693132453835</v>
      </c>
    </row>
    <row r="3615" spans="1:2">
      <c r="A3615" s="32">
        <v>3602</v>
      </c>
      <c r="B3615" s="90">
        <v>7.8573897979190113</v>
      </c>
    </row>
    <row r="3616" spans="1:2">
      <c r="A3616" s="32">
        <v>3603</v>
      </c>
      <c r="B3616" s="90">
        <v>8.2799169005768789</v>
      </c>
    </row>
    <row r="3617" spans="1:2">
      <c r="A3617" s="32">
        <v>3604</v>
      </c>
      <c r="B3617" s="90">
        <v>8.0696528553496645</v>
      </c>
    </row>
    <row r="3618" spans="1:2">
      <c r="A3618" s="32">
        <v>3605</v>
      </c>
      <c r="B3618" s="90">
        <v>8.3693108900819499</v>
      </c>
    </row>
    <row r="3619" spans="1:2">
      <c r="A3619" s="32">
        <v>3606</v>
      </c>
      <c r="B3619" s="90">
        <v>8.5590450483016376</v>
      </c>
    </row>
    <row r="3620" spans="1:2">
      <c r="A3620" s="32">
        <v>3607</v>
      </c>
      <c r="B3620" s="90">
        <v>8.5722101606644383</v>
      </c>
    </row>
    <row r="3621" spans="1:2">
      <c r="A3621" s="32">
        <v>3608</v>
      </c>
      <c r="B3621" s="90">
        <v>7.1729142179236751</v>
      </c>
    </row>
    <row r="3622" spans="1:2">
      <c r="A3622" s="32">
        <v>3609</v>
      </c>
      <c r="B3622" s="90">
        <v>8.5769326517012718</v>
      </c>
    </row>
    <row r="3623" spans="1:2">
      <c r="A3623" s="32">
        <v>3610</v>
      </c>
      <c r="B3623" s="90">
        <v>8.6928166128495832</v>
      </c>
    </row>
    <row r="3624" spans="1:2">
      <c r="A3624" s="32">
        <v>3611</v>
      </c>
      <c r="B3624" s="90">
        <v>8.0594142413614556</v>
      </c>
    </row>
    <row r="3625" spans="1:2">
      <c r="A3625" s="32">
        <v>3612</v>
      </c>
      <c r="B3625" s="90">
        <v>8.0200069042143109</v>
      </c>
    </row>
    <row r="3626" spans="1:2">
      <c r="A3626" s="32">
        <v>3613</v>
      </c>
      <c r="B3626" s="90">
        <v>7.6216897983535041</v>
      </c>
    </row>
    <row r="3627" spans="1:2">
      <c r="A3627" s="32">
        <v>3614</v>
      </c>
      <c r="B3627" s="90">
        <v>7.9005079373658491</v>
      </c>
    </row>
    <row r="3628" spans="1:2">
      <c r="A3628" s="32">
        <v>3615</v>
      </c>
      <c r="B3628" s="90">
        <v>7.087136439213868</v>
      </c>
    </row>
    <row r="3629" spans="1:2">
      <c r="A3629" s="32">
        <v>3616</v>
      </c>
      <c r="B3629" s="90">
        <v>7.7557551737881143</v>
      </c>
    </row>
    <row r="3630" spans="1:2">
      <c r="A3630" s="32">
        <v>3617</v>
      </c>
      <c r="B3630" s="90">
        <v>7.5582328577386573</v>
      </c>
    </row>
    <row r="3631" spans="1:2">
      <c r="A3631" s="32">
        <v>3618</v>
      </c>
      <c r="B3631" s="90">
        <v>7.4363494248897242</v>
      </c>
    </row>
    <row r="3632" spans="1:2">
      <c r="A3632" s="32">
        <v>3619</v>
      </c>
      <c r="B3632" s="90">
        <v>7.5754503327147846</v>
      </c>
    </row>
    <row r="3633" spans="1:2">
      <c r="A3633" s="32">
        <v>3620</v>
      </c>
      <c r="B3633" s="90">
        <v>7.3189130996603859</v>
      </c>
    </row>
    <row r="3634" spans="1:2">
      <c r="A3634" s="32">
        <v>3621</v>
      </c>
      <c r="B3634" s="90">
        <v>7.9411452968455665</v>
      </c>
    </row>
    <row r="3635" spans="1:2">
      <c r="A3635" s="32">
        <v>3622</v>
      </c>
      <c r="B3635" s="90">
        <v>8.9252557064655722</v>
      </c>
    </row>
    <row r="3636" spans="1:2">
      <c r="A3636" s="32">
        <v>3623</v>
      </c>
      <c r="B3636" s="90">
        <v>7.6513756096393868</v>
      </c>
    </row>
    <row r="3637" spans="1:2">
      <c r="A3637" s="32">
        <v>3624</v>
      </c>
      <c r="B3637" s="90">
        <v>7.2009222046079921</v>
      </c>
    </row>
    <row r="3638" spans="1:2">
      <c r="A3638" s="32">
        <v>3625</v>
      </c>
      <c r="B3638" s="90">
        <v>7.8195093652817054</v>
      </c>
    </row>
    <row r="3639" spans="1:2">
      <c r="A3639" s="32">
        <v>3626</v>
      </c>
      <c r="B3639" s="90">
        <v>9.9859500346921628</v>
      </c>
    </row>
    <row r="3640" spans="1:2">
      <c r="A3640" s="32">
        <v>3627</v>
      </c>
      <c r="B3640" s="90">
        <v>7.0865842529865182</v>
      </c>
    </row>
    <row r="3641" spans="1:2">
      <c r="A3641" s="32">
        <v>3628</v>
      </c>
      <c r="B3641" s="90">
        <v>8.651651805809518</v>
      </c>
    </row>
    <row r="3642" spans="1:2">
      <c r="A3642" s="32">
        <v>3629</v>
      </c>
      <c r="B3642" s="90">
        <v>8.5743848176706248</v>
      </c>
    </row>
    <row r="3643" spans="1:2">
      <c r="A3643" s="32">
        <v>3630</v>
      </c>
      <c r="B3643" s="90">
        <v>6.5383955790074442</v>
      </c>
    </row>
    <row r="3644" spans="1:2">
      <c r="A3644" s="32">
        <v>3631</v>
      </c>
      <c r="B3644" s="90">
        <v>8.4529679876860975</v>
      </c>
    </row>
    <row r="3645" spans="1:2">
      <c r="A3645" s="32">
        <v>3632</v>
      </c>
      <c r="B3645" s="90">
        <v>8.3747401044940339</v>
      </c>
    </row>
    <row r="3646" spans="1:2">
      <c r="A3646" s="32">
        <v>3633</v>
      </c>
      <c r="B3646" s="90">
        <v>7.4650503634946608</v>
      </c>
    </row>
    <row r="3647" spans="1:2">
      <c r="A3647" s="32">
        <v>3634</v>
      </c>
      <c r="B3647" s="90">
        <v>8.3995326234279695</v>
      </c>
    </row>
    <row r="3648" spans="1:2">
      <c r="A3648" s="32">
        <v>3635</v>
      </c>
      <c r="B3648" s="90">
        <v>6.8448746603822626</v>
      </c>
    </row>
    <row r="3649" spans="1:2">
      <c r="A3649" s="32">
        <v>3636</v>
      </c>
      <c r="B3649" s="90">
        <v>7.5221558548173677</v>
      </c>
    </row>
    <row r="3650" spans="1:2">
      <c r="A3650" s="32">
        <v>3637</v>
      </c>
      <c r="B3650" s="90">
        <v>7.9401444652717306</v>
      </c>
    </row>
    <row r="3651" spans="1:2">
      <c r="A3651" s="32">
        <v>3638</v>
      </c>
      <c r="B3651" s="90">
        <v>7.5082514247363985</v>
      </c>
    </row>
    <row r="3652" spans="1:2">
      <c r="A3652" s="32">
        <v>3639</v>
      </c>
      <c r="B3652" s="90">
        <v>7.1951342719181328</v>
      </c>
    </row>
    <row r="3653" spans="1:2">
      <c r="A3653" s="32">
        <v>3640</v>
      </c>
      <c r="B3653" s="90">
        <v>7.5886003738307934</v>
      </c>
    </row>
    <row r="3654" spans="1:2">
      <c r="A3654" s="32">
        <v>3641</v>
      </c>
      <c r="B3654" s="90">
        <v>8.1511741093208609</v>
      </c>
    </row>
    <row r="3655" spans="1:2">
      <c r="A3655" s="32">
        <v>3642</v>
      </c>
      <c r="B3655" s="90">
        <v>7.6413248202327049</v>
      </c>
    </row>
    <row r="3656" spans="1:2">
      <c r="A3656" s="32">
        <v>3643</v>
      </c>
      <c r="B3656" s="90">
        <v>9.0880015510291496</v>
      </c>
    </row>
    <row r="3657" spans="1:2">
      <c r="A3657" s="32">
        <v>3644</v>
      </c>
      <c r="B3657" s="90">
        <v>8.5157114194462817</v>
      </c>
    </row>
    <row r="3658" spans="1:2">
      <c r="A3658" s="32">
        <v>3645</v>
      </c>
      <c r="B3658" s="90">
        <v>8.2725890996422411</v>
      </c>
    </row>
    <row r="3659" spans="1:2">
      <c r="A3659" s="32">
        <v>3646</v>
      </c>
      <c r="B3659" s="90">
        <v>7.7799410422952366</v>
      </c>
    </row>
    <row r="3660" spans="1:2">
      <c r="A3660" s="32">
        <v>3647</v>
      </c>
      <c r="B3660" s="90">
        <v>7.9262451189293808</v>
      </c>
    </row>
    <row r="3661" spans="1:2">
      <c r="A3661" s="32">
        <v>3648</v>
      </c>
      <c r="B3661" s="90">
        <v>7.3734820248242112</v>
      </c>
    </row>
    <row r="3662" spans="1:2">
      <c r="A3662" s="32">
        <v>3649</v>
      </c>
      <c r="B3662" s="90">
        <v>8.7864342724785729</v>
      </c>
    </row>
    <row r="3663" spans="1:2">
      <c r="A3663" s="32">
        <v>3650</v>
      </c>
      <c r="B3663" s="90">
        <v>8.3690392426309064</v>
      </c>
    </row>
    <row r="3664" spans="1:2">
      <c r="A3664" s="32">
        <v>3651</v>
      </c>
      <c r="B3664" s="90">
        <v>6.7038683000847703</v>
      </c>
    </row>
    <row r="3665" spans="1:2">
      <c r="A3665" s="32">
        <v>3652</v>
      </c>
      <c r="B3665" s="90">
        <v>8.4451918921274167</v>
      </c>
    </row>
    <row r="3666" spans="1:2">
      <c r="A3666" s="32">
        <v>3653</v>
      </c>
      <c r="B3666" s="90">
        <v>8.2448483687726632</v>
      </c>
    </row>
    <row r="3667" spans="1:2">
      <c r="A3667" s="32">
        <v>3654</v>
      </c>
      <c r="B3667" s="90">
        <v>6.9864616862640991</v>
      </c>
    </row>
    <row r="3668" spans="1:2">
      <c r="A3668" s="32">
        <v>3655</v>
      </c>
      <c r="B3668" s="90">
        <v>8.6756658458832625</v>
      </c>
    </row>
    <row r="3669" spans="1:2">
      <c r="A3669" s="32">
        <v>3656</v>
      </c>
      <c r="B3669" s="90">
        <v>8.709177234682171</v>
      </c>
    </row>
    <row r="3670" spans="1:2">
      <c r="A3670" s="32">
        <v>3657</v>
      </c>
      <c r="B3670" s="90">
        <v>8.0952206085860094</v>
      </c>
    </row>
    <row r="3671" spans="1:2">
      <c r="A3671" s="32">
        <v>3658</v>
      </c>
      <c r="B3671" s="90">
        <v>8.6257681389784615</v>
      </c>
    </row>
    <row r="3672" spans="1:2">
      <c r="A3672" s="32">
        <v>3659</v>
      </c>
      <c r="B3672" s="90">
        <v>6.1177322594779584</v>
      </c>
    </row>
    <row r="3673" spans="1:2">
      <c r="A3673" s="32">
        <v>3660</v>
      </c>
      <c r="B3673" s="90">
        <v>8.8446629261012681</v>
      </c>
    </row>
    <row r="3674" spans="1:2">
      <c r="A3674" s="32">
        <v>3661</v>
      </c>
      <c r="B3674" s="90">
        <v>7.4720690326949413</v>
      </c>
    </row>
    <row r="3675" spans="1:2">
      <c r="A3675" s="32">
        <v>3662</v>
      </c>
      <c r="B3675" s="90">
        <v>8.8702953417904702</v>
      </c>
    </row>
    <row r="3676" spans="1:2">
      <c r="A3676" s="32">
        <v>3663</v>
      </c>
      <c r="B3676" s="90">
        <v>8.3748057027028509</v>
      </c>
    </row>
    <row r="3677" spans="1:2">
      <c r="A3677" s="32">
        <v>3664</v>
      </c>
      <c r="B3677" s="90">
        <v>8.3536666400364812</v>
      </c>
    </row>
    <row r="3678" spans="1:2">
      <c r="A3678" s="32">
        <v>3665</v>
      </c>
      <c r="B3678" s="90">
        <v>7.6118161640435433</v>
      </c>
    </row>
    <row r="3679" spans="1:2">
      <c r="A3679" s="32">
        <v>3666</v>
      </c>
      <c r="B3679" s="90">
        <v>8.3146009680447612</v>
      </c>
    </row>
    <row r="3680" spans="1:2">
      <c r="A3680" s="32">
        <v>3667</v>
      </c>
      <c r="B3680" s="90">
        <v>6.9427029074237403</v>
      </c>
    </row>
    <row r="3681" spans="1:2">
      <c r="A3681" s="32">
        <v>3668</v>
      </c>
      <c r="B3681" s="90">
        <v>8.4341108493173671</v>
      </c>
    </row>
    <row r="3682" spans="1:2">
      <c r="A3682" s="32">
        <v>3669</v>
      </c>
      <c r="B3682" s="90">
        <v>8.3942413374080864</v>
      </c>
    </row>
    <row r="3683" spans="1:2">
      <c r="A3683" s="32">
        <v>3670</v>
      </c>
      <c r="B3683" s="90">
        <v>7.6448817905267052</v>
      </c>
    </row>
    <row r="3684" spans="1:2">
      <c r="A3684" s="32">
        <v>3671</v>
      </c>
      <c r="B3684" s="90">
        <v>7.224860654792856</v>
      </c>
    </row>
    <row r="3685" spans="1:2">
      <c r="A3685" s="32">
        <v>3672</v>
      </c>
      <c r="B3685" s="90">
        <v>8.8529188785804696</v>
      </c>
    </row>
    <row r="3686" spans="1:2">
      <c r="A3686" s="32">
        <v>3673</v>
      </c>
      <c r="B3686" s="90">
        <v>8.0037361013516595</v>
      </c>
    </row>
    <row r="3687" spans="1:2">
      <c r="A3687" s="32">
        <v>3674</v>
      </c>
      <c r="B3687" s="90">
        <v>7.765737155589238</v>
      </c>
    </row>
    <row r="3688" spans="1:2">
      <c r="A3688" s="32">
        <v>3675</v>
      </c>
      <c r="B3688" s="90">
        <v>6.8907776143492026</v>
      </c>
    </row>
    <row r="3689" spans="1:2">
      <c r="A3689" s="32">
        <v>3676</v>
      </c>
      <c r="B3689" s="90">
        <v>7.8535571328814173</v>
      </c>
    </row>
    <row r="3690" spans="1:2">
      <c r="A3690" s="32">
        <v>3677</v>
      </c>
      <c r="B3690" s="90">
        <v>8.9605572612017639</v>
      </c>
    </row>
    <row r="3691" spans="1:2">
      <c r="A3691" s="32">
        <v>3678</v>
      </c>
      <c r="B3691" s="90">
        <v>7.619801665199514</v>
      </c>
    </row>
    <row r="3692" spans="1:2">
      <c r="A3692" s="32">
        <v>3679</v>
      </c>
      <c r="B3692" s="90">
        <v>7.1527340192414011</v>
      </c>
    </row>
    <row r="3693" spans="1:2">
      <c r="A3693" s="32">
        <v>3680</v>
      </c>
      <c r="B3693" s="90">
        <v>8.3170708571060512</v>
      </c>
    </row>
    <row r="3694" spans="1:2">
      <c r="A3694" s="32">
        <v>3681</v>
      </c>
      <c r="B3694" s="90">
        <v>8.1216013799474194</v>
      </c>
    </row>
    <row r="3695" spans="1:2">
      <c r="A3695" s="32">
        <v>3682</v>
      </c>
      <c r="B3695" s="90">
        <v>8.0634467317640706</v>
      </c>
    </row>
    <row r="3696" spans="1:2">
      <c r="A3696" s="32">
        <v>3683</v>
      </c>
      <c r="B3696" s="90">
        <v>7.3535763045038856</v>
      </c>
    </row>
    <row r="3697" spans="1:2">
      <c r="A3697" s="32">
        <v>3684</v>
      </c>
      <c r="B3697" s="90">
        <v>7.3172083977782716</v>
      </c>
    </row>
    <row r="3698" spans="1:2">
      <c r="A3698" s="32">
        <v>3685</v>
      </c>
      <c r="B3698" s="90">
        <v>7.5523047787971587</v>
      </c>
    </row>
    <row r="3699" spans="1:2">
      <c r="A3699" s="32">
        <v>3686</v>
      </c>
      <c r="B3699" s="90">
        <v>8.7340273104255104</v>
      </c>
    </row>
    <row r="3700" spans="1:2">
      <c r="A3700" s="32">
        <v>3687</v>
      </c>
      <c r="B3700" s="90">
        <v>8.5419068343273672</v>
      </c>
    </row>
    <row r="3701" spans="1:2">
      <c r="A3701" s="32">
        <v>3688</v>
      </c>
      <c r="B3701" s="90">
        <v>8.5986887657220343</v>
      </c>
    </row>
    <row r="3702" spans="1:2">
      <c r="A3702" s="32">
        <v>3689</v>
      </c>
      <c r="B3702" s="90">
        <v>7.7112581565864886</v>
      </c>
    </row>
    <row r="3703" spans="1:2">
      <c r="A3703" s="32">
        <v>3690</v>
      </c>
      <c r="B3703" s="90">
        <v>7.1223792181845811</v>
      </c>
    </row>
    <row r="3704" spans="1:2">
      <c r="A3704" s="32">
        <v>3691</v>
      </c>
      <c r="B3704" s="90">
        <v>7.6315042529473498</v>
      </c>
    </row>
    <row r="3705" spans="1:2">
      <c r="A3705" s="32">
        <v>3692</v>
      </c>
      <c r="B3705" s="90">
        <v>8.3352823038624777</v>
      </c>
    </row>
    <row r="3706" spans="1:2">
      <c r="A3706" s="32">
        <v>3693</v>
      </c>
      <c r="B3706" s="90">
        <v>8.1083603198250067</v>
      </c>
    </row>
    <row r="3707" spans="1:2">
      <c r="A3707" s="32">
        <v>3694</v>
      </c>
      <c r="B3707" s="90">
        <v>7.8646449295803835</v>
      </c>
    </row>
    <row r="3708" spans="1:2">
      <c r="A3708" s="32">
        <v>3695</v>
      </c>
      <c r="B3708" s="90">
        <v>7.8002541892350221</v>
      </c>
    </row>
    <row r="3709" spans="1:2">
      <c r="A3709" s="32">
        <v>3696</v>
      </c>
      <c r="B3709" s="90">
        <v>8.7591228853681518</v>
      </c>
    </row>
    <row r="3710" spans="1:2">
      <c r="A3710" s="32">
        <v>3697</v>
      </c>
      <c r="B3710" s="90">
        <v>7.0338582798776645</v>
      </c>
    </row>
    <row r="3711" spans="1:2">
      <c r="A3711" s="32">
        <v>3698</v>
      </c>
      <c r="B3711" s="90">
        <v>7.1556759559905858</v>
      </c>
    </row>
    <row r="3712" spans="1:2">
      <c r="A3712" s="32">
        <v>3699</v>
      </c>
      <c r="B3712" s="90">
        <v>7.6142173152542174</v>
      </c>
    </row>
    <row r="3713" spans="1:2">
      <c r="A3713" s="32">
        <v>3700</v>
      </c>
      <c r="B3713" s="90">
        <v>8.6089862187457804</v>
      </c>
    </row>
    <row r="3714" spans="1:2">
      <c r="A3714" s="32">
        <v>3701</v>
      </c>
      <c r="B3714" s="90">
        <v>8.5977732467724781</v>
      </c>
    </row>
    <row r="3715" spans="1:2">
      <c r="A3715" s="32">
        <v>3702</v>
      </c>
      <c r="B3715" s="90">
        <v>9.8031647832482438</v>
      </c>
    </row>
    <row r="3716" spans="1:2">
      <c r="A3716" s="32">
        <v>3703</v>
      </c>
      <c r="B3716" s="90">
        <v>7.5350284951665456</v>
      </c>
    </row>
    <row r="3717" spans="1:2">
      <c r="A3717" s="32">
        <v>3704</v>
      </c>
      <c r="B3717" s="90">
        <v>8.1800148315484016</v>
      </c>
    </row>
    <row r="3718" spans="1:2">
      <c r="A3718" s="32">
        <v>3705</v>
      </c>
      <c r="B3718" s="90">
        <v>8.6199484638939552</v>
      </c>
    </row>
    <row r="3719" spans="1:2">
      <c r="A3719" s="32">
        <v>3706</v>
      </c>
      <c r="B3719" s="90">
        <v>7.7063405351669623</v>
      </c>
    </row>
    <row r="3720" spans="1:2">
      <c r="A3720" s="32">
        <v>3707</v>
      </c>
      <c r="B3720" s="90">
        <v>7.3782886867718389</v>
      </c>
    </row>
    <row r="3721" spans="1:2">
      <c r="A3721" s="32">
        <v>3708</v>
      </c>
      <c r="B3721" s="90">
        <v>6.5605442967167242</v>
      </c>
    </row>
    <row r="3722" spans="1:2">
      <c r="A3722" s="32">
        <v>3709</v>
      </c>
      <c r="B3722" s="90">
        <v>7.5104007590839137</v>
      </c>
    </row>
    <row r="3723" spans="1:2">
      <c r="A3723" s="32">
        <v>3710</v>
      </c>
      <c r="B3723" s="90">
        <v>9.1708783638651674</v>
      </c>
    </row>
    <row r="3724" spans="1:2">
      <c r="A3724" s="32">
        <v>3711</v>
      </c>
      <c r="B3724" s="90">
        <v>8.3289656330283606</v>
      </c>
    </row>
    <row r="3725" spans="1:2">
      <c r="A3725" s="32">
        <v>3712</v>
      </c>
      <c r="B3725" s="90">
        <v>8.5601562285677932</v>
      </c>
    </row>
    <row r="3726" spans="1:2">
      <c r="A3726" s="32">
        <v>3713</v>
      </c>
      <c r="B3726" s="90">
        <v>7.4920453697208993</v>
      </c>
    </row>
    <row r="3727" spans="1:2">
      <c r="A3727" s="32">
        <v>3714</v>
      </c>
      <c r="B3727" s="90">
        <v>8.9410274530973588</v>
      </c>
    </row>
    <row r="3728" spans="1:2">
      <c r="A3728" s="32">
        <v>3715</v>
      </c>
      <c r="B3728" s="90">
        <v>7.8283582075617568</v>
      </c>
    </row>
    <row r="3729" spans="1:2">
      <c r="A3729" s="32">
        <v>3716</v>
      </c>
      <c r="B3729" s="90">
        <v>9.2537754477113321</v>
      </c>
    </row>
    <row r="3730" spans="1:2">
      <c r="A3730" s="32">
        <v>3717</v>
      </c>
      <c r="B3730" s="90">
        <v>7.0708397215149361</v>
      </c>
    </row>
    <row r="3731" spans="1:2">
      <c r="A3731" s="32">
        <v>3718</v>
      </c>
      <c r="B3731" s="90">
        <v>8.2404760131394248</v>
      </c>
    </row>
    <row r="3732" spans="1:2">
      <c r="A3732" s="32">
        <v>3719</v>
      </c>
      <c r="B3732" s="90">
        <v>8.5711643478363566</v>
      </c>
    </row>
    <row r="3733" spans="1:2">
      <c r="A3733" s="32">
        <v>3720</v>
      </c>
      <c r="B3733" s="90">
        <v>8.3509975930966327</v>
      </c>
    </row>
    <row r="3734" spans="1:2">
      <c r="A3734" s="32">
        <v>3721</v>
      </c>
      <c r="B3734" s="90">
        <v>7.7813115926983496</v>
      </c>
    </row>
    <row r="3735" spans="1:2">
      <c r="A3735" s="32">
        <v>3722</v>
      </c>
      <c r="B3735" s="90">
        <v>7.6660518972792548</v>
      </c>
    </row>
    <row r="3736" spans="1:2">
      <c r="A3736" s="32">
        <v>3723</v>
      </c>
      <c r="B3736" s="90">
        <v>8.2036435454563019</v>
      </c>
    </row>
    <row r="3737" spans="1:2">
      <c r="A3737" s="32">
        <v>3724</v>
      </c>
      <c r="B3737" s="90">
        <v>9.4048731293061785</v>
      </c>
    </row>
    <row r="3738" spans="1:2">
      <c r="A3738" s="32">
        <v>3725</v>
      </c>
      <c r="B3738" s="90">
        <v>7.5728254120435681</v>
      </c>
    </row>
    <row r="3739" spans="1:2">
      <c r="A3739" s="32">
        <v>3726</v>
      </c>
      <c r="B3739" s="90">
        <v>7.8861151415457948</v>
      </c>
    </row>
    <row r="3740" spans="1:2">
      <c r="A3740" s="32">
        <v>3727</v>
      </c>
      <c r="B3740" s="90">
        <v>8.3972168884633458</v>
      </c>
    </row>
    <row r="3741" spans="1:2">
      <c r="A3741" s="32">
        <v>3728</v>
      </c>
      <c r="B3741" s="90">
        <v>7.8088351905456772</v>
      </c>
    </row>
    <row r="3742" spans="1:2">
      <c r="A3742" s="32">
        <v>3729</v>
      </c>
      <c r="B3742" s="90">
        <v>8.0258622251276073</v>
      </c>
    </row>
    <row r="3743" spans="1:2">
      <c r="A3743" s="32">
        <v>3730</v>
      </c>
      <c r="B3743" s="90">
        <v>8.9390037645936502</v>
      </c>
    </row>
    <row r="3744" spans="1:2">
      <c r="A3744" s="32">
        <v>3731</v>
      </c>
      <c r="B3744" s="90">
        <v>8.1157099412050524</v>
      </c>
    </row>
    <row r="3745" spans="1:2">
      <c r="A3745" s="32">
        <v>3732</v>
      </c>
      <c r="B3745" s="90">
        <v>10.305164205225314</v>
      </c>
    </row>
    <row r="3746" spans="1:2">
      <c r="A3746" s="32">
        <v>3733</v>
      </c>
      <c r="B3746" s="90">
        <v>7.3227255561800328</v>
      </c>
    </row>
    <row r="3747" spans="1:2">
      <c r="A3747" s="32">
        <v>3734</v>
      </c>
      <c r="B3747" s="90">
        <v>7.6744739752087332</v>
      </c>
    </row>
    <row r="3748" spans="1:2">
      <c r="A3748" s="32">
        <v>3735</v>
      </c>
      <c r="B3748" s="90">
        <v>8.4889484902178225</v>
      </c>
    </row>
    <row r="3749" spans="1:2">
      <c r="A3749" s="32">
        <v>3736</v>
      </c>
      <c r="B3749" s="90">
        <v>7.9902969944410112</v>
      </c>
    </row>
    <row r="3750" spans="1:2">
      <c r="A3750" s="32">
        <v>3737</v>
      </c>
      <c r="B3750" s="90">
        <v>7.9532721462047657</v>
      </c>
    </row>
    <row r="3751" spans="1:2">
      <c r="A3751" s="32">
        <v>3738</v>
      </c>
      <c r="B3751" s="90">
        <v>9.5795027503683414</v>
      </c>
    </row>
    <row r="3752" spans="1:2">
      <c r="A3752" s="32">
        <v>3739</v>
      </c>
      <c r="B3752" s="90">
        <v>9.0179934440175931</v>
      </c>
    </row>
    <row r="3753" spans="1:2">
      <c r="A3753" s="32">
        <v>3740</v>
      </c>
      <c r="B3753" s="90">
        <v>9.016439205625101</v>
      </c>
    </row>
    <row r="3754" spans="1:2">
      <c r="A3754" s="32">
        <v>3741</v>
      </c>
      <c r="B3754" s="90">
        <v>8.5004100708289556</v>
      </c>
    </row>
    <row r="3755" spans="1:2">
      <c r="A3755" s="32">
        <v>3742</v>
      </c>
      <c r="B3755" s="90">
        <v>7.330689748030232</v>
      </c>
    </row>
    <row r="3756" spans="1:2">
      <c r="A3756" s="32">
        <v>3743</v>
      </c>
      <c r="B3756" s="90">
        <v>7.9965626452885434</v>
      </c>
    </row>
    <row r="3757" spans="1:2">
      <c r="A3757" s="32">
        <v>3744</v>
      </c>
      <c r="B3757" s="90">
        <v>8.463777430766628</v>
      </c>
    </row>
    <row r="3758" spans="1:2">
      <c r="A3758" s="32">
        <v>3745</v>
      </c>
      <c r="B3758" s="90">
        <v>9.9265977762076858</v>
      </c>
    </row>
    <row r="3759" spans="1:2">
      <c r="A3759" s="32">
        <v>3746</v>
      </c>
      <c r="B3759" s="90">
        <v>7.6622967228132817</v>
      </c>
    </row>
    <row r="3760" spans="1:2">
      <c r="A3760" s="32">
        <v>3747</v>
      </c>
      <c r="B3760" s="90">
        <v>8.1255835681870412</v>
      </c>
    </row>
    <row r="3761" spans="1:2">
      <c r="A3761" s="32">
        <v>3748</v>
      </c>
      <c r="B3761" s="90">
        <v>8.1358885728319219</v>
      </c>
    </row>
    <row r="3762" spans="1:2">
      <c r="A3762" s="32">
        <v>3749</v>
      </c>
      <c r="B3762" s="90">
        <v>8.0008670994346183</v>
      </c>
    </row>
    <row r="3763" spans="1:2">
      <c r="A3763" s="32">
        <v>3750</v>
      </c>
      <c r="B3763" s="90">
        <v>8.3801789000132239</v>
      </c>
    </row>
    <row r="3764" spans="1:2">
      <c r="A3764" s="32">
        <v>3751</v>
      </c>
      <c r="B3764" s="90">
        <v>7.1404244803878889</v>
      </c>
    </row>
    <row r="3765" spans="1:2">
      <c r="A3765" s="32">
        <v>3752</v>
      </c>
      <c r="B3765" s="90">
        <v>9.2702157387519755</v>
      </c>
    </row>
    <row r="3766" spans="1:2">
      <c r="A3766" s="32">
        <v>3753</v>
      </c>
      <c r="B3766" s="90">
        <v>8.5085206918876715</v>
      </c>
    </row>
    <row r="3767" spans="1:2">
      <c r="A3767" s="32">
        <v>3754</v>
      </c>
      <c r="B3767" s="90">
        <v>8.4941591253029038</v>
      </c>
    </row>
    <row r="3768" spans="1:2">
      <c r="A3768" s="32">
        <v>3755</v>
      </c>
      <c r="B3768" s="90">
        <v>9.5485290651887507</v>
      </c>
    </row>
    <row r="3769" spans="1:2">
      <c r="A3769" s="32">
        <v>3756</v>
      </c>
      <c r="B3769" s="90">
        <v>8.1253635528775394</v>
      </c>
    </row>
    <row r="3770" spans="1:2">
      <c r="A3770" s="32">
        <v>3757</v>
      </c>
      <c r="B3770" s="90">
        <v>7.9224433664784986</v>
      </c>
    </row>
    <row r="3771" spans="1:2">
      <c r="A3771" s="32">
        <v>3758</v>
      </c>
      <c r="B3771" s="90">
        <v>8.3274477017836634</v>
      </c>
    </row>
    <row r="3772" spans="1:2">
      <c r="A3772" s="32">
        <v>3759</v>
      </c>
      <c r="B3772" s="90">
        <v>7.8773243257223857</v>
      </c>
    </row>
    <row r="3773" spans="1:2">
      <c r="A3773" s="32">
        <v>3760</v>
      </c>
      <c r="B3773" s="90">
        <v>7.060368373098302</v>
      </c>
    </row>
    <row r="3774" spans="1:2">
      <c r="A3774" s="32">
        <v>3761</v>
      </c>
      <c r="B3774" s="90">
        <v>7.4550384168144763</v>
      </c>
    </row>
    <row r="3775" spans="1:2">
      <c r="A3775" s="32">
        <v>3762</v>
      </c>
      <c r="B3775" s="90">
        <v>6.7342206408496548</v>
      </c>
    </row>
    <row r="3776" spans="1:2">
      <c r="A3776" s="32">
        <v>3763</v>
      </c>
      <c r="B3776" s="90">
        <v>8.6921799927469969</v>
      </c>
    </row>
    <row r="3777" spans="1:2">
      <c r="A3777" s="32">
        <v>3764</v>
      </c>
      <c r="B3777" s="90">
        <v>8.295450368043003</v>
      </c>
    </row>
    <row r="3778" spans="1:2">
      <c r="A3778" s="32">
        <v>3765</v>
      </c>
      <c r="B3778" s="90">
        <v>8.7745321885302889</v>
      </c>
    </row>
    <row r="3779" spans="1:2">
      <c r="A3779" s="32">
        <v>3766</v>
      </c>
      <c r="B3779" s="90">
        <v>8.393891005692165</v>
      </c>
    </row>
    <row r="3780" spans="1:2">
      <c r="A3780" s="32">
        <v>3767</v>
      </c>
      <c r="B3780" s="90">
        <v>7.3557524958886287</v>
      </c>
    </row>
    <row r="3781" spans="1:2">
      <c r="A3781" s="32">
        <v>3768</v>
      </c>
      <c r="B3781" s="90">
        <v>8.7975473239201634</v>
      </c>
    </row>
    <row r="3782" spans="1:2">
      <c r="A3782" s="32">
        <v>3769</v>
      </c>
      <c r="B3782" s="90">
        <v>9.2237419626613164</v>
      </c>
    </row>
    <row r="3783" spans="1:2">
      <c r="A3783" s="32">
        <v>3770</v>
      </c>
      <c r="B3783" s="90">
        <v>7.1115398364469291</v>
      </c>
    </row>
    <row r="3784" spans="1:2">
      <c r="A3784" s="32">
        <v>3771</v>
      </c>
      <c r="B3784" s="90">
        <v>8.5998066773589841</v>
      </c>
    </row>
    <row r="3785" spans="1:2">
      <c r="A3785" s="32">
        <v>3772</v>
      </c>
      <c r="B3785" s="90">
        <v>7.6200148340943024</v>
      </c>
    </row>
    <row r="3786" spans="1:2">
      <c r="A3786" s="32">
        <v>3773</v>
      </c>
      <c r="B3786" s="90">
        <v>7.3030621945324627</v>
      </c>
    </row>
    <row r="3787" spans="1:2">
      <c r="A3787" s="32">
        <v>3774</v>
      </c>
      <c r="B3787" s="90">
        <v>7.1615591528138829</v>
      </c>
    </row>
    <row r="3788" spans="1:2">
      <c r="A3788" s="32">
        <v>3775</v>
      </c>
      <c r="B3788" s="90">
        <v>7.7481148770026413</v>
      </c>
    </row>
    <row r="3789" spans="1:2">
      <c r="A3789" s="32">
        <v>3776</v>
      </c>
      <c r="B3789" s="90">
        <v>7.224345354162665</v>
      </c>
    </row>
    <row r="3790" spans="1:2">
      <c r="A3790" s="32">
        <v>3777</v>
      </c>
      <c r="B3790" s="90">
        <v>7.5660790213179379</v>
      </c>
    </row>
    <row r="3791" spans="1:2">
      <c r="A3791" s="32">
        <v>3778</v>
      </c>
      <c r="B3791" s="90">
        <v>8.1934160350614178</v>
      </c>
    </row>
    <row r="3792" spans="1:2">
      <c r="A3792" s="32">
        <v>3779</v>
      </c>
      <c r="B3792" s="90">
        <v>7.9815902452211658</v>
      </c>
    </row>
    <row r="3793" spans="1:2">
      <c r="A3793" s="32">
        <v>3780</v>
      </c>
      <c r="B3793" s="90">
        <v>8.0741573837776919</v>
      </c>
    </row>
    <row r="3794" spans="1:2">
      <c r="A3794" s="32">
        <v>3781</v>
      </c>
      <c r="B3794" s="90">
        <v>7.7370738033374167</v>
      </c>
    </row>
    <row r="3795" spans="1:2">
      <c r="A3795" s="32">
        <v>3782</v>
      </c>
      <c r="B3795" s="90">
        <v>7.6710988159955011</v>
      </c>
    </row>
    <row r="3796" spans="1:2">
      <c r="A3796" s="32">
        <v>3783</v>
      </c>
      <c r="B3796" s="90">
        <v>8.1452183906606361</v>
      </c>
    </row>
    <row r="3797" spans="1:2">
      <c r="A3797" s="32">
        <v>3784</v>
      </c>
      <c r="B3797" s="90">
        <v>7.9332400301345807</v>
      </c>
    </row>
    <row r="3798" spans="1:2">
      <c r="A3798" s="32">
        <v>3785</v>
      </c>
      <c r="B3798" s="90">
        <v>7.2126093578317239</v>
      </c>
    </row>
    <row r="3799" spans="1:2">
      <c r="A3799" s="32">
        <v>3786</v>
      </c>
      <c r="B3799" s="90">
        <v>7.717267883426099</v>
      </c>
    </row>
    <row r="3800" spans="1:2">
      <c r="A3800" s="32">
        <v>3787</v>
      </c>
      <c r="B3800" s="90">
        <v>8.139829589691578</v>
      </c>
    </row>
    <row r="3801" spans="1:2">
      <c r="A3801" s="32">
        <v>3788</v>
      </c>
      <c r="B3801" s="90">
        <v>8.0462848290365905</v>
      </c>
    </row>
    <row r="3802" spans="1:2">
      <c r="A3802" s="32">
        <v>3789</v>
      </c>
      <c r="B3802" s="90">
        <v>8.8870186615324389</v>
      </c>
    </row>
    <row r="3803" spans="1:2">
      <c r="A3803" s="32">
        <v>3790</v>
      </c>
      <c r="B3803" s="90">
        <v>9.2158314445614646</v>
      </c>
    </row>
    <row r="3804" spans="1:2">
      <c r="A3804" s="32">
        <v>3791</v>
      </c>
      <c r="B3804" s="90">
        <v>8.2258463051778321</v>
      </c>
    </row>
    <row r="3805" spans="1:2">
      <c r="A3805" s="32">
        <v>3792</v>
      </c>
      <c r="B3805" s="90">
        <v>9.0831605397139334</v>
      </c>
    </row>
    <row r="3806" spans="1:2">
      <c r="A3806" s="32">
        <v>3793</v>
      </c>
      <c r="B3806" s="90">
        <v>9.4708750328426188</v>
      </c>
    </row>
    <row r="3807" spans="1:2">
      <c r="A3807" s="32">
        <v>3794</v>
      </c>
      <c r="B3807" s="90">
        <v>8.2505329374872058</v>
      </c>
    </row>
    <row r="3808" spans="1:2">
      <c r="A3808" s="32">
        <v>3795</v>
      </c>
      <c r="B3808" s="90">
        <v>8.1035427555529136</v>
      </c>
    </row>
    <row r="3809" spans="1:2">
      <c r="A3809" s="32">
        <v>3796</v>
      </c>
      <c r="B3809" s="90">
        <v>8.9998258853068887</v>
      </c>
    </row>
    <row r="3810" spans="1:2">
      <c r="A3810" s="32">
        <v>3797</v>
      </c>
      <c r="B3810" s="90">
        <v>8.5176151260092734</v>
      </c>
    </row>
    <row r="3811" spans="1:2">
      <c r="A3811" s="32">
        <v>3798</v>
      </c>
      <c r="B3811" s="90">
        <v>9.039678242699912</v>
      </c>
    </row>
    <row r="3812" spans="1:2">
      <c r="A3812" s="32">
        <v>3799</v>
      </c>
      <c r="B3812" s="90">
        <v>7.965812727725476</v>
      </c>
    </row>
    <row r="3813" spans="1:2">
      <c r="A3813" s="32">
        <v>3800</v>
      </c>
      <c r="B3813" s="90">
        <v>8.2093207423248309</v>
      </c>
    </row>
    <row r="3814" spans="1:2">
      <c r="A3814" s="32">
        <v>3801</v>
      </c>
      <c r="B3814" s="90">
        <v>6.9536325904429415</v>
      </c>
    </row>
    <row r="3815" spans="1:2">
      <c r="A3815" s="32">
        <v>3802</v>
      </c>
      <c r="B3815" s="90">
        <v>9.0540508051907089</v>
      </c>
    </row>
    <row r="3816" spans="1:2">
      <c r="A3816" s="32">
        <v>3803</v>
      </c>
      <c r="B3816" s="90">
        <v>7.4328170870132046</v>
      </c>
    </row>
    <row r="3817" spans="1:2">
      <c r="A3817" s="32">
        <v>3804</v>
      </c>
      <c r="B3817" s="90">
        <v>7.5074709598221627</v>
      </c>
    </row>
    <row r="3818" spans="1:2">
      <c r="A3818" s="32">
        <v>3805</v>
      </c>
      <c r="B3818" s="90">
        <v>9.1042200590805393</v>
      </c>
    </row>
    <row r="3819" spans="1:2">
      <c r="A3819" s="32">
        <v>3806</v>
      </c>
      <c r="B3819" s="90">
        <v>7.5405238309240188</v>
      </c>
    </row>
    <row r="3820" spans="1:2">
      <c r="A3820" s="32">
        <v>3807</v>
      </c>
      <c r="B3820" s="90">
        <v>7.9358380597980656</v>
      </c>
    </row>
    <row r="3821" spans="1:2">
      <c r="A3821" s="32">
        <v>3808</v>
      </c>
      <c r="B3821" s="90">
        <v>7.9580039026553484</v>
      </c>
    </row>
    <row r="3822" spans="1:2">
      <c r="A3822" s="32">
        <v>3809</v>
      </c>
      <c r="B3822" s="90">
        <v>10.218568272107449</v>
      </c>
    </row>
    <row r="3823" spans="1:2">
      <c r="A3823" s="32">
        <v>3810</v>
      </c>
      <c r="B3823" s="90">
        <v>8.4393244695588496</v>
      </c>
    </row>
    <row r="3824" spans="1:2">
      <c r="A3824" s="32">
        <v>3811</v>
      </c>
      <c r="B3824" s="90">
        <v>8.463657158828843</v>
      </c>
    </row>
    <row r="3825" spans="1:2">
      <c r="A3825" s="32">
        <v>3812</v>
      </c>
      <c r="B3825" s="90">
        <v>7.4287996336992634</v>
      </c>
    </row>
    <row r="3826" spans="1:2">
      <c r="A3826" s="32">
        <v>3813</v>
      </c>
      <c r="B3826" s="90">
        <v>8.7164996001460029</v>
      </c>
    </row>
    <row r="3827" spans="1:2">
      <c r="A3827" s="32">
        <v>3814</v>
      </c>
      <c r="B3827" s="90">
        <v>7.7648177336261606</v>
      </c>
    </row>
    <row r="3828" spans="1:2">
      <c r="A3828" s="32">
        <v>3815</v>
      </c>
      <c r="B3828" s="90">
        <v>8.2320825246895346</v>
      </c>
    </row>
    <row r="3829" spans="1:2">
      <c r="A3829" s="32">
        <v>3816</v>
      </c>
      <c r="B3829" s="90">
        <v>8.4454449504546627</v>
      </c>
    </row>
    <row r="3830" spans="1:2">
      <c r="A3830" s="32">
        <v>3817</v>
      </c>
      <c r="B3830" s="90">
        <v>8.5227446355644574</v>
      </c>
    </row>
    <row r="3831" spans="1:2">
      <c r="A3831" s="32">
        <v>3818</v>
      </c>
      <c r="B3831" s="90">
        <v>7.8026234439835029</v>
      </c>
    </row>
    <row r="3832" spans="1:2">
      <c r="A3832" s="32">
        <v>3819</v>
      </c>
      <c r="B3832" s="90">
        <v>8.3545970574772124</v>
      </c>
    </row>
    <row r="3833" spans="1:2">
      <c r="A3833" s="32">
        <v>3820</v>
      </c>
      <c r="B3833" s="90">
        <v>8.9873153152445369</v>
      </c>
    </row>
    <row r="3834" spans="1:2">
      <c r="A3834" s="32">
        <v>3821</v>
      </c>
      <c r="B3834" s="90">
        <v>8.1945152219717379</v>
      </c>
    </row>
    <row r="3835" spans="1:2">
      <c r="A3835" s="32">
        <v>3822</v>
      </c>
      <c r="B3835" s="90">
        <v>8.3468511993674923</v>
      </c>
    </row>
    <row r="3836" spans="1:2">
      <c r="A3836" s="32">
        <v>3823</v>
      </c>
      <c r="B3836" s="90">
        <v>7.8640086698482969</v>
      </c>
    </row>
    <row r="3837" spans="1:2">
      <c r="A3837" s="32">
        <v>3824</v>
      </c>
      <c r="B3837" s="90">
        <v>7.4838914503887581</v>
      </c>
    </row>
    <row r="3838" spans="1:2">
      <c r="A3838" s="32">
        <v>3825</v>
      </c>
      <c r="B3838" s="90">
        <v>8.3874966608744952</v>
      </c>
    </row>
    <row r="3839" spans="1:2">
      <c r="A3839" s="32">
        <v>3826</v>
      </c>
      <c r="B3839" s="90">
        <v>7.6659515110285374</v>
      </c>
    </row>
    <row r="3840" spans="1:2">
      <c r="A3840" s="32">
        <v>3827</v>
      </c>
      <c r="B3840" s="90">
        <v>7.4080002725486551</v>
      </c>
    </row>
    <row r="3841" spans="1:2">
      <c r="A3841" s="32">
        <v>3828</v>
      </c>
      <c r="B3841" s="90">
        <v>8.7646352689115652</v>
      </c>
    </row>
    <row r="3842" spans="1:2">
      <c r="A3842" s="32">
        <v>3829</v>
      </c>
      <c r="B3842" s="90">
        <v>8.2407672997591916</v>
      </c>
    </row>
    <row r="3843" spans="1:2">
      <c r="A3843" s="32">
        <v>3830</v>
      </c>
      <c r="B3843" s="90">
        <v>8.3256490372779428</v>
      </c>
    </row>
    <row r="3844" spans="1:2">
      <c r="A3844" s="32">
        <v>3831</v>
      </c>
      <c r="B3844" s="90">
        <v>7.8024110305645049</v>
      </c>
    </row>
    <row r="3845" spans="1:2">
      <c r="A3845" s="32">
        <v>3832</v>
      </c>
      <c r="B3845" s="90">
        <v>8.9472604817408943</v>
      </c>
    </row>
    <row r="3846" spans="1:2">
      <c r="A3846" s="32">
        <v>3833</v>
      </c>
      <c r="B3846" s="90">
        <v>7.7518448664556461</v>
      </c>
    </row>
    <row r="3847" spans="1:2">
      <c r="A3847" s="32">
        <v>3834</v>
      </c>
      <c r="B3847" s="90">
        <v>8.3788893924980847</v>
      </c>
    </row>
    <row r="3848" spans="1:2">
      <c r="A3848" s="32">
        <v>3835</v>
      </c>
      <c r="B3848" s="90">
        <v>7.8530187143273489</v>
      </c>
    </row>
    <row r="3849" spans="1:2">
      <c r="A3849" s="32">
        <v>3836</v>
      </c>
      <c r="B3849" s="90">
        <v>8.131695884053773</v>
      </c>
    </row>
    <row r="3850" spans="1:2">
      <c r="A3850" s="32">
        <v>3837</v>
      </c>
      <c r="B3850" s="90">
        <v>6.7933198929379346</v>
      </c>
    </row>
    <row r="3851" spans="1:2">
      <c r="A3851" s="32">
        <v>3838</v>
      </c>
      <c r="B3851" s="90">
        <v>9.3658968025435918</v>
      </c>
    </row>
    <row r="3852" spans="1:2">
      <c r="A3852" s="32">
        <v>3839</v>
      </c>
      <c r="B3852" s="90">
        <v>7.8901248027017488</v>
      </c>
    </row>
    <row r="3853" spans="1:2">
      <c r="A3853" s="32">
        <v>3840</v>
      </c>
      <c r="B3853" s="90">
        <v>7.057054243026271</v>
      </c>
    </row>
    <row r="3854" spans="1:2">
      <c r="A3854" s="32">
        <v>3841</v>
      </c>
      <c r="B3854" s="90">
        <v>9.2533260334547851</v>
      </c>
    </row>
    <row r="3855" spans="1:2">
      <c r="A3855" s="32">
        <v>3842</v>
      </c>
      <c r="B3855" s="90">
        <v>7.772351098431951</v>
      </c>
    </row>
    <row r="3856" spans="1:2">
      <c r="A3856" s="32">
        <v>3843</v>
      </c>
      <c r="B3856" s="90">
        <v>7.6610274533451141</v>
      </c>
    </row>
    <row r="3857" spans="1:2">
      <c r="A3857" s="32">
        <v>3844</v>
      </c>
      <c r="B3857" s="90">
        <v>7.3317764227382449</v>
      </c>
    </row>
    <row r="3858" spans="1:2">
      <c r="A3858" s="32">
        <v>3845</v>
      </c>
      <c r="B3858" s="90">
        <v>7.294116072955477</v>
      </c>
    </row>
    <row r="3859" spans="1:2">
      <c r="A3859" s="32">
        <v>3846</v>
      </c>
      <c r="B3859" s="90">
        <v>7.4252624731259536</v>
      </c>
    </row>
    <row r="3860" spans="1:2">
      <c r="A3860" s="32">
        <v>3847</v>
      </c>
      <c r="B3860" s="90">
        <v>7.9259708578858694</v>
      </c>
    </row>
    <row r="3861" spans="1:2">
      <c r="A3861" s="32">
        <v>3848</v>
      </c>
      <c r="B3861" s="90">
        <v>7.7446984924571369</v>
      </c>
    </row>
    <row r="3862" spans="1:2">
      <c r="A3862" s="32">
        <v>3849</v>
      </c>
      <c r="B3862" s="90">
        <v>7.8845918347321469</v>
      </c>
    </row>
    <row r="3863" spans="1:2">
      <c r="A3863" s="32">
        <v>3850</v>
      </c>
      <c r="B3863" s="90">
        <v>7.9277458719794662</v>
      </c>
    </row>
    <row r="3864" spans="1:2">
      <c r="A3864" s="32">
        <v>3851</v>
      </c>
      <c r="B3864" s="90">
        <v>8.6508350523906401</v>
      </c>
    </row>
    <row r="3865" spans="1:2">
      <c r="A3865" s="32">
        <v>3852</v>
      </c>
      <c r="B3865" s="90">
        <v>9.3601899495706107</v>
      </c>
    </row>
    <row r="3866" spans="1:2">
      <c r="A3866" s="32">
        <v>3853</v>
      </c>
      <c r="B3866" s="90">
        <v>8.5954063653844166</v>
      </c>
    </row>
    <row r="3867" spans="1:2">
      <c r="A3867" s="32">
        <v>3854</v>
      </c>
      <c r="B3867" s="90">
        <v>7.6906919821926198</v>
      </c>
    </row>
    <row r="3868" spans="1:2">
      <c r="A3868" s="32">
        <v>3855</v>
      </c>
      <c r="B3868" s="90">
        <v>6.9677778066775566</v>
      </c>
    </row>
    <row r="3869" spans="1:2">
      <c r="A3869" s="32">
        <v>3856</v>
      </c>
      <c r="B3869" s="90">
        <v>8.3205084723200624</v>
      </c>
    </row>
    <row r="3870" spans="1:2">
      <c r="A3870" s="32">
        <v>3857</v>
      </c>
      <c r="B3870" s="90">
        <v>7.9532823138874074</v>
      </c>
    </row>
    <row r="3871" spans="1:2">
      <c r="A3871" s="32">
        <v>3858</v>
      </c>
      <c r="B3871" s="90">
        <v>8.336989802947814</v>
      </c>
    </row>
    <row r="3872" spans="1:2">
      <c r="A3872" s="32">
        <v>3859</v>
      </c>
      <c r="B3872" s="90">
        <v>9.1419741366414851</v>
      </c>
    </row>
    <row r="3873" spans="1:2">
      <c r="A3873" s="32">
        <v>3860</v>
      </c>
      <c r="B3873" s="90">
        <v>8.1064611848483974</v>
      </c>
    </row>
    <row r="3874" spans="1:2">
      <c r="A3874" s="32">
        <v>3861</v>
      </c>
      <c r="B3874" s="90">
        <v>8.5183597796293622</v>
      </c>
    </row>
    <row r="3875" spans="1:2">
      <c r="A3875" s="32">
        <v>3862</v>
      </c>
      <c r="B3875" s="90">
        <v>7.8121054431256942</v>
      </c>
    </row>
    <row r="3876" spans="1:2">
      <c r="A3876" s="32">
        <v>3863</v>
      </c>
      <c r="B3876" s="90">
        <v>7.8220824331984291</v>
      </c>
    </row>
    <row r="3877" spans="1:2">
      <c r="A3877" s="32">
        <v>3864</v>
      </c>
      <c r="B3877" s="90">
        <v>8.8969089433075794</v>
      </c>
    </row>
    <row r="3878" spans="1:2">
      <c r="A3878" s="32">
        <v>3865</v>
      </c>
      <c r="B3878" s="90">
        <v>8.3677228790753144</v>
      </c>
    </row>
    <row r="3879" spans="1:2">
      <c r="A3879" s="32">
        <v>3866</v>
      </c>
      <c r="B3879" s="90">
        <v>9.6044077142154389</v>
      </c>
    </row>
    <row r="3880" spans="1:2">
      <c r="A3880" s="32">
        <v>3867</v>
      </c>
      <c r="B3880" s="90">
        <v>8.0569960238428653</v>
      </c>
    </row>
    <row r="3881" spans="1:2">
      <c r="A3881" s="32">
        <v>3868</v>
      </c>
      <c r="B3881" s="90">
        <v>6.6403707440946818</v>
      </c>
    </row>
    <row r="3882" spans="1:2">
      <c r="A3882" s="32">
        <v>3869</v>
      </c>
      <c r="B3882" s="90">
        <v>9.2520419091965067</v>
      </c>
    </row>
    <row r="3883" spans="1:2">
      <c r="A3883" s="32">
        <v>3870</v>
      </c>
      <c r="B3883" s="90">
        <v>8.757117582789018</v>
      </c>
    </row>
    <row r="3884" spans="1:2">
      <c r="A3884" s="32">
        <v>3871</v>
      </c>
      <c r="B3884" s="90">
        <v>8.2004081582404318</v>
      </c>
    </row>
    <row r="3885" spans="1:2">
      <c r="A3885" s="32">
        <v>3872</v>
      </c>
      <c r="B3885" s="90">
        <v>8.7655348936494661</v>
      </c>
    </row>
    <row r="3886" spans="1:2">
      <c r="A3886" s="32">
        <v>3873</v>
      </c>
      <c r="B3886" s="90">
        <v>8.3824534002726274</v>
      </c>
    </row>
    <row r="3887" spans="1:2">
      <c r="A3887" s="32">
        <v>3874</v>
      </c>
      <c r="B3887" s="90">
        <v>7.784476446720852</v>
      </c>
    </row>
    <row r="3888" spans="1:2">
      <c r="A3888" s="32">
        <v>3875</v>
      </c>
      <c r="B3888" s="90">
        <v>7.3658011573347695</v>
      </c>
    </row>
    <row r="3889" spans="1:2">
      <c r="A3889" s="32">
        <v>3876</v>
      </c>
      <c r="B3889" s="90">
        <v>8.4212513076473012</v>
      </c>
    </row>
    <row r="3890" spans="1:2">
      <c r="A3890" s="32">
        <v>3877</v>
      </c>
      <c r="B3890" s="90">
        <v>7.6431817235722734</v>
      </c>
    </row>
    <row r="3891" spans="1:2">
      <c r="A3891" s="32">
        <v>3878</v>
      </c>
      <c r="B3891" s="90">
        <v>8.0908529286365685</v>
      </c>
    </row>
    <row r="3892" spans="1:2">
      <c r="A3892" s="32">
        <v>3879</v>
      </c>
      <c r="B3892" s="90">
        <v>9.0420838205427696</v>
      </c>
    </row>
    <row r="3893" spans="1:2">
      <c r="A3893" s="32">
        <v>3880</v>
      </c>
      <c r="B3893" s="90">
        <v>8.395944093300864</v>
      </c>
    </row>
    <row r="3894" spans="1:2">
      <c r="A3894" s="32">
        <v>3881</v>
      </c>
      <c r="B3894" s="90">
        <v>7.5367372737996954</v>
      </c>
    </row>
    <row r="3895" spans="1:2">
      <c r="A3895" s="32">
        <v>3882</v>
      </c>
      <c r="B3895" s="90">
        <v>8.3814475767751482</v>
      </c>
    </row>
    <row r="3896" spans="1:2">
      <c r="A3896" s="32">
        <v>3883</v>
      </c>
      <c r="B3896" s="90">
        <v>7.2880579502870892</v>
      </c>
    </row>
    <row r="3897" spans="1:2">
      <c r="A3897" s="32">
        <v>3884</v>
      </c>
      <c r="B3897" s="90">
        <v>9.2022684236882313</v>
      </c>
    </row>
    <row r="3898" spans="1:2">
      <c r="A3898" s="32">
        <v>3885</v>
      </c>
      <c r="B3898" s="90">
        <v>8.2642817937248747</v>
      </c>
    </row>
    <row r="3899" spans="1:2">
      <c r="A3899" s="32">
        <v>3886</v>
      </c>
      <c r="B3899" s="90">
        <v>7.2708922632633906</v>
      </c>
    </row>
    <row r="3900" spans="1:2">
      <c r="A3900" s="32">
        <v>3887</v>
      </c>
      <c r="B3900" s="90">
        <v>8.8871560473582125</v>
      </c>
    </row>
    <row r="3901" spans="1:2">
      <c r="A3901" s="32">
        <v>3888</v>
      </c>
      <c r="B3901" s="90">
        <v>8.4961419740566022</v>
      </c>
    </row>
    <row r="3902" spans="1:2">
      <c r="A3902" s="32">
        <v>3889</v>
      </c>
      <c r="B3902" s="90">
        <v>7.5574111351205149</v>
      </c>
    </row>
    <row r="3903" spans="1:2">
      <c r="A3903" s="32">
        <v>3890</v>
      </c>
      <c r="B3903" s="90">
        <v>8.2741361692275905</v>
      </c>
    </row>
    <row r="3904" spans="1:2">
      <c r="A3904" s="32">
        <v>3891</v>
      </c>
      <c r="B3904" s="90">
        <v>6.750183268072373</v>
      </c>
    </row>
    <row r="3905" spans="1:2">
      <c r="A3905" s="32">
        <v>3892</v>
      </c>
      <c r="B3905" s="90">
        <v>8.5322173845835891</v>
      </c>
    </row>
    <row r="3906" spans="1:2">
      <c r="A3906" s="32">
        <v>3893</v>
      </c>
      <c r="B3906" s="90">
        <v>8.0307352249595123</v>
      </c>
    </row>
    <row r="3907" spans="1:2">
      <c r="A3907" s="32">
        <v>3894</v>
      </c>
      <c r="B3907" s="90">
        <v>7.0679843917342433</v>
      </c>
    </row>
    <row r="3908" spans="1:2">
      <c r="A3908" s="32">
        <v>3895</v>
      </c>
      <c r="B3908" s="90">
        <v>7.999882361697213</v>
      </c>
    </row>
    <row r="3909" spans="1:2">
      <c r="A3909" s="32">
        <v>3896</v>
      </c>
      <c r="B3909" s="90">
        <v>8.0205729772946661</v>
      </c>
    </row>
    <row r="3910" spans="1:2">
      <c r="A3910" s="32">
        <v>3897</v>
      </c>
      <c r="B3910" s="90">
        <v>8.4698902620547774</v>
      </c>
    </row>
    <row r="3911" spans="1:2">
      <c r="A3911" s="32">
        <v>3898</v>
      </c>
      <c r="B3911" s="90">
        <v>8.5448566526722445</v>
      </c>
    </row>
    <row r="3912" spans="1:2">
      <c r="A3912" s="32">
        <v>3899</v>
      </c>
      <c r="B3912" s="90">
        <v>8.0640172630052636</v>
      </c>
    </row>
    <row r="3913" spans="1:2">
      <c r="A3913" s="32">
        <v>3900</v>
      </c>
      <c r="B3913" s="90">
        <v>8.1422543579107227</v>
      </c>
    </row>
    <row r="3914" spans="1:2">
      <c r="A3914" s="32">
        <v>3901</v>
      </c>
      <c r="B3914" s="90">
        <v>7.5596007711097908</v>
      </c>
    </row>
    <row r="3915" spans="1:2">
      <c r="A3915" s="32">
        <v>3902</v>
      </c>
      <c r="B3915" s="90">
        <v>8.0401183463429913</v>
      </c>
    </row>
    <row r="3916" spans="1:2">
      <c r="A3916" s="32">
        <v>3903</v>
      </c>
      <c r="B3916" s="90">
        <v>8.0446922945769792</v>
      </c>
    </row>
    <row r="3917" spans="1:2">
      <c r="A3917" s="32">
        <v>3904</v>
      </c>
      <c r="B3917" s="90">
        <v>8.2769133640426951</v>
      </c>
    </row>
    <row r="3918" spans="1:2">
      <c r="A3918" s="32">
        <v>3905</v>
      </c>
      <c r="B3918" s="90">
        <v>7.6914812339924747</v>
      </c>
    </row>
    <row r="3919" spans="1:2">
      <c r="A3919" s="32">
        <v>3906</v>
      </c>
      <c r="B3919" s="90">
        <v>7.6673732505380823</v>
      </c>
    </row>
    <row r="3920" spans="1:2">
      <c r="A3920" s="32">
        <v>3907</v>
      </c>
      <c r="B3920" s="90">
        <v>8.3666214827488776</v>
      </c>
    </row>
    <row r="3921" spans="1:2">
      <c r="A3921" s="32">
        <v>3908</v>
      </c>
      <c r="B3921" s="90">
        <v>8.5383271322111955</v>
      </c>
    </row>
    <row r="3922" spans="1:2">
      <c r="A3922" s="32">
        <v>3909</v>
      </c>
      <c r="B3922" s="90">
        <v>7.980646527110661</v>
      </c>
    </row>
    <row r="3923" spans="1:2">
      <c r="A3923" s="32">
        <v>3910</v>
      </c>
      <c r="B3923" s="90">
        <v>8.0351505816315676</v>
      </c>
    </row>
    <row r="3924" spans="1:2">
      <c r="A3924" s="32">
        <v>3911</v>
      </c>
      <c r="B3924" s="90">
        <v>7.5034297838161867</v>
      </c>
    </row>
    <row r="3925" spans="1:2">
      <c r="A3925" s="32">
        <v>3912</v>
      </c>
      <c r="B3925" s="90">
        <v>8.7427627410370459</v>
      </c>
    </row>
    <row r="3926" spans="1:2">
      <c r="A3926" s="32">
        <v>3913</v>
      </c>
      <c r="B3926" s="90">
        <v>8.4682134663774917</v>
      </c>
    </row>
    <row r="3927" spans="1:2">
      <c r="A3927" s="32">
        <v>3914</v>
      </c>
      <c r="B3927" s="90">
        <v>8.2673247048676739</v>
      </c>
    </row>
    <row r="3928" spans="1:2">
      <c r="A3928" s="32">
        <v>3915</v>
      </c>
      <c r="B3928" s="90">
        <v>7.6818528003032558</v>
      </c>
    </row>
    <row r="3929" spans="1:2">
      <c r="A3929" s="32">
        <v>3916</v>
      </c>
      <c r="B3929" s="90">
        <v>7.6611927452591972</v>
      </c>
    </row>
    <row r="3930" spans="1:2">
      <c r="A3930" s="32">
        <v>3917</v>
      </c>
      <c r="B3930" s="90">
        <v>8.9670848185863807</v>
      </c>
    </row>
    <row r="3931" spans="1:2">
      <c r="A3931" s="32">
        <v>3918</v>
      </c>
      <c r="B3931" s="90">
        <v>7.3726413896744711</v>
      </c>
    </row>
    <row r="3932" spans="1:2">
      <c r="A3932" s="32">
        <v>3919</v>
      </c>
      <c r="B3932" s="90">
        <v>9.3309550763374176</v>
      </c>
    </row>
    <row r="3933" spans="1:2">
      <c r="A3933" s="32">
        <v>3920</v>
      </c>
      <c r="B3933" s="90">
        <v>8.9909505258148634</v>
      </c>
    </row>
    <row r="3934" spans="1:2">
      <c r="A3934" s="32">
        <v>3921</v>
      </c>
      <c r="B3934" s="90">
        <v>7.3636613152318526</v>
      </c>
    </row>
    <row r="3935" spans="1:2">
      <c r="A3935" s="32">
        <v>3922</v>
      </c>
      <c r="B3935" s="90">
        <v>7.0715530032594511</v>
      </c>
    </row>
    <row r="3936" spans="1:2">
      <c r="A3936" s="32">
        <v>3923</v>
      </c>
      <c r="B3936" s="90">
        <v>8.6462026952720983</v>
      </c>
    </row>
    <row r="3937" spans="1:2">
      <c r="A3937" s="32">
        <v>3924</v>
      </c>
      <c r="B3937" s="90">
        <v>7.9118338039830043</v>
      </c>
    </row>
    <row r="3938" spans="1:2">
      <c r="A3938" s="32">
        <v>3925</v>
      </c>
      <c r="B3938" s="90">
        <v>8.9203821247379587</v>
      </c>
    </row>
    <row r="3939" spans="1:2">
      <c r="A3939" s="32">
        <v>3926</v>
      </c>
      <c r="B3939" s="90">
        <v>9.2716439753304893</v>
      </c>
    </row>
    <row r="3940" spans="1:2">
      <c r="A3940" s="32">
        <v>3927</v>
      </c>
      <c r="B3940" s="90">
        <v>7.7082125664492205</v>
      </c>
    </row>
    <row r="3941" spans="1:2">
      <c r="A3941" s="32">
        <v>3928</v>
      </c>
      <c r="B3941" s="90">
        <v>8.2712901268310883</v>
      </c>
    </row>
    <row r="3942" spans="1:2">
      <c r="A3942" s="32">
        <v>3929</v>
      </c>
      <c r="B3942" s="90">
        <v>9.1767803977729514</v>
      </c>
    </row>
    <row r="3943" spans="1:2">
      <c r="A3943" s="32">
        <v>3930</v>
      </c>
      <c r="B3943" s="90">
        <v>6.9180656852237323</v>
      </c>
    </row>
    <row r="3944" spans="1:2">
      <c r="A3944" s="32">
        <v>3931</v>
      </c>
      <c r="B3944" s="90">
        <v>8.3218327239852599</v>
      </c>
    </row>
    <row r="3945" spans="1:2">
      <c r="A3945" s="32">
        <v>3932</v>
      </c>
      <c r="B3945" s="90">
        <v>8.2728338071176406</v>
      </c>
    </row>
    <row r="3946" spans="1:2">
      <c r="A3946" s="32">
        <v>3933</v>
      </c>
      <c r="B3946" s="90">
        <v>6.9905131148434405</v>
      </c>
    </row>
    <row r="3947" spans="1:2">
      <c r="A3947" s="32">
        <v>3934</v>
      </c>
      <c r="B3947" s="90">
        <v>7.5124810427881075</v>
      </c>
    </row>
    <row r="3948" spans="1:2">
      <c r="A3948" s="32">
        <v>3935</v>
      </c>
      <c r="B3948" s="90">
        <v>7.2036679434211104</v>
      </c>
    </row>
    <row r="3949" spans="1:2">
      <c r="A3949" s="32">
        <v>3936</v>
      </c>
      <c r="B3949" s="90">
        <v>7.6258758874806594</v>
      </c>
    </row>
    <row r="3950" spans="1:2">
      <c r="A3950" s="32">
        <v>3937</v>
      </c>
      <c r="B3950" s="90">
        <v>7.5254326713784376</v>
      </c>
    </row>
    <row r="3951" spans="1:2">
      <c r="A3951" s="32">
        <v>3938</v>
      </c>
      <c r="B3951" s="90">
        <v>8.2275810135996856</v>
      </c>
    </row>
    <row r="3952" spans="1:2">
      <c r="A3952" s="32">
        <v>3939</v>
      </c>
      <c r="B3952" s="90">
        <v>8.2524078017947495</v>
      </c>
    </row>
    <row r="3953" spans="1:2">
      <c r="A3953" s="32">
        <v>3940</v>
      </c>
      <c r="B3953" s="90">
        <v>7.8134689258992909</v>
      </c>
    </row>
    <row r="3954" spans="1:2">
      <c r="A3954" s="32">
        <v>3941</v>
      </c>
      <c r="B3954" s="90">
        <v>7.6275353986558141</v>
      </c>
    </row>
    <row r="3955" spans="1:2">
      <c r="A3955" s="32">
        <v>3942</v>
      </c>
      <c r="B3955" s="90">
        <v>7.9628635841171143</v>
      </c>
    </row>
    <row r="3956" spans="1:2">
      <c r="A3956" s="32">
        <v>3943</v>
      </c>
      <c r="B3956" s="90">
        <v>7.438697491015696</v>
      </c>
    </row>
    <row r="3957" spans="1:2">
      <c r="A3957" s="32">
        <v>3944</v>
      </c>
      <c r="B3957" s="90">
        <v>7.2849428542353056</v>
      </c>
    </row>
    <row r="3958" spans="1:2">
      <c r="A3958" s="32">
        <v>3945</v>
      </c>
      <c r="B3958" s="90">
        <v>7.7450480062808849</v>
      </c>
    </row>
    <row r="3959" spans="1:2">
      <c r="A3959" s="32">
        <v>3946</v>
      </c>
      <c r="B3959" s="90">
        <v>8.7936814088357718</v>
      </c>
    </row>
    <row r="3960" spans="1:2">
      <c r="A3960" s="32">
        <v>3947</v>
      </c>
      <c r="B3960" s="90">
        <v>8.9054474169958802</v>
      </c>
    </row>
    <row r="3961" spans="1:2">
      <c r="A3961" s="32">
        <v>3948</v>
      </c>
      <c r="B3961" s="90">
        <v>7.5573636241954825</v>
      </c>
    </row>
    <row r="3962" spans="1:2">
      <c r="A3962" s="32">
        <v>3949</v>
      </c>
      <c r="B3962" s="90">
        <v>7.9932258737986999</v>
      </c>
    </row>
    <row r="3963" spans="1:2">
      <c r="A3963" s="32">
        <v>3950</v>
      </c>
      <c r="B3963" s="90">
        <v>8.597305660913614</v>
      </c>
    </row>
    <row r="3964" spans="1:2">
      <c r="A3964" s="32">
        <v>3951</v>
      </c>
      <c r="B3964" s="90">
        <v>6.7205868814135599</v>
      </c>
    </row>
    <row r="3965" spans="1:2">
      <c r="A3965" s="32">
        <v>3952</v>
      </c>
      <c r="B3965" s="90">
        <v>8.090393436678788</v>
      </c>
    </row>
    <row r="3966" spans="1:2">
      <c r="A3966" s="32">
        <v>3953</v>
      </c>
      <c r="B3966" s="90">
        <v>7.9654285147483419</v>
      </c>
    </row>
    <row r="3967" spans="1:2">
      <c r="A3967" s="32">
        <v>3954</v>
      </c>
      <c r="B3967" s="90">
        <v>8.4577361805937343</v>
      </c>
    </row>
    <row r="3968" spans="1:2">
      <c r="A3968" s="32">
        <v>3955</v>
      </c>
      <c r="B3968" s="90">
        <v>8.8766416811367641</v>
      </c>
    </row>
    <row r="3969" spans="1:2">
      <c r="A3969" s="32">
        <v>3956</v>
      </c>
      <c r="B3969" s="90">
        <v>8.8268551465056291</v>
      </c>
    </row>
    <row r="3970" spans="1:2">
      <c r="A3970" s="32">
        <v>3957</v>
      </c>
      <c r="B3970" s="90">
        <v>7.4713135316244923</v>
      </c>
    </row>
    <row r="3971" spans="1:2">
      <c r="A3971" s="32">
        <v>3958</v>
      </c>
      <c r="B3971" s="90">
        <v>7.3091302983098387</v>
      </c>
    </row>
    <row r="3972" spans="1:2">
      <c r="A3972" s="32">
        <v>3959</v>
      </c>
      <c r="B3972" s="90">
        <v>8.9675971786851658</v>
      </c>
    </row>
    <row r="3973" spans="1:2">
      <c r="A3973" s="32">
        <v>3960</v>
      </c>
      <c r="B3973" s="90">
        <v>8.666468997701525</v>
      </c>
    </row>
    <row r="3974" spans="1:2">
      <c r="A3974" s="32">
        <v>3961</v>
      </c>
      <c r="B3974" s="90">
        <v>8.2127892773228126</v>
      </c>
    </row>
    <row r="3975" spans="1:2">
      <c r="A3975" s="32">
        <v>3962</v>
      </c>
      <c r="B3975" s="90">
        <v>8.6288942768876282</v>
      </c>
    </row>
    <row r="3976" spans="1:2">
      <c r="A3976" s="32">
        <v>3963</v>
      </c>
      <c r="B3976" s="90">
        <v>7.6052064647074875</v>
      </c>
    </row>
    <row r="3977" spans="1:2">
      <c r="A3977" s="32">
        <v>3964</v>
      </c>
      <c r="B3977" s="90">
        <v>9.3899106667305769</v>
      </c>
    </row>
    <row r="3978" spans="1:2">
      <c r="A3978" s="32">
        <v>3965</v>
      </c>
      <c r="B3978" s="90">
        <v>9.6741288893480704</v>
      </c>
    </row>
    <row r="3979" spans="1:2">
      <c r="A3979" s="32">
        <v>3966</v>
      </c>
      <c r="B3979" s="90">
        <v>8.7999582103755838</v>
      </c>
    </row>
    <row r="3980" spans="1:2">
      <c r="A3980" s="32">
        <v>3967</v>
      </c>
      <c r="B3980" s="90">
        <v>7.1580569107713172</v>
      </c>
    </row>
    <row r="3981" spans="1:2">
      <c r="A3981" s="32">
        <v>3968</v>
      </c>
      <c r="B3981" s="90">
        <v>8.4369120768962347</v>
      </c>
    </row>
    <row r="3982" spans="1:2">
      <c r="A3982" s="32">
        <v>3969</v>
      </c>
      <c r="B3982" s="90">
        <v>7.4960089912189147</v>
      </c>
    </row>
    <row r="3983" spans="1:2">
      <c r="A3983" s="32">
        <v>3970</v>
      </c>
      <c r="B3983" s="90">
        <v>8.5377970484591721</v>
      </c>
    </row>
    <row r="3984" spans="1:2">
      <c r="A3984" s="32">
        <v>3971</v>
      </c>
      <c r="B3984" s="90">
        <v>8.5459427227297731</v>
      </c>
    </row>
    <row r="3985" spans="1:2">
      <c r="A3985" s="32">
        <v>3972</v>
      </c>
      <c r="B3985" s="90">
        <v>7.8660696219171111</v>
      </c>
    </row>
    <row r="3986" spans="1:2">
      <c r="A3986" s="32">
        <v>3973</v>
      </c>
      <c r="B3986" s="90">
        <v>8.8803253274272116</v>
      </c>
    </row>
    <row r="3987" spans="1:2">
      <c r="A3987" s="32">
        <v>3974</v>
      </c>
      <c r="B3987" s="90">
        <v>8.900690289866251</v>
      </c>
    </row>
    <row r="3988" spans="1:2">
      <c r="A3988" s="32">
        <v>3975</v>
      </c>
      <c r="B3988" s="90">
        <v>7.9757508893332423</v>
      </c>
    </row>
    <row r="3989" spans="1:2">
      <c r="A3989" s="32">
        <v>3976</v>
      </c>
      <c r="B3989" s="90">
        <v>7.5317658586758922</v>
      </c>
    </row>
    <row r="3990" spans="1:2">
      <c r="A3990" s="32">
        <v>3977</v>
      </c>
      <c r="B3990" s="90">
        <v>8.8722663790594147</v>
      </c>
    </row>
    <row r="3991" spans="1:2">
      <c r="A3991" s="32">
        <v>3978</v>
      </c>
      <c r="B3991" s="90">
        <v>8.0576250110866425</v>
      </c>
    </row>
    <row r="3992" spans="1:2">
      <c r="A3992" s="32">
        <v>3979</v>
      </c>
      <c r="B3992" s="90">
        <v>7.4803749908095076</v>
      </c>
    </row>
    <row r="3993" spans="1:2">
      <c r="A3993" s="32">
        <v>3980</v>
      </c>
      <c r="B3993" s="90">
        <v>7.9829143396396081</v>
      </c>
    </row>
    <row r="3994" spans="1:2">
      <c r="A3994" s="32">
        <v>3981</v>
      </c>
      <c r="B3994" s="90">
        <v>8.8744896331454743</v>
      </c>
    </row>
    <row r="3995" spans="1:2">
      <c r="A3995" s="32">
        <v>3982</v>
      </c>
      <c r="B3995" s="90">
        <v>8.5851428567448664</v>
      </c>
    </row>
    <row r="3996" spans="1:2">
      <c r="A3996" s="32">
        <v>3983</v>
      </c>
      <c r="B3996" s="90">
        <v>8.0317528659093931</v>
      </c>
    </row>
    <row r="3997" spans="1:2">
      <c r="A3997" s="32">
        <v>3984</v>
      </c>
      <c r="B3997" s="90">
        <v>7.7312560529492078</v>
      </c>
    </row>
    <row r="3998" spans="1:2">
      <c r="A3998" s="32">
        <v>3985</v>
      </c>
      <c r="B3998" s="90">
        <v>9.3101251184382168</v>
      </c>
    </row>
    <row r="3999" spans="1:2">
      <c r="A3999" s="32">
        <v>3986</v>
      </c>
      <c r="B3999" s="90">
        <v>8.2909277242118069</v>
      </c>
    </row>
    <row r="4000" spans="1:2">
      <c r="A4000" s="32">
        <v>3987</v>
      </c>
      <c r="B4000" s="90">
        <v>6.2253807800558159</v>
      </c>
    </row>
    <row r="4001" spans="1:2">
      <c r="A4001" s="32">
        <v>3988</v>
      </c>
      <c r="B4001" s="90">
        <v>7.8054995963142151</v>
      </c>
    </row>
    <row r="4002" spans="1:2">
      <c r="A4002" s="32">
        <v>3989</v>
      </c>
      <c r="B4002" s="90">
        <v>7.7357473616993406</v>
      </c>
    </row>
    <row r="4003" spans="1:2">
      <c r="A4003" s="32">
        <v>3990</v>
      </c>
      <c r="B4003" s="90">
        <v>7.2422931459479951</v>
      </c>
    </row>
    <row r="4004" spans="1:2">
      <c r="A4004" s="32">
        <v>3991</v>
      </c>
      <c r="B4004" s="90">
        <v>7.900602155381022</v>
      </c>
    </row>
    <row r="4005" spans="1:2">
      <c r="A4005" s="32">
        <v>3992</v>
      </c>
      <c r="B4005" s="90">
        <v>7.2291583070822689</v>
      </c>
    </row>
    <row r="4006" spans="1:2">
      <c r="A4006" s="32">
        <v>3993</v>
      </c>
      <c r="B4006" s="90">
        <v>7.4990307009289641</v>
      </c>
    </row>
    <row r="4007" spans="1:2">
      <c r="A4007" s="32">
        <v>3994</v>
      </c>
      <c r="B4007" s="90">
        <v>7.8590185667501498</v>
      </c>
    </row>
    <row r="4008" spans="1:2">
      <c r="A4008" s="32">
        <v>3995</v>
      </c>
      <c r="B4008" s="90">
        <v>9.5803021333061462</v>
      </c>
    </row>
    <row r="4009" spans="1:2">
      <c r="A4009" s="32">
        <v>3996</v>
      </c>
      <c r="B4009" s="90">
        <v>7.973461523977794</v>
      </c>
    </row>
    <row r="4010" spans="1:2">
      <c r="A4010" s="32">
        <v>3997</v>
      </c>
      <c r="B4010" s="90">
        <v>8.2529767583841256</v>
      </c>
    </row>
    <row r="4011" spans="1:2">
      <c r="A4011" s="32">
        <v>3998</v>
      </c>
      <c r="B4011" s="90">
        <v>7.9839779684968999</v>
      </c>
    </row>
    <row r="4012" spans="1:2">
      <c r="A4012" s="32">
        <v>3999</v>
      </c>
      <c r="B4012" s="90">
        <v>8.6836464513928355</v>
      </c>
    </row>
    <row r="4013" spans="1:2">
      <c r="A4013" s="32">
        <v>4000</v>
      </c>
      <c r="B4013" s="90">
        <v>8.9170321584365926</v>
      </c>
    </row>
    <row r="4014" spans="1:2">
      <c r="A4014" s="32">
        <v>4001</v>
      </c>
      <c r="B4014" s="90">
        <v>7.7517133702460805</v>
      </c>
    </row>
    <row r="4015" spans="1:2">
      <c r="A4015" s="32">
        <v>4002</v>
      </c>
      <c r="B4015" s="90">
        <v>7.4747397778792903</v>
      </c>
    </row>
    <row r="4016" spans="1:2">
      <c r="A4016" s="32">
        <v>4003</v>
      </c>
      <c r="B4016" s="90">
        <v>7.284663059561117</v>
      </c>
    </row>
    <row r="4017" spans="1:2">
      <c r="A4017" s="32">
        <v>4004</v>
      </c>
      <c r="B4017" s="90">
        <v>9.7849109975226174</v>
      </c>
    </row>
    <row r="4018" spans="1:2">
      <c r="A4018" s="32">
        <v>4005</v>
      </c>
      <c r="B4018" s="90">
        <v>7.9293127851253455</v>
      </c>
    </row>
    <row r="4019" spans="1:2">
      <c r="A4019" s="32">
        <v>4006</v>
      </c>
      <c r="B4019" s="90">
        <v>8.9071398226868173</v>
      </c>
    </row>
    <row r="4020" spans="1:2">
      <c r="A4020" s="32">
        <v>4007</v>
      </c>
      <c r="B4020" s="90">
        <v>7.6823933712369641</v>
      </c>
    </row>
    <row r="4021" spans="1:2">
      <c r="A4021" s="32">
        <v>4008</v>
      </c>
      <c r="B4021" s="90">
        <v>8.3407477932660701</v>
      </c>
    </row>
    <row r="4022" spans="1:2">
      <c r="A4022" s="32">
        <v>4009</v>
      </c>
      <c r="B4022" s="90">
        <v>7.6702315323277848</v>
      </c>
    </row>
    <row r="4023" spans="1:2">
      <c r="A4023" s="32">
        <v>4010</v>
      </c>
      <c r="B4023" s="90">
        <v>7.7407781872271642</v>
      </c>
    </row>
    <row r="4024" spans="1:2">
      <c r="A4024" s="32">
        <v>4011</v>
      </c>
      <c r="B4024" s="90">
        <v>7.4379593420405348</v>
      </c>
    </row>
    <row r="4025" spans="1:2">
      <c r="A4025" s="32">
        <v>4012</v>
      </c>
      <c r="B4025" s="90">
        <v>8.0791429766377512</v>
      </c>
    </row>
    <row r="4026" spans="1:2">
      <c r="A4026" s="32">
        <v>4013</v>
      </c>
      <c r="B4026" s="90">
        <v>7.4350768273230754</v>
      </c>
    </row>
    <row r="4027" spans="1:2">
      <c r="A4027" s="32">
        <v>4014</v>
      </c>
      <c r="B4027" s="90">
        <v>7.2459204044720877</v>
      </c>
    </row>
    <row r="4028" spans="1:2">
      <c r="A4028" s="32">
        <v>4015</v>
      </c>
      <c r="B4028" s="90">
        <v>8.8262396658385196</v>
      </c>
    </row>
    <row r="4029" spans="1:2">
      <c r="A4029" s="32">
        <v>4016</v>
      </c>
      <c r="B4029" s="90">
        <v>8.9606456453339067</v>
      </c>
    </row>
    <row r="4030" spans="1:2">
      <c r="A4030" s="32">
        <v>4017</v>
      </c>
      <c r="B4030" s="90">
        <v>7.7806169729844106</v>
      </c>
    </row>
    <row r="4031" spans="1:2">
      <c r="A4031" s="32">
        <v>4018</v>
      </c>
      <c r="B4031" s="90">
        <v>7.8455035643638462</v>
      </c>
    </row>
    <row r="4032" spans="1:2">
      <c r="A4032" s="32">
        <v>4019</v>
      </c>
      <c r="B4032" s="90">
        <v>6.8857055928822746</v>
      </c>
    </row>
    <row r="4033" spans="1:2">
      <c r="A4033" s="32">
        <v>4020</v>
      </c>
      <c r="B4033" s="90">
        <v>7.9326387175928605</v>
      </c>
    </row>
    <row r="4034" spans="1:2">
      <c r="A4034" s="32">
        <v>4021</v>
      </c>
      <c r="B4034" s="90">
        <v>8.470674192163564</v>
      </c>
    </row>
    <row r="4035" spans="1:2">
      <c r="A4035" s="32">
        <v>4022</v>
      </c>
      <c r="B4035" s="90">
        <v>8.148679956647408</v>
      </c>
    </row>
    <row r="4036" spans="1:2">
      <c r="A4036" s="32">
        <v>4023</v>
      </c>
      <c r="B4036" s="90">
        <v>8.78678066786253</v>
      </c>
    </row>
    <row r="4037" spans="1:2">
      <c r="A4037" s="32">
        <v>4024</v>
      </c>
      <c r="B4037" s="90">
        <v>8.0862157516473445</v>
      </c>
    </row>
    <row r="4038" spans="1:2">
      <c r="A4038" s="32">
        <v>4025</v>
      </c>
      <c r="B4038" s="90">
        <v>7.7410527832981399</v>
      </c>
    </row>
    <row r="4039" spans="1:2">
      <c r="A4039" s="32">
        <v>4026</v>
      </c>
      <c r="B4039" s="90">
        <v>9.1130510139659027</v>
      </c>
    </row>
    <row r="4040" spans="1:2">
      <c r="A4040" s="32">
        <v>4027</v>
      </c>
      <c r="B4040" s="90">
        <v>9.3932629455369341</v>
      </c>
    </row>
    <row r="4041" spans="1:2">
      <c r="A4041" s="32">
        <v>4028</v>
      </c>
      <c r="B4041" s="90">
        <v>8.6027584516764151</v>
      </c>
    </row>
    <row r="4042" spans="1:2">
      <c r="A4042" s="32">
        <v>4029</v>
      </c>
      <c r="B4042" s="90">
        <v>7.8440703946123138</v>
      </c>
    </row>
    <row r="4043" spans="1:2">
      <c r="A4043" s="32">
        <v>4030</v>
      </c>
      <c r="B4043" s="90">
        <v>8.8339701656942822</v>
      </c>
    </row>
    <row r="4044" spans="1:2">
      <c r="A4044" s="32">
        <v>4031</v>
      </c>
      <c r="B4044" s="90">
        <v>7.8674260892812562</v>
      </c>
    </row>
    <row r="4045" spans="1:2">
      <c r="A4045" s="32">
        <v>4032</v>
      </c>
      <c r="B4045" s="90">
        <v>8.7850764380530979</v>
      </c>
    </row>
    <row r="4046" spans="1:2">
      <c r="A4046" s="32">
        <v>4033</v>
      </c>
      <c r="B4046" s="90">
        <v>8.1711605499390334</v>
      </c>
    </row>
    <row r="4047" spans="1:2">
      <c r="A4047" s="32">
        <v>4034</v>
      </c>
      <c r="B4047" s="90">
        <v>8.044468560184443</v>
      </c>
    </row>
    <row r="4048" spans="1:2">
      <c r="A4048" s="32">
        <v>4035</v>
      </c>
      <c r="B4048" s="90">
        <v>9.3373979314909281</v>
      </c>
    </row>
    <row r="4049" spans="1:2">
      <c r="A4049" s="32">
        <v>4036</v>
      </c>
      <c r="B4049" s="90">
        <v>8.525953726965545</v>
      </c>
    </row>
    <row r="4050" spans="1:2">
      <c r="A4050" s="32">
        <v>4037</v>
      </c>
      <c r="B4050" s="90">
        <v>9.4281662886114397</v>
      </c>
    </row>
    <row r="4051" spans="1:2">
      <c r="A4051" s="32">
        <v>4038</v>
      </c>
      <c r="B4051" s="90">
        <v>7.2714025008302281</v>
      </c>
    </row>
    <row r="4052" spans="1:2">
      <c r="A4052" s="32">
        <v>4039</v>
      </c>
      <c r="B4052" s="90">
        <v>7.3770616828208526</v>
      </c>
    </row>
    <row r="4053" spans="1:2">
      <c r="A4053" s="32">
        <v>4040</v>
      </c>
      <c r="B4053" s="90">
        <v>8.4130005940509314</v>
      </c>
    </row>
    <row r="4054" spans="1:2">
      <c r="A4054" s="32">
        <v>4041</v>
      </c>
      <c r="B4054" s="90">
        <v>7.2576847442205956</v>
      </c>
    </row>
    <row r="4055" spans="1:2">
      <c r="A4055" s="32">
        <v>4042</v>
      </c>
      <c r="B4055" s="90">
        <v>8.2526297563930076</v>
      </c>
    </row>
    <row r="4056" spans="1:2">
      <c r="A4056" s="32">
        <v>4043</v>
      </c>
      <c r="B4056" s="90">
        <v>8.9006722384525272</v>
      </c>
    </row>
    <row r="4057" spans="1:2">
      <c r="A4057" s="32">
        <v>4044</v>
      </c>
      <c r="B4057" s="90">
        <v>8.7212571641830667</v>
      </c>
    </row>
    <row r="4058" spans="1:2">
      <c r="A4058" s="32">
        <v>4045</v>
      </c>
      <c r="B4058" s="90">
        <v>7.0243936905619675</v>
      </c>
    </row>
    <row r="4059" spans="1:2">
      <c r="A4059" s="32">
        <v>4046</v>
      </c>
      <c r="B4059" s="90">
        <v>8.793488053436203</v>
      </c>
    </row>
    <row r="4060" spans="1:2">
      <c r="A4060" s="32">
        <v>4047</v>
      </c>
      <c r="B4060" s="90">
        <v>8.1510493164688054</v>
      </c>
    </row>
    <row r="4061" spans="1:2">
      <c r="A4061" s="32">
        <v>4048</v>
      </c>
      <c r="B4061" s="90">
        <v>8.9647572608241415</v>
      </c>
    </row>
    <row r="4062" spans="1:2">
      <c r="A4062" s="32">
        <v>4049</v>
      </c>
      <c r="B4062" s="90">
        <v>7.0898479864387935</v>
      </c>
    </row>
    <row r="4063" spans="1:2">
      <c r="A4063" s="32">
        <v>4050</v>
      </c>
      <c r="B4063" s="90">
        <v>7.8553781323779832</v>
      </c>
    </row>
    <row r="4064" spans="1:2">
      <c r="A4064" s="32">
        <v>4051</v>
      </c>
      <c r="B4064" s="90">
        <v>8.1246697611628207</v>
      </c>
    </row>
    <row r="4065" spans="1:2">
      <c r="A4065" s="32">
        <v>4052</v>
      </c>
      <c r="B4065" s="90">
        <v>7.598300330150642</v>
      </c>
    </row>
    <row r="4066" spans="1:2">
      <c r="A4066" s="32">
        <v>4053</v>
      </c>
      <c r="B4066" s="90">
        <v>7.784375532910186</v>
      </c>
    </row>
    <row r="4067" spans="1:2">
      <c r="A4067" s="32">
        <v>4054</v>
      </c>
      <c r="B4067" s="90">
        <v>8.3720817103591667</v>
      </c>
    </row>
    <row r="4068" spans="1:2">
      <c r="A4068" s="32">
        <v>4055</v>
      </c>
      <c r="B4068" s="90">
        <v>8.8216415388436609</v>
      </c>
    </row>
    <row r="4069" spans="1:2">
      <c r="A4069" s="32">
        <v>4056</v>
      </c>
      <c r="B4069" s="90">
        <v>7.3927399206838649</v>
      </c>
    </row>
    <row r="4070" spans="1:2">
      <c r="A4070" s="32">
        <v>4057</v>
      </c>
      <c r="B4070" s="90">
        <v>8.4330227708471757</v>
      </c>
    </row>
    <row r="4071" spans="1:2">
      <c r="A4071" s="32">
        <v>4058</v>
      </c>
      <c r="B4071" s="90">
        <v>8.3228279245391654</v>
      </c>
    </row>
    <row r="4072" spans="1:2">
      <c r="A4072" s="32">
        <v>4059</v>
      </c>
      <c r="B4072" s="90">
        <v>9.1748715430740262</v>
      </c>
    </row>
    <row r="4073" spans="1:2">
      <c r="A4073" s="32">
        <v>4060</v>
      </c>
      <c r="B4073" s="90">
        <v>7.6181937945440659</v>
      </c>
    </row>
    <row r="4074" spans="1:2">
      <c r="A4074" s="32">
        <v>4061</v>
      </c>
      <c r="B4074" s="90">
        <v>7.9771840844688491</v>
      </c>
    </row>
    <row r="4075" spans="1:2">
      <c r="A4075" s="32">
        <v>4062</v>
      </c>
      <c r="B4075" s="90">
        <v>7.2708259455656368</v>
      </c>
    </row>
    <row r="4076" spans="1:2">
      <c r="A4076" s="32">
        <v>4063</v>
      </c>
      <c r="B4076" s="90">
        <v>7.5192375659679875</v>
      </c>
    </row>
    <row r="4077" spans="1:2">
      <c r="A4077" s="32">
        <v>4064</v>
      </c>
      <c r="B4077" s="90">
        <v>7.5466199631157975</v>
      </c>
    </row>
    <row r="4078" spans="1:2">
      <c r="A4078" s="32">
        <v>4065</v>
      </c>
      <c r="B4078" s="90">
        <v>7.9712610554373819</v>
      </c>
    </row>
    <row r="4079" spans="1:2">
      <c r="A4079" s="32">
        <v>4066</v>
      </c>
      <c r="B4079" s="90">
        <v>8.8933833583008983</v>
      </c>
    </row>
    <row r="4080" spans="1:2">
      <c r="A4080" s="32">
        <v>4067</v>
      </c>
      <c r="B4080" s="90">
        <v>7.3069361252449774</v>
      </c>
    </row>
    <row r="4081" spans="1:2">
      <c r="A4081" s="32">
        <v>4068</v>
      </c>
      <c r="B4081" s="90">
        <v>7.7036173574503346</v>
      </c>
    </row>
    <row r="4082" spans="1:2">
      <c r="A4082" s="32">
        <v>4069</v>
      </c>
      <c r="B4082" s="90">
        <v>8.7961854561707362</v>
      </c>
    </row>
    <row r="4083" spans="1:2">
      <c r="A4083" s="32">
        <v>4070</v>
      </c>
      <c r="B4083" s="90">
        <v>7.1969879199317974</v>
      </c>
    </row>
    <row r="4084" spans="1:2">
      <c r="A4084" s="32">
        <v>4071</v>
      </c>
      <c r="B4084" s="90">
        <v>6.7649049515808759</v>
      </c>
    </row>
    <row r="4085" spans="1:2">
      <c r="A4085" s="32">
        <v>4072</v>
      </c>
      <c r="B4085" s="90">
        <v>6.7787265529379326</v>
      </c>
    </row>
    <row r="4086" spans="1:2">
      <c r="A4086" s="32">
        <v>4073</v>
      </c>
      <c r="B4086" s="90">
        <v>8.6954726986778468</v>
      </c>
    </row>
    <row r="4087" spans="1:2">
      <c r="A4087" s="32">
        <v>4074</v>
      </c>
      <c r="B4087" s="90">
        <v>8.2693104172992928</v>
      </c>
    </row>
    <row r="4088" spans="1:2">
      <c r="A4088" s="32">
        <v>4075</v>
      </c>
      <c r="B4088" s="90">
        <v>7.8524387002151999</v>
      </c>
    </row>
    <row r="4089" spans="1:2">
      <c r="A4089" s="32">
        <v>4076</v>
      </c>
      <c r="B4089" s="90">
        <v>6.9602194338911669</v>
      </c>
    </row>
    <row r="4090" spans="1:2">
      <c r="A4090" s="32">
        <v>4077</v>
      </c>
      <c r="B4090" s="90">
        <v>8.1777183595065797</v>
      </c>
    </row>
    <row r="4091" spans="1:2">
      <c r="A4091" s="32">
        <v>4078</v>
      </c>
      <c r="B4091" s="90">
        <v>7.9973731670069101</v>
      </c>
    </row>
    <row r="4092" spans="1:2">
      <c r="A4092" s="32">
        <v>4079</v>
      </c>
      <c r="B4092" s="90">
        <v>9.4088586769127307</v>
      </c>
    </row>
    <row r="4093" spans="1:2">
      <c r="A4093" s="32">
        <v>4080</v>
      </c>
      <c r="B4093" s="90">
        <v>8.2235053018485793</v>
      </c>
    </row>
    <row r="4094" spans="1:2">
      <c r="A4094" s="32">
        <v>4081</v>
      </c>
      <c r="B4094" s="90">
        <v>6.7835479711945208</v>
      </c>
    </row>
    <row r="4095" spans="1:2">
      <c r="A4095" s="32">
        <v>4082</v>
      </c>
      <c r="B4095" s="90">
        <v>7.4406269665108606</v>
      </c>
    </row>
    <row r="4096" spans="1:2">
      <c r="A4096" s="32">
        <v>4083</v>
      </c>
      <c r="B4096" s="90">
        <v>6.9383244888882984</v>
      </c>
    </row>
    <row r="4097" spans="1:2">
      <c r="A4097" s="32">
        <v>4084</v>
      </c>
      <c r="B4097" s="90">
        <v>7.7206915557571989</v>
      </c>
    </row>
    <row r="4098" spans="1:2">
      <c r="A4098" s="32">
        <v>4085</v>
      </c>
      <c r="B4098" s="90">
        <v>6.8248538679221857</v>
      </c>
    </row>
    <row r="4099" spans="1:2">
      <c r="A4099" s="32">
        <v>4086</v>
      </c>
      <c r="B4099" s="90">
        <v>8.2639505781965141</v>
      </c>
    </row>
    <row r="4100" spans="1:2">
      <c r="A4100" s="32">
        <v>4087</v>
      </c>
      <c r="B4100" s="90">
        <v>7.9642722357237945</v>
      </c>
    </row>
    <row r="4101" spans="1:2">
      <c r="A4101" s="32">
        <v>4088</v>
      </c>
      <c r="B4101" s="90">
        <v>8.3800167547632451</v>
      </c>
    </row>
    <row r="4102" spans="1:2">
      <c r="A4102" s="32">
        <v>4089</v>
      </c>
      <c r="B4102" s="90">
        <v>7.9513576968462631</v>
      </c>
    </row>
    <row r="4103" spans="1:2">
      <c r="A4103" s="32">
        <v>4090</v>
      </c>
      <c r="B4103" s="90">
        <v>8.8192265367453224</v>
      </c>
    </row>
    <row r="4104" spans="1:2">
      <c r="A4104" s="32">
        <v>4091</v>
      </c>
      <c r="B4104" s="90">
        <v>8.3690931701885294</v>
      </c>
    </row>
    <row r="4105" spans="1:2">
      <c r="A4105" s="32">
        <v>4092</v>
      </c>
      <c r="B4105" s="90">
        <v>7.4734952817996776</v>
      </c>
    </row>
    <row r="4106" spans="1:2">
      <c r="A4106" s="32">
        <v>4093</v>
      </c>
      <c r="B4106" s="90">
        <v>8.3297847648704373</v>
      </c>
    </row>
    <row r="4107" spans="1:2">
      <c r="A4107" s="32">
        <v>4094</v>
      </c>
      <c r="B4107" s="90">
        <v>8.0226392481852287</v>
      </c>
    </row>
    <row r="4108" spans="1:2">
      <c r="A4108" s="32">
        <v>4095</v>
      </c>
      <c r="B4108" s="90">
        <v>6.7082828731582103</v>
      </c>
    </row>
    <row r="4109" spans="1:2">
      <c r="A4109" s="32">
        <v>4096</v>
      </c>
      <c r="B4109" s="90">
        <v>8.6595420892956501</v>
      </c>
    </row>
    <row r="4110" spans="1:2">
      <c r="A4110" s="32">
        <v>4097</v>
      </c>
      <c r="B4110" s="90">
        <v>8.1255342331207707</v>
      </c>
    </row>
    <row r="4111" spans="1:2">
      <c r="A4111" s="32">
        <v>4098</v>
      </c>
      <c r="B4111" s="90">
        <v>7.9066712914990616</v>
      </c>
    </row>
    <row r="4112" spans="1:2">
      <c r="A4112" s="32">
        <v>4099</v>
      </c>
      <c r="B4112" s="90">
        <v>7.767428129671309</v>
      </c>
    </row>
    <row r="4113" spans="1:2">
      <c r="A4113" s="32">
        <v>4100</v>
      </c>
      <c r="B4113" s="90">
        <v>8.56213073874288</v>
      </c>
    </row>
    <row r="4114" spans="1:2">
      <c r="A4114" s="32">
        <v>4101</v>
      </c>
      <c r="B4114" s="90">
        <v>8.0770346352570819</v>
      </c>
    </row>
    <row r="4115" spans="1:2">
      <c r="A4115" s="32">
        <v>4102</v>
      </c>
      <c r="B4115" s="90">
        <v>6.8723489919840643</v>
      </c>
    </row>
    <row r="4116" spans="1:2">
      <c r="A4116" s="32">
        <v>4103</v>
      </c>
      <c r="B4116" s="90">
        <v>7.4914133638764016</v>
      </c>
    </row>
    <row r="4117" spans="1:2">
      <c r="A4117" s="32">
        <v>4104</v>
      </c>
      <c r="B4117" s="90">
        <v>7.8265244919292547</v>
      </c>
    </row>
    <row r="4118" spans="1:2">
      <c r="A4118" s="32">
        <v>4105</v>
      </c>
      <c r="B4118" s="90">
        <v>9.5039166452313779</v>
      </c>
    </row>
    <row r="4119" spans="1:2">
      <c r="A4119" s="32">
        <v>4106</v>
      </c>
      <c r="B4119" s="90">
        <v>8.3595300352417308</v>
      </c>
    </row>
    <row r="4120" spans="1:2">
      <c r="A4120" s="32">
        <v>4107</v>
      </c>
      <c r="B4120" s="90">
        <v>9.1023189169276133</v>
      </c>
    </row>
    <row r="4121" spans="1:2">
      <c r="A4121" s="32">
        <v>4108</v>
      </c>
      <c r="B4121" s="90">
        <v>9.6470679615861545</v>
      </c>
    </row>
    <row r="4122" spans="1:2">
      <c r="A4122" s="32">
        <v>4109</v>
      </c>
      <c r="B4122" s="90">
        <v>8.4723263402071254</v>
      </c>
    </row>
    <row r="4123" spans="1:2">
      <c r="A4123" s="32">
        <v>4110</v>
      </c>
      <c r="B4123" s="90">
        <v>8.2102415399228281</v>
      </c>
    </row>
    <row r="4124" spans="1:2">
      <c r="A4124" s="32">
        <v>4111</v>
      </c>
      <c r="B4124" s="90">
        <v>8.1414563078627626</v>
      </c>
    </row>
    <row r="4125" spans="1:2">
      <c r="A4125" s="32">
        <v>4112</v>
      </c>
      <c r="B4125" s="90">
        <v>7.664539971691239</v>
      </c>
    </row>
    <row r="4126" spans="1:2">
      <c r="A4126" s="32">
        <v>4113</v>
      </c>
      <c r="B4126" s="90">
        <v>8.4699628259132584</v>
      </c>
    </row>
    <row r="4127" spans="1:2">
      <c r="A4127" s="32">
        <v>4114</v>
      </c>
      <c r="B4127" s="90">
        <v>8.1351686554368872</v>
      </c>
    </row>
    <row r="4128" spans="1:2">
      <c r="A4128" s="32">
        <v>4115</v>
      </c>
      <c r="B4128" s="90">
        <v>7.9245372381885915</v>
      </c>
    </row>
    <row r="4129" spans="1:2">
      <c r="A4129" s="32">
        <v>4116</v>
      </c>
      <c r="B4129" s="90">
        <v>7.7366137218255657</v>
      </c>
    </row>
    <row r="4130" spans="1:2">
      <c r="A4130" s="32">
        <v>4117</v>
      </c>
      <c r="B4130" s="90">
        <v>7.9214699485186104</v>
      </c>
    </row>
    <row r="4131" spans="1:2">
      <c r="A4131" s="32">
        <v>4118</v>
      </c>
      <c r="B4131" s="90">
        <v>7.9855522129659633</v>
      </c>
    </row>
    <row r="4132" spans="1:2">
      <c r="A4132" s="32">
        <v>4119</v>
      </c>
      <c r="B4132" s="90">
        <v>7.6423035736969762</v>
      </c>
    </row>
    <row r="4133" spans="1:2">
      <c r="A4133" s="32">
        <v>4120</v>
      </c>
      <c r="B4133" s="90">
        <v>8.5533689524138641</v>
      </c>
    </row>
    <row r="4134" spans="1:2">
      <c r="A4134" s="32">
        <v>4121</v>
      </c>
      <c r="B4134" s="90">
        <v>8.7095684599201419</v>
      </c>
    </row>
    <row r="4135" spans="1:2">
      <c r="A4135" s="32">
        <v>4122</v>
      </c>
      <c r="B4135" s="90">
        <v>6.9714383543782921</v>
      </c>
    </row>
    <row r="4136" spans="1:2">
      <c r="A4136" s="32">
        <v>4123</v>
      </c>
      <c r="B4136" s="90">
        <v>7.8613378959163978</v>
      </c>
    </row>
    <row r="4137" spans="1:2">
      <c r="A4137" s="32">
        <v>4124</v>
      </c>
      <c r="B4137" s="90">
        <v>9.6553992679021547</v>
      </c>
    </row>
    <row r="4138" spans="1:2">
      <c r="A4138" s="32">
        <v>4125</v>
      </c>
      <c r="B4138" s="90">
        <v>7.0000658787104566</v>
      </c>
    </row>
    <row r="4139" spans="1:2">
      <c r="A4139" s="32">
        <v>4126</v>
      </c>
      <c r="B4139" s="90">
        <v>8.3031589096507208</v>
      </c>
    </row>
    <row r="4140" spans="1:2">
      <c r="A4140" s="32">
        <v>4127</v>
      </c>
      <c r="B4140" s="90">
        <v>7.7182070593979031</v>
      </c>
    </row>
    <row r="4141" spans="1:2">
      <c r="A4141" s="32">
        <v>4128</v>
      </c>
      <c r="B4141" s="90">
        <v>8.1615741673216515</v>
      </c>
    </row>
    <row r="4142" spans="1:2">
      <c r="A4142" s="32">
        <v>4129</v>
      </c>
      <c r="B4142" s="90">
        <v>8.0086425361394689</v>
      </c>
    </row>
    <row r="4143" spans="1:2">
      <c r="A4143" s="32">
        <v>4130</v>
      </c>
      <c r="B4143" s="90">
        <v>7.8445635004112004</v>
      </c>
    </row>
    <row r="4144" spans="1:2">
      <c r="A4144" s="32">
        <v>4131</v>
      </c>
      <c r="B4144" s="90">
        <v>7.7479101361807743</v>
      </c>
    </row>
    <row r="4145" spans="1:2">
      <c r="A4145" s="32">
        <v>4132</v>
      </c>
      <c r="B4145" s="90">
        <v>8.1644339219329165</v>
      </c>
    </row>
    <row r="4146" spans="1:2">
      <c r="A4146" s="32">
        <v>4133</v>
      </c>
      <c r="B4146" s="90">
        <v>8.1924687676056376</v>
      </c>
    </row>
    <row r="4147" spans="1:2">
      <c r="A4147" s="32">
        <v>4134</v>
      </c>
      <c r="B4147" s="90">
        <v>8.6418504869545991</v>
      </c>
    </row>
    <row r="4148" spans="1:2">
      <c r="A4148" s="32">
        <v>4135</v>
      </c>
      <c r="B4148" s="90">
        <v>8.7915184413085452</v>
      </c>
    </row>
    <row r="4149" spans="1:2">
      <c r="A4149" s="32">
        <v>4136</v>
      </c>
      <c r="B4149" s="90">
        <v>7.1222179029732029</v>
      </c>
    </row>
    <row r="4150" spans="1:2">
      <c r="A4150" s="32">
        <v>4137</v>
      </c>
      <c r="B4150" s="90">
        <v>8.9430177057904316</v>
      </c>
    </row>
    <row r="4151" spans="1:2">
      <c r="A4151" s="32">
        <v>4138</v>
      </c>
      <c r="B4151" s="90">
        <v>8.2235648772529171</v>
      </c>
    </row>
    <row r="4152" spans="1:2">
      <c r="A4152" s="32">
        <v>4139</v>
      </c>
      <c r="B4152" s="90">
        <v>8.6564778759701539</v>
      </c>
    </row>
    <row r="4153" spans="1:2">
      <c r="A4153" s="32">
        <v>4140</v>
      </c>
      <c r="B4153" s="90">
        <v>7.9268359204650478</v>
      </c>
    </row>
    <row r="4154" spans="1:2">
      <c r="A4154" s="32">
        <v>4141</v>
      </c>
      <c r="B4154" s="90">
        <v>6.5890639887729421</v>
      </c>
    </row>
    <row r="4155" spans="1:2">
      <c r="A4155" s="32">
        <v>4142</v>
      </c>
      <c r="B4155" s="90">
        <v>7.3224025956022398</v>
      </c>
    </row>
    <row r="4156" spans="1:2">
      <c r="A4156" s="32">
        <v>4143</v>
      </c>
      <c r="B4156" s="90">
        <v>9.1909567364067524</v>
      </c>
    </row>
    <row r="4157" spans="1:2">
      <c r="A4157" s="32">
        <v>4144</v>
      </c>
      <c r="B4157" s="90">
        <v>6.5770814362214436</v>
      </c>
    </row>
    <row r="4158" spans="1:2">
      <c r="A4158" s="32">
        <v>4145</v>
      </c>
      <c r="B4158" s="90">
        <v>8.2913965190088739</v>
      </c>
    </row>
    <row r="4159" spans="1:2">
      <c r="A4159" s="32">
        <v>4146</v>
      </c>
      <c r="B4159" s="90">
        <v>8.3853729118397808</v>
      </c>
    </row>
    <row r="4160" spans="1:2">
      <c r="A4160" s="32">
        <v>4147</v>
      </c>
      <c r="B4160" s="90">
        <v>7.8656473591656386</v>
      </c>
    </row>
    <row r="4161" spans="1:2">
      <c r="A4161" s="32">
        <v>4148</v>
      </c>
      <c r="B4161" s="90">
        <v>8.2858957424292434</v>
      </c>
    </row>
    <row r="4162" spans="1:2">
      <c r="A4162" s="32">
        <v>4149</v>
      </c>
      <c r="B4162" s="90">
        <v>9.7725728742725018</v>
      </c>
    </row>
    <row r="4163" spans="1:2">
      <c r="A4163" s="32">
        <v>4150</v>
      </c>
      <c r="B4163" s="90">
        <v>8.3723777795410861</v>
      </c>
    </row>
    <row r="4164" spans="1:2">
      <c r="A4164" s="32">
        <v>4151</v>
      </c>
      <c r="B4164" s="90">
        <v>8.8155379867152632</v>
      </c>
    </row>
    <row r="4165" spans="1:2">
      <c r="A4165" s="32">
        <v>4152</v>
      </c>
      <c r="B4165" s="90">
        <v>7.3516400996936158</v>
      </c>
    </row>
    <row r="4166" spans="1:2">
      <c r="A4166" s="32">
        <v>4153</v>
      </c>
      <c r="B4166" s="90">
        <v>8.6039967123466354</v>
      </c>
    </row>
    <row r="4167" spans="1:2">
      <c r="A4167" s="32">
        <v>4154</v>
      </c>
      <c r="B4167" s="90">
        <v>7.7589141401683026</v>
      </c>
    </row>
    <row r="4168" spans="1:2">
      <c r="A4168" s="32">
        <v>4155</v>
      </c>
      <c r="B4168" s="90">
        <v>7.2433640293508992</v>
      </c>
    </row>
    <row r="4169" spans="1:2">
      <c r="A4169" s="32">
        <v>4156</v>
      </c>
      <c r="B4169" s="90">
        <v>7.2814872400889046</v>
      </c>
    </row>
    <row r="4170" spans="1:2">
      <c r="A4170" s="32">
        <v>4157</v>
      </c>
      <c r="B4170" s="90">
        <v>7.3851203760939361</v>
      </c>
    </row>
    <row r="4171" spans="1:2">
      <c r="A4171" s="32">
        <v>4158</v>
      </c>
      <c r="B4171" s="90">
        <v>8.144013530237407</v>
      </c>
    </row>
    <row r="4172" spans="1:2">
      <c r="A4172" s="32">
        <v>4159</v>
      </c>
      <c r="B4172" s="90">
        <v>8.2517847666299868</v>
      </c>
    </row>
    <row r="4173" spans="1:2">
      <c r="A4173" s="32">
        <v>4160</v>
      </c>
      <c r="B4173" s="90">
        <v>6.6332044608772858</v>
      </c>
    </row>
    <row r="4174" spans="1:2">
      <c r="A4174" s="32">
        <v>4161</v>
      </c>
      <c r="B4174" s="90">
        <v>7.5706652619123478</v>
      </c>
    </row>
    <row r="4175" spans="1:2">
      <c r="A4175" s="32">
        <v>4162</v>
      </c>
      <c r="B4175" s="90">
        <v>7.9995974126923572</v>
      </c>
    </row>
    <row r="4176" spans="1:2">
      <c r="A4176" s="32">
        <v>4163</v>
      </c>
      <c r="B4176" s="90">
        <v>8.2190342414743451</v>
      </c>
    </row>
    <row r="4177" spans="1:2">
      <c r="A4177" s="32">
        <v>4164</v>
      </c>
      <c r="B4177" s="90">
        <v>7.7733027607030554</v>
      </c>
    </row>
    <row r="4178" spans="1:2">
      <c r="A4178" s="32">
        <v>4165</v>
      </c>
      <c r="B4178" s="90">
        <v>9.7286446840197218</v>
      </c>
    </row>
    <row r="4179" spans="1:2">
      <c r="A4179" s="32">
        <v>4166</v>
      </c>
      <c r="B4179" s="90">
        <v>7.7286362219546989</v>
      </c>
    </row>
    <row r="4180" spans="1:2">
      <c r="A4180" s="32">
        <v>4167</v>
      </c>
      <c r="B4180" s="90">
        <v>8.1249511577401083</v>
      </c>
    </row>
    <row r="4181" spans="1:2">
      <c r="A4181" s="32">
        <v>4168</v>
      </c>
      <c r="B4181" s="90">
        <v>7.5515666970803377</v>
      </c>
    </row>
    <row r="4182" spans="1:2">
      <c r="A4182" s="32">
        <v>4169</v>
      </c>
      <c r="B4182" s="90">
        <v>7.5304829469077808</v>
      </c>
    </row>
    <row r="4183" spans="1:2">
      <c r="A4183" s="32">
        <v>4170</v>
      </c>
      <c r="B4183" s="90">
        <v>7.8972802732455376</v>
      </c>
    </row>
    <row r="4184" spans="1:2">
      <c r="A4184" s="32">
        <v>4171</v>
      </c>
      <c r="B4184" s="90">
        <v>9.1975203580032971</v>
      </c>
    </row>
    <row r="4185" spans="1:2">
      <c r="A4185" s="32">
        <v>4172</v>
      </c>
      <c r="B4185" s="90">
        <v>9.0439194939799297</v>
      </c>
    </row>
    <row r="4186" spans="1:2">
      <c r="A4186" s="32">
        <v>4173</v>
      </c>
      <c r="B4186" s="90">
        <v>7.4014160151397652</v>
      </c>
    </row>
    <row r="4187" spans="1:2">
      <c r="A4187" s="32">
        <v>4174</v>
      </c>
      <c r="B4187" s="90">
        <v>8.4910083732561379</v>
      </c>
    </row>
    <row r="4188" spans="1:2">
      <c r="A4188" s="32">
        <v>4175</v>
      </c>
      <c r="B4188" s="90">
        <v>7.4190622066351333</v>
      </c>
    </row>
    <row r="4189" spans="1:2">
      <c r="A4189" s="32">
        <v>4176</v>
      </c>
      <c r="B4189" s="90">
        <v>9.3022255830403662</v>
      </c>
    </row>
    <row r="4190" spans="1:2">
      <c r="A4190" s="32">
        <v>4177</v>
      </c>
      <c r="B4190" s="90">
        <v>9.693478816055185</v>
      </c>
    </row>
    <row r="4191" spans="1:2">
      <c r="A4191" s="32">
        <v>4178</v>
      </c>
      <c r="B4191" s="90">
        <v>8.3096024599996117</v>
      </c>
    </row>
    <row r="4192" spans="1:2">
      <c r="A4192" s="32">
        <v>4179</v>
      </c>
      <c r="B4192" s="90">
        <v>9.54612796723241</v>
      </c>
    </row>
    <row r="4193" spans="1:2">
      <c r="A4193" s="32">
        <v>4180</v>
      </c>
      <c r="B4193" s="90">
        <v>7.6812265988148383</v>
      </c>
    </row>
    <row r="4194" spans="1:2">
      <c r="A4194" s="32">
        <v>4181</v>
      </c>
      <c r="B4194" s="90">
        <v>7.3026479841440404</v>
      </c>
    </row>
    <row r="4195" spans="1:2">
      <c r="A4195" s="32">
        <v>4182</v>
      </c>
      <c r="B4195" s="90">
        <v>8.235977424996916</v>
      </c>
    </row>
    <row r="4196" spans="1:2">
      <c r="A4196" s="32">
        <v>4183</v>
      </c>
      <c r="B4196" s="90">
        <v>6.7487330734864202</v>
      </c>
    </row>
    <row r="4197" spans="1:2">
      <c r="A4197" s="32">
        <v>4184</v>
      </c>
      <c r="B4197" s="90">
        <v>8.7177811897018405</v>
      </c>
    </row>
    <row r="4198" spans="1:2">
      <c r="A4198" s="32">
        <v>4185</v>
      </c>
      <c r="B4198" s="90">
        <v>7.7594309600217723</v>
      </c>
    </row>
    <row r="4199" spans="1:2">
      <c r="A4199" s="32">
        <v>4186</v>
      </c>
      <c r="B4199" s="90">
        <v>6.6404110064765032</v>
      </c>
    </row>
    <row r="4200" spans="1:2">
      <c r="A4200" s="32">
        <v>4187</v>
      </c>
      <c r="B4200" s="90">
        <v>6.8440450065943557</v>
      </c>
    </row>
    <row r="4201" spans="1:2">
      <c r="A4201" s="32">
        <v>4188</v>
      </c>
      <c r="B4201" s="90">
        <v>7.5882450801783587</v>
      </c>
    </row>
    <row r="4202" spans="1:2">
      <c r="A4202" s="32">
        <v>4189</v>
      </c>
      <c r="B4202" s="90">
        <v>7.6598059758347032</v>
      </c>
    </row>
    <row r="4203" spans="1:2">
      <c r="A4203" s="32">
        <v>4190</v>
      </c>
      <c r="B4203" s="90">
        <v>7.4289388647297248</v>
      </c>
    </row>
    <row r="4204" spans="1:2">
      <c r="A4204" s="32">
        <v>4191</v>
      </c>
      <c r="B4204" s="90">
        <v>7.9371182244534406</v>
      </c>
    </row>
    <row r="4205" spans="1:2">
      <c r="A4205" s="32">
        <v>4192</v>
      </c>
      <c r="B4205" s="90">
        <v>7.3636277435680997</v>
      </c>
    </row>
    <row r="4206" spans="1:2">
      <c r="A4206" s="32">
        <v>4193</v>
      </c>
      <c r="B4206" s="90">
        <v>7.61238460332972</v>
      </c>
    </row>
    <row r="4207" spans="1:2">
      <c r="A4207" s="32">
        <v>4194</v>
      </c>
      <c r="B4207" s="90">
        <v>7.3405902927211022</v>
      </c>
    </row>
    <row r="4208" spans="1:2">
      <c r="A4208" s="32">
        <v>4195</v>
      </c>
      <c r="B4208" s="90">
        <v>7.282561942560978</v>
      </c>
    </row>
    <row r="4209" spans="1:2">
      <c r="A4209" s="32">
        <v>4196</v>
      </c>
      <c r="B4209" s="90">
        <v>7.6084349305407004</v>
      </c>
    </row>
    <row r="4210" spans="1:2">
      <c r="A4210" s="32">
        <v>4197</v>
      </c>
      <c r="B4210" s="90">
        <v>8.1752553863760298</v>
      </c>
    </row>
    <row r="4211" spans="1:2">
      <c r="A4211" s="32">
        <v>4198</v>
      </c>
      <c r="B4211" s="90">
        <v>6.9191570596938066</v>
      </c>
    </row>
    <row r="4212" spans="1:2">
      <c r="A4212" s="32">
        <v>4199</v>
      </c>
      <c r="B4212" s="90">
        <v>7.5724345565848559</v>
      </c>
    </row>
    <row r="4213" spans="1:2">
      <c r="A4213" s="32">
        <v>4200</v>
      </c>
      <c r="B4213" s="90">
        <v>9.1229533677059429</v>
      </c>
    </row>
    <row r="4214" spans="1:2">
      <c r="A4214" s="32">
        <v>4201</v>
      </c>
      <c r="B4214" s="90">
        <v>8.6608142933986443</v>
      </c>
    </row>
    <row r="4215" spans="1:2">
      <c r="A4215" s="32">
        <v>4202</v>
      </c>
      <c r="B4215" s="90">
        <v>7.8864940768190719</v>
      </c>
    </row>
    <row r="4216" spans="1:2">
      <c r="A4216" s="32">
        <v>4203</v>
      </c>
      <c r="B4216" s="90">
        <v>8.9170498715383992</v>
      </c>
    </row>
    <row r="4217" spans="1:2">
      <c r="A4217" s="32">
        <v>4204</v>
      </c>
      <c r="B4217" s="90">
        <v>7.0761028917553563</v>
      </c>
    </row>
    <row r="4218" spans="1:2">
      <c r="A4218" s="32">
        <v>4205</v>
      </c>
      <c r="B4218" s="90">
        <v>8.2414735913331363</v>
      </c>
    </row>
    <row r="4219" spans="1:2">
      <c r="A4219" s="32">
        <v>4206</v>
      </c>
      <c r="B4219" s="90">
        <v>7.8196681134870163</v>
      </c>
    </row>
    <row r="4220" spans="1:2">
      <c r="A4220" s="32">
        <v>4207</v>
      </c>
      <c r="B4220" s="90">
        <v>7.0369729113536188</v>
      </c>
    </row>
    <row r="4221" spans="1:2">
      <c r="A4221" s="32">
        <v>4208</v>
      </c>
      <c r="B4221" s="90">
        <v>9.9824622016931279</v>
      </c>
    </row>
    <row r="4222" spans="1:2">
      <c r="A4222" s="32">
        <v>4209</v>
      </c>
      <c r="B4222" s="90">
        <v>7.8722489822801576</v>
      </c>
    </row>
    <row r="4223" spans="1:2">
      <c r="A4223" s="32">
        <v>4210</v>
      </c>
      <c r="B4223" s="90">
        <v>8.5885283022487933</v>
      </c>
    </row>
    <row r="4224" spans="1:2">
      <c r="A4224" s="32">
        <v>4211</v>
      </c>
      <c r="B4224" s="90">
        <v>8.3859419834034945</v>
      </c>
    </row>
    <row r="4225" spans="1:2">
      <c r="A4225" s="32">
        <v>4212</v>
      </c>
      <c r="B4225" s="90">
        <v>8.0036113752061553</v>
      </c>
    </row>
    <row r="4226" spans="1:2">
      <c r="A4226" s="32">
        <v>4213</v>
      </c>
      <c r="B4226" s="90">
        <v>7.8364123801825354</v>
      </c>
    </row>
    <row r="4227" spans="1:2">
      <c r="A4227" s="32">
        <v>4214</v>
      </c>
      <c r="B4227" s="90">
        <v>7.655238266581442</v>
      </c>
    </row>
    <row r="4228" spans="1:2">
      <c r="A4228" s="32">
        <v>4215</v>
      </c>
      <c r="B4228" s="90">
        <v>7.6076043965312854</v>
      </c>
    </row>
    <row r="4229" spans="1:2">
      <c r="A4229" s="32">
        <v>4216</v>
      </c>
      <c r="B4229" s="90">
        <v>7.5084185269423855</v>
      </c>
    </row>
    <row r="4230" spans="1:2">
      <c r="A4230" s="32">
        <v>4217</v>
      </c>
      <c r="B4230" s="90">
        <v>7.8213421945798203</v>
      </c>
    </row>
    <row r="4231" spans="1:2">
      <c r="A4231" s="32">
        <v>4218</v>
      </c>
      <c r="B4231" s="90">
        <v>8.4257126555806625</v>
      </c>
    </row>
    <row r="4232" spans="1:2">
      <c r="A4232" s="32">
        <v>4219</v>
      </c>
      <c r="B4232" s="90">
        <v>8.1250872430303271</v>
      </c>
    </row>
    <row r="4233" spans="1:2">
      <c r="A4233" s="32">
        <v>4220</v>
      </c>
      <c r="B4233" s="90">
        <v>8.6966779766269884</v>
      </c>
    </row>
    <row r="4234" spans="1:2">
      <c r="A4234" s="32">
        <v>4221</v>
      </c>
      <c r="B4234" s="90">
        <v>7.8482977887512639</v>
      </c>
    </row>
    <row r="4235" spans="1:2">
      <c r="A4235" s="32">
        <v>4222</v>
      </c>
      <c r="B4235" s="90">
        <v>7.795602187418587</v>
      </c>
    </row>
    <row r="4236" spans="1:2">
      <c r="A4236" s="32">
        <v>4223</v>
      </c>
      <c r="B4236" s="90">
        <v>7.0071001844481025</v>
      </c>
    </row>
    <row r="4237" spans="1:2">
      <c r="A4237" s="32">
        <v>4224</v>
      </c>
      <c r="B4237" s="90">
        <v>7.4413758819166596</v>
      </c>
    </row>
    <row r="4238" spans="1:2">
      <c r="A4238" s="32">
        <v>4225</v>
      </c>
      <c r="B4238" s="90">
        <v>8.5931709568803214</v>
      </c>
    </row>
    <row r="4239" spans="1:2">
      <c r="A4239" s="32">
        <v>4226</v>
      </c>
      <c r="B4239" s="90">
        <v>8.3577272728196181</v>
      </c>
    </row>
    <row r="4240" spans="1:2">
      <c r="A4240" s="32">
        <v>4227</v>
      </c>
      <c r="B4240" s="90">
        <v>9.0337543248569503</v>
      </c>
    </row>
    <row r="4241" spans="1:2">
      <c r="A4241" s="32">
        <v>4228</v>
      </c>
      <c r="B4241" s="90">
        <v>7.9138499978560661</v>
      </c>
    </row>
    <row r="4242" spans="1:2">
      <c r="A4242" s="32">
        <v>4229</v>
      </c>
      <c r="B4242" s="90">
        <v>8.1873677476242399</v>
      </c>
    </row>
    <row r="4243" spans="1:2">
      <c r="A4243" s="32">
        <v>4230</v>
      </c>
      <c r="B4243" s="90">
        <v>8.640513084911273</v>
      </c>
    </row>
    <row r="4244" spans="1:2">
      <c r="A4244" s="32">
        <v>4231</v>
      </c>
      <c r="B4244" s="90">
        <v>7.2529763993450853</v>
      </c>
    </row>
    <row r="4245" spans="1:2">
      <c r="A4245" s="32">
        <v>4232</v>
      </c>
      <c r="B4245" s="90">
        <v>8.2717278424692022</v>
      </c>
    </row>
    <row r="4246" spans="1:2">
      <c r="A4246" s="32">
        <v>4233</v>
      </c>
      <c r="B4246" s="90">
        <v>8.945668318670835</v>
      </c>
    </row>
    <row r="4247" spans="1:2">
      <c r="A4247" s="32">
        <v>4234</v>
      </c>
      <c r="B4247" s="90">
        <v>7.7764138970005474</v>
      </c>
    </row>
    <row r="4248" spans="1:2">
      <c r="A4248" s="32">
        <v>4235</v>
      </c>
      <c r="B4248" s="90">
        <v>8.9267851752760983</v>
      </c>
    </row>
    <row r="4249" spans="1:2">
      <c r="A4249" s="32">
        <v>4236</v>
      </c>
      <c r="B4249" s="90">
        <v>8.2283283054439398</v>
      </c>
    </row>
    <row r="4250" spans="1:2">
      <c r="A4250" s="32">
        <v>4237</v>
      </c>
      <c r="B4250" s="90">
        <v>8.5591767177163725</v>
      </c>
    </row>
    <row r="4251" spans="1:2">
      <c r="A4251" s="32">
        <v>4238</v>
      </c>
      <c r="B4251" s="90">
        <v>9.5670957089494415</v>
      </c>
    </row>
    <row r="4252" spans="1:2">
      <c r="A4252" s="32">
        <v>4239</v>
      </c>
      <c r="B4252" s="90">
        <v>7.3477701614714022</v>
      </c>
    </row>
    <row r="4253" spans="1:2">
      <c r="A4253" s="32">
        <v>4240</v>
      </c>
      <c r="B4253" s="90">
        <v>9.3673977139728013</v>
      </c>
    </row>
    <row r="4254" spans="1:2">
      <c r="A4254" s="32">
        <v>4241</v>
      </c>
      <c r="B4254" s="90">
        <v>8.3027984766573493</v>
      </c>
    </row>
    <row r="4255" spans="1:2">
      <c r="A4255" s="32">
        <v>4242</v>
      </c>
      <c r="B4255" s="90">
        <v>8.0428154325632697</v>
      </c>
    </row>
    <row r="4256" spans="1:2">
      <c r="A4256" s="32">
        <v>4243</v>
      </c>
      <c r="B4256" s="90">
        <v>6.693880523281317</v>
      </c>
    </row>
    <row r="4257" spans="1:2">
      <c r="A4257" s="32">
        <v>4244</v>
      </c>
      <c r="B4257" s="90">
        <v>8.3023780179022264</v>
      </c>
    </row>
    <row r="4258" spans="1:2">
      <c r="A4258" s="32">
        <v>4245</v>
      </c>
      <c r="B4258" s="90">
        <v>7.8457126219302662</v>
      </c>
    </row>
    <row r="4259" spans="1:2">
      <c r="A4259" s="32">
        <v>4246</v>
      </c>
      <c r="B4259" s="90">
        <v>6.7365001601191166</v>
      </c>
    </row>
    <row r="4260" spans="1:2">
      <c r="A4260" s="32">
        <v>4247</v>
      </c>
      <c r="B4260" s="90">
        <v>8.9811812905899906</v>
      </c>
    </row>
    <row r="4261" spans="1:2">
      <c r="A4261" s="32">
        <v>4248</v>
      </c>
      <c r="B4261" s="90">
        <v>8.0090742928485472</v>
      </c>
    </row>
    <row r="4262" spans="1:2">
      <c r="A4262" s="32">
        <v>4249</v>
      </c>
      <c r="B4262" s="90">
        <v>7.8940878959290135</v>
      </c>
    </row>
    <row r="4263" spans="1:2">
      <c r="A4263" s="32">
        <v>4250</v>
      </c>
      <c r="B4263" s="90">
        <v>9.790289034428163</v>
      </c>
    </row>
    <row r="4264" spans="1:2">
      <c r="A4264" s="32">
        <v>4251</v>
      </c>
      <c r="B4264" s="90">
        <v>8.5063911686361013</v>
      </c>
    </row>
    <row r="4265" spans="1:2">
      <c r="A4265" s="32">
        <v>4252</v>
      </c>
      <c r="B4265" s="90">
        <v>8.1190516955298957</v>
      </c>
    </row>
    <row r="4266" spans="1:2">
      <c r="A4266" s="32">
        <v>4253</v>
      </c>
      <c r="B4266" s="90">
        <v>8.4190020552094413</v>
      </c>
    </row>
    <row r="4267" spans="1:2">
      <c r="A4267" s="32">
        <v>4254</v>
      </c>
      <c r="B4267" s="90">
        <v>7.0289674253339776</v>
      </c>
    </row>
    <row r="4268" spans="1:2">
      <c r="A4268" s="32">
        <v>4255</v>
      </c>
      <c r="B4268" s="90">
        <v>8.003586830999776</v>
      </c>
    </row>
    <row r="4269" spans="1:2">
      <c r="A4269" s="32">
        <v>4256</v>
      </c>
      <c r="B4269" s="90">
        <v>10.314993173805375</v>
      </c>
    </row>
    <row r="4270" spans="1:2">
      <c r="A4270" s="32">
        <v>4257</v>
      </c>
      <c r="B4270" s="90">
        <v>8.1598270784452396</v>
      </c>
    </row>
    <row r="4271" spans="1:2">
      <c r="A4271" s="32">
        <v>4258</v>
      </c>
      <c r="B4271" s="90">
        <v>8.2665607501729585</v>
      </c>
    </row>
    <row r="4272" spans="1:2">
      <c r="A4272" s="32">
        <v>4259</v>
      </c>
      <c r="B4272" s="90">
        <v>7.4642620539648741</v>
      </c>
    </row>
    <row r="4273" spans="1:2">
      <c r="A4273" s="32">
        <v>4260</v>
      </c>
      <c r="B4273" s="90">
        <v>7.5131211235484958</v>
      </c>
    </row>
    <row r="4274" spans="1:2">
      <c r="A4274" s="32">
        <v>4261</v>
      </c>
      <c r="B4274" s="90">
        <v>8.0793529563685684</v>
      </c>
    </row>
    <row r="4275" spans="1:2">
      <c r="A4275" s="32">
        <v>4262</v>
      </c>
      <c r="B4275" s="90">
        <v>7.9571511420574383</v>
      </c>
    </row>
    <row r="4276" spans="1:2">
      <c r="A4276" s="32">
        <v>4263</v>
      </c>
      <c r="B4276" s="90">
        <v>8.1328165818258764</v>
      </c>
    </row>
    <row r="4277" spans="1:2">
      <c r="A4277" s="32">
        <v>4264</v>
      </c>
      <c r="B4277" s="90">
        <v>7.5692956660703938</v>
      </c>
    </row>
    <row r="4278" spans="1:2">
      <c r="A4278" s="32">
        <v>4265</v>
      </c>
      <c r="B4278" s="90">
        <v>7.991287041711022</v>
      </c>
    </row>
    <row r="4279" spans="1:2">
      <c r="A4279" s="32">
        <v>4266</v>
      </c>
      <c r="B4279" s="90">
        <v>8.5714170484673229</v>
      </c>
    </row>
    <row r="4280" spans="1:2">
      <c r="A4280" s="32">
        <v>4267</v>
      </c>
      <c r="B4280" s="90">
        <v>8.4297010947209792</v>
      </c>
    </row>
    <row r="4281" spans="1:2">
      <c r="A4281" s="32">
        <v>4268</v>
      </c>
      <c r="B4281" s="90">
        <v>7.957992238208381</v>
      </c>
    </row>
    <row r="4282" spans="1:2">
      <c r="A4282" s="32">
        <v>4269</v>
      </c>
      <c r="B4282" s="90">
        <v>7.3009932826701789</v>
      </c>
    </row>
    <row r="4283" spans="1:2">
      <c r="A4283" s="32">
        <v>4270</v>
      </c>
      <c r="B4283" s="90">
        <v>7.8161540526423883</v>
      </c>
    </row>
    <row r="4284" spans="1:2">
      <c r="A4284" s="32">
        <v>4271</v>
      </c>
      <c r="B4284" s="90">
        <v>7.2114272037725495</v>
      </c>
    </row>
    <row r="4285" spans="1:2">
      <c r="A4285" s="32">
        <v>4272</v>
      </c>
      <c r="B4285" s="90">
        <v>7.1770916922590624</v>
      </c>
    </row>
    <row r="4286" spans="1:2">
      <c r="A4286" s="32">
        <v>4273</v>
      </c>
      <c r="B4286" s="90">
        <v>7.7210663527780037</v>
      </c>
    </row>
    <row r="4287" spans="1:2">
      <c r="A4287" s="32">
        <v>4274</v>
      </c>
      <c r="B4287" s="90">
        <v>8.0861989016387721</v>
      </c>
    </row>
    <row r="4288" spans="1:2">
      <c r="A4288" s="32">
        <v>4275</v>
      </c>
      <c r="B4288" s="90">
        <v>7.3938999260602456</v>
      </c>
    </row>
    <row r="4289" spans="1:2">
      <c r="A4289" s="32">
        <v>4276</v>
      </c>
      <c r="B4289" s="90">
        <v>7.6635130267094347</v>
      </c>
    </row>
    <row r="4290" spans="1:2">
      <c r="A4290" s="32">
        <v>4277</v>
      </c>
      <c r="B4290" s="90">
        <v>8.0967655307764677</v>
      </c>
    </row>
    <row r="4291" spans="1:2">
      <c r="A4291" s="32">
        <v>4278</v>
      </c>
      <c r="B4291" s="90">
        <v>8.4324979831076678</v>
      </c>
    </row>
    <row r="4292" spans="1:2">
      <c r="A4292" s="32">
        <v>4279</v>
      </c>
      <c r="B4292" s="90">
        <v>9.200879369079237</v>
      </c>
    </row>
    <row r="4293" spans="1:2">
      <c r="A4293" s="32">
        <v>4280</v>
      </c>
      <c r="B4293" s="90">
        <v>8.7021281483674056</v>
      </c>
    </row>
    <row r="4294" spans="1:2">
      <c r="A4294" s="32">
        <v>4281</v>
      </c>
      <c r="B4294" s="90">
        <v>8.2823297403188114</v>
      </c>
    </row>
    <row r="4295" spans="1:2">
      <c r="A4295" s="32">
        <v>4282</v>
      </c>
      <c r="B4295" s="90">
        <v>8.341160883883882</v>
      </c>
    </row>
    <row r="4296" spans="1:2">
      <c r="A4296" s="32">
        <v>4283</v>
      </c>
      <c r="B4296" s="90">
        <v>7.7303772564805699</v>
      </c>
    </row>
    <row r="4297" spans="1:2">
      <c r="A4297" s="32">
        <v>4284</v>
      </c>
      <c r="B4297" s="90">
        <v>7.0900481794602364</v>
      </c>
    </row>
    <row r="4298" spans="1:2">
      <c r="A4298" s="32">
        <v>4285</v>
      </c>
      <c r="B4298" s="90">
        <v>7.7947843513596382</v>
      </c>
    </row>
    <row r="4299" spans="1:2">
      <c r="A4299" s="32">
        <v>4286</v>
      </c>
      <c r="B4299" s="90">
        <v>8.3477834706770366</v>
      </c>
    </row>
    <row r="4300" spans="1:2">
      <c r="A4300" s="32">
        <v>4287</v>
      </c>
      <c r="B4300" s="90">
        <v>7.525358629198621</v>
      </c>
    </row>
    <row r="4301" spans="1:2">
      <c r="A4301" s="32">
        <v>4288</v>
      </c>
      <c r="B4301" s="90">
        <v>8.0617128369017834</v>
      </c>
    </row>
    <row r="4302" spans="1:2">
      <c r="A4302" s="32">
        <v>4289</v>
      </c>
      <c r="B4302" s="90">
        <v>8.3056076036778173</v>
      </c>
    </row>
    <row r="4303" spans="1:2">
      <c r="A4303" s="32">
        <v>4290</v>
      </c>
      <c r="B4303" s="90">
        <v>9.1194558648940749</v>
      </c>
    </row>
    <row r="4304" spans="1:2">
      <c r="A4304" s="32">
        <v>4291</v>
      </c>
      <c r="B4304" s="90">
        <v>7.5675363023062809</v>
      </c>
    </row>
    <row r="4305" spans="1:2">
      <c r="A4305" s="32">
        <v>4292</v>
      </c>
      <c r="B4305" s="90">
        <v>8.7994615732962345</v>
      </c>
    </row>
    <row r="4306" spans="1:2">
      <c r="A4306" s="32">
        <v>4293</v>
      </c>
      <c r="B4306" s="90">
        <v>7.7828857049109015</v>
      </c>
    </row>
    <row r="4307" spans="1:2">
      <c r="A4307" s="32">
        <v>4294</v>
      </c>
      <c r="B4307" s="90">
        <v>7.25267755404876</v>
      </c>
    </row>
    <row r="4308" spans="1:2">
      <c r="A4308" s="32">
        <v>4295</v>
      </c>
      <c r="B4308" s="90">
        <v>8.8147363646964312</v>
      </c>
    </row>
    <row r="4309" spans="1:2">
      <c r="A4309" s="32">
        <v>4296</v>
      </c>
      <c r="B4309" s="90">
        <v>7.2916257867709602</v>
      </c>
    </row>
    <row r="4310" spans="1:2">
      <c r="A4310" s="32">
        <v>4297</v>
      </c>
      <c r="B4310" s="90">
        <v>8.2066857089258036</v>
      </c>
    </row>
    <row r="4311" spans="1:2">
      <c r="A4311" s="32">
        <v>4298</v>
      </c>
      <c r="B4311" s="90">
        <v>7.3366614844247175</v>
      </c>
    </row>
    <row r="4312" spans="1:2">
      <c r="A4312" s="32">
        <v>4299</v>
      </c>
      <c r="B4312" s="90">
        <v>7.3476622638127802</v>
      </c>
    </row>
    <row r="4313" spans="1:2">
      <c r="A4313" s="32">
        <v>4300</v>
      </c>
      <c r="B4313" s="90">
        <v>7.6564212676472048</v>
      </c>
    </row>
    <row r="4314" spans="1:2">
      <c r="A4314" s="32">
        <v>4301</v>
      </c>
      <c r="B4314" s="90">
        <v>8.7054137985228603</v>
      </c>
    </row>
    <row r="4315" spans="1:2">
      <c r="A4315" s="32">
        <v>4302</v>
      </c>
      <c r="B4315" s="90">
        <v>8.2002243563978041</v>
      </c>
    </row>
    <row r="4316" spans="1:2">
      <c r="A4316" s="32">
        <v>4303</v>
      </c>
      <c r="B4316" s="90">
        <v>7.7683021831839962</v>
      </c>
    </row>
    <row r="4317" spans="1:2">
      <c r="A4317" s="32">
        <v>4304</v>
      </c>
      <c r="B4317" s="90">
        <v>8.6888811120373077</v>
      </c>
    </row>
    <row r="4318" spans="1:2">
      <c r="A4318" s="32">
        <v>4305</v>
      </c>
      <c r="B4318" s="90">
        <v>9.6053949996384613</v>
      </c>
    </row>
    <row r="4319" spans="1:2">
      <c r="A4319" s="32">
        <v>4306</v>
      </c>
      <c r="B4319" s="90">
        <v>8.7292631792500099</v>
      </c>
    </row>
    <row r="4320" spans="1:2">
      <c r="A4320" s="32">
        <v>4307</v>
      </c>
      <c r="B4320" s="90">
        <v>7.9254049076882804</v>
      </c>
    </row>
    <row r="4321" spans="1:2">
      <c r="A4321" s="32">
        <v>4308</v>
      </c>
      <c r="B4321" s="90">
        <v>8.4360467249893105</v>
      </c>
    </row>
    <row r="4322" spans="1:2">
      <c r="A4322" s="32">
        <v>4309</v>
      </c>
      <c r="B4322" s="90">
        <v>7.719448202409791</v>
      </c>
    </row>
    <row r="4323" spans="1:2">
      <c r="A4323" s="32">
        <v>4310</v>
      </c>
      <c r="B4323" s="90">
        <v>6.8950345169341221</v>
      </c>
    </row>
    <row r="4324" spans="1:2">
      <c r="A4324" s="32">
        <v>4311</v>
      </c>
      <c r="B4324" s="90">
        <v>7.9866584465596091</v>
      </c>
    </row>
    <row r="4325" spans="1:2">
      <c r="A4325" s="32">
        <v>4312</v>
      </c>
      <c r="B4325" s="90">
        <v>8.6657031470308556</v>
      </c>
    </row>
    <row r="4326" spans="1:2">
      <c r="A4326" s="32">
        <v>4313</v>
      </c>
      <c r="B4326" s="90">
        <v>9.3293961606535678</v>
      </c>
    </row>
    <row r="4327" spans="1:2">
      <c r="A4327" s="32">
        <v>4314</v>
      </c>
      <c r="B4327" s="90">
        <v>7.3361965351944338</v>
      </c>
    </row>
    <row r="4328" spans="1:2">
      <c r="A4328" s="32">
        <v>4315</v>
      </c>
      <c r="B4328" s="90">
        <v>8.2624775305148166</v>
      </c>
    </row>
    <row r="4329" spans="1:2">
      <c r="A4329" s="32">
        <v>4316</v>
      </c>
      <c r="B4329" s="90">
        <v>8.2712365064760931</v>
      </c>
    </row>
    <row r="4330" spans="1:2">
      <c r="A4330" s="32">
        <v>4317</v>
      </c>
      <c r="B4330" s="90">
        <v>7.8626764776644791</v>
      </c>
    </row>
    <row r="4331" spans="1:2">
      <c r="A4331" s="32">
        <v>4318</v>
      </c>
      <c r="B4331" s="90">
        <v>8.0863118786687416</v>
      </c>
    </row>
    <row r="4332" spans="1:2">
      <c r="A4332" s="32">
        <v>4319</v>
      </c>
      <c r="B4332" s="90">
        <v>7.9382019269423303</v>
      </c>
    </row>
    <row r="4333" spans="1:2">
      <c r="A4333" s="32">
        <v>4320</v>
      </c>
      <c r="B4333" s="90">
        <v>7.3819145317156059</v>
      </c>
    </row>
    <row r="4334" spans="1:2">
      <c r="A4334" s="32">
        <v>4321</v>
      </c>
      <c r="B4334" s="90">
        <v>8.2053041414157573</v>
      </c>
    </row>
    <row r="4335" spans="1:2">
      <c r="A4335" s="32">
        <v>4322</v>
      </c>
      <c r="B4335" s="90">
        <v>7.8416404030346154</v>
      </c>
    </row>
    <row r="4336" spans="1:2">
      <c r="A4336" s="32">
        <v>4323</v>
      </c>
      <c r="B4336" s="90">
        <v>8.4517998402878565</v>
      </c>
    </row>
    <row r="4337" spans="1:2">
      <c r="A4337" s="32">
        <v>4324</v>
      </c>
      <c r="B4337" s="90">
        <v>9.2583064378827551</v>
      </c>
    </row>
    <row r="4338" spans="1:2">
      <c r="A4338" s="32">
        <v>4325</v>
      </c>
      <c r="B4338" s="90">
        <v>7.3266664703991848</v>
      </c>
    </row>
    <row r="4339" spans="1:2">
      <c r="A4339" s="32">
        <v>4326</v>
      </c>
      <c r="B4339" s="90">
        <v>7.7906473664044986</v>
      </c>
    </row>
    <row r="4340" spans="1:2">
      <c r="A4340" s="32">
        <v>4327</v>
      </c>
      <c r="B4340" s="90">
        <v>9.3014608992323993</v>
      </c>
    </row>
    <row r="4341" spans="1:2">
      <c r="A4341" s="32">
        <v>4328</v>
      </c>
      <c r="B4341" s="90">
        <v>8.5202930932978322</v>
      </c>
    </row>
    <row r="4342" spans="1:2">
      <c r="A4342" s="32">
        <v>4329</v>
      </c>
      <c r="B4342" s="90">
        <v>8.3948379318596515</v>
      </c>
    </row>
    <row r="4343" spans="1:2">
      <c r="A4343" s="32">
        <v>4330</v>
      </c>
      <c r="B4343" s="90">
        <v>7.3325692890869956</v>
      </c>
    </row>
    <row r="4344" spans="1:2">
      <c r="A4344" s="32">
        <v>4331</v>
      </c>
      <c r="B4344" s="90">
        <v>8.3508323808927525</v>
      </c>
    </row>
    <row r="4345" spans="1:2">
      <c r="A4345" s="32">
        <v>4332</v>
      </c>
      <c r="B4345" s="90">
        <v>8.428961014321624</v>
      </c>
    </row>
    <row r="4346" spans="1:2">
      <c r="A4346" s="32">
        <v>4333</v>
      </c>
      <c r="B4346" s="90">
        <v>8.1781746156730009</v>
      </c>
    </row>
    <row r="4347" spans="1:2">
      <c r="A4347" s="32">
        <v>4334</v>
      </c>
      <c r="B4347" s="90">
        <v>8.0223907015069589</v>
      </c>
    </row>
    <row r="4348" spans="1:2">
      <c r="A4348" s="32">
        <v>4335</v>
      </c>
      <c r="B4348" s="90">
        <v>8.2087902670361856</v>
      </c>
    </row>
    <row r="4349" spans="1:2">
      <c r="A4349" s="32">
        <v>4336</v>
      </c>
      <c r="B4349" s="90">
        <v>8.3092168997704565</v>
      </c>
    </row>
    <row r="4350" spans="1:2">
      <c r="A4350" s="32">
        <v>4337</v>
      </c>
      <c r="B4350" s="90">
        <v>7.618029464915467</v>
      </c>
    </row>
    <row r="4351" spans="1:2">
      <c r="A4351" s="32">
        <v>4338</v>
      </c>
      <c r="B4351" s="90">
        <v>8.4473334920527847</v>
      </c>
    </row>
    <row r="4352" spans="1:2">
      <c r="A4352" s="32">
        <v>4339</v>
      </c>
      <c r="B4352" s="90">
        <v>8.9410854008682552</v>
      </c>
    </row>
    <row r="4353" spans="1:2">
      <c r="A4353" s="32">
        <v>4340</v>
      </c>
      <c r="B4353" s="90">
        <v>7.0599752212857938</v>
      </c>
    </row>
    <row r="4354" spans="1:2">
      <c r="A4354" s="32">
        <v>4341</v>
      </c>
      <c r="B4354" s="90">
        <v>6.8854951736193897</v>
      </c>
    </row>
    <row r="4355" spans="1:2">
      <c r="A4355" s="32">
        <v>4342</v>
      </c>
      <c r="B4355" s="90">
        <v>7.6141100947215854</v>
      </c>
    </row>
    <row r="4356" spans="1:2">
      <c r="A4356" s="32">
        <v>4343</v>
      </c>
      <c r="B4356" s="90">
        <v>8.2444276745037541</v>
      </c>
    </row>
    <row r="4357" spans="1:2">
      <c r="A4357" s="32">
        <v>4344</v>
      </c>
      <c r="B4357" s="90">
        <v>8.2529719356757827</v>
      </c>
    </row>
    <row r="4358" spans="1:2">
      <c r="A4358" s="32">
        <v>4345</v>
      </c>
      <c r="B4358" s="90">
        <v>8.1954450749235921</v>
      </c>
    </row>
    <row r="4359" spans="1:2">
      <c r="A4359" s="32">
        <v>4346</v>
      </c>
      <c r="B4359" s="90">
        <v>8.7582032687819265</v>
      </c>
    </row>
    <row r="4360" spans="1:2">
      <c r="A4360" s="32">
        <v>4347</v>
      </c>
      <c r="B4360" s="90">
        <v>8.0609242724134713</v>
      </c>
    </row>
    <row r="4361" spans="1:2">
      <c r="A4361" s="32">
        <v>4348</v>
      </c>
      <c r="B4361" s="90">
        <v>7.9429946243971417</v>
      </c>
    </row>
    <row r="4362" spans="1:2">
      <c r="A4362" s="32">
        <v>4349</v>
      </c>
      <c r="B4362" s="90">
        <v>7.7209661749182654</v>
      </c>
    </row>
    <row r="4363" spans="1:2">
      <c r="A4363" s="32">
        <v>4350</v>
      </c>
      <c r="B4363" s="90">
        <v>8.4087665968873395</v>
      </c>
    </row>
    <row r="4364" spans="1:2">
      <c r="A4364" s="32">
        <v>4351</v>
      </c>
      <c r="B4364" s="90">
        <v>10.129251881500794</v>
      </c>
    </row>
    <row r="4365" spans="1:2">
      <c r="A4365" s="32">
        <v>4352</v>
      </c>
      <c r="B4365" s="90">
        <v>9.6155635435630717</v>
      </c>
    </row>
    <row r="4366" spans="1:2">
      <c r="A4366" s="32">
        <v>4353</v>
      </c>
      <c r="B4366" s="90">
        <v>8.4331956363176737</v>
      </c>
    </row>
    <row r="4367" spans="1:2">
      <c r="A4367" s="32">
        <v>4354</v>
      </c>
      <c r="B4367" s="90">
        <v>7.9813868359292917</v>
      </c>
    </row>
    <row r="4368" spans="1:2">
      <c r="A4368" s="32">
        <v>4355</v>
      </c>
      <c r="B4368" s="90">
        <v>8.9854137388667876</v>
      </c>
    </row>
    <row r="4369" spans="1:2">
      <c r="A4369" s="32">
        <v>4356</v>
      </c>
      <c r="B4369" s="90">
        <v>7.333495278296307</v>
      </c>
    </row>
    <row r="4370" spans="1:2">
      <c r="A4370" s="32">
        <v>4357</v>
      </c>
      <c r="B4370" s="90">
        <v>10.561273672275034</v>
      </c>
    </row>
    <row r="4371" spans="1:2">
      <c r="A4371" s="32">
        <v>4358</v>
      </c>
      <c r="B4371" s="90">
        <v>8.2589118053621569</v>
      </c>
    </row>
    <row r="4372" spans="1:2">
      <c r="A4372" s="32">
        <v>4359</v>
      </c>
      <c r="B4372" s="90">
        <v>8.1539387417625271</v>
      </c>
    </row>
    <row r="4373" spans="1:2">
      <c r="A4373" s="32">
        <v>4360</v>
      </c>
      <c r="B4373" s="90">
        <v>8.1532629325916517</v>
      </c>
    </row>
    <row r="4374" spans="1:2">
      <c r="A4374" s="32">
        <v>4361</v>
      </c>
      <c r="B4374" s="90">
        <v>7.6415834849877413</v>
      </c>
    </row>
    <row r="4375" spans="1:2">
      <c r="A4375" s="32">
        <v>4362</v>
      </c>
      <c r="B4375" s="90">
        <v>8.8483316669076135</v>
      </c>
    </row>
    <row r="4376" spans="1:2">
      <c r="A4376" s="32">
        <v>4363</v>
      </c>
      <c r="B4376" s="90">
        <v>7.6168556600201756</v>
      </c>
    </row>
    <row r="4377" spans="1:2">
      <c r="A4377" s="32">
        <v>4364</v>
      </c>
      <c r="B4377" s="90">
        <v>8.4253679860406034</v>
      </c>
    </row>
    <row r="4378" spans="1:2">
      <c r="A4378" s="32">
        <v>4365</v>
      </c>
      <c r="B4378" s="90">
        <v>8.5930895482368239</v>
      </c>
    </row>
    <row r="4379" spans="1:2">
      <c r="A4379" s="32">
        <v>4366</v>
      </c>
      <c r="B4379" s="90">
        <v>8.2965349561932804</v>
      </c>
    </row>
    <row r="4380" spans="1:2">
      <c r="A4380" s="32">
        <v>4367</v>
      </c>
      <c r="B4380" s="90">
        <v>7.9065742005448243</v>
      </c>
    </row>
    <row r="4381" spans="1:2">
      <c r="A4381" s="32">
        <v>4368</v>
      </c>
      <c r="B4381" s="90">
        <v>8.8724527816856416</v>
      </c>
    </row>
    <row r="4382" spans="1:2">
      <c r="A4382" s="32">
        <v>4369</v>
      </c>
      <c r="B4382" s="90">
        <v>8.2502105420595964</v>
      </c>
    </row>
    <row r="4383" spans="1:2">
      <c r="A4383" s="32">
        <v>4370</v>
      </c>
      <c r="B4383" s="90">
        <v>7.8700944114778952</v>
      </c>
    </row>
    <row r="4384" spans="1:2">
      <c r="A4384" s="32">
        <v>4371</v>
      </c>
      <c r="B4384" s="90">
        <v>7.6428867331319017</v>
      </c>
    </row>
    <row r="4385" spans="1:2">
      <c r="A4385" s="32">
        <v>4372</v>
      </c>
      <c r="B4385" s="90">
        <v>8.1835791670988893</v>
      </c>
    </row>
    <row r="4386" spans="1:2">
      <c r="A4386" s="32">
        <v>4373</v>
      </c>
      <c r="B4386" s="90">
        <v>7.1858088906722291</v>
      </c>
    </row>
    <row r="4387" spans="1:2">
      <c r="A4387" s="32">
        <v>4374</v>
      </c>
      <c r="B4387" s="90">
        <v>8.4562938994433416</v>
      </c>
    </row>
    <row r="4388" spans="1:2">
      <c r="A4388" s="32">
        <v>4375</v>
      </c>
      <c r="B4388" s="90">
        <v>7.8270903841679642</v>
      </c>
    </row>
    <row r="4389" spans="1:2">
      <c r="A4389" s="32">
        <v>4376</v>
      </c>
      <c r="B4389" s="90">
        <v>8.1037295836140952</v>
      </c>
    </row>
    <row r="4390" spans="1:2">
      <c r="A4390" s="32">
        <v>4377</v>
      </c>
      <c r="B4390" s="90">
        <v>8.3769726448558117</v>
      </c>
    </row>
    <row r="4391" spans="1:2">
      <c r="A4391" s="32">
        <v>4378</v>
      </c>
      <c r="B4391" s="90">
        <v>6.4441039096970814</v>
      </c>
    </row>
    <row r="4392" spans="1:2">
      <c r="A4392" s="32">
        <v>4379</v>
      </c>
      <c r="B4392" s="90">
        <v>9.1879072722997783</v>
      </c>
    </row>
    <row r="4393" spans="1:2">
      <c r="A4393" s="32">
        <v>4380</v>
      </c>
      <c r="B4393" s="90">
        <v>9.197797373106388</v>
      </c>
    </row>
    <row r="4394" spans="1:2">
      <c r="A4394" s="32">
        <v>4381</v>
      </c>
      <c r="B4394" s="90">
        <v>7.7025584472560116</v>
      </c>
    </row>
    <row r="4395" spans="1:2">
      <c r="A4395" s="32">
        <v>4382</v>
      </c>
      <c r="B4395" s="90">
        <v>9.8654709766461472</v>
      </c>
    </row>
    <row r="4396" spans="1:2">
      <c r="A4396" s="32">
        <v>4383</v>
      </c>
      <c r="B4396" s="90">
        <v>9.207466404386885</v>
      </c>
    </row>
    <row r="4397" spans="1:2">
      <c r="A4397" s="32">
        <v>4384</v>
      </c>
      <c r="B4397" s="90">
        <v>8.0767336165562131</v>
      </c>
    </row>
    <row r="4398" spans="1:2">
      <c r="A4398" s="32">
        <v>4385</v>
      </c>
      <c r="B4398" s="90">
        <v>8.1034232368116861</v>
      </c>
    </row>
    <row r="4399" spans="1:2">
      <c r="A4399" s="32">
        <v>4386</v>
      </c>
      <c r="B4399" s="90">
        <v>8.2620319933655999</v>
      </c>
    </row>
    <row r="4400" spans="1:2">
      <c r="A4400" s="32">
        <v>4387</v>
      </c>
      <c r="B4400" s="90">
        <v>7.0998251462165385</v>
      </c>
    </row>
    <row r="4401" spans="1:2">
      <c r="A4401" s="32">
        <v>4388</v>
      </c>
      <c r="B4401" s="90">
        <v>8.7173574569935983</v>
      </c>
    </row>
    <row r="4402" spans="1:2">
      <c r="A4402" s="32">
        <v>4389</v>
      </c>
      <c r="B4402" s="90">
        <v>8.0752807843489283</v>
      </c>
    </row>
    <row r="4403" spans="1:2">
      <c r="A4403" s="32">
        <v>4390</v>
      </c>
      <c r="B4403" s="90">
        <v>7.6138279784557108</v>
      </c>
    </row>
    <row r="4404" spans="1:2">
      <c r="A4404" s="32">
        <v>4391</v>
      </c>
      <c r="B4404" s="90">
        <v>8.2591004904452063</v>
      </c>
    </row>
    <row r="4405" spans="1:2">
      <c r="A4405" s="32">
        <v>4392</v>
      </c>
      <c r="B4405" s="90">
        <v>8.8008994919576082</v>
      </c>
    </row>
    <row r="4406" spans="1:2">
      <c r="A4406" s="32">
        <v>4393</v>
      </c>
      <c r="B4406" s="90">
        <v>8.2414741406491192</v>
      </c>
    </row>
    <row r="4407" spans="1:2">
      <c r="A4407" s="32">
        <v>4394</v>
      </c>
      <c r="B4407" s="90">
        <v>8.503409503149868</v>
      </c>
    </row>
    <row r="4408" spans="1:2">
      <c r="A4408" s="32">
        <v>4395</v>
      </c>
      <c r="B4408" s="90">
        <v>6.9738167628683616</v>
      </c>
    </row>
    <row r="4409" spans="1:2">
      <c r="A4409" s="32">
        <v>4396</v>
      </c>
      <c r="B4409" s="90">
        <v>7.8478604617267331</v>
      </c>
    </row>
    <row r="4410" spans="1:2">
      <c r="A4410" s="32">
        <v>4397</v>
      </c>
      <c r="B4410" s="90">
        <v>7.0124828050521959</v>
      </c>
    </row>
    <row r="4411" spans="1:2">
      <c r="A4411" s="32">
        <v>4398</v>
      </c>
      <c r="B4411" s="90">
        <v>8.0939865171375178</v>
      </c>
    </row>
    <row r="4412" spans="1:2">
      <c r="A4412" s="32">
        <v>4399</v>
      </c>
      <c r="B4412" s="90">
        <v>9.0623873093721201</v>
      </c>
    </row>
    <row r="4413" spans="1:2">
      <c r="A4413" s="32">
        <v>4400</v>
      </c>
      <c r="B4413" s="90">
        <v>8.8597330096508724</v>
      </c>
    </row>
    <row r="4414" spans="1:2">
      <c r="A4414" s="32">
        <v>4401</v>
      </c>
      <c r="B4414" s="90">
        <v>8.2045088640612587</v>
      </c>
    </row>
    <row r="4415" spans="1:2">
      <c r="A4415" s="32">
        <v>4402</v>
      </c>
      <c r="B4415" s="90">
        <v>9.3069020182308027</v>
      </c>
    </row>
    <row r="4416" spans="1:2">
      <c r="A4416" s="32">
        <v>4403</v>
      </c>
      <c r="B4416" s="90">
        <v>8.6028735126658962</v>
      </c>
    </row>
    <row r="4417" spans="1:2">
      <c r="A4417" s="32">
        <v>4404</v>
      </c>
      <c r="B4417" s="90">
        <v>8.5488913180529291</v>
      </c>
    </row>
    <row r="4418" spans="1:2">
      <c r="A4418" s="32">
        <v>4405</v>
      </c>
      <c r="B4418" s="90">
        <v>7.2623729690351846</v>
      </c>
    </row>
    <row r="4419" spans="1:2">
      <c r="A4419" s="32">
        <v>4406</v>
      </c>
      <c r="B4419" s="90">
        <v>7.5695856935157435</v>
      </c>
    </row>
    <row r="4420" spans="1:2">
      <c r="A4420" s="32">
        <v>4407</v>
      </c>
      <c r="B4420" s="90">
        <v>8.3450745135725146</v>
      </c>
    </row>
    <row r="4421" spans="1:2">
      <c r="A4421" s="32">
        <v>4408</v>
      </c>
      <c r="B4421" s="90">
        <v>8.3856537907060638</v>
      </c>
    </row>
    <row r="4422" spans="1:2">
      <c r="A4422" s="32">
        <v>4409</v>
      </c>
      <c r="B4422" s="90">
        <v>8.2366871741779448</v>
      </c>
    </row>
    <row r="4423" spans="1:2">
      <c r="A4423" s="32">
        <v>4410</v>
      </c>
      <c r="B4423" s="90">
        <v>7.3274934578866899</v>
      </c>
    </row>
    <row r="4424" spans="1:2">
      <c r="A4424" s="32">
        <v>4411</v>
      </c>
      <c r="B4424" s="90">
        <v>9.1305205148322468</v>
      </c>
    </row>
    <row r="4425" spans="1:2">
      <c r="A4425" s="32">
        <v>4412</v>
      </c>
      <c r="B4425" s="90">
        <v>8.8184734951172334</v>
      </c>
    </row>
    <row r="4426" spans="1:2">
      <c r="A4426" s="32">
        <v>4413</v>
      </c>
      <c r="B4426" s="90">
        <v>8.2905423391298001</v>
      </c>
    </row>
    <row r="4427" spans="1:2">
      <c r="A4427" s="32">
        <v>4414</v>
      </c>
      <c r="B4427" s="90">
        <v>8.1089163584039419</v>
      </c>
    </row>
    <row r="4428" spans="1:2">
      <c r="A4428" s="32">
        <v>4415</v>
      </c>
      <c r="B4428" s="90">
        <v>7.9401739121239556</v>
      </c>
    </row>
    <row r="4429" spans="1:2">
      <c r="A4429" s="32">
        <v>4416</v>
      </c>
      <c r="B4429" s="90">
        <v>8.0671561226572504</v>
      </c>
    </row>
    <row r="4430" spans="1:2">
      <c r="A4430" s="32">
        <v>4417</v>
      </c>
      <c r="B4430" s="90">
        <v>9.0274624278457107</v>
      </c>
    </row>
    <row r="4431" spans="1:2">
      <c r="A4431" s="32">
        <v>4418</v>
      </c>
      <c r="B4431" s="90">
        <v>7.7939198272123189</v>
      </c>
    </row>
    <row r="4432" spans="1:2">
      <c r="A4432" s="32">
        <v>4419</v>
      </c>
      <c r="B4432" s="90">
        <v>7.8683821177071227</v>
      </c>
    </row>
    <row r="4433" spans="1:2">
      <c r="A4433" s="32">
        <v>4420</v>
      </c>
      <c r="B4433" s="90">
        <v>7.1974006535328003</v>
      </c>
    </row>
    <row r="4434" spans="1:2">
      <c r="A4434" s="32">
        <v>4421</v>
      </c>
      <c r="B4434" s="90">
        <v>8.2266680219785684</v>
      </c>
    </row>
    <row r="4435" spans="1:2">
      <c r="A4435" s="32">
        <v>4422</v>
      </c>
      <c r="B4435" s="90">
        <v>9.343093724285275</v>
      </c>
    </row>
    <row r="4436" spans="1:2">
      <c r="A4436" s="32">
        <v>4423</v>
      </c>
      <c r="B4436" s="90">
        <v>9.1739037923001945</v>
      </c>
    </row>
    <row r="4437" spans="1:2">
      <c r="A4437" s="32">
        <v>4424</v>
      </c>
      <c r="B4437" s="90">
        <v>7.7233826845502964</v>
      </c>
    </row>
    <row r="4438" spans="1:2">
      <c r="A4438" s="32">
        <v>4425</v>
      </c>
      <c r="B4438" s="90">
        <v>7.6120148213192165</v>
      </c>
    </row>
    <row r="4439" spans="1:2">
      <c r="A4439" s="32">
        <v>4426</v>
      </c>
      <c r="B4439" s="90">
        <v>8.1252281901233392</v>
      </c>
    </row>
    <row r="4440" spans="1:2">
      <c r="A4440" s="32">
        <v>4427</v>
      </c>
      <c r="B4440" s="90">
        <v>9.4048991743734316</v>
      </c>
    </row>
    <row r="4441" spans="1:2">
      <c r="A4441" s="32">
        <v>4428</v>
      </c>
      <c r="B4441" s="90">
        <v>7.9478594219449619</v>
      </c>
    </row>
    <row r="4442" spans="1:2">
      <c r="A4442" s="32">
        <v>4429</v>
      </c>
      <c r="B4442" s="90">
        <v>7.1445221714845086</v>
      </c>
    </row>
    <row r="4443" spans="1:2">
      <c r="A4443" s="32">
        <v>4430</v>
      </c>
      <c r="B4443" s="90">
        <v>10.58198926329425</v>
      </c>
    </row>
    <row r="4444" spans="1:2">
      <c r="A4444" s="32">
        <v>4431</v>
      </c>
      <c r="B4444" s="90">
        <v>8.5253883307953622</v>
      </c>
    </row>
    <row r="4445" spans="1:2">
      <c r="A4445" s="32">
        <v>4432</v>
      </c>
      <c r="B4445" s="90">
        <v>7.9520464490452509</v>
      </c>
    </row>
    <row r="4446" spans="1:2">
      <c r="A4446" s="32">
        <v>4433</v>
      </c>
      <c r="B4446" s="90">
        <v>8.6930384267774254</v>
      </c>
    </row>
    <row r="4447" spans="1:2">
      <c r="A4447" s="32">
        <v>4434</v>
      </c>
      <c r="B4447" s="90">
        <v>7.9553674926658609</v>
      </c>
    </row>
    <row r="4448" spans="1:2">
      <c r="A4448" s="32">
        <v>4435</v>
      </c>
      <c r="B4448" s="90">
        <v>9.300585738003921</v>
      </c>
    </row>
    <row r="4449" spans="1:2">
      <c r="A4449" s="32">
        <v>4436</v>
      </c>
      <c r="B4449" s="90">
        <v>7.489905052589239</v>
      </c>
    </row>
    <row r="4450" spans="1:2">
      <c r="A4450" s="32">
        <v>4437</v>
      </c>
      <c r="B4450" s="90">
        <v>8.2844211063307007</v>
      </c>
    </row>
    <row r="4451" spans="1:2">
      <c r="A4451" s="32">
        <v>4438</v>
      </c>
      <c r="B4451" s="90">
        <v>8.3007819647419581</v>
      </c>
    </row>
    <row r="4452" spans="1:2">
      <c r="A4452" s="32">
        <v>4439</v>
      </c>
      <c r="B4452" s="90">
        <v>7.8629271348660765</v>
      </c>
    </row>
    <row r="4453" spans="1:2">
      <c r="A4453" s="32">
        <v>4440</v>
      </c>
      <c r="B4453" s="90">
        <v>8.2084031921446066</v>
      </c>
    </row>
    <row r="4454" spans="1:2">
      <c r="A4454" s="32">
        <v>4441</v>
      </c>
      <c r="B4454" s="90">
        <v>8.0626607585068886</v>
      </c>
    </row>
    <row r="4455" spans="1:2">
      <c r="A4455" s="32">
        <v>4442</v>
      </c>
      <c r="B4455" s="90">
        <v>7.7809394480377607</v>
      </c>
    </row>
    <row r="4456" spans="1:2">
      <c r="A4456" s="32">
        <v>4443</v>
      </c>
      <c r="B4456" s="90">
        <v>7.2589661974888422</v>
      </c>
    </row>
    <row r="4457" spans="1:2">
      <c r="A4457" s="32">
        <v>4444</v>
      </c>
      <c r="B4457" s="90">
        <v>9.2700072758561927</v>
      </c>
    </row>
    <row r="4458" spans="1:2">
      <c r="A4458" s="32">
        <v>4445</v>
      </c>
      <c r="B4458" s="90">
        <v>6.3377479365224048</v>
      </c>
    </row>
    <row r="4459" spans="1:2">
      <c r="A4459" s="32">
        <v>4446</v>
      </c>
      <c r="B4459" s="90">
        <v>7.5917446158625737</v>
      </c>
    </row>
    <row r="4460" spans="1:2">
      <c r="A4460" s="32">
        <v>4447</v>
      </c>
      <c r="B4460" s="90">
        <v>8.1218008768468728</v>
      </c>
    </row>
    <row r="4461" spans="1:2">
      <c r="A4461" s="32">
        <v>4448</v>
      </c>
      <c r="B4461" s="90">
        <v>8.1333662093242776</v>
      </c>
    </row>
    <row r="4462" spans="1:2">
      <c r="A4462" s="32">
        <v>4449</v>
      </c>
      <c r="B4462" s="90">
        <v>8.1439199013205386</v>
      </c>
    </row>
    <row r="4463" spans="1:2">
      <c r="A4463" s="32">
        <v>4450</v>
      </c>
      <c r="B4463" s="90">
        <v>8.4387104813173828</v>
      </c>
    </row>
    <row r="4464" spans="1:2">
      <c r="A4464" s="32">
        <v>4451</v>
      </c>
      <c r="B4464" s="90">
        <v>8.5894215638045353</v>
      </c>
    </row>
    <row r="4465" spans="1:2">
      <c r="A4465" s="32">
        <v>4452</v>
      </c>
      <c r="B4465" s="90">
        <v>7.0994367746901892</v>
      </c>
    </row>
    <row r="4466" spans="1:2">
      <c r="A4466" s="32">
        <v>4453</v>
      </c>
      <c r="B4466" s="90">
        <v>9.0203137954839185</v>
      </c>
    </row>
    <row r="4467" spans="1:2">
      <c r="A4467" s="32">
        <v>4454</v>
      </c>
      <c r="B4467" s="90">
        <v>7.742087180322625</v>
      </c>
    </row>
    <row r="4468" spans="1:2">
      <c r="A4468" s="32">
        <v>4455</v>
      </c>
      <c r="B4468" s="90">
        <v>7.5062417919978612</v>
      </c>
    </row>
    <row r="4469" spans="1:2">
      <c r="A4469" s="32">
        <v>4456</v>
      </c>
      <c r="B4469" s="90">
        <v>8.6794641853455747</v>
      </c>
    </row>
    <row r="4470" spans="1:2">
      <c r="A4470" s="32">
        <v>4457</v>
      </c>
      <c r="B4470" s="90">
        <v>8.29047360629332</v>
      </c>
    </row>
    <row r="4471" spans="1:2">
      <c r="A4471" s="32">
        <v>4458</v>
      </c>
      <c r="B4471" s="90">
        <v>8.1906375765619224</v>
      </c>
    </row>
    <row r="4472" spans="1:2">
      <c r="A4472" s="32">
        <v>4459</v>
      </c>
      <c r="B4472" s="90">
        <v>6.8796983478123934</v>
      </c>
    </row>
    <row r="4473" spans="1:2">
      <c r="A4473" s="32">
        <v>4460</v>
      </c>
      <c r="B4473" s="90">
        <v>7.094577506382211</v>
      </c>
    </row>
    <row r="4474" spans="1:2">
      <c r="A4474" s="32">
        <v>4461</v>
      </c>
      <c r="B4474" s="90">
        <v>8.7061335568255789</v>
      </c>
    </row>
    <row r="4475" spans="1:2">
      <c r="A4475" s="32">
        <v>4462</v>
      </c>
      <c r="B4475" s="90">
        <v>9.2017342355730065</v>
      </c>
    </row>
    <row r="4476" spans="1:2">
      <c r="A4476" s="32">
        <v>4463</v>
      </c>
      <c r="B4476" s="90">
        <v>9.6026757624047079</v>
      </c>
    </row>
    <row r="4477" spans="1:2">
      <c r="A4477" s="32">
        <v>4464</v>
      </c>
      <c r="B4477" s="90">
        <v>10.299035215342032</v>
      </c>
    </row>
    <row r="4478" spans="1:2">
      <c r="A4478" s="32">
        <v>4465</v>
      </c>
      <c r="B4478" s="90">
        <v>8.8713370645581016</v>
      </c>
    </row>
    <row r="4479" spans="1:2">
      <c r="A4479" s="32">
        <v>4466</v>
      </c>
      <c r="B4479" s="90">
        <v>8.1907498044893092</v>
      </c>
    </row>
    <row r="4480" spans="1:2">
      <c r="A4480" s="32">
        <v>4467</v>
      </c>
      <c r="B4480" s="90">
        <v>7.8025679471736309</v>
      </c>
    </row>
    <row r="4481" spans="1:2">
      <c r="A4481" s="32">
        <v>4468</v>
      </c>
      <c r="B4481" s="90">
        <v>8.598377767205811</v>
      </c>
    </row>
    <row r="4482" spans="1:2">
      <c r="A4482" s="32">
        <v>4469</v>
      </c>
      <c r="B4482" s="90">
        <v>8.6136167369010188</v>
      </c>
    </row>
    <row r="4483" spans="1:2">
      <c r="A4483" s="32">
        <v>4470</v>
      </c>
      <c r="B4483" s="90">
        <v>9.3284283701635982</v>
      </c>
    </row>
    <row r="4484" spans="1:2">
      <c r="A4484" s="32">
        <v>4471</v>
      </c>
      <c r="B4484" s="90">
        <v>7.3102449989493161</v>
      </c>
    </row>
    <row r="4485" spans="1:2">
      <c r="A4485" s="32">
        <v>4472</v>
      </c>
      <c r="B4485" s="90">
        <v>8.2141363813540895</v>
      </c>
    </row>
    <row r="4486" spans="1:2">
      <c r="A4486" s="32">
        <v>4473</v>
      </c>
      <c r="B4486" s="90">
        <v>8.10397206680042</v>
      </c>
    </row>
    <row r="4487" spans="1:2">
      <c r="A4487" s="32">
        <v>4474</v>
      </c>
      <c r="B4487" s="90">
        <v>7.3136859209648781</v>
      </c>
    </row>
    <row r="4488" spans="1:2">
      <c r="A4488" s="32">
        <v>4475</v>
      </c>
      <c r="B4488" s="90">
        <v>8.9538369510118532</v>
      </c>
    </row>
    <row r="4489" spans="1:2">
      <c r="A4489" s="32">
        <v>4476</v>
      </c>
      <c r="B4489" s="90">
        <v>8.2152419923798004</v>
      </c>
    </row>
    <row r="4490" spans="1:2">
      <c r="A4490" s="32">
        <v>4477</v>
      </c>
      <c r="B4490" s="90">
        <v>7.3272288058369943</v>
      </c>
    </row>
    <row r="4491" spans="1:2">
      <c r="A4491" s="32">
        <v>4478</v>
      </c>
      <c r="B4491" s="90">
        <v>6.6948446633674781</v>
      </c>
    </row>
    <row r="4492" spans="1:2">
      <c r="A4492" s="32">
        <v>4479</v>
      </c>
      <c r="B4492" s="90">
        <v>9.3304135941335495</v>
      </c>
    </row>
    <row r="4493" spans="1:2">
      <c r="A4493" s="32">
        <v>4480</v>
      </c>
      <c r="B4493" s="90">
        <v>8.3774730000342874</v>
      </c>
    </row>
    <row r="4494" spans="1:2">
      <c r="A4494" s="32">
        <v>4481</v>
      </c>
      <c r="B4494" s="90">
        <v>8.2948014162846242</v>
      </c>
    </row>
    <row r="4495" spans="1:2">
      <c r="A4495" s="32">
        <v>4482</v>
      </c>
      <c r="B4495" s="90">
        <v>8.083738531155829</v>
      </c>
    </row>
    <row r="4496" spans="1:2">
      <c r="A4496" s="32">
        <v>4483</v>
      </c>
      <c r="B4496" s="90">
        <v>7.1721325653667831</v>
      </c>
    </row>
    <row r="4497" spans="1:2">
      <c r="A4497" s="32">
        <v>4484</v>
      </c>
      <c r="B4497" s="90">
        <v>7.7223585851771084</v>
      </c>
    </row>
    <row r="4498" spans="1:2">
      <c r="A4498" s="32">
        <v>4485</v>
      </c>
      <c r="B4498" s="90">
        <v>8.4588570873788917</v>
      </c>
    </row>
    <row r="4499" spans="1:2">
      <c r="A4499" s="32">
        <v>4486</v>
      </c>
      <c r="B4499" s="90">
        <v>8.2183420452125571</v>
      </c>
    </row>
    <row r="4500" spans="1:2">
      <c r="A4500" s="32">
        <v>4487</v>
      </c>
      <c r="B4500" s="90">
        <v>8.0745471443756234</v>
      </c>
    </row>
    <row r="4501" spans="1:2">
      <c r="A4501" s="32">
        <v>4488</v>
      </c>
      <c r="B4501" s="90">
        <v>7.9261110471129532</v>
      </c>
    </row>
    <row r="4502" spans="1:2">
      <c r="A4502" s="32">
        <v>4489</v>
      </c>
      <c r="B4502" s="90">
        <v>7.8505842952011324</v>
      </c>
    </row>
    <row r="4503" spans="1:2">
      <c r="A4503" s="32">
        <v>4490</v>
      </c>
      <c r="B4503" s="90">
        <v>8.2647153202919643</v>
      </c>
    </row>
    <row r="4504" spans="1:2">
      <c r="A4504" s="32">
        <v>4491</v>
      </c>
      <c r="B4504" s="90">
        <v>7.0321153670554999</v>
      </c>
    </row>
    <row r="4505" spans="1:2">
      <c r="A4505" s="32">
        <v>4492</v>
      </c>
      <c r="B4505" s="90">
        <v>8.6100090238091482</v>
      </c>
    </row>
    <row r="4506" spans="1:2">
      <c r="A4506" s="32">
        <v>4493</v>
      </c>
      <c r="B4506" s="90">
        <v>8.4852728826589683</v>
      </c>
    </row>
    <row r="4507" spans="1:2">
      <c r="A4507" s="32">
        <v>4494</v>
      </c>
      <c r="B4507" s="90">
        <v>8.3671419475190696</v>
      </c>
    </row>
    <row r="4508" spans="1:2">
      <c r="A4508" s="32">
        <v>4495</v>
      </c>
      <c r="B4508" s="90">
        <v>10.234946959396442</v>
      </c>
    </row>
    <row r="4509" spans="1:2">
      <c r="A4509" s="32">
        <v>4496</v>
      </c>
      <c r="B4509" s="90">
        <v>7.380507791089328</v>
      </c>
    </row>
    <row r="4510" spans="1:2">
      <c r="A4510" s="32">
        <v>4497</v>
      </c>
      <c r="B4510" s="90">
        <v>8.9162248951984591</v>
      </c>
    </row>
    <row r="4511" spans="1:2">
      <c r="A4511" s="32">
        <v>4498</v>
      </c>
      <c r="B4511" s="90">
        <v>7.8930663998907438</v>
      </c>
    </row>
    <row r="4512" spans="1:2">
      <c r="A4512" s="32">
        <v>4499</v>
      </c>
      <c r="B4512" s="90">
        <v>7.1438320875144861</v>
      </c>
    </row>
    <row r="4513" spans="1:2">
      <c r="A4513" s="32">
        <v>4500</v>
      </c>
      <c r="B4513" s="90">
        <v>7.3268513846982533</v>
      </c>
    </row>
    <row r="4514" spans="1:2">
      <c r="A4514" s="32">
        <v>4501</v>
      </c>
      <c r="B4514" s="90">
        <v>7.5822095809640571</v>
      </c>
    </row>
    <row r="4515" spans="1:2">
      <c r="A4515" s="32">
        <v>4502</v>
      </c>
      <c r="B4515" s="90">
        <v>9.1085782375913311</v>
      </c>
    </row>
    <row r="4516" spans="1:2">
      <c r="A4516" s="32">
        <v>4503</v>
      </c>
      <c r="B4516" s="90">
        <v>8.8666216516733467</v>
      </c>
    </row>
    <row r="4517" spans="1:2">
      <c r="A4517" s="32">
        <v>4504</v>
      </c>
      <c r="B4517" s="90">
        <v>7.4431105003899765</v>
      </c>
    </row>
    <row r="4518" spans="1:2">
      <c r="A4518" s="32">
        <v>4505</v>
      </c>
      <c r="B4518" s="90">
        <v>8.1498476938968629</v>
      </c>
    </row>
    <row r="4519" spans="1:2">
      <c r="A4519" s="32">
        <v>4506</v>
      </c>
      <c r="B4519" s="90">
        <v>7.8163961100841446</v>
      </c>
    </row>
    <row r="4520" spans="1:2">
      <c r="A4520" s="32">
        <v>4507</v>
      </c>
      <c r="B4520" s="90">
        <v>8.9553852293557856</v>
      </c>
    </row>
    <row r="4521" spans="1:2">
      <c r="A4521" s="32">
        <v>4508</v>
      </c>
      <c r="B4521" s="90">
        <v>8.384542041324039</v>
      </c>
    </row>
    <row r="4522" spans="1:2">
      <c r="A4522" s="32">
        <v>4509</v>
      </c>
      <c r="B4522" s="90">
        <v>8.9672809665488682</v>
      </c>
    </row>
    <row r="4523" spans="1:2">
      <c r="A4523" s="32">
        <v>4510</v>
      </c>
      <c r="B4523" s="90">
        <v>7.2706672524095657</v>
      </c>
    </row>
    <row r="4524" spans="1:2">
      <c r="A4524" s="32">
        <v>4511</v>
      </c>
      <c r="B4524" s="90">
        <v>7.1514726546475202</v>
      </c>
    </row>
    <row r="4525" spans="1:2">
      <c r="A4525" s="32">
        <v>4512</v>
      </c>
      <c r="B4525" s="90">
        <v>7.2103046053184228</v>
      </c>
    </row>
    <row r="4526" spans="1:2">
      <c r="A4526" s="32">
        <v>4513</v>
      </c>
      <c r="B4526" s="90">
        <v>7.6815345558195238</v>
      </c>
    </row>
    <row r="4527" spans="1:2">
      <c r="A4527" s="32">
        <v>4514</v>
      </c>
      <c r="B4527" s="90">
        <v>8.3545986026043639</v>
      </c>
    </row>
    <row r="4528" spans="1:2">
      <c r="A4528" s="32">
        <v>4515</v>
      </c>
      <c r="B4528" s="90">
        <v>7.9008702486269584</v>
      </c>
    </row>
    <row r="4529" spans="1:2">
      <c r="A4529" s="32">
        <v>4516</v>
      </c>
      <c r="B4529" s="90">
        <v>8.0056536077521354</v>
      </c>
    </row>
    <row r="4530" spans="1:2">
      <c r="A4530" s="32">
        <v>4517</v>
      </c>
      <c r="B4530" s="90">
        <v>8.8155342447939447</v>
      </c>
    </row>
    <row r="4531" spans="1:2">
      <c r="A4531" s="32">
        <v>4518</v>
      </c>
      <c r="B4531" s="90">
        <v>7.9219490775737569</v>
      </c>
    </row>
    <row r="4532" spans="1:2">
      <c r="A4532" s="32">
        <v>4519</v>
      </c>
      <c r="B4532" s="90">
        <v>8.8228668707888769</v>
      </c>
    </row>
    <row r="4533" spans="1:2">
      <c r="A4533" s="32">
        <v>4520</v>
      </c>
      <c r="B4533" s="90">
        <v>8.476971547678982</v>
      </c>
    </row>
    <row r="4534" spans="1:2">
      <c r="A4534" s="32">
        <v>4521</v>
      </c>
      <c r="B4534" s="90">
        <v>7.1597451702374331</v>
      </c>
    </row>
    <row r="4535" spans="1:2">
      <c r="A4535" s="32">
        <v>4522</v>
      </c>
      <c r="B4535" s="90">
        <v>7.9759857330279704</v>
      </c>
    </row>
    <row r="4536" spans="1:2">
      <c r="A4536" s="32">
        <v>4523</v>
      </c>
      <c r="B4536" s="90">
        <v>7.5456767166743708</v>
      </c>
    </row>
    <row r="4537" spans="1:2">
      <c r="A4537" s="32">
        <v>4524</v>
      </c>
      <c r="B4537" s="90">
        <v>8.0827453445605073</v>
      </c>
    </row>
    <row r="4538" spans="1:2">
      <c r="A4538" s="32">
        <v>4525</v>
      </c>
      <c r="B4538" s="90">
        <v>8.2975855666106657</v>
      </c>
    </row>
    <row r="4539" spans="1:2">
      <c r="A4539" s="32">
        <v>4526</v>
      </c>
      <c r="B4539" s="90">
        <v>7.682864468761462</v>
      </c>
    </row>
    <row r="4540" spans="1:2">
      <c r="A4540" s="32">
        <v>4527</v>
      </c>
      <c r="B4540" s="90">
        <v>7.5660142559556505</v>
      </c>
    </row>
    <row r="4541" spans="1:2">
      <c r="A4541" s="32">
        <v>4528</v>
      </c>
      <c r="B4541" s="90">
        <v>7.4145209588564684</v>
      </c>
    </row>
    <row r="4542" spans="1:2">
      <c r="A4542" s="32">
        <v>4529</v>
      </c>
      <c r="B4542" s="90">
        <v>8.5349354403186126</v>
      </c>
    </row>
    <row r="4543" spans="1:2">
      <c r="A4543" s="32">
        <v>4530</v>
      </c>
      <c r="B4543" s="90">
        <v>7.7901109580663475</v>
      </c>
    </row>
    <row r="4544" spans="1:2">
      <c r="A4544" s="32">
        <v>4531</v>
      </c>
      <c r="B4544" s="90">
        <v>7.7297230680622153</v>
      </c>
    </row>
    <row r="4545" spans="1:2">
      <c r="A4545" s="32">
        <v>4532</v>
      </c>
      <c r="B4545" s="90">
        <v>8.3639120610476336</v>
      </c>
    </row>
    <row r="4546" spans="1:2">
      <c r="A4546" s="32">
        <v>4533</v>
      </c>
      <c r="B4546" s="90">
        <v>8.029797781590208</v>
      </c>
    </row>
    <row r="4547" spans="1:2">
      <c r="A4547" s="32">
        <v>4534</v>
      </c>
      <c r="B4547" s="90">
        <v>7.3044083145666656</v>
      </c>
    </row>
    <row r="4548" spans="1:2">
      <c r="A4548" s="32">
        <v>4535</v>
      </c>
      <c r="B4548" s="90">
        <v>8.2351204766661787</v>
      </c>
    </row>
    <row r="4549" spans="1:2">
      <c r="A4549" s="32">
        <v>4536</v>
      </c>
      <c r="B4549" s="90">
        <v>7.7071767431180458</v>
      </c>
    </row>
    <row r="4550" spans="1:2">
      <c r="A4550" s="32">
        <v>4537</v>
      </c>
      <c r="B4550" s="90">
        <v>8.606156075029709</v>
      </c>
    </row>
    <row r="4551" spans="1:2">
      <c r="A4551" s="32">
        <v>4538</v>
      </c>
      <c r="B4551" s="90">
        <v>7.4610023180531542</v>
      </c>
    </row>
    <row r="4552" spans="1:2">
      <c r="A4552" s="32">
        <v>4539</v>
      </c>
      <c r="B4552" s="90">
        <v>8.0574587979876817</v>
      </c>
    </row>
    <row r="4553" spans="1:2">
      <c r="A4553" s="32">
        <v>4540</v>
      </c>
      <c r="B4553" s="90">
        <v>9.182134808308799</v>
      </c>
    </row>
    <row r="4554" spans="1:2">
      <c r="A4554" s="32">
        <v>4541</v>
      </c>
      <c r="B4554" s="90">
        <v>8.6054123516506351</v>
      </c>
    </row>
    <row r="4555" spans="1:2">
      <c r="A4555" s="32">
        <v>4542</v>
      </c>
      <c r="B4555" s="90">
        <v>7.2380131620619332</v>
      </c>
    </row>
    <row r="4556" spans="1:2">
      <c r="A4556" s="32">
        <v>4543</v>
      </c>
      <c r="B4556" s="90">
        <v>7.6265179165509025</v>
      </c>
    </row>
    <row r="4557" spans="1:2">
      <c r="A4557" s="32">
        <v>4544</v>
      </c>
      <c r="B4557" s="90">
        <v>8.5377710557581175</v>
      </c>
    </row>
    <row r="4558" spans="1:2">
      <c r="A4558" s="32">
        <v>4545</v>
      </c>
      <c r="B4558" s="90">
        <v>8.950995319122983</v>
      </c>
    </row>
    <row r="4559" spans="1:2">
      <c r="A4559" s="32">
        <v>4546</v>
      </c>
      <c r="B4559" s="90">
        <v>8.4147935692357478</v>
      </c>
    </row>
    <row r="4560" spans="1:2">
      <c r="A4560" s="32">
        <v>4547</v>
      </c>
      <c r="B4560" s="90">
        <v>7.3426450263011649</v>
      </c>
    </row>
    <row r="4561" spans="1:2">
      <c r="A4561" s="32">
        <v>4548</v>
      </c>
      <c r="B4561" s="90">
        <v>7.7229257262703443</v>
      </c>
    </row>
    <row r="4562" spans="1:2">
      <c r="A4562" s="32">
        <v>4549</v>
      </c>
      <c r="B4562" s="90">
        <v>8.4832071863096274</v>
      </c>
    </row>
    <row r="4563" spans="1:2">
      <c r="A4563" s="32">
        <v>4550</v>
      </c>
      <c r="B4563" s="90">
        <v>7.3685540758440977</v>
      </c>
    </row>
    <row r="4564" spans="1:2">
      <c r="A4564" s="32">
        <v>4551</v>
      </c>
      <c r="B4564" s="90">
        <v>8.5696818903516512</v>
      </c>
    </row>
    <row r="4565" spans="1:2">
      <c r="A4565" s="32">
        <v>4552</v>
      </c>
      <c r="B4565" s="90">
        <v>8.100949649644102</v>
      </c>
    </row>
    <row r="4566" spans="1:2">
      <c r="A4566" s="32">
        <v>4553</v>
      </c>
      <c r="B4566" s="90">
        <v>7.4480429485667816</v>
      </c>
    </row>
    <row r="4567" spans="1:2">
      <c r="A4567" s="32">
        <v>4554</v>
      </c>
      <c r="B4567" s="90">
        <v>7.95163448414353</v>
      </c>
    </row>
    <row r="4568" spans="1:2">
      <c r="A4568" s="32">
        <v>4555</v>
      </c>
      <c r="B4568" s="90">
        <v>8.6121475780337615</v>
      </c>
    </row>
    <row r="4569" spans="1:2">
      <c r="A4569" s="32">
        <v>4556</v>
      </c>
      <c r="B4569" s="90">
        <v>8.0312050734960163</v>
      </c>
    </row>
    <row r="4570" spans="1:2">
      <c r="A4570" s="32">
        <v>4557</v>
      </c>
      <c r="B4570" s="90">
        <v>8.5728458225441138</v>
      </c>
    </row>
    <row r="4571" spans="1:2">
      <c r="A4571" s="32">
        <v>4558</v>
      </c>
      <c r="B4571" s="90">
        <v>8.6820373654216958</v>
      </c>
    </row>
    <row r="4572" spans="1:2">
      <c r="A4572" s="32">
        <v>4559</v>
      </c>
      <c r="B4572" s="90">
        <v>6.8653872841884986</v>
      </c>
    </row>
    <row r="4573" spans="1:2">
      <c r="A4573" s="32">
        <v>4560</v>
      </c>
      <c r="B4573" s="90">
        <v>8.9055110351107274</v>
      </c>
    </row>
    <row r="4574" spans="1:2">
      <c r="A4574" s="32">
        <v>4561</v>
      </c>
      <c r="B4574" s="90">
        <v>8.8479033095553294</v>
      </c>
    </row>
    <row r="4575" spans="1:2">
      <c r="A4575" s="32">
        <v>4562</v>
      </c>
      <c r="B4575" s="90">
        <v>7.8306731636465585</v>
      </c>
    </row>
    <row r="4576" spans="1:2">
      <c r="A4576" s="32">
        <v>4563</v>
      </c>
      <c r="B4576" s="90">
        <v>7.6581598622243074</v>
      </c>
    </row>
    <row r="4577" spans="1:2">
      <c r="A4577" s="32">
        <v>4564</v>
      </c>
      <c r="B4577" s="90">
        <v>9.2354128520532317</v>
      </c>
    </row>
    <row r="4578" spans="1:2">
      <c r="A4578" s="32">
        <v>4565</v>
      </c>
      <c r="B4578" s="90">
        <v>8.0413411191246826</v>
      </c>
    </row>
    <row r="4579" spans="1:2">
      <c r="A4579" s="32">
        <v>4566</v>
      </c>
      <c r="B4579" s="90">
        <v>8.2173180371433361</v>
      </c>
    </row>
    <row r="4580" spans="1:2">
      <c r="A4580" s="32">
        <v>4567</v>
      </c>
      <c r="B4580" s="90">
        <v>8.999970692776273</v>
      </c>
    </row>
    <row r="4581" spans="1:2">
      <c r="A4581" s="32">
        <v>4568</v>
      </c>
      <c r="B4581" s="90">
        <v>8.5883803722533418</v>
      </c>
    </row>
    <row r="4582" spans="1:2">
      <c r="A4582" s="32">
        <v>4569</v>
      </c>
      <c r="B4582" s="90">
        <v>8.1357425971149215</v>
      </c>
    </row>
    <row r="4583" spans="1:2">
      <c r="A4583" s="32">
        <v>4570</v>
      </c>
      <c r="B4583" s="90">
        <v>8.0507979093863824</v>
      </c>
    </row>
    <row r="4584" spans="1:2">
      <c r="A4584" s="32">
        <v>4571</v>
      </c>
      <c r="B4584" s="90">
        <v>7.9468894130392229</v>
      </c>
    </row>
    <row r="4585" spans="1:2">
      <c r="A4585" s="32">
        <v>4572</v>
      </c>
      <c r="B4585" s="90">
        <v>7.7987606947042325</v>
      </c>
    </row>
    <row r="4586" spans="1:2">
      <c r="A4586" s="32">
        <v>4573</v>
      </c>
      <c r="B4586" s="90">
        <v>8.1350663438523423</v>
      </c>
    </row>
    <row r="4587" spans="1:2">
      <c r="A4587" s="32">
        <v>4574</v>
      </c>
      <c r="B4587" s="90">
        <v>7.911643759514523</v>
      </c>
    </row>
    <row r="4588" spans="1:2">
      <c r="A4588" s="32">
        <v>4575</v>
      </c>
      <c r="B4588" s="90">
        <v>8.7734656838799943</v>
      </c>
    </row>
    <row r="4589" spans="1:2">
      <c r="A4589" s="32">
        <v>4576</v>
      </c>
      <c r="B4589" s="90">
        <v>8.3991309579672713</v>
      </c>
    </row>
    <row r="4590" spans="1:2">
      <c r="A4590" s="32">
        <v>4577</v>
      </c>
      <c r="B4590" s="90">
        <v>8.1306828159995277</v>
      </c>
    </row>
    <row r="4591" spans="1:2">
      <c r="A4591" s="32">
        <v>4578</v>
      </c>
      <c r="B4591" s="90">
        <v>7.9710296386164243</v>
      </c>
    </row>
    <row r="4592" spans="1:2">
      <c r="A4592" s="32">
        <v>4579</v>
      </c>
      <c r="B4592" s="90">
        <v>8.1601409304526182</v>
      </c>
    </row>
    <row r="4593" spans="1:2">
      <c r="A4593" s="32">
        <v>4580</v>
      </c>
      <c r="B4593" s="90">
        <v>7.6533697168971591</v>
      </c>
    </row>
    <row r="4594" spans="1:2">
      <c r="A4594" s="32">
        <v>4581</v>
      </c>
      <c r="B4594" s="90">
        <v>5.714119138334854</v>
      </c>
    </row>
    <row r="4595" spans="1:2">
      <c r="A4595" s="32">
        <v>4582</v>
      </c>
      <c r="B4595" s="90">
        <v>8.7725596044414438</v>
      </c>
    </row>
    <row r="4596" spans="1:2">
      <c r="A4596" s="32">
        <v>4583</v>
      </c>
      <c r="B4596" s="90">
        <v>8.0821825800677995</v>
      </c>
    </row>
    <row r="4597" spans="1:2">
      <c r="A4597" s="32">
        <v>4584</v>
      </c>
      <c r="B4597" s="90">
        <v>8.0608327651096268</v>
      </c>
    </row>
    <row r="4598" spans="1:2">
      <c r="A4598" s="32">
        <v>4585</v>
      </c>
      <c r="B4598" s="90">
        <v>8.6283743433391091</v>
      </c>
    </row>
    <row r="4599" spans="1:2">
      <c r="A4599" s="32">
        <v>4586</v>
      </c>
      <c r="B4599" s="90">
        <v>8.8226208504470005</v>
      </c>
    </row>
    <row r="4600" spans="1:2">
      <c r="A4600" s="32">
        <v>4587</v>
      </c>
      <c r="B4600" s="90">
        <v>7.2682434009249546</v>
      </c>
    </row>
    <row r="4601" spans="1:2">
      <c r="A4601" s="32">
        <v>4588</v>
      </c>
      <c r="B4601" s="90">
        <v>7.7898081307843094</v>
      </c>
    </row>
    <row r="4602" spans="1:2">
      <c r="A4602" s="32">
        <v>4589</v>
      </c>
      <c r="B4602" s="90">
        <v>8.1127329935213091</v>
      </c>
    </row>
    <row r="4603" spans="1:2">
      <c r="A4603" s="32">
        <v>4590</v>
      </c>
      <c r="B4603" s="90">
        <v>8.2356227987133064</v>
      </c>
    </row>
    <row r="4604" spans="1:2">
      <c r="A4604" s="32">
        <v>4591</v>
      </c>
      <c r="B4604" s="90">
        <v>8.1974549242738757</v>
      </c>
    </row>
    <row r="4605" spans="1:2">
      <c r="A4605" s="32">
        <v>4592</v>
      </c>
      <c r="B4605" s="90">
        <v>8.3231006666751188</v>
      </c>
    </row>
    <row r="4606" spans="1:2">
      <c r="A4606" s="32">
        <v>4593</v>
      </c>
      <c r="B4606" s="90">
        <v>7.7799285500094486</v>
      </c>
    </row>
    <row r="4607" spans="1:2">
      <c r="A4607" s="32">
        <v>4594</v>
      </c>
      <c r="B4607" s="90">
        <v>8.4431172463722426</v>
      </c>
    </row>
    <row r="4608" spans="1:2">
      <c r="A4608" s="32">
        <v>4595</v>
      </c>
      <c r="B4608" s="90">
        <v>7.6554177633774163</v>
      </c>
    </row>
    <row r="4609" spans="1:2">
      <c r="A4609" s="32">
        <v>4596</v>
      </c>
      <c r="B4609" s="90">
        <v>9.5951409908496572</v>
      </c>
    </row>
    <row r="4610" spans="1:2">
      <c r="A4610" s="32">
        <v>4597</v>
      </c>
      <c r="B4610" s="90">
        <v>7.945978611237396</v>
      </c>
    </row>
    <row r="4611" spans="1:2">
      <c r="A4611" s="32">
        <v>4598</v>
      </c>
      <c r="B4611" s="90">
        <v>8.1439125704402926</v>
      </c>
    </row>
    <row r="4612" spans="1:2">
      <c r="A4612" s="32">
        <v>4599</v>
      </c>
      <c r="B4612" s="90">
        <v>7.482496383231541</v>
      </c>
    </row>
    <row r="4613" spans="1:2">
      <c r="A4613" s="32">
        <v>4600</v>
      </c>
      <c r="B4613" s="90">
        <v>7.5357047404067758</v>
      </c>
    </row>
    <row r="4614" spans="1:2">
      <c r="A4614" s="32">
        <v>4601</v>
      </c>
      <c r="B4614" s="90">
        <v>8.9607855392147666</v>
      </c>
    </row>
    <row r="4615" spans="1:2">
      <c r="A4615" s="32">
        <v>4602</v>
      </c>
      <c r="B4615" s="90">
        <v>8.0146133474384005</v>
      </c>
    </row>
    <row r="4616" spans="1:2">
      <c r="A4616" s="32">
        <v>4603</v>
      </c>
      <c r="B4616" s="90">
        <v>8.918572000525975</v>
      </c>
    </row>
    <row r="4617" spans="1:2">
      <c r="A4617" s="32">
        <v>4604</v>
      </c>
      <c r="B4617" s="90">
        <v>6.9818426559103735</v>
      </c>
    </row>
    <row r="4618" spans="1:2">
      <c r="A4618" s="32">
        <v>4605</v>
      </c>
      <c r="B4618" s="90">
        <v>7.9107321835916364</v>
      </c>
    </row>
    <row r="4619" spans="1:2">
      <c r="A4619" s="32">
        <v>4606</v>
      </c>
      <c r="B4619" s="90">
        <v>7.6437999610290532</v>
      </c>
    </row>
    <row r="4620" spans="1:2">
      <c r="A4620" s="32">
        <v>4607</v>
      </c>
      <c r="B4620" s="90">
        <v>7.4844230384249162</v>
      </c>
    </row>
    <row r="4621" spans="1:2">
      <c r="A4621" s="32">
        <v>4608</v>
      </c>
      <c r="B4621" s="90">
        <v>8.1330205380300811</v>
      </c>
    </row>
    <row r="4622" spans="1:2">
      <c r="A4622" s="32">
        <v>4609</v>
      </c>
      <c r="B4622" s="90">
        <v>7.8249598470998309</v>
      </c>
    </row>
    <row r="4623" spans="1:2">
      <c r="A4623" s="32">
        <v>4610</v>
      </c>
      <c r="B4623" s="90">
        <v>8.2169074796871513</v>
      </c>
    </row>
    <row r="4624" spans="1:2">
      <c r="A4624" s="32">
        <v>4611</v>
      </c>
      <c r="B4624" s="90">
        <v>8.604672935050905</v>
      </c>
    </row>
    <row r="4625" spans="1:2">
      <c r="A4625" s="32">
        <v>4612</v>
      </c>
      <c r="B4625" s="90">
        <v>7.887662858509314</v>
      </c>
    </row>
    <row r="4626" spans="1:2">
      <c r="A4626" s="32">
        <v>4613</v>
      </c>
      <c r="B4626" s="90">
        <v>7.6560363818275166</v>
      </c>
    </row>
    <row r="4627" spans="1:2">
      <c r="A4627" s="32">
        <v>4614</v>
      </c>
      <c r="B4627" s="90">
        <v>8.2269954287539964</v>
      </c>
    </row>
    <row r="4628" spans="1:2">
      <c r="A4628" s="32">
        <v>4615</v>
      </c>
      <c r="B4628" s="90">
        <v>6.8402274433997272</v>
      </c>
    </row>
    <row r="4629" spans="1:2">
      <c r="A4629" s="32">
        <v>4616</v>
      </c>
      <c r="B4629" s="90">
        <v>8.9250330458952707</v>
      </c>
    </row>
    <row r="4630" spans="1:2">
      <c r="A4630" s="32">
        <v>4617</v>
      </c>
      <c r="B4630" s="90">
        <v>8.3354134482084632</v>
      </c>
    </row>
    <row r="4631" spans="1:2">
      <c r="A4631" s="32">
        <v>4618</v>
      </c>
      <c r="B4631" s="90">
        <v>8.7021083043538603</v>
      </c>
    </row>
    <row r="4632" spans="1:2">
      <c r="A4632" s="32">
        <v>4619</v>
      </c>
      <c r="B4632" s="90">
        <v>7.324266213622848</v>
      </c>
    </row>
    <row r="4633" spans="1:2">
      <c r="A4633" s="32">
        <v>4620</v>
      </c>
      <c r="B4633" s="90">
        <v>7.8113761668378983</v>
      </c>
    </row>
    <row r="4634" spans="1:2">
      <c r="A4634" s="32">
        <v>4621</v>
      </c>
      <c r="B4634" s="90">
        <v>8.4350986445445439</v>
      </c>
    </row>
    <row r="4635" spans="1:2">
      <c r="A4635" s="32">
        <v>4622</v>
      </c>
      <c r="B4635" s="90">
        <v>7.4532826313672498</v>
      </c>
    </row>
    <row r="4636" spans="1:2">
      <c r="A4636" s="32">
        <v>4623</v>
      </c>
      <c r="B4636" s="90">
        <v>9.4241608006260069</v>
      </c>
    </row>
    <row r="4637" spans="1:2">
      <c r="A4637" s="32">
        <v>4624</v>
      </c>
      <c r="B4637" s="90">
        <v>8.0420309320653356</v>
      </c>
    </row>
    <row r="4638" spans="1:2">
      <c r="A4638" s="32">
        <v>4625</v>
      </c>
      <c r="B4638" s="90">
        <v>8.5670882652609741</v>
      </c>
    </row>
    <row r="4639" spans="1:2">
      <c r="A4639" s="32">
        <v>4626</v>
      </c>
      <c r="B4639" s="90">
        <v>8.3303364909688291</v>
      </c>
    </row>
    <row r="4640" spans="1:2">
      <c r="A4640" s="32">
        <v>4627</v>
      </c>
      <c r="B4640" s="90">
        <v>8.3906931651117969</v>
      </c>
    </row>
    <row r="4641" spans="1:2">
      <c r="A4641" s="32">
        <v>4628</v>
      </c>
      <c r="B4641" s="90">
        <v>8.3346889744105468</v>
      </c>
    </row>
    <row r="4642" spans="1:2">
      <c r="A4642" s="32">
        <v>4629</v>
      </c>
      <c r="B4642" s="90">
        <v>9.0501766172526406</v>
      </c>
    </row>
    <row r="4643" spans="1:2">
      <c r="A4643" s="32">
        <v>4630</v>
      </c>
      <c r="B4643" s="90">
        <v>7.4932990998823552</v>
      </c>
    </row>
    <row r="4644" spans="1:2">
      <c r="A4644" s="32">
        <v>4631</v>
      </c>
      <c r="B4644" s="90">
        <v>7.8385557224413036</v>
      </c>
    </row>
    <row r="4645" spans="1:2">
      <c r="A4645" s="32">
        <v>4632</v>
      </c>
      <c r="B4645" s="90">
        <v>8.3518797763719963</v>
      </c>
    </row>
    <row r="4646" spans="1:2">
      <c r="A4646" s="32">
        <v>4633</v>
      </c>
      <c r="B4646" s="90">
        <v>7.1496586606873835</v>
      </c>
    </row>
    <row r="4647" spans="1:2">
      <c r="A4647" s="32">
        <v>4634</v>
      </c>
      <c r="B4647" s="90">
        <v>8.9902646773356896</v>
      </c>
    </row>
    <row r="4648" spans="1:2">
      <c r="A4648" s="32">
        <v>4635</v>
      </c>
      <c r="B4648" s="90">
        <v>8.7628664622947205</v>
      </c>
    </row>
    <row r="4649" spans="1:2">
      <c r="A4649" s="32">
        <v>4636</v>
      </c>
      <c r="B4649" s="90">
        <v>9.2100045985498316</v>
      </c>
    </row>
    <row r="4650" spans="1:2">
      <c r="A4650" s="32">
        <v>4637</v>
      </c>
      <c r="B4650" s="90">
        <v>7.8399207750961413</v>
      </c>
    </row>
    <row r="4651" spans="1:2">
      <c r="A4651" s="32">
        <v>4638</v>
      </c>
      <c r="B4651" s="90">
        <v>8.5670115175767911</v>
      </c>
    </row>
    <row r="4652" spans="1:2">
      <c r="A4652" s="32">
        <v>4639</v>
      </c>
      <c r="B4652" s="90">
        <v>8.4703978033938334</v>
      </c>
    </row>
    <row r="4653" spans="1:2">
      <c r="A4653" s="32">
        <v>4640</v>
      </c>
      <c r="B4653" s="90">
        <v>9.1286903586020518</v>
      </c>
    </row>
    <row r="4654" spans="1:2">
      <c r="A4654" s="32">
        <v>4641</v>
      </c>
      <c r="B4654" s="90">
        <v>8.3405493650115314</v>
      </c>
    </row>
    <row r="4655" spans="1:2">
      <c r="A4655" s="32">
        <v>4642</v>
      </c>
      <c r="B4655" s="90">
        <v>6.9165606123693957</v>
      </c>
    </row>
    <row r="4656" spans="1:2">
      <c r="A4656" s="32">
        <v>4643</v>
      </c>
      <c r="B4656" s="90">
        <v>8.4821045702085449</v>
      </c>
    </row>
    <row r="4657" spans="1:2">
      <c r="A4657" s="32">
        <v>4644</v>
      </c>
      <c r="B4657" s="90">
        <v>7.6707720704831566</v>
      </c>
    </row>
    <row r="4658" spans="1:2">
      <c r="A4658" s="32">
        <v>4645</v>
      </c>
      <c r="B4658" s="90">
        <v>8.9532930400077539</v>
      </c>
    </row>
    <row r="4659" spans="1:2">
      <c r="A4659" s="32">
        <v>4646</v>
      </c>
      <c r="B4659" s="90">
        <v>8.2063413937077669</v>
      </c>
    </row>
    <row r="4660" spans="1:2">
      <c r="A4660" s="32">
        <v>4647</v>
      </c>
      <c r="B4660" s="90">
        <v>7.6505534850761947</v>
      </c>
    </row>
    <row r="4661" spans="1:2">
      <c r="A4661" s="32">
        <v>4648</v>
      </c>
      <c r="B4661" s="90">
        <v>8.4249604765427772</v>
      </c>
    </row>
    <row r="4662" spans="1:2">
      <c r="A4662" s="32">
        <v>4649</v>
      </c>
      <c r="B4662" s="90">
        <v>7.8976493799500824</v>
      </c>
    </row>
    <row r="4663" spans="1:2">
      <c r="A4663" s="32">
        <v>4650</v>
      </c>
      <c r="B4663" s="90">
        <v>8.8766124798832564</v>
      </c>
    </row>
    <row r="4664" spans="1:2">
      <c r="A4664" s="32">
        <v>4651</v>
      </c>
      <c r="B4664" s="90">
        <v>7.8015037423947566</v>
      </c>
    </row>
    <row r="4665" spans="1:2">
      <c r="A4665" s="32">
        <v>4652</v>
      </c>
      <c r="B4665" s="90">
        <v>7.9569514258409182</v>
      </c>
    </row>
    <row r="4666" spans="1:2">
      <c r="A4666" s="32">
        <v>4653</v>
      </c>
      <c r="B4666" s="90">
        <v>8.641317153985792</v>
      </c>
    </row>
    <row r="4667" spans="1:2">
      <c r="A4667" s="32">
        <v>4654</v>
      </c>
      <c r="B4667" s="90">
        <v>9.188187669714468</v>
      </c>
    </row>
    <row r="4668" spans="1:2">
      <c r="A4668" s="32">
        <v>4655</v>
      </c>
      <c r="B4668" s="90">
        <v>7.0389772708385863</v>
      </c>
    </row>
    <row r="4669" spans="1:2">
      <c r="A4669" s="32">
        <v>4656</v>
      </c>
      <c r="B4669" s="90">
        <v>7.6402285305586286</v>
      </c>
    </row>
    <row r="4670" spans="1:2">
      <c r="A4670" s="32">
        <v>4657</v>
      </c>
      <c r="B4670" s="90">
        <v>8.0022574095029828</v>
      </c>
    </row>
    <row r="4671" spans="1:2">
      <c r="A4671" s="32">
        <v>4658</v>
      </c>
      <c r="B4671" s="90">
        <v>7.9855959933919989</v>
      </c>
    </row>
    <row r="4672" spans="1:2">
      <c r="A4672" s="32">
        <v>4659</v>
      </c>
      <c r="B4672" s="90">
        <v>7.7607178929382465</v>
      </c>
    </row>
    <row r="4673" spans="1:2">
      <c r="A4673" s="32">
        <v>4660</v>
      </c>
      <c r="B4673" s="90">
        <v>7.5081701224864226</v>
      </c>
    </row>
    <row r="4674" spans="1:2">
      <c r="A4674" s="32">
        <v>4661</v>
      </c>
      <c r="B4674" s="90">
        <v>8.2383455451617795</v>
      </c>
    </row>
    <row r="4675" spans="1:2">
      <c r="A4675" s="32">
        <v>4662</v>
      </c>
      <c r="B4675" s="90">
        <v>8.444233607717786</v>
      </c>
    </row>
    <row r="4676" spans="1:2">
      <c r="A4676" s="32">
        <v>4663</v>
      </c>
      <c r="B4676" s="90">
        <v>8.7983182171109036</v>
      </c>
    </row>
    <row r="4677" spans="1:2">
      <c r="A4677" s="32">
        <v>4664</v>
      </c>
      <c r="B4677" s="90">
        <v>8.8379598760782478</v>
      </c>
    </row>
    <row r="4678" spans="1:2">
      <c r="A4678" s="32">
        <v>4665</v>
      </c>
      <c r="B4678" s="90">
        <v>8.4604048529587601</v>
      </c>
    </row>
    <row r="4679" spans="1:2">
      <c r="A4679" s="32">
        <v>4666</v>
      </c>
      <c r="B4679" s="90">
        <v>7.3114222600122618</v>
      </c>
    </row>
    <row r="4680" spans="1:2">
      <c r="A4680" s="32">
        <v>4667</v>
      </c>
      <c r="B4680" s="90">
        <v>8.5489541299026275</v>
      </c>
    </row>
    <row r="4681" spans="1:2">
      <c r="A4681" s="32">
        <v>4668</v>
      </c>
      <c r="B4681" s="90">
        <v>7.6760689137706875</v>
      </c>
    </row>
    <row r="4682" spans="1:2">
      <c r="A4682" s="32">
        <v>4669</v>
      </c>
      <c r="B4682" s="90">
        <v>8.9212735924642335</v>
      </c>
    </row>
    <row r="4683" spans="1:2">
      <c r="A4683" s="32">
        <v>4670</v>
      </c>
      <c r="B4683" s="90">
        <v>7.6519732601813999</v>
      </c>
    </row>
    <row r="4684" spans="1:2">
      <c r="A4684" s="32">
        <v>4671</v>
      </c>
      <c r="B4684" s="90">
        <v>7.0657161645304996</v>
      </c>
    </row>
    <row r="4685" spans="1:2">
      <c r="A4685" s="32">
        <v>4672</v>
      </c>
      <c r="B4685" s="90">
        <v>6.9552577988740527</v>
      </c>
    </row>
    <row r="4686" spans="1:2">
      <c r="A4686" s="32">
        <v>4673</v>
      </c>
      <c r="B4686" s="90">
        <v>7.3851737409956959</v>
      </c>
    </row>
    <row r="4687" spans="1:2">
      <c r="A4687" s="32">
        <v>4674</v>
      </c>
      <c r="B4687" s="90">
        <v>8.5358712023997079</v>
      </c>
    </row>
    <row r="4688" spans="1:2">
      <c r="A4688" s="32">
        <v>4675</v>
      </c>
      <c r="B4688" s="90">
        <v>7.5645713280933151</v>
      </c>
    </row>
    <row r="4689" spans="1:2">
      <c r="A4689" s="32">
        <v>4676</v>
      </c>
      <c r="B4689" s="90">
        <v>7.7097178435616165</v>
      </c>
    </row>
    <row r="4690" spans="1:2">
      <c r="A4690" s="32">
        <v>4677</v>
      </c>
      <c r="B4690" s="90">
        <v>8.6614512488178814</v>
      </c>
    </row>
    <row r="4691" spans="1:2">
      <c r="A4691" s="32">
        <v>4678</v>
      </c>
      <c r="B4691" s="90">
        <v>8.0705262132740518</v>
      </c>
    </row>
    <row r="4692" spans="1:2">
      <c r="A4692" s="32">
        <v>4679</v>
      </c>
      <c r="B4692" s="90">
        <v>8.3909234070744088</v>
      </c>
    </row>
    <row r="4693" spans="1:2">
      <c r="A4693" s="32">
        <v>4680</v>
      </c>
      <c r="B4693" s="90">
        <v>8.1382658399003027</v>
      </c>
    </row>
    <row r="4694" spans="1:2">
      <c r="A4694" s="32">
        <v>4681</v>
      </c>
      <c r="B4694" s="90">
        <v>8.0730502489400706</v>
      </c>
    </row>
    <row r="4695" spans="1:2">
      <c r="A4695" s="32">
        <v>4682</v>
      </c>
      <c r="B4695" s="90">
        <v>7.2171871714467741</v>
      </c>
    </row>
    <row r="4696" spans="1:2">
      <c r="A4696" s="32">
        <v>4683</v>
      </c>
      <c r="B4696" s="90">
        <v>8.7037063195155255</v>
      </c>
    </row>
    <row r="4697" spans="1:2">
      <c r="A4697" s="32">
        <v>4684</v>
      </c>
      <c r="B4697" s="90">
        <v>7.6939980131623678</v>
      </c>
    </row>
    <row r="4698" spans="1:2">
      <c r="A4698" s="32">
        <v>4685</v>
      </c>
      <c r="B4698" s="90">
        <v>9.4779403634273311</v>
      </c>
    </row>
    <row r="4699" spans="1:2">
      <c r="A4699" s="32">
        <v>4686</v>
      </c>
      <c r="B4699" s="90">
        <v>8.6183088872675899</v>
      </c>
    </row>
    <row r="4700" spans="1:2">
      <c r="A4700" s="32">
        <v>4687</v>
      </c>
      <c r="B4700" s="90">
        <v>8.7190758114137079</v>
      </c>
    </row>
    <row r="4701" spans="1:2">
      <c r="A4701" s="32">
        <v>4688</v>
      </c>
      <c r="B4701" s="90">
        <v>6.8243279984645504</v>
      </c>
    </row>
    <row r="4702" spans="1:2">
      <c r="A4702" s="32">
        <v>4689</v>
      </c>
      <c r="B4702" s="90">
        <v>7.9519717749285022</v>
      </c>
    </row>
    <row r="4703" spans="1:2">
      <c r="A4703" s="32">
        <v>4690</v>
      </c>
      <c r="B4703" s="90">
        <v>7.4168752745636777</v>
      </c>
    </row>
    <row r="4704" spans="1:2">
      <c r="A4704" s="32">
        <v>4691</v>
      </c>
      <c r="B4704" s="90">
        <v>7.3295439679798422</v>
      </c>
    </row>
    <row r="4705" spans="1:2">
      <c r="A4705" s="32">
        <v>4692</v>
      </c>
      <c r="B4705" s="90">
        <v>6.5740832210176645</v>
      </c>
    </row>
    <row r="4706" spans="1:2">
      <c r="A4706" s="32">
        <v>4693</v>
      </c>
      <c r="B4706" s="90">
        <v>8.6193649767212204</v>
      </c>
    </row>
    <row r="4707" spans="1:2">
      <c r="A4707" s="32">
        <v>4694</v>
      </c>
      <c r="B4707" s="90">
        <v>8.4866723538716826</v>
      </c>
    </row>
    <row r="4708" spans="1:2">
      <c r="A4708" s="32">
        <v>4695</v>
      </c>
      <c r="B4708" s="90">
        <v>7.4980966146694525</v>
      </c>
    </row>
    <row r="4709" spans="1:2">
      <c r="A4709" s="32">
        <v>4696</v>
      </c>
      <c r="B4709" s="90">
        <v>8.4599469829981739</v>
      </c>
    </row>
    <row r="4710" spans="1:2">
      <c r="A4710" s="32">
        <v>4697</v>
      </c>
      <c r="B4710" s="90">
        <v>8.6783923207641269</v>
      </c>
    </row>
    <row r="4711" spans="1:2">
      <c r="A4711" s="32">
        <v>4698</v>
      </c>
      <c r="B4711" s="90">
        <v>7.6626292784783026</v>
      </c>
    </row>
    <row r="4712" spans="1:2">
      <c r="A4712" s="32">
        <v>4699</v>
      </c>
      <c r="B4712" s="90">
        <v>9.5507785463130954</v>
      </c>
    </row>
    <row r="4713" spans="1:2">
      <c r="A4713" s="32">
        <v>4700</v>
      </c>
      <c r="B4713" s="90">
        <v>7.4028570731670191</v>
      </c>
    </row>
    <row r="4714" spans="1:2">
      <c r="A4714" s="32">
        <v>4701</v>
      </c>
      <c r="B4714" s="90">
        <v>8.1655800525283713</v>
      </c>
    </row>
    <row r="4715" spans="1:2">
      <c r="A4715" s="32">
        <v>4702</v>
      </c>
      <c r="B4715" s="90">
        <v>9.1916353037749161</v>
      </c>
    </row>
    <row r="4716" spans="1:2">
      <c r="A4716" s="32">
        <v>4703</v>
      </c>
      <c r="B4716" s="90">
        <v>8.0333825420734861</v>
      </c>
    </row>
    <row r="4717" spans="1:2">
      <c r="A4717" s="32">
        <v>4704</v>
      </c>
      <c r="B4717" s="90">
        <v>8.1593372110936127</v>
      </c>
    </row>
    <row r="4718" spans="1:2">
      <c r="A4718" s="32">
        <v>4705</v>
      </c>
      <c r="B4718" s="90">
        <v>8.7493005187678605</v>
      </c>
    </row>
    <row r="4719" spans="1:2">
      <c r="A4719" s="32">
        <v>4706</v>
      </c>
      <c r="B4719" s="90">
        <v>7.6185486941744873</v>
      </c>
    </row>
    <row r="4720" spans="1:2">
      <c r="A4720" s="32">
        <v>4707</v>
      </c>
      <c r="B4720" s="90">
        <v>8.2919209071253981</v>
      </c>
    </row>
    <row r="4721" spans="1:2">
      <c r="A4721" s="32">
        <v>4708</v>
      </c>
      <c r="B4721" s="90">
        <v>8.9159144302233795</v>
      </c>
    </row>
    <row r="4722" spans="1:2">
      <c r="A4722" s="32">
        <v>4709</v>
      </c>
      <c r="B4722" s="90">
        <v>8.2091985215586476</v>
      </c>
    </row>
    <row r="4723" spans="1:2">
      <c r="A4723" s="32">
        <v>4710</v>
      </c>
      <c r="B4723" s="90">
        <v>7.6570397909076169</v>
      </c>
    </row>
    <row r="4724" spans="1:2">
      <c r="A4724" s="32">
        <v>4711</v>
      </c>
      <c r="B4724" s="90">
        <v>8.8837908305190023</v>
      </c>
    </row>
    <row r="4725" spans="1:2">
      <c r="A4725" s="32">
        <v>4712</v>
      </c>
      <c r="B4725" s="90">
        <v>7.6404194524229156</v>
      </c>
    </row>
    <row r="4726" spans="1:2">
      <c r="A4726" s="32">
        <v>4713</v>
      </c>
      <c r="B4726" s="90">
        <v>8.227280929774059</v>
      </c>
    </row>
    <row r="4727" spans="1:2">
      <c r="A4727" s="32">
        <v>4714</v>
      </c>
      <c r="B4727" s="90">
        <v>7.5337148827886189</v>
      </c>
    </row>
    <row r="4728" spans="1:2">
      <c r="A4728" s="32">
        <v>4715</v>
      </c>
      <c r="B4728" s="90">
        <v>8.3039632121349953</v>
      </c>
    </row>
    <row r="4729" spans="1:2">
      <c r="A4729" s="32">
        <v>4716</v>
      </c>
      <c r="B4729" s="90">
        <v>7.2037677258732673</v>
      </c>
    </row>
    <row r="4730" spans="1:2">
      <c r="A4730" s="32">
        <v>4717</v>
      </c>
      <c r="B4730" s="90">
        <v>7.6052632276680496</v>
      </c>
    </row>
    <row r="4731" spans="1:2">
      <c r="A4731" s="32">
        <v>4718</v>
      </c>
      <c r="B4731" s="90">
        <v>8.4601505049002093</v>
      </c>
    </row>
    <row r="4732" spans="1:2">
      <c r="A4732" s="32">
        <v>4719</v>
      </c>
      <c r="B4732" s="90">
        <v>8.0479168448771414</v>
      </c>
    </row>
    <row r="4733" spans="1:2">
      <c r="A4733" s="32">
        <v>4720</v>
      </c>
      <c r="B4733" s="90">
        <v>7.4663208490999757</v>
      </c>
    </row>
    <row r="4734" spans="1:2">
      <c r="A4734" s="32">
        <v>4721</v>
      </c>
      <c r="B4734" s="90">
        <v>6.4023464288079337</v>
      </c>
    </row>
    <row r="4735" spans="1:2">
      <c r="A4735" s="32">
        <v>4722</v>
      </c>
      <c r="B4735" s="90">
        <v>7.8434375495961985</v>
      </c>
    </row>
    <row r="4736" spans="1:2">
      <c r="A4736" s="32">
        <v>4723</v>
      </c>
      <c r="B4736" s="90">
        <v>8.2512854572804279</v>
      </c>
    </row>
    <row r="4737" spans="1:2">
      <c r="A4737" s="32">
        <v>4724</v>
      </c>
      <c r="B4737" s="90">
        <v>7.7432618567638798</v>
      </c>
    </row>
    <row r="4738" spans="1:2">
      <c r="A4738" s="32">
        <v>4725</v>
      </c>
      <c r="B4738" s="90">
        <v>8.3756208842556479</v>
      </c>
    </row>
    <row r="4739" spans="1:2">
      <c r="A4739" s="32">
        <v>4726</v>
      </c>
      <c r="B4739" s="90">
        <v>7.5725661055011289</v>
      </c>
    </row>
    <row r="4740" spans="1:2">
      <c r="A4740" s="32">
        <v>4727</v>
      </c>
      <c r="B4740" s="90">
        <v>7.4928418018442526</v>
      </c>
    </row>
    <row r="4741" spans="1:2">
      <c r="A4741" s="32">
        <v>4728</v>
      </c>
      <c r="B4741" s="90">
        <v>9.2553917580439062</v>
      </c>
    </row>
    <row r="4742" spans="1:2">
      <c r="A4742" s="32">
        <v>4729</v>
      </c>
      <c r="B4742" s="90">
        <v>8.0091192406069602</v>
      </c>
    </row>
    <row r="4743" spans="1:2">
      <c r="A4743" s="32">
        <v>4730</v>
      </c>
      <c r="B4743" s="90">
        <v>8.5784463353825728</v>
      </c>
    </row>
    <row r="4744" spans="1:2">
      <c r="A4744" s="32">
        <v>4731</v>
      </c>
      <c r="B4744" s="90">
        <v>9.2654929434617266</v>
      </c>
    </row>
    <row r="4745" spans="1:2">
      <c r="A4745" s="32">
        <v>4732</v>
      </c>
      <c r="B4745" s="90">
        <v>7.8283959431618086</v>
      </c>
    </row>
    <row r="4746" spans="1:2">
      <c r="A4746" s="32">
        <v>4733</v>
      </c>
      <c r="B4746" s="90">
        <v>8.401716598798938</v>
      </c>
    </row>
    <row r="4747" spans="1:2">
      <c r="A4747" s="32">
        <v>4734</v>
      </c>
      <c r="B4747" s="90">
        <v>7.2070528588318234</v>
      </c>
    </row>
    <row r="4748" spans="1:2">
      <c r="A4748" s="32">
        <v>4735</v>
      </c>
      <c r="B4748" s="90">
        <v>8.4403410770852876</v>
      </c>
    </row>
    <row r="4749" spans="1:2">
      <c r="A4749" s="32">
        <v>4736</v>
      </c>
      <c r="B4749" s="90">
        <v>8.0859615939579417</v>
      </c>
    </row>
    <row r="4750" spans="1:2">
      <c r="A4750" s="32">
        <v>4737</v>
      </c>
      <c r="B4750" s="90">
        <v>7.6628498698267915</v>
      </c>
    </row>
    <row r="4751" spans="1:2">
      <c r="A4751" s="32">
        <v>4738</v>
      </c>
      <c r="B4751" s="90">
        <v>8.4518209784468326</v>
      </c>
    </row>
    <row r="4752" spans="1:2">
      <c r="A4752" s="32">
        <v>4739</v>
      </c>
      <c r="B4752" s="90">
        <v>7.9557286246783825</v>
      </c>
    </row>
    <row r="4753" spans="1:2">
      <c r="A4753" s="32">
        <v>4740</v>
      </c>
      <c r="B4753" s="90">
        <v>8.1362769626235441</v>
      </c>
    </row>
    <row r="4754" spans="1:2">
      <c r="A4754" s="32">
        <v>4741</v>
      </c>
      <c r="B4754" s="90">
        <v>9.1669509550104333</v>
      </c>
    </row>
    <row r="4755" spans="1:2">
      <c r="A4755" s="32">
        <v>4742</v>
      </c>
      <c r="B4755" s="90">
        <v>7.2944156216397715</v>
      </c>
    </row>
    <row r="4756" spans="1:2">
      <c r="A4756" s="32">
        <v>4743</v>
      </c>
      <c r="B4756" s="90">
        <v>7.8224410187483358</v>
      </c>
    </row>
    <row r="4757" spans="1:2">
      <c r="A4757" s="32">
        <v>4744</v>
      </c>
      <c r="B4757" s="90">
        <v>8.4889058544134972</v>
      </c>
    </row>
    <row r="4758" spans="1:2">
      <c r="A4758" s="32">
        <v>4745</v>
      </c>
      <c r="B4758" s="90">
        <v>7.0293066824743056</v>
      </c>
    </row>
    <row r="4759" spans="1:2">
      <c r="A4759" s="32">
        <v>4746</v>
      </c>
      <c r="B4759" s="90">
        <v>8.1021905871565352</v>
      </c>
    </row>
    <row r="4760" spans="1:2">
      <c r="A4760" s="32">
        <v>4747</v>
      </c>
      <c r="B4760" s="90">
        <v>7.231241877746192</v>
      </c>
    </row>
    <row r="4761" spans="1:2">
      <c r="A4761" s="32">
        <v>4748</v>
      </c>
      <c r="B4761" s="90">
        <v>8.3720465712648995</v>
      </c>
    </row>
    <row r="4762" spans="1:2">
      <c r="A4762" s="32">
        <v>4749</v>
      </c>
      <c r="B4762" s="90">
        <v>9.4028741304637151</v>
      </c>
    </row>
    <row r="4763" spans="1:2">
      <c r="A4763" s="32">
        <v>4750</v>
      </c>
      <c r="B4763" s="90">
        <v>8.1856407441586683</v>
      </c>
    </row>
    <row r="4764" spans="1:2">
      <c r="A4764" s="32">
        <v>4751</v>
      </c>
      <c r="B4764" s="90">
        <v>7.0352781925829122</v>
      </c>
    </row>
    <row r="4765" spans="1:2">
      <c r="A4765" s="32">
        <v>4752</v>
      </c>
      <c r="B4765" s="90">
        <v>8.519980544042868</v>
      </c>
    </row>
    <row r="4766" spans="1:2">
      <c r="A4766" s="32">
        <v>4753</v>
      </c>
      <c r="B4766" s="90">
        <v>7.421322657637492</v>
      </c>
    </row>
    <row r="4767" spans="1:2">
      <c r="A4767" s="32">
        <v>4754</v>
      </c>
      <c r="B4767" s="90">
        <v>8.5298560397609915</v>
      </c>
    </row>
    <row r="4768" spans="1:2">
      <c r="A4768" s="32">
        <v>4755</v>
      </c>
      <c r="B4768" s="90">
        <v>8.4583593971001925</v>
      </c>
    </row>
    <row r="4769" spans="1:2">
      <c r="A4769" s="32">
        <v>4756</v>
      </c>
      <c r="B4769" s="90">
        <v>9.3638300251022688</v>
      </c>
    </row>
    <row r="4770" spans="1:2">
      <c r="A4770" s="32">
        <v>4757</v>
      </c>
      <c r="B4770" s="90">
        <v>7.655790706381687</v>
      </c>
    </row>
    <row r="4771" spans="1:2">
      <c r="A4771" s="32">
        <v>4758</v>
      </c>
      <c r="B4771" s="90">
        <v>8.2118764249576159</v>
      </c>
    </row>
    <row r="4772" spans="1:2">
      <c r="A4772" s="32">
        <v>4759</v>
      </c>
      <c r="B4772" s="90">
        <v>8.3434277422968464</v>
      </c>
    </row>
    <row r="4773" spans="1:2">
      <c r="A4773" s="32">
        <v>4760</v>
      </c>
      <c r="B4773" s="90">
        <v>7.8030809234292873</v>
      </c>
    </row>
    <row r="4774" spans="1:2">
      <c r="A4774" s="32">
        <v>4761</v>
      </c>
      <c r="B4774" s="90">
        <v>7.5582128571981277</v>
      </c>
    </row>
    <row r="4775" spans="1:2">
      <c r="A4775" s="32">
        <v>4762</v>
      </c>
      <c r="B4775" s="90">
        <v>8.2160111818107193</v>
      </c>
    </row>
    <row r="4776" spans="1:2">
      <c r="A4776" s="32">
        <v>4763</v>
      </c>
      <c r="B4776" s="90">
        <v>6.748993061490526</v>
      </c>
    </row>
    <row r="4777" spans="1:2">
      <c r="A4777" s="32">
        <v>4764</v>
      </c>
      <c r="B4777" s="90">
        <v>7.9983593227429797</v>
      </c>
    </row>
    <row r="4778" spans="1:2">
      <c r="A4778" s="32">
        <v>4765</v>
      </c>
      <c r="B4778" s="90">
        <v>8.1440823119925909</v>
      </c>
    </row>
    <row r="4779" spans="1:2">
      <c r="A4779" s="32">
        <v>4766</v>
      </c>
      <c r="B4779" s="90">
        <v>7.9125159448027746</v>
      </c>
    </row>
    <row r="4780" spans="1:2">
      <c r="A4780" s="32">
        <v>4767</v>
      </c>
      <c r="B4780" s="90">
        <v>8.0429767696528138</v>
      </c>
    </row>
    <row r="4781" spans="1:2">
      <c r="A4781" s="32">
        <v>4768</v>
      </c>
      <c r="B4781" s="90">
        <v>7.8308110022764152</v>
      </c>
    </row>
    <row r="4782" spans="1:2">
      <c r="A4782" s="32">
        <v>4769</v>
      </c>
      <c r="B4782" s="90">
        <v>7.2127272784063079</v>
      </c>
    </row>
    <row r="4783" spans="1:2">
      <c r="A4783" s="32">
        <v>4770</v>
      </c>
      <c r="B4783" s="90">
        <v>7.5541099455131198</v>
      </c>
    </row>
    <row r="4784" spans="1:2">
      <c r="A4784" s="32">
        <v>4771</v>
      </c>
      <c r="B4784" s="90">
        <v>7.0319273080068525</v>
      </c>
    </row>
    <row r="4785" spans="1:2">
      <c r="A4785" s="32">
        <v>4772</v>
      </c>
      <c r="B4785" s="90">
        <v>8.7331635602423674</v>
      </c>
    </row>
    <row r="4786" spans="1:2">
      <c r="A4786" s="32">
        <v>4773</v>
      </c>
      <c r="B4786" s="90">
        <v>9.0987781105536456</v>
      </c>
    </row>
    <row r="4787" spans="1:2">
      <c r="A4787" s="32">
        <v>4774</v>
      </c>
      <c r="B4787" s="90">
        <v>7.7181658324617821</v>
      </c>
    </row>
    <row r="4788" spans="1:2">
      <c r="A4788" s="32">
        <v>4775</v>
      </c>
      <c r="B4788" s="90">
        <v>7.2936017235279964</v>
      </c>
    </row>
    <row r="4789" spans="1:2">
      <c r="A4789" s="32">
        <v>4776</v>
      </c>
      <c r="B4789" s="90">
        <v>7.9781276364887335</v>
      </c>
    </row>
    <row r="4790" spans="1:2">
      <c r="A4790" s="32">
        <v>4777</v>
      </c>
      <c r="B4790" s="90">
        <v>7.9024466105909168</v>
      </c>
    </row>
    <row r="4791" spans="1:2">
      <c r="A4791" s="32">
        <v>4778</v>
      </c>
      <c r="B4791" s="90">
        <v>9.0013991399852351</v>
      </c>
    </row>
    <row r="4792" spans="1:2">
      <c r="A4792" s="32">
        <v>4779</v>
      </c>
      <c r="B4792" s="90">
        <v>7.1165528442413812</v>
      </c>
    </row>
    <row r="4793" spans="1:2">
      <c r="A4793" s="32">
        <v>4780</v>
      </c>
      <c r="B4793" s="90">
        <v>8.6103501678663168</v>
      </c>
    </row>
    <row r="4794" spans="1:2">
      <c r="A4794" s="32">
        <v>4781</v>
      </c>
      <c r="B4794" s="90">
        <v>7.6428483029376721</v>
      </c>
    </row>
    <row r="4795" spans="1:2">
      <c r="A4795" s="32">
        <v>4782</v>
      </c>
      <c r="B4795" s="90">
        <v>8.8145931215930347</v>
      </c>
    </row>
    <row r="4796" spans="1:2">
      <c r="A4796" s="32">
        <v>4783</v>
      </c>
      <c r="B4796" s="90">
        <v>7.8954355278238841</v>
      </c>
    </row>
    <row r="4797" spans="1:2">
      <c r="A4797" s="32">
        <v>4784</v>
      </c>
      <c r="B4797" s="90">
        <v>7.3800649794451063</v>
      </c>
    </row>
    <row r="4798" spans="1:2">
      <c r="A4798" s="32">
        <v>4785</v>
      </c>
      <c r="B4798" s="90">
        <v>7.8080103601835056</v>
      </c>
    </row>
    <row r="4799" spans="1:2">
      <c r="A4799" s="32">
        <v>4786</v>
      </c>
      <c r="B4799" s="90">
        <v>7.9201827688044091</v>
      </c>
    </row>
    <row r="4800" spans="1:2">
      <c r="A4800" s="32">
        <v>4787</v>
      </c>
      <c r="B4800" s="90">
        <v>9.073451293260673</v>
      </c>
    </row>
    <row r="4801" spans="1:2">
      <c r="A4801" s="32">
        <v>4788</v>
      </c>
      <c r="B4801" s="90">
        <v>7.5317743171183649</v>
      </c>
    </row>
    <row r="4802" spans="1:2">
      <c r="A4802" s="32">
        <v>4789</v>
      </c>
      <c r="B4802" s="90">
        <v>8.8860215674778384</v>
      </c>
    </row>
    <row r="4803" spans="1:2">
      <c r="A4803" s="32">
        <v>4790</v>
      </c>
      <c r="B4803" s="90">
        <v>10.315373596123298</v>
      </c>
    </row>
    <row r="4804" spans="1:2">
      <c r="A4804" s="32">
        <v>4791</v>
      </c>
      <c r="B4804" s="90">
        <v>8.8574139911462542</v>
      </c>
    </row>
    <row r="4805" spans="1:2">
      <c r="A4805" s="32">
        <v>4792</v>
      </c>
      <c r="B4805" s="90">
        <v>8.5769304583799553</v>
      </c>
    </row>
    <row r="4806" spans="1:2">
      <c r="A4806" s="32">
        <v>4793</v>
      </c>
      <c r="B4806" s="90">
        <v>9.2985538820592151</v>
      </c>
    </row>
    <row r="4807" spans="1:2">
      <c r="A4807" s="32">
        <v>4794</v>
      </c>
      <c r="B4807" s="90">
        <v>8.1787970945830057</v>
      </c>
    </row>
    <row r="4808" spans="1:2">
      <c r="A4808" s="32">
        <v>4795</v>
      </c>
      <c r="B4808" s="90">
        <v>8.2317979285132399</v>
      </c>
    </row>
    <row r="4809" spans="1:2">
      <c r="A4809" s="32">
        <v>4796</v>
      </c>
      <c r="B4809" s="90">
        <v>8.6064812253378378</v>
      </c>
    </row>
    <row r="4810" spans="1:2">
      <c r="A4810" s="32">
        <v>4797</v>
      </c>
      <c r="B4810" s="90">
        <v>7.5636458107207876</v>
      </c>
    </row>
    <row r="4811" spans="1:2">
      <c r="A4811" s="32">
        <v>4798</v>
      </c>
      <c r="B4811" s="90">
        <v>8.3657080994392299</v>
      </c>
    </row>
    <row r="4812" spans="1:2">
      <c r="A4812" s="32">
        <v>4799</v>
      </c>
      <c r="B4812" s="90">
        <v>8.0026040698698768</v>
      </c>
    </row>
    <row r="4813" spans="1:2">
      <c r="A4813" s="32">
        <v>4800</v>
      </c>
      <c r="B4813" s="90">
        <v>8.0447740302353221</v>
      </c>
    </row>
    <row r="4814" spans="1:2">
      <c r="A4814" s="32">
        <v>4801</v>
      </c>
      <c r="B4814" s="90">
        <v>7.5391976808736674</v>
      </c>
    </row>
    <row r="4815" spans="1:2">
      <c r="A4815" s="32">
        <v>4802</v>
      </c>
      <c r="B4815" s="90">
        <v>7.889822020310473</v>
      </c>
    </row>
    <row r="4816" spans="1:2">
      <c r="A4816" s="32">
        <v>4803</v>
      </c>
      <c r="B4816" s="90">
        <v>8.1072360106514818</v>
      </c>
    </row>
    <row r="4817" spans="1:2">
      <c r="A4817" s="32">
        <v>4804</v>
      </c>
      <c r="B4817" s="90">
        <v>7.2020759416225539</v>
      </c>
    </row>
    <row r="4818" spans="1:2">
      <c r="A4818" s="32">
        <v>4805</v>
      </c>
      <c r="B4818" s="90">
        <v>7.9413484567082744</v>
      </c>
    </row>
    <row r="4819" spans="1:2">
      <c r="A4819" s="32">
        <v>4806</v>
      </c>
      <c r="B4819" s="90">
        <v>8.8274791914821726</v>
      </c>
    </row>
    <row r="4820" spans="1:2">
      <c r="A4820" s="32">
        <v>4807</v>
      </c>
      <c r="B4820" s="90">
        <v>8.4104393913663049</v>
      </c>
    </row>
    <row r="4821" spans="1:2">
      <c r="A4821" s="32">
        <v>4808</v>
      </c>
      <c r="B4821" s="90">
        <v>8.6795892272750113</v>
      </c>
    </row>
    <row r="4822" spans="1:2">
      <c r="A4822" s="32">
        <v>4809</v>
      </c>
      <c r="B4822" s="90">
        <v>7.2252530822035039</v>
      </c>
    </row>
    <row r="4823" spans="1:2">
      <c r="A4823" s="32">
        <v>4810</v>
      </c>
      <c r="B4823" s="90">
        <v>7.3286690865197128</v>
      </c>
    </row>
    <row r="4824" spans="1:2">
      <c r="A4824" s="32">
        <v>4811</v>
      </c>
      <c r="B4824" s="90">
        <v>7.331678607444962</v>
      </c>
    </row>
    <row r="4825" spans="1:2">
      <c r="A4825" s="32">
        <v>4812</v>
      </c>
      <c r="B4825" s="90">
        <v>7.5679447009609104</v>
      </c>
    </row>
    <row r="4826" spans="1:2">
      <c r="A4826" s="32">
        <v>4813</v>
      </c>
      <c r="B4826" s="90">
        <v>7.8338428981805954</v>
      </c>
    </row>
    <row r="4827" spans="1:2">
      <c r="A4827" s="32">
        <v>4814</v>
      </c>
      <c r="B4827" s="90">
        <v>8.9411162208429307</v>
      </c>
    </row>
    <row r="4828" spans="1:2">
      <c r="A4828" s="32">
        <v>4815</v>
      </c>
      <c r="B4828" s="90">
        <v>7.8764636601156033</v>
      </c>
    </row>
    <row r="4829" spans="1:2">
      <c r="A4829" s="32">
        <v>4816</v>
      </c>
      <c r="B4829" s="90">
        <v>7.6733510896721064</v>
      </c>
    </row>
    <row r="4830" spans="1:2">
      <c r="A4830" s="32">
        <v>4817</v>
      </c>
      <c r="B4830" s="90">
        <v>8.5705645253709744</v>
      </c>
    </row>
    <row r="4831" spans="1:2">
      <c r="A4831" s="32">
        <v>4818</v>
      </c>
      <c r="B4831" s="90">
        <v>7.9878945642401673</v>
      </c>
    </row>
    <row r="4832" spans="1:2">
      <c r="A4832" s="32">
        <v>4819</v>
      </c>
      <c r="B4832" s="90">
        <v>8.4558736722583259</v>
      </c>
    </row>
    <row r="4833" spans="1:2">
      <c r="A4833" s="32">
        <v>4820</v>
      </c>
      <c r="B4833" s="90">
        <v>7.927516870514502</v>
      </c>
    </row>
    <row r="4834" spans="1:2">
      <c r="A4834" s="32">
        <v>4821</v>
      </c>
      <c r="B4834" s="90">
        <v>8.8544687253790268</v>
      </c>
    </row>
    <row r="4835" spans="1:2">
      <c r="A4835" s="32">
        <v>4822</v>
      </c>
      <c r="B4835" s="90">
        <v>8.5639483298957781</v>
      </c>
    </row>
    <row r="4836" spans="1:2">
      <c r="A4836" s="32">
        <v>4823</v>
      </c>
      <c r="B4836" s="90">
        <v>7.440662872008077</v>
      </c>
    </row>
    <row r="4837" spans="1:2">
      <c r="A4837" s="32">
        <v>4824</v>
      </c>
      <c r="B4837" s="90">
        <v>8.3269599876679283</v>
      </c>
    </row>
    <row r="4838" spans="1:2">
      <c r="A4838" s="32">
        <v>4825</v>
      </c>
      <c r="B4838" s="90">
        <v>8.5910937438868871</v>
      </c>
    </row>
    <row r="4839" spans="1:2">
      <c r="A4839" s="32">
        <v>4826</v>
      </c>
      <c r="B4839" s="90">
        <v>9.1528866022704243</v>
      </c>
    </row>
    <row r="4840" spans="1:2">
      <c r="A4840" s="32">
        <v>4827</v>
      </c>
      <c r="B4840" s="90">
        <v>8.2589243419784815</v>
      </c>
    </row>
    <row r="4841" spans="1:2">
      <c r="A4841" s="32">
        <v>4828</v>
      </c>
      <c r="B4841" s="90">
        <v>7.6257769773077229</v>
      </c>
    </row>
    <row r="4842" spans="1:2">
      <c r="A4842" s="32">
        <v>4829</v>
      </c>
      <c r="B4842" s="90">
        <v>7.4158242710692175</v>
      </c>
    </row>
    <row r="4843" spans="1:2">
      <c r="A4843" s="32">
        <v>4830</v>
      </c>
      <c r="B4843" s="90">
        <v>8.4427733676292416</v>
      </c>
    </row>
    <row r="4844" spans="1:2">
      <c r="A4844" s="32">
        <v>4831</v>
      </c>
      <c r="B4844" s="90">
        <v>8.4580504803030774</v>
      </c>
    </row>
    <row r="4845" spans="1:2">
      <c r="A4845" s="32">
        <v>4832</v>
      </c>
      <c r="B4845" s="90">
        <v>8.0587672528839303</v>
      </c>
    </row>
    <row r="4846" spans="1:2">
      <c r="A4846" s="32">
        <v>4833</v>
      </c>
      <c r="B4846" s="90">
        <v>8.8969113401350839</v>
      </c>
    </row>
    <row r="4847" spans="1:2">
      <c r="A4847" s="32">
        <v>4834</v>
      </c>
      <c r="B4847" s="90">
        <v>6.7808718912911097</v>
      </c>
    </row>
    <row r="4848" spans="1:2">
      <c r="A4848" s="32">
        <v>4835</v>
      </c>
      <c r="B4848" s="90">
        <v>7.9897286325736721</v>
      </c>
    </row>
    <row r="4849" spans="1:2">
      <c r="A4849" s="32">
        <v>4836</v>
      </c>
      <c r="B4849" s="90">
        <v>7.024457745354864</v>
      </c>
    </row>
    <row r="4850" spans="1:2">
      <c r="A4850" s="32">
        <v>4837</v>
      </c>
      <c r="B4850" s="90">
        <v>7.6948987356351388</v>
      </c>
    </row>
    <row r="4851" spans="1:2">
      <c r="A4851" s="32">
        <v>4838</v>
      </c>
      <c r="B4851" s="90">
        <v>9.1295905261032608</v>
      </c>
    </row>
    <row r="4852" spans="1:2">
      <c r="A4852" s="32">
        <v>4839</v>
      </c>
      <c r="B4852" s="90">
        <v>9.3582403989587188</v>
      </c>
    </row>
    <row r="4853" spans="1:2">
      <c r="A4853" s="32">
        <v>4840</v>
      </c>
      <c r="B4853" s="90">
        <v>10.005303397664495</v>
      </c>
    </row>
    <row r="4854" spans="1:2">
      <c r="A4854" s="32">
        <v>4841</v>
      </c>
      <c r="B4854" s="90">
        <v>8.5693486356422639</v>
      </c>
    </row>
    <row r="4855" spans="1:2">
      <c r="A4855" s="32">
        <v>4842</v>
      </c>
      <c r="B4855" s="90">
        <v>7.3750651763321997</v>
      </c>
    </row>
    <row r="4856" spans="1:2">
      <c r="A4856" s="32">
        <v>4843</v>
      </c>
      <c r="B4856" s="90">
        <v>7.9232028775707111</v>
      </c>
    </row>
    <row r="4857" spans="1:2">
      <c r="A4857" s="32">
        <v>4844</v>
      </c>
      <c r="B4857" s="90">
        <v>7.5879449146622395</v>
      </c>
    </row>
    <row r="4858" spans="1:2">
      <c r="A4858" s="32">
        <v>4845</v>
      </c>
      <c r="B4858" s="90">
        <v>9.9301875870340623</v>
      </c>
    </row>
    <row r="4859" spans="1:2">
      <c r="A4859" s="32">
        <v>4846</v>
      </c>
      <c r="B4859" s="90">
        <v>8.394502453220662</v>
      </c>
    </row>
    <row r="4860" spans="1:2">
      <c r="A4860" s="32">
        <v>4847</v>
      </c>
      <c r="B4860" s="90">
        <v>7.9051794852520443</v>
      </c>
    </row>
    <row r="4861" spans="1:2">
      <c r="A4861" s="32">
        <v>4848</v>
      </c>
      <c r="B4861" s="90">
        <v>6.9845360935330856</v>
      </c>
    </row>
    <row r="4862" spans="1:2">
      <c r="A4862" s="32">
        <v>4849</v>
      </c>
      <c r="B4862" s="90">
        <v>7.9490925158799959</v>
      </c>
    </row>
    <row r="4863" spans="1:2">
      <c r="A4863" s="32">
        <v>4850</v>
      </c>
      <c r="B4863" s="90">
        <v>7.1739980549929223</v>
      </c>
    </row>
    <row r="4864" spans="1:2">
      <c r="A4864" s="32">
        <v>4851</v>
      </c>
      <c r="B4864" s="90">
        <v>8.3109174674117092</v>
      </c>
    </row>
    <row r="4865" spans="1:2">
      <c r="A4865" s="32">
        <v>4852</v>
      </c>
      <c r="B4865" s="90">
        <v>7.3301581120277097</v>
      </c>
    </row>
    <row r="4866" spans="1:2">
      <c r="A4866" s="32">
        <v>4853</v>
      </c>
      <c r="B4866" s="90">
        <v>8.2436673674706427</v>
      </c>
    </row>
    <row r="4867" spans="1:2">
      <c r="A4867" s="32">
        <v>4854</v>
      </c>
      <c r="B4867" s="90">
        <v>7.4690841482565569</v>
      </c>
    </row>
    <row r="4868" spans="1:2">
      <c r="A4868" s="32">
        <v>4855</v>
      </c>
      <c r="B4868" s="90">
        <v>7.5058911839994362</v>
      </c>
    </row>
    <row r="4869" spans="1:2">
      <c r="A4869" s="32">
        <v>4856</v>
      </c>
      <c r="B4869" s="90">
        <v>8.5492855997837474</v>
      </c>
    </row>
    <row r="4870" spans="1:2">
      <c r="A4870" s="32">
        <v>4857</v>
      </c>
      <c r="B4870" s="90">
        <v>8.6540701824674269</v>
      </c>
    </row>
    <row r="4871" spans="1:2">
      <c r="A4871" s="32">
        <v>4858</v>
      </c>
      <c r="B4871" s="90">
        <v>7.4035881837493953</v>
      </c>
    </row>
    <row r="4872" spans="1:2">
      <c r="A4872" s="32">
        <v>4859</v>
      </c>
      <c r="B4872" s="90">
        <v>7.5361528299679792</v>
      </c>
    </row>
    <row r="4873" spans="1:2">
      <c r="A4873" s="32">
        <v>4860</v>
      </c>
      <c r="B4873" s="90">
        <v>7.3788531553872554</v>
      </c>
    </row>
    <row r="4874" spans="1:2">
      <c r="A4874" s="32">
        <v>4861</v>
      </c>
      <c r="B4874" s="90">
        <v>7.2782617513509953</v>
      </c>
    </row>
    <row r="4875" spans="1:2">
      <c r="A4875" s="32">
        <v>4862</v>
      </c>
      <c r="B4875" s="90">
        <v>8.0945545189268469</v>
      </c>
    </row>
    <row r="4876" spans="1:2">
      <c r="A4876" s="32">
        <v>4863</v>
      </c>
      <c r="B4876" s="90">
        <v>7.2572225631907354</v>
      </c>
    </row>
    <row r="4877" spans="1:2">
      <c r="A4877" s="32">
        <v>4864</v>
      </c>
      <c r="B4877" s="90">
        <v>7.8153934183483154</v>
      </c>
    </row>
    <row r="4878" spans="1:2">
      <c r="A4878" s="32">
        <v>4865</v>
      </c>
      <c r="B4878" s="90">
        <v>8.3759863190485451</v>
      </c>
    </row>
    <row r="4879" spans="1:2">
      <c r="A4879" s="32">
        <v>4866</v>
      </c>
      <c r="B4879" s="90">
        <v>8.7699045111041478</v>
      </c>
    </row>
    <row r="4880" spans="1:2">
      <c r="A4880" s="32">
        <v>4867</v>
      </c>
      <c r="B4880" s="90">
        <v>7.4713599269857713</v>
      </c>
    </row>
    <row r="4881" spans="1:2">
      <c r="A4881" s="32">
        <v>4868</v>
      </c>
      <c r="B4881" s="90">
        <v>10.536927551088505</v>
      </c>
    </row>
    <row r="4882" spans="1:2">
      <c r="A4882" s="32">
        <v>4869</v>
      </c>
      <c r="B4882" s="90">
        <v>7.8892039125854154</v>
      </c>
    </row>
    <row r="4883" spans="1:2">
      <c r="A4883" s="32">
        <v>4870</v>
      </c>
      <c r="B4883" s="90">
        <v>7.5750895991662972</v>
      </c>
    </row>
    <row r="4884" spans="1:2">
      <c r="A4884" s="32">
        <v>4871</v>
      </c>
      <c r="B4884" s="90">
        <v>8.6271782310088927</v>
      </c>
    </row>
    <row r="4885" spans="1:2">
      <c r="A4885" s="32">
        <v>4872</v>
      </c>
      <c r="B4885" s="90">
        <v>7.2539246418600509</v>
      </c>
    </row>
    <row r="4886" spans="1:2">
      <c r="A4886" s="32">
        <v>4873</v>
      </c>
      <c r="B4886" s="90">
        <v>8.4658448672070659</v>
      </c>
    </row>
    <row r="4887" spans="1:2">
      <c r="A4887" s="32">
        <v>4874</v>
      </c>
      <c r="B4887" s="90">
        <v>8.0626507326788364</v>
      </c>
    </row>
    <row r="4888" spans="1:2">
      <c r="A4888" s="32">
        <v>4875</v>
      </c>
      <c r="B4888" s="90">
        <v>8.4041074963070344</v>
      </c>
    </row>
    <row r="4889" spans="1:2">
      <c r="A4889" s="32">
        <v>4876</v>
      </c>
      <c r="B4889" s="90">
        <v>7.6448281633368627</v>
      </c>
    </row>
    <row r="4890" spans="1:2">
      <c r="A4890" s="32">
        <v>4877</v>
      </c>
      <c r="B4890" s="90">
        <v>7.9748404810826585</v>
      </c>
    </row>
    <row r="4891" spans="1:2">
      <c r="A4891" s="32">
        <v>4878</v>
      </c>
      <c r="B4891" s="90">
        <v>8.0880475360430335</v>
      </c>
    </row>
    <row r="4892" spans="1:2">
      <c r="A4892" s="32">
        <v>4879</v>
      </c>
      <c r="B4892" s="90">
        <v>7.6729136881830184</v>
      </c>
    </row>
    <row r="4893" spans="1:2">
      <c r="A4893" s="32">
        <v>4880</v>
      </c>
      <c r="B4893" s="90">
        <v>9.3011156010277016</v>
      </c>
    </row>
    <row r="4894" spans="1:2">
      <c r="A4894" s="32">
        <v>4881</v>
      </c>
      <c r="B4894" s="90">
        <v>9.7196513314796622</v>
      </c>
    </row>
    <row r="4895" spans="1:2">
      <c r="A4895" s="32">
        <v>4882</v>
      </c>
      <c r="B4895" s="90">
        <v>8.3115121633346689</v>
      </c>
    </row>
    <row r="4896" spans="1:2">
      <c r="A4896" s="32">
        <v>4883</v>
      </c>
      <c r="B4896" s="90">
        <v>8.3984209359813491</v>
      </c>
    </row>
    <row r="4897" spans="1:2">
      <c r="A4897" s="32">
        <v>4884</v>
      </c>
      <c r="B4897" s="90">
        <v>9.0919608277738302</v>
      </c>
    </row>
    <row r="4898" spans="1:2">
      <c r="A4898" s="32">
        <v>4885</v>
      </c>
      <c r="B4898" s="90">
        <v>8.2078519256011155</v>
      </c>
    </row>
    <row r="4899" spans="1:2">
      <c r="A4899" s="32">
        <v>4886</v>
      </c>
      <c r="B4899" s="90">
        <v>8.1285143350264519</v>
      </c>
    </row>
    <row r="4900" spans="1:2">
      <c r="A4900" s="32">
        <v>4887</v>
      </c>
      <c r="B4900" s="90">
        <v>7.6638661711004623</v>
      </c>
    </row>
    <row r="4901" spans="1:2">
      <c r="A4901" s="32">
        <v>4888</v>
      </c>
      <c r="B4901" s="90">
        <v>8.8209900855496581</v>
      </c>
    </row>
    <row r="4902" spans="1:2">
      <c r="A4902" s="32">
        <v>4889</v>
      </c>
      <c r="B4902" s="90">
        <v>7.4294290624034627</v>
      </c>
    </row>
    <row r="4903" spans="1:2">
      <c r="A4903" s="32">
        <v>4890</v>
      </c>
      <c r="B4903" s="90">
        <v>8.0988888040780278</v>
      </c>
    </row>
    <row r="4904" spans="1:2">
      <c r="A4904" s="32">
        <v>4891</v>
      </c>
      <c r="B4904" s="90">
        <v>8.0561538352008828</v>
      </c>
    </row>
    <row r="4905" spans="1:2">
      <c r="A4905" s="32">
        <v>4892</v>
      </c>
      <c r="B4905" s="90">
        <v>8.7205201622962196</v>
      </c>
    </row>
    <row r="4906" spans="1:2">
      <c r="A4906" s="32">
        <v>4893</v>
      </c>
      <c r="B4906" s="90">
        <v>8.9474361245288954</v>
      </c>
    </row>
    <row r="4907" spans="1:2">
      <c r="A4907" s="32">
        <v>4894</v>
      </c>
      <c r="B4907" s="90">
        <v>7.8617690946842584</v>
      </c>
    </row>
    <row r="4908" spans="1:2">
      <c r="A4908" s="32">
        <v>4895</v>
      </c>
      <c r="B4908" s="90">
        <v>7.8016292725651617</v>
      </c>
    </row>
    <row r="4909" spans="1:2">
      <c r="A4909" s="32">
        <v>4896</v>
      </c>
      <c r="B4909" s="90">
        <v>7.619746710814197</v>
      </c>
    </row>
    <row r="4910" spans="1:2">
      <c r="A4910" s="32">
        <v>4897</v>
      </c>
      <c r="B4910" s="90">
        <v>8.4527868700734565</v>
      </c>
    </row>
    <row r="4911" spans="1:2">
      <c r="A4911" s="32">
        <v>4898</v>
      </c>
      <c r="B4911" s="90">
        <v>8.4532701784847522</v>
      </c>
    </row>
    <row r="4912" spans="1:2">
      <c r="A4912" s="32">
        <v>4899</v>
      </c>
      <c r="B4912" s="90">
        <v>8.2127371746471276</v>
      </c>
    </row>
    <row r="4913" spans="1:2">
      <c r="A4913" s="32">
        <v>4900</v>
      </c>
      <c r="B4913" s="90">
        <v>8.3874840906403669</v>
      </c>
    </row>
    <row r="4914" spans="1:2">
      <c r="A4914" s="32">
        <v>4901</v>
      </c>
      <c r="B4914" s="90">
        <v>7.5363141544337306</v>
      </c>
    </row>
    <row r="4915" spans="1:2">
      <c r="A4915" s="32">
        <v>4902</v>
      </c>
      <c r="B4915" s="90">
        <v>8.1157705831596125</v>
      </c>
    </row>
    <row r="4916" spans="1:2">
      <c r="A4916" s="32">
        <v>4903</v>
      </c>
      <c r="B4916" s="90">
        <v>8.2924640324549284</v>
      </c>
    </row>
    <row r="4917" spans="1:2">
      <c r="A4917" s="32">
        <v>4904</v>
      </c>
      <c r="B4917" s="90">
        <v>9.016390759418579</v>
      </c>
    </row>
    <row r="4918" spans="1:2">
      <c r="A4918" s="32">
        <v>4905</v>
      </c>
      <c r="B4918" s="90">
        <v>8.5321633224173663</v>
      </c>
    </row>
    <row r="4919" spans="1:2">
      <c r="A4919" s="32">
        <v>4906</v>
      </c>
      <c r="B4919" s="90">
        <v>8.8844357509940366</v>
      </c>
    </row>
    <row r="4920" spans="1:2">
      <c r="A4920" s="32">
        <v>4907</v>
      </c>
      <c r="B4920" s="90">
        <v>8.791347108025521</v>
      </c>
    </row>
    <row r="4921" spans="1:2">
      <c r="A4921" s="32">
        <v>4908</v>
      </c>
      <c r="B4921" s="90">
        <v>10.307956444916115</v>
      </c>
    </row>
    <row r="4922" spans="1:2">
      <c r="A4922" s="32">
        <v>4909</v>
      </c>
      <c r="B4922" s="90">
        <v>8.8080316646409873</v>
      </c>
    </row>
    <row r="4923" spans="1:2">
      <c r="A4923" s="32">
        <v>4910</v>
      </c>
      <c r="B4923" s="90">
        <v>9.8453370464823866</v>
      </c>
    </row>
    <row r="4924" spans="1:2">
      <c r="A4924" s="32">
        <v>4911</v>
      </c>
      <c r="B4924" s="90">
        <v>8.4349486275291703</v>
      </c>
    </row>
    <row r="4925" spans="1:2">
      <c r="A4925" s="32">
        <v>4912</v>
      </c>
      <c r="B4925" s="90">
        <v>8.7163343209260269</v>
      </c>
    </row>
    <row r="4926" spans="1:2">
      <c r="A4926" s="32">
        <v>4913</v>
      </c>
      <c r="B4926" s="90">
        <v>8.0412830246582825</v>
      </c>
    </row>
    <row r="4927" spans="1:2">
      <c r="A4927" s="32">
        <v>4914</v>
      </c>
      <c r="B4927" s="90">
        <v>6.8852885265248664</v>
      </c>
    </row>
    <row r="4928" spans="1:2">
      <c r="A4928" s="32">
        <v>4915</v>
      </c>
      <c r="B4928" s="90">
        <v>7.4618223689232304</v>
      </c>
    </row>
    <row r="4929" spans="1:2">
      <c r="A4929" s="32">
        <v>4916</v>
      </c>
      <c r="B4929" s="90">
        <v>7.2650699840383792</v>
      </c>
    </row>
    <row r="4930" spans="1:2">
      <c r="A4930" s="32">
        <v>4917</v>
      </c>
      <c r="B4930" s="90">
        <v>7.2872525749700028</v>
      </c>
    </row>
    <row r="4931" spans="1:2">
      <c r="A4931" s="32">
        <v>4918</v>
      </c>
      <c r="B4931" s="90">
        <v>7.4437690306369948</v>
      </c>
    </row>
    <row r="4932" spans="1:2">
      <c r="A4932" s="32">
        <v>4919</v>
      </c>
      <c r="B4932" s="90">
        <v>7.7001974592334443</v>
      </c>
    </row>
    <row r="4933" spans="1:2">
      <c r="A4933" s="32">
        <v>4920</v>
      </c>
      <c r="B4933" s="90">
        <v>8.2637118054948768</v>
      </c>
    </row>
    <row r="4934" spans="1:2">
      <c r="A4934" s="32">
        <v>4921</v>
      </c>
      <c r="B4934" s="90">
        <v>8.2554239191024692</v>
      </c>
    </row>
    <row r="4935" spans="1:2">
      <c r="A4935" s="32">
        <v>4922</v>
      </c>
      <c r="B4935" s="90">
        <v>7.4524652649906544</v>
      </c>
    </row>
    <row r="4936" spans="1:2">
      <c r="A4936" s="32">
        <v>4923</v>
      </c>
      <c r="B4936" s="90">
        <v>8.4824512762155564</v>
      </c>
    </row>
    <row r="4937" spans="1:2">
      <c r="A4937" s="32">
        <v>4924</v>
      </c>
      <c r="B4937" s="90">
        <v>8.3376023728272735</v>
      </c>
    </row>
    <row r="4938" spans="1:2">
      <c r="A4938" s="32">
        <v>4925</v>
      </c>
      <c r="B4938" s="90">
        <v>7.377363967015703</v>
      </c>
    </row>
    <row r="4939" spans="1:2">
      <c r="A4939" s="32">
        <v>4926</v>
      </c>
      <c r="B4939" s="90">
        <v>7.8039890342541014</v>
      </c>
    </row>
    <row r="4940" spans="1:2">
      <c r="A4940" s="32">
        <v>4927</v>
      </c>
      <c r="B4940" s="90">
        <v>8.6567696767135125</v>
      </c>
    </row>
    <row r="4941" spans="1:2">
      <c r="A4941" s="32">
        <v>4928</v>
      </c>
      <c r="B4941" s="90">
        <v>8.8616812644303824</v>
      </c>
    </row>
    <row r="4942" spans="1:2">
      <c r="A4942" s="32">
        <v>4929</v>
      </c>
      <c r="B4942" s="90">
        <v>7.39455726249032</v>
      </c>
    </row>
    <row r="4943" spans="1:2">
      <c r="A4943" s="32">
        <v>4930</v>
      </c>
      <c r="B4943" s="90">
        <v>7.4766505681525484</v>
      </c>
    </row>
    <row r="4944" spans="1:2">
      <c r="A4944" s="32">
        <v>4931</v>
      </c>
      <c r="B4944" s="90">
        <v>7.5610728629259913</v>
      </c>
    </row>
    <row r="4945" spans="1:2">
      <c r="A4945" s="32">
        <v>4932</v>
      </c>
      <c r="B4945" s="90">
        <v>8.4915334849756814</v>
      </c>
    </row>
    <row r="4946" spans="1:2">
      <c r="A4946" s="32">
        <v>4933</v>
      </c>
      <c r="B4946" s="90">
        <v>8.4232098033347054</v>
      </c>
    </row>
    <row r="4947" spans="1:2">
      <c r="A4947" s="32">
        <v>4934</v>
      </c>
      <c r="B4947" s="90">
        <v>7.2139318522009841</v>
      </c>
    </row>
    <row r="4948" spans="1:2">
      <c r="A4948" s="32">
        <v>4935</v>
      </c>
      <c r="B4948" s="90">
        <v>8.8848233083830976</v>
      </c>
    </row>
    <row r="4949" spans="1:2">
      <c r="A4949" s="32">
        <v>4936</v>
      </c>
      <c r="B4949" s="90">
        <v>7.9458845385677739</v>
      </c>
    </row>
    <row r="4950" spans="1:2">
      <c r="A4950" s="32">
        <v>4937</v>
      </c>
      <c r="B4950" s="90">
        <v>7.0265744803465129</v>
      </c>
    </row>
    <row r="4951" spans="1:2">
      <c r="A4951" s="32">
        <v>4938</v>
      </c>
      <c r="B4951" s="90">
        <v>7.6590057394687516</v>
      </c>
    </row>
    <row r="4952" spans="1:2">
      <c r="A4952" s="32">
        <v>4939</v>
      </c>
      <c r="B4952" s="90">
        <v>8.5187695956386928</v>
      </c>
    </row>
    <row r="4953" spans="1:2">
      <c r="A4953" s="32">
        <v>4940</v>
      </c>
      <c r="B4953" s="90">
        <v>7.9668756282192748</v>
      </c>
    </row>
    <row r="4954" spans="1:2">
      <c r="A4954" s="32">
        <v>4941</v>
      </c>
      <c r="B4954" s="90">
        <v>9.0234122595471824</v>
      </c>
    </row>
    <row r="4955" spans="1:2">
      <c r="A4955" s="32">
        <v>4942</v>
      </c>
      <c r="B4955" s="90">
        <v>7.2714106159359959</v>
      </c>
    </row>
    <row r="4956" spans="1:2">
      <c r="A4956" s="32">
        <v>4943</v>
      </c>
      <c r="B4956" s="90">
        <v>7.9719928797466251</v>
      </c>
    </row>
    <row r="4957" spans="1:2">
      <c r="A4957" s="32">
        <v>4944</v>
      </c>
      <c r="B4957" s="90">
        <v>7.7291130671776145</v>
      </c>
    </row>
    <row r="4958" spans="1:2">
      <c r="A4958" s="32">
        <v>4945</v>
      </c>
      <c r="B4958" s="90">
        <v>7.6300966711660898</v>
      </c>
    </row>
    <row r="4959" spans="1:2">
      <c r="A4959" s="32">
        <v>4946</v>
      </c>
      <c r="B4959" s="90">
        <v>9.1124202928307785</v>
      </c>
    </row>
    <row r="4960" spans="1:2">
      <c r="A4960" s="32">
        <v>4947</v>
      </c>
      <c r="B4960" s="90">
        <v>8.092232425647639</v>
      </c>
    </row>
    <row r="4961" spans="1:2">
      <c r="A4961" s="32">
        <v>4948</v>
      </c>
      <c r="B4961" s="90">
        <v>7.2290264954083288</v>
      </c>
    </row>
    <row r="4962" spans="1:2">
      <c r="A4962" s="32">
        <v>4949</v>
      </c>
      <c r="B4962" s="90">
        <v>7.8290978247034628</v>
      </c>
    </row>
    <row r="4963" spans="1:2">
      <c r="A4963" s="32">
        <v>4950</v>
      </c>
      <c r="B4963" s="90">
        <v>7.9493312364179918</v>
      </c>
    </row>
    <row r="4964" spans="1:2">
      <c r="A4964" s="32">
        <v>4951</v>
      </c>
      <c r="B4964" s="90">
        <v>7.9615384500919131</v>
      </c>
    </row>
    <row r="4965" spans="1:2">
      <c r="A4965" s="32">
        <v>4952</v>
      </c>
      <c r="B4965" s="90">
        <v>7.7002686061255208</v>
      </c>
    </row>
    <row r="4966" spans="1:2">
      <c r="A4966" s="32">
        <v>4953</v>
      </c>
      <c r="B4966" s="90">
        <v>9.5139805306776175</v>
      </c>
    </row>
    <row r="4967" spans="1:2">
      <c r="A4967" s="32">
        <v>4954</v>
      </c>
      <c r="B4967" s="90">
        <v>7.7935053971900645</v>
      </c>
    </row>
    <row r="4968" spans="1:2">
      <c r="A4968" s="32">
        <v>4955</v>
      </c>
      <c r="B4968" s="90">
        <v>7.5945515652872535</v>
      </c>
    </row>
    <row r="4969" spans="1:2">
      <c r="A4969" s="32">
        <v>4956</v>
      </c>
      <c r="B4969" s="90">
        <v>8.8452806015604981</v>
      </c>
    </row>
    <row r="4970" spans="1:2">
      <c r="A4970" s="32">
        <v>4957</v>
      </c>
      <c r="B4970" s="90">
        <v>8.5170175138509201</v>
      </c>
    </row>
    <row r="4971" spans="1:2">
      <c r="A4971" s="32">
        <v>4958</v>
      </c>
      <c r="B4971" s="90">
        <v>8.1997252145558353</v>
      </c>
    </row>
    <row r="4972" spans="1:2">
      <c r="A4972" s="32">
        <v>4959</v>
      </c>
      <c r="B4972" s="90">
        <v>8.1607410029858762</v>
      </c>
    </row>
    <row r="4973" spans="1:2">
      <c r="A4973" s="32">
        <v>4960</v>
      </c>
      <c r="B4973" s="90">
        <v>8.1870187474371381</v>
      </c>
    </row>
    <row r="4974" spans="1:2">
      <c r="A4974" s="32">
        <v>4961</v>
      </c>
      <c r="B4974" s="90">
        <v>8.2710282113736255</v>
      </c>
    </row>
    <row r="4975" spans="1:2">
      <c r="A4975" s="32">
        <v>4962</v>
      </c>
      <c r="B4975" s="90">
        <v>8.3783123417981376</v>
      </c>
    </row>
    <row r="4976" spans="1:2">
      <c r="A4976" s="32">
        <v>4963</v>
      </c>
      <c r="B4976" s="90">
        <v>8.5219187182041303</v>
      </c>
    </row>
    <row r="4977" spans="1:2">
      <c r="A4977" s="32">
        <v>4964</v>
      </c>
      <c r="B4977" s="90">
        <v>8.1001268556790613</v>
      </c>
    </row>
    <row r="4978" spans="1:2">
      <c r="A4978" s="32">
        <v>4965</v>
      </c>
      <c r="B4978" s="90">
        <v>8.8096276750879348</v>
      </c>
    </row>
    <row r="4979" spans="1:2">
      <c r="A4979" s="32">
        <v>4966</v>
      </c>
      <c r="B4979" s="90">
        <v>8.6664749856355368</v>
      </c>
    </row>
    <row r="4980" spans="1:2">
      <c r="A4980" s="32">
        <v>4967</v>
      </c>
      <c r="B4980" s="90">
        <v>9.6963720375825027</v>
      </c>
    </row>
    <row r="4981" spans="1:2">
      <c r="A4981" s="32">
        <v>4968</v>
      </c>
      <c r="B4981" s="90">
        <v>8.0688933936080875</v>
      </c>
    </row>
    <row r="4982" spans="1:2">
      <c r="A4982" s="32">
        <v>4969</v>
      </c>
      <c r="B4982" s="90">
        <v>7.3796026123612268</v>
      </c>
    </row>
    <row r="4983" spans="1:2">
      <c r="A4983" s="32">
        <v>4970</v>
      </c>
      <c r="B4983" s="90">
        <v>8.5236745299684049</v>
      </c>
    </row>
    <row r="4984" spans="1:2">
      <c r="A4984" s="32">
        <v>4971</v>
      </c>
      <c r="B4984" s="90">
        <v>8.2892057056167356</v>
      </c>
    </row>
    <row r="4985" spans="1:2">
      <c r="A4985" s="32">
        <v>4972</v>
      </c>
      <c r="B4985" s="90">
        <v>7.8718986945202643</v>
      </c>
    </row>
    <row r="4986" spans="1:2">
      <c r="A4986" s="32">
        <v>4973</v>
      </c>
      <c r="B4986" s="90">
        <v>7.5962014675835148</v>
      </c>
    </row>
    <row r="4987" spans="1:2">
      <c r="A4987" s="32">
        <v>4974</v>
      </c>
      <c r="B4987" s="90">
        <v>8.0398053599297405</v>
      </c>
    </row>
    <row r="4988" spans="1:2">
      <c r="A4988" s="32">
        <v>4975</v>
      </c>
      <c r="B4988" s="90">
        <v>8.4468495733227034</v>
      </c>
    </row>
    <row r="4989" spans="1:2">
      <c r="A4989" s="32">
        <v>4976</v>
      </c>
      <c r="B4989" s="90">
        <v>6.7450559772573628</v>
      </c>
    </row>
    <row r="4990" spans="1:2">
      <c r="A4990" s="32">
        <v>4977</v>
      </c>
      <c r="B4990" s="90">
        <v>8.0684244617151766</v>
      </c>
    </row>
    <row r="4991" spans="1:2">
      <c r="A4991" s="32">
        <v>4978</v>
      </c>
      <c r="B4991" s="90">
        <v>7.9156707086194</v>
      </c>
    </row>
    <row r="4992" spans="1:2">
      <c r="A4992" s="32">
        <v>4979</v>
      </c>
      <c r="B4992" s="90">
        <v>7.9942701581533973</v>
      </c>
    </row>
    <row r="4993" spans="1:2">
      <c r="A4993" s="32">
        <v>4980</v>
      </c>
      <c r="B4993" s="90">
        <v>7.6211030943800502</v>
      </c>
    </row>
    <row r="4994" spans="1:2">
      <c r="A4994" s="32">
        <v>4981</v>
      </c>
      <c r="B4994" s="90">
        <v>7.1294422725295838</v>
      </c>
    </row>
    <row r="4995" spans="1:2">
      <c r="A4995" s="32">
        <v>4982</v>
      </c>
      <c r="B4995" s="90">
        <v>7.1657404516075447</v>
      </c>
    </row>
    <row r="4996" spans="1:2">
      <c r="A4996" s="32">
        <v>4983</v>
      </c>
      <c r="B4996" s="90">
        <v>7.8190705686720587</v>
      </c>
    </row>
    <row r="4997" spans="1:2">
      <c r="A4997" s="32">
        <v>4984</v>
      </c>
      <c r="B4997" s="90">
        <v>7.7560807718701561</v>
      </c>
    </row>
    <row r="4998" spans="1:2">
      <c r="A4998" s="32">
        <v>4985</v>
      </c>
      <c r="B4998" s="90">
        <v>7.7184429270013517</v>
      </c>
    </row>
    <row r="4999" spans="1:2">
      <c r="A4999" s="32">
        <v>4986</v>
      </c>
      <c r="B4999" s="90">
        <v>8.5829847707629714</v>
      </c>
    </row>
    <row r="5000" spans="1:2">
      <c r="A5000" s="32">
        <v>4987</v>
      </c>
      <c r="B5000" s="90">
        <v>8.7360872220145023</v>
      </c>
    </row>
    <row r="5001" spans="1:2">
      <c r="A5001" s="32">
        <v>4988</v>
      </c>
      <c r="B5001" s="90">
        <v>7.3236344546327059</v>
      </c>
    </row>
    <row r="5002" spans="1:2">
      <c r="A5002" s="32">
        <v>4989</v>
      </c>
      <c r="B5002" s="90">
        <v>8.1468624392946012</v>
      </c>
    </row>
    <row r="5003" spans="1:2">
      <c r="A5003" s="32">
        <v>4990</v>
      </c>
      <c r="B5003" s="90">
        <v>8.0562944193240966</v>
      </c>
    </row>
    <row r="5004" spans="1:2">
      <c r="A5004" s="32">
        <v>4991</v>
      </c>
      <c r="B5004" s="90">
        <v>8.4124645358735481</v>
      </c>
    </row>
    <row r="5005" spans="1:2">
      <c r="A5005" s="32">
        <v>4992</v>
      </c>
      <c r="B5005" s="90">
        <v>8.7278982913488079</v>
      </c>
    </row>
    <row r="5006" spans="1:2">
      <c r="A5006" s="32">
        <v>4993</v>
      </c>
      <c r="B5006" s="90">
        <v>7.6749396742705631</v>
      </c>
    </row>
    <row r="5007" spans="1:2">
      <c r="A5007" s="32">
        <v>4994</v>
      </c>
      <c r="B5007" s="90">
        <v>8.5105481358316695</v>
      </c>
    </row>
    <row r="5008" spans="1:2">
      <c r="A5008" s="32">
        <v>4995</v>
      </c>
      <c r="B5008" s="90">
        <v>6.7286552312612509</v>
      </c>
    </row>
    <row r="5009" spans="1:2">
      <c r="A5009" s="32">
        <v>4996</v>
      </c>
      <c r="B5009" s="90">
        <v>6.6291970922741728</v>
      </c>
    </row>
    <row r="5010" spans="1:2">
      <c r="A5010" s="32">
        <v>4997</v>
      </c>
      <c r="B5010" s="90">
        <v>7.5634941994671419</v>
      </c>
    </row>
    <row r="5011" spans="1:2">
      <c r="A5011" s="32">
        <v>4998</v>
      </c>
      <c r="B5011" s="90">
        <v>8.0007381669745516</v>
      </c>
    </row>
    <row r="5012" spans="1:2">
      <c r="A5012" s="32">
        <v>4999</v>
      </c>
      <c r="B5012" s="90">
        <v>8.2715858691582493</v>
      </c>
    </row>
    <row r="5013" spans="1:2">
      <c r="A5013" s="32">
        <v>5000</v>
      </c>
      <c r="B5013" s="90">
        <v>9.2745355451915881</v>
      </c>
    </row>
    <row r="5014" spans="1:2">
      <c r="A5014" s="32">
        <v>5001</v>
      </c>
      <c r="B5014" s="90">
        <v>8.6060718589060272</v>
      </c>
    </row>
    <row r="5015" spans="1:2">
      <c r="A5015" s="32">
        <v>5002</v>
      </c>
      <c r="B5015" s="90">
        <v>9.0123094761382632</v>
      </c>
    </row>
    <row r="5016" spans="1:2">
      <c r="A5016" s="32">
        <v>5003</v>
      </c>
      <c r="B5016" s="90">
        <v>7.7433772688911828</v>
      </c>
    </row>
    <row r="5017" spans="1:2">
      <c r="A5017" s="32">
        <v>5004</v>
      </c>
      <c r="B5017" s="90">
        <v>8.8757817315004033</v>
      </c>
    </row>
    <row r="5018" spans="1:2">
      <c r="A5018" s="32">
        <v>5005</v>
      </c>
      <c r="B5018" s="90">
        <v>7.9638059739256475</v>
      </c>
    </row>
    <row r="5019" spans="1:2">
      <c r="A5019" s="32">
        <v>5006</v>
      </c>
      <c r="B5019" s="90">
        <v>7.4366709541575169</v>
      </c>
    </row>
    <row r="5020" spans="1:2">
      <c r="A5020" s="32">
        <v>5007</v>
      </c>
      <c r="B5020" s="90">
        <v>8.4805316264507482</v>
      </c>
    </row>
    <row r="5021" spans="1:2">
      <c r="A5021" s="32">
        <v>5008</v>
      </c>
      <c r="B5021" s="90">
        <v>8.46914636424337</v>
      </c>
    </row>
    <row r="5022" spans="1:2">
      <c r="A5022" s="32">
        <v>5009</v>
      </c>
      <c r="B5022" s="90">
        <v>7.3126503746976708</v>
      </c>
    </row>
    <row r="5023" spans="1:2">
      <c r="A5023" s="32">
        <v>5010</v>
      </c>
      <c r="B5023" s="90">
        <v>8.3887185068521646</v>
      </c>
    </row>
    <row r="5024" spans="1:2">
      <c r="A5024" s="32">
        <v>5011</v>
      </c>
      <c r="B5024" s="90">
        <v>8.8860187981912357</v>
      </c>
    </row>
    <row r="5025" spans="1:2">
      <c r="A5025" s="32">
        <v>5012</v>
      </c>
      <c r="B5025" s="90">
        <v>8.183069543425967</v>
      </c>
    </row>
    <row r="5026" spans="1:2">
      <c r="A5026" s="32">
        <v>5013</v>
      </c>
      <c r="B5026" s="90">
        <v>7.6834081740391724</v>
      </c>
    </row>
    <row r="5027" spans="1:2">
      <c r="A5027" s="32">
        <v>5014</v>
      </c>
      <c r="B5027" s="90">
        <v>8.2428273678770694</v>
      </c>
    </row>
    <row r="5028" spans="1:2">
      <c r="A5028" s="32">
        <v>5015</v>
      </c>
      <c r="B5028" s="90">
        <v>7.3696257557444165</v>
      </c>
    </row>
    <row r="5029" spans="1:2">
      <c r="A5029" s="32">
        <v>5016</v>
      </c>
      <c r="B5029" s="90">
        <v>7.1642192541042373</v>
      </c>
    </row>
    <row r="5030" spans="1:2">
      <c r="A5030" s="32">
        <v>5017</v>
      </c>
      <c r="B5030" s="90">
        <v>8.8337521561723378</v>
      </c>
    </row>
    <row r="5031" spans="1:2">
      <c r="A5031" s="32">
        <v>5018</v>
      </c>
      <c r="B5031" s="90">
        <v>8.9680235594511561</v>
      </c>
    </row>
    <row r="5032" spans="1:2">
      <c r="A5032" s="32">
        <v>5019</v>
      </c>
      <c r="B5032" s="90">
        <v>8.9385244244038997</v>
      </c>
    </row>
    <row r="5033" spans="1:2">
      <c r="A5033" s="32">
        <v>5020</v>
      </c>
      <c r="B5033" s="90">
        <v>8.1914013665094938</v>
      </c>
    </row>
    <row r="5034" spans="1:2">
      <c r="A5034" s="32">
        <v>5021</v>
      </c>
      <c r="B5034" s="90">
        <v>8.5100762156699759</v>
      </c>
    </row>
    <row r="5035" spans="1:2">
      <c r="A5035" s="32">
        <v>5022</v>
      </c>
      <c r="B5035" s="90">
        <v>7.9608687983936397</v>
      </c>
    </row>
    <row r="5036" spans="1:2">
      <c r="A5036" s="32">
        <v>5023</v>
      </c>
      <c r="B5036" s="90">
        <v>7.4265153988567851</v>
      </c>
    </row>
    <row r="5037" spans="1:2">
      <c r="A5037" s="32">
        <v>5024</v>
      </c>
      <c r="B5037" s="90">
        <v>9.0630084353059246</v>
      </c>
    </row>
    <row r="5038" spans="1:2">
      <c r="A5038" s="32">
        <v>5025</v>
      </c>
      <c r="B5038" s="90">
        <v>7.021882074519425</v>
      </c>
    </row>
    <row r="5039" spans="1:2">
      <c r="A5039" s="32">
        <v>5026</v>
      </c>
      <c r="B5039" s="90">
        <v>7.6070639038414267</v>
      </c>
    </row>
    <row r="5040" spans="1:2">
      <c r="A5040" s="32">
        <v>5027</v>
      </c>
      <c r="B5040" s="90">
        <v>7.8626735393997071</v>
      </c>
    </row>
    <row r="5041" spans="1:2">
      <c r="A5041" s="32">
        <v>5028</v>
      </c>
      <c r="B5041" s="90">
        <v>8.1782055483758782</v>
      </c>
    </row>
    <row r="5042" spans="1:2">
      <c r="A5042" s="32">
        <v>5029</v>
      </c>
      <c r="B5042" s="90">
        <v>6.7630614618271867</v>
      </c>
    </row>
    <row r="5043" spans="1:2">
      <c r="A5043" s="32">
        <v>5030</v>
      </c>
      <c r="B5043" s="90">
        <v>7.5858672542414256</v>
      </c>
    </row>
    <row r="5044" spans="1:2">
      <c r="A5044" s="32">
        <v>5031</v>
      </c>
      <c r="B5044" s="90">
        <v>7.5110076089018687</v>
      </c>
    </row>
    <row r="5045" spans="1:2">
      <c r="A5045" s="32">
        <v>5032</v>
      </c>
      <c r="B5045" s="90">
        <v>7.2166539148366642</v>
      </c>
    </row>
    <row r="5046" spans="1:2">
      <c r="A5046" s="32">
        <v>5033</v>
      </c>
      <c r="B5046" s="90">
        <v>8.716919491166248</v>
      </c>
    </row>
    <row r="5047" spans="1:2">
      <c r="A5047" s="32">
        <v>5034</v>
      </c>
      <c r="B5047" s="90">
        <v>7.6314529634365673</v>
      </c>
    </row>
    <row r="5048" spans="1:2">
      <c r="A5048" s="32">
        <v>5035</v>
      </c>
      <c r="B5048" s="90">
        <v>8.1109408342903926</v>
      </c>
    </row>
    <row r="5049" spans="1:2">
      <c r="A5049" s="32">
        <v>5036</v>
      </c>
      <c r="B5049" s="90">
        <v>8.2853726340582075</v>
      </c>
    </row>
    <row r="5050" spans="1:2">
      <c r="A5050" s="32">
        <v>5037</v>
      </c>
      <c r="B5050" s="90">
        <v>7.7763440035626932</v>
      </c>
    </row>
    <row r="5051" spans="1:2">
      <c r="A5051" s="32">
        <v>5038</v>
      </c>
      <c r="B5051" s="90">
        <v>7.4970149352359368</v>
      </c>
    </row>
    <row r="5052" spans="1:2">
      <c r="A5052" s="32">
        <v>5039</v>
      </c>
      <c r="B5052" s="90">
        <v>7.4908335482492943</v>
      </c>
    </row>
    <row r="5053" spans="1:2">
      <c r="A5053" s="32">
        <v>5040</v>
      </c>
      <c r="B5053" s="90">
        <v>7.6179360212301068</v>
      </c>
    </row>
    <row r="5054" spans="1:2">
      <c r="A5054" s="32">
        <v>5041</v>
      </c>
      <c r="B5054" s="90">
        <v>8.0286031792595836</v>
      </c>
    </row>
    <row r="5055" spans="1:2">
      <c r="A5055" s="32">
        <v>5042</v>
      </c>
      <c r="B5055" s="90">
        <v>8.6287284919592704</v>
      </c>
    </row>
    <row r="5056" spans="1:2">
      <c r="A5056" s="32">
        <v>5043</v>
      </c>
      <c r="B5056" s="90">
        <v>8.6317625746385058</v>
      </c>
    </row>
    <row r="5057" spans="1:2">
      <c r="A5057" s="32">
        <v>5044</v>
      </c>
      <c r="B5057" s="90">
        <v>8.4414642046462678</v>
      </c>
    </row>
    <row r="5058" spans="1:2">
      <c r="A5058" s="32">
        <v>5045</v>
      </c>
      <c r="B5058" s="90">
        <v>7.6311955242303249</v>
      </c>
    </row>
    <row r="5059" spans="1:2">
      <c r="A5059" s="32">
        <v>5046</v>
      </c>
      <c r="B5059" s="90">
        <v>8.4808427364903274</v>
      </c>
    </row>
    <row r="5060" spans="1:2">
      <c r="A5060" s="32">
        <v>5047</v>
      </c>
      <c r="B5060" s="90">
        <v>7.5586907954102678</v>
      </c>
    </row>
    <row r="5061" spans="1:2">
      <c r="A5061" s="32">
        <v>5048</v>
      </c>
      <c r="B5061" s="90">
        <v>8.6533480078593339</v>
      </c>
    </row>
    <row r="5062" spans="1:2">
      <c r="A5062" s="32">
        <v>5049</v>
      </c>
      <c r="B5062" s="90">
        <v>7.9159781326747689</v>
      </c>
    </row>
    <row r="5063" spans="1:2">
      <c r="A5063" s="32">
        <v>5050</v>
      </c>
      <c r="B5063" s="90">
        <v>8.900772757834666</v>
      </c>
    </row>
    <row r="5064" spans="1:2">
      <c r="A5064" s="32">
        <v>5051</v>
      </c>
      <c r="B5064" s="90">
        <v>8.6452578928729213</v>
      </c>
    </row>
    <row r="5065" spans="1:2">
      <c r="A5065" s="32">
        <v>5052</v>
      </c>
      <c r="B5065" s="90">
        <v>8.1707434198685132</v>
      </c>
    </row>
    <row r="5066" spans="1:2">
      <c r="A5066" s="32">
        <v>5053</v>
      </c>
      <c r="B5066" s="90">
        <v>6.9306252050494885</v>
      </c>
    </row>
    <row r="5067" spans="1:2">
      <c r="A5067" s="32">
        <v>5054</v>
      </c>
      <c r="B5067" s="90">
        <v>9.0349755936445213</v>
      </c>
    </row>
    <row r="5068" spans="1:2">
      <c r="A5068" s="32">
        <v>5055</v>
      </c>
      <c r="B5068" s="90">
        <v>8.6588219651944911</v>
      </c>
    </row>
    <row r="5069" spans="1:2">
      <c r="A5069" s="32">
        <v>5056</v>
      </c>
      <c r="B5069" s="90">
        <v>7.9772662489960844</v>
      </c>
    </row>
    <row r="5070" spans="1:2">
      <c r="A5070" s="32">
        <v>5057</v>
      </c>
      <c r="B5070" s="90">
        <v>9.0023520013457023</v>
      </c>
    </row>
    <row r="5071" spans="1:2">
      <c r="A5071" s="32">
        <v>5058</v>
      </c>
      <c r="B5071" s="90">
        <v>8.7237155287273893</v>
      </c>
    </row>
    <row r="5072" spans="1:2">
      <c r="A5072" s="32">
        <v>5059</v>
      </c>
      <c r="B5072" s="90">
        <v>8.3686526964770369</v>
      </c>
    </row>
    <row r="5073" spans="1:2">
      <c r="A5073" s="32">
        <v>5060</v>
      </c>
      <c r="B5073" s="90">
        <v>7.0360135870747635</v>
      </c>
    </row>
    <row r="5074" spans="1:2">
      <c r="A5074" s="32">
        <v>5061</v>
      </c>
      <c r="B5074" s="90">
        <v>7.4816365115727814</v>
      </c>
    </row>
    <row r="5075" spans="1:2">
      <c r="A5075" s="32">
        <v>5062</v>
      </c>
      <c r="B5075" s="90">
        <v>7.8104627691941948</v>
      </c>
    </row>
    <row r="5076" spans="1:2">
      <c r="A5076" s="32">
        <v>5063</v>
      </c>
      <c r="B5076" s="90">
        <v>8.6821402423835004</v>
      </c>
    </row>
    <row r="5077" spans="1:2">
      <c r="A5077" s="32">
        <v>5064</v>
      </c>
      <c r="B5077" s="90">
        <v>8.0567968752316244</v>
      </c>
    </row>
    <row r="5078" spans="1:2">
      <c r="A5078" s="32">
        <v>5065</v>
      </c>
      <c r="B5078" s="90">
        <v>7.8018230681023129</v>
      </c>
    </row>
    <row r="5079" spans="1:2">
      <c r="A5079" s="32">
        <v>5066</v>
      </c>
      <c r="B5079" s="90">
        <v>7.9398871205251167</v>
      </c>
    </row>
    <row r="5080" spans="1:2">
      <c r="A5080" s="32">
        <v>5067</v>
      </c>
      <c r="B5080" s="90">
        <v>7.4106946793194028</v>
      </c>
    </row>
    <row r="5081" spans="1:2">
      <c r="A5081" s="32">
        <v>5068</v>
      </c>
      <c r="B5081" s="90">
        <v>8.0034532814890156</v>
      </c>
    </row>
    <row r="5082" spans="1:2">
      <c r="A5082" s="32">
        <v>5069</v>
      </c>
      <c r="B5082" s="90">
        <v>8.1695448314436252</v>
      </c>
    </row>
    <row r="5083" spans="1:2">
      <c r="A5083" s="32">
        <v>5070</v>
      </c>
      <c r="B5083" s="90">
        <v>8.6076059364921846</v>
      </c>
    </row>
    <row r="5084" spans="1:2">
      <c r="A5084" s="32">
        <v>5071</v>
      </c>
      <c r="B5084" s="90">
        <v>7.6536584157957153</v>
      </c>
    </row>
    <row r="5085" spans="1:2">
      <c r="A5085" s="32">
        <v>5072</v>
      </c>
      <c r="B5085" s="90">
        <v>7.6454843926739899</v>
      </c>
    </row>
    <row r="5086" spans="1:2">
      <c r="A5086" s="32">
        <v>5073</v>
      </c>
      <c r="B5086" s="90">
        <v>7.7147436967061891</v>
      </c>
    </row>
    <row r="5087" spans="1:2">
      <c r="A5087" s="32">
        <v>5074</v>
      </c>
      <c r="B5087" s="90">
        <v>8.0770523675840575</v>
      </c>
    </row>
    <row r="5088" spans="1:2">
      <c r="A5088" s="32">
        <v>5075</v>
      </c>
      <c r="B5088" s="90">
        <v>8.8533081639988609</v>
      </c>
    </row>
    <row r="5089" spans="1:2">
      <c r="A5089" s="32">
        <v>5076</v>
      </c>
      <c r="B5089" s="90">
        <v>7.5256922937530968</v>
      </c>
    </row>
    <row r="5090" spans="1:2">
      <c r="A5090" s="32">
        <v>5077</v>
      </c>
      <c r="B5090" s="90">
        <v>7.2907692264637038</v>
      </c>
    </row>
    <row r="5091" spans="1:2">
      <c r="A5091" s="32">
        <v>5078</v>
      </c>
      <c r="B5091" s="90">
        <v>7.8279327213055971</v>
      </c>
    </row>
    <row r="5092" spans="1:2">
      <c r="A5092" s="32">
        <v>5079</v>
      </c>
      <c r="B5092" s="90">
        <v>8.0890206151626334</v>
      </c>
    </row>
    <row r="5093" spans="1:2">
      <c r="A5093" s="32">
        <v>5080</v>
      </c>
      <c r="B5093" s="90">
        <v>7.8893568057474548</v>
      </c>
    </row>
    <row r="5094" spans="1:2">
      <c r="A5094" s="32">
        <v>5081</v>
      </c>
      <c r="B5094" s="90">
        <v>8.1732191799837697</v>
      </c>
    </row>
    <row r="5095" spans="1:2">
      <c r="A5095" s="32">
        <v>5082</v>
      </c>
      <c r="B5095" s="90">
        <v>7.9853449453018825</v>
      </c>
    </row>
    <row r="5096" spans="1:2">
      <c r="A5096" s="32">
        <v>5083</v>
      </c>
      <c r="B5096" s="90">
        <v>8.645999716407319</v>
      </c>
    </row>
    <row r="5097" spans="1:2">
      <c r="A5097" s="32">
        <v>5084</v>
      </c>
      <c r="B5097" s="90">
        <v>8.7571497478963387</v>
      </c>
    </row>
    <row r="5098" spans="1:2">
      <c r="A5098" s="32">
        <v>5085</v>
      </c>
      <c r="B5098" s="90">
        <v>8.0308702111012238</v>
      </c>
    </row>
    <row r="5099" spans="1:2">
      <c r="A5099" s="32">
        <v>5086</v>
      </c>
      <c r="B5099" s="90">
        <v>7.4987949249154724</v>
      </c>
    </row>
    <row r="5100" spans="1:2">
      <c r="A5100" s="32">
        <v>5087</v>
      </c>
      <c r="B5100" s="90">
        <v>8.1314386677912811</v>
      </c>
    </row>
    <row r="5101" spans="1:2">
      <c r="A5101" s="32">
        <v>5088</v>
      </c>
      <c r="B5101" s="90">
        <v>6.8559742714505392</v>
      </c>
    </row>
    <row r="5102" spans="1:2">
      <c r="A5102" s="32">
        <v>5089</v>
      </c>
      <c r="B5102" s="90">
        <v>8.1599876336335964</v>
      </c>
    </row>
    <row r="5103" spans="1:2">
      <c r="A5103" s="32">
        <v>5090</v>
      </c>
      <c r="B5103" s="90">
        <v>9.3540117599164621</v>
      </c>
    </row>
    <row r="5104" spans="1:2">
      <c r="A5104" s="32">
        <v>5091</v>
      </c>
      <c r="B5104" s="90">
        <v>8.5777015937387606</v>
      </c>
    </row>
    <row r="5105" spans="1:2">
      <c r="A5105" s="32">
        <v>5092</v>
      </c>
      <c r="B5105" s="90">
        <v>8.8660647487820086</v>
      </c>
    </row>
    <row r="5106" spans="1:2">
      <c r="A5106" s="32">
        <v>5093</v>
      </c>
      <c r="B5106" s="90">
        <v>7.9513667724862298</v>
      </c>
    </row>
    <row r="5107" spans="1:2">
      <c r="A5107" s="32">
        <v>5094</v>
      </c>
      <c r="B5107" s="90">
        <v>8.0157879481905177</v>
      </c>
    </row>
    <row r="5108" spans="1:2">
      <c r="A5108" s="32">
        <v>5095</v>
      </c>
      <c r="B5108" s="90">
        <v>7.3022155395039361</v>
      </c>
    </row>
    <row r="5109" spans="1:2">
      <c r="A5109" s="32">
        <v>5096</v>
      </c>
      <c r="B5109" s="90">
        <v>7.8457622258815736</v>
      </c>
    </row>
    <row r="5110" spans="1:2">
      <c r="A5110" s="32">
        <v>5097</v>
      </c>
      <c r="B5110" s="90">
        <v>7.6978478429938013</v>
      </c>
    </row>
    <row r="5111" spans="1:2">
      <c r="A5111" s="32">
        <v>5098</v>
      </c>
      <c r="B5111" s="90">
        <v>7.9496591717454832</v>
      </c>
    </row>
    <row r="5112" spans="1:2">
      <c r="A5112" s="32">
        <v>5099</v>
      </c>
      <c r="B5112" s="90">
        <v>7.3988361684738679</v>
      </c>
    </row>
    <row r="5113" spans="1:2">
      <c r="A5113" s="32">
        <v>5100</v>
      </c>
      <c r="B5113" s="90">
        <v>8.1738019035965497</v>
      </c>
    </row>
    <row r="5114" spans="1:2">
      <c r="A5114" s="32">
        <v>5101</v>
      </c>
      <c r="B5114" s="90">
        <v>8.1813533796989955</v>
      </c>
    </row>
    <row r="5115" spans="1:2">
      <c r="A5115" s="32">
        <v>5102</v>
      </c>
      <c r="B5115" s="90">
        <v>8.519914757311188</v>
      </c>
    </row>
    <row r="5116" spans="1:2">
      <c r="A5116" s="32">
        <v>5103</v>
      </c>
      <c r="B5116" s="90">
        <v>7.9332014937383972</v>
      </c>
    </row>
    <row r="5117" spans="1:2">
      <c r="A5117" s="32">
        <v>5104</v>
      </c>
      <c r="B5117" s="90">
        <v>7.7367181929214821</v>
      </c>
    </row>
    <row r="5118" spans="1:2">
      <c r="A5118" s="32">
        <v>5105</v>
      </c>
      <c r="B5118" s="90">
        <v>8.2177407319411842</v>
      </c>
    </row>
    <row r="5119" spans="1:2">
      <c r="A5119" s="32">
        <v>5106</v>
      </c>
      <c r="B5119" s="90">
        <v>7.6121316892001625</v>
      </c>
    </row>
    <row r="5120" spans="1:2">
      <c r="A5120" s="32">
        <v>5107</v>
      </c>
      <c r="B5120" s="90">
        <v>8.0968816475052243</v>
      </c>
    </row>
    <row r="5121" spans="1:2">
      <c r="A5121" s="32">
        <v>5108</v>
      </c>
      <c r="B5121" s="90">
        <v>6.9120645023819618</v>
      </c>
    </row>
    <row r="5122" spans="1:2">
      <c r="A5122" s="32">
        <v>5109</v>
      </c>
      <c r="B5122" s="90">
        <v>8.3138665219873484</v>
      </c>
    </row>
    <row r="5123" spans="1:2">
      <c r="A5123" s="32">
        <v>5110</v>
      </c>
      <c r="B5123" s="90">
        <v>7.395862572477081</v>
      </c>
    </row>
    <row r="5124" spans="1:2">
      <c r="A5124" s="32">
        <v>5111</v>
      </c>
      <c r="B5124" s="90">
        <v>7.9099275216721834</v>
      </c>
    </row>
    <row r="5125" spans="1:2">
      <c r="A5125" s="32">
        <v>5112</v>
      </c>
      <c r="B5125" s="90">
        <v>8.3687336394756482</v>
      </c>
    </row>
    <row r="5126" spans="1:2">
      <c r="A5126" s="32">
        <v>5113</v>
      </c>
      <c r="B5126" s="90">
        <v>7.4141126008621452</v>
      </c>
    </row>
    <row r="5127" spans="1:2">
      <c r="A5127" s="32">
        <v>5114</v>
      </c>
      <c r="B5127" s="90">
        <v>8.2308818137784279</v>
      </c>
    </row>
    <row r="5128" spans="1:2">
      <c r="A5128" s="32">
        <v>5115</v>
      </c>
      <c r="B5128" s="90">
        <v>7.7301167409746254</v>
      </c>
    </row>
    <row r="5129" spans="1:2">
      <c r="A5129" s="32">
        <v>5116</v>
      </c>
      <c r="B5129" s="90">
        <v>7.8765719325873729</v>
      </c>
    </row>
    <row r="5130" spans="1:2">
      <c r="A5130" s="32">
        <v>5117</v>
      </c>
      <c r="B5130" s="90">
        <v>8.2421542793373526</v>
      </c>
    </row>
    <row r="5131" spans="1:2">
      <c r="A5131" s="32">
        <v>5118</v>
      </c>
      <c r="B5131" s="90">
        <v>8.3757813472012685</v>
      </c>
    </row>
    <row r="5132" spans="1:2">
      <c r="A5132" s="32">
        <v>5119</v>
      </c>
      <c r="B5132" s="90">
        <v>8.2412946058158365</v>
      </c>
    </row>
    <row r="5133" spans="1:2">
      <c r="A5133" s="32">
        <v>5120</v>
      </c>
      <c r="B5133" s="90">
        <v>7.8813563862423699</v>
      </c>
    </row>
    <row r="5134" spans="1:2">
      <c r="A5134" s="32">
        <v>5121</v>
      </c>
      <c r="B5134" s="90">
        <v>8.8279746870150149</v>
      </c>
    </row>
    <row r="5135" spans="1:2">
      <c r="A5135" s="32">
        <v>5122</v>
      </c>
      <c r="B5135" s="90">
        <v>7.2728954750778838</v>
      </c>
    </row>
    <row r="5136" spans="1:2">
      <c r="A5136" s="32">
        <v>5123</v>
      </c>
      <c r="B5136" s="90">
        <v>7.4090073583188945</v>
      </c>
    </row>
    <row r="5137" spans="1:2">
      <c r="A5137" s="32">
        <v>5124</v>
      </c>
      <c r="B5137" s="90">
        <v>7.758801190499061</v>
      </c>
    </row>
    <row r="5138" spans="1:2">
      <c r="A5138" s="32">
        <v>5125</v>
      </c>
      <c r="B5138" s="90">
        <v>8.2464708326331131</v>
      </c>
    </row>
    <row r="5139" spans="1:2">
      <c r="A5139" s="32">
        <v>5126</v>
      </c>
      <c r="B5139" s="90">
        <v>8.2602067085754172</v>
      </c>
    </row>
    <row r="5140" spans="1:2">
      <c r="A5140" s="32">
        <v>5127</v>
      </c>
      <c r="B5140" s="90">
        <v>7.8914577673300395</v>
      </c>
    </row>
    <row r="5141" spans="1:2">
      <c r="A5141" s="32">
        <v>5128</v>
      </c>
      <c r="B5141" s="90">
        <v>8.5501179260735931</v>
      </c>
    </row>
    <row r="5142" spans="1:2">
      <c r="A5142" s="32">
        <v>5129</v>
      </c>
      <c r="B5142" s="90">
        <v>8.0854894252125344</v>
      </c>
    </row>
    <row r="5143" spans="1:2">
      <c r="A5143" s="32">
        <v>5130</v>
      </c>
      <c r="B5143" s="90">
        <v>7.9368737660277917</v>
      </c>
    </row>
    <row r="5144" spans="1:2">
      <c r="A5144" s="32">
        <v>5131</v>
      </c>
      <c r="B5144" s="90">
        <v>9.121141462636384</v>
      </c>
    </row>
    <row r="5145" spans="1:2">
      <c r="A5145" s="32">
        <v>5132</v>
      </c>
      <c r="B5145" s="90">
        <v>8.7619086513783913</v>
      </c>
    </row>
    <row r="5146" spans="1:2">
      <c r="A5146" s="32">
        <v>5133</v>
      </c>
      <c r="B5146" s="90">
        <v>7.0646066844873188</v>
      </c>
    </row>
    <row r="5147" spans="1:2">
      <c r="A5147" s="32">
        <v>5134</v>
      </c>
      <c r="B5147" s="90">
        <v>9.7431726985333889</v>
      </c>
    </row>
    <row r="5148" spans="1:2">
      <c r="A5148" s="32">
        <v>5135</v>
      </c>
      <c r="B5148" s="90">
        <v>8.0881571463448285</v>
      </c>
    </row>
    <row r="5149" spans="1:2">
      <c r="A5149" s="32">
        <v>5136</v>
      </c>
      <c r="B5149" s="90">
        <v>9.0623338317976021</v>
      </c>
    </row>
    <row r="5150" spans="1:2">
      <c r="A5150" s="32">
        <v>5137</v>
      </c>
      <c r="B5150" s="90">
        <v>7.5941321358451948</v>
      </c>
    </row>
    <row r="5151" spans="1:2">
      <c r="A5151" s="32">
        <v>5138</v>
      </c>
      <c r="B5151" s="90">
        <v>7.9428897749549794</v>
      </c>
    </row>
    <row r="5152" spans="1:2">
      <c r="A5152" s="32">
        <v>5139</v>
      </c>
      <c r="B5152" s="90">
        <v>8.6801859583621521</v>
      </c>
    </row>
    <row r="5153" spans="1:2">
      <c r="A5153" s="32">
        <v>5140</v>
      </c>
      <c r="B5153" s="90">
        <v>8.8270103331987215</v>
      </c>
    </row>
    <row r="5154" spans="1:2">
      <c r="A5154" s="32">
        <v>5141</v>
      </c>
      <c r="B5154" s="90">
        <v>8.8288758612692959</v>
      </c>
    </row>
    <row r="5155" spans="1:2">
      <c r="A5155" s="32">
        <v>5142</v>
      </c>
      <c r="B5155" s="90">
        <v>8.3521851102858591</v>
      </c>
    </row>
    <row r="5156" spans="1:2">
      <c r="A5156" s="32">
        <v>5143</v>
      </c>
      <c r="B5156" s="90">
        <v>8.1804901640360157</v>
      </c>
    </row>
    <row r="5157" spans="1:2">
      <c r="A5157" s="32">
        <v>5144</v>
      </c>
      <c r="B5157" s="90">
        <v>7.5789225940981817</v>
      </c>
    </row>
    <row r="5158" spans="1:2">
      <c r="A5158" s="32">
        <v>5145</v>
      </c>
      <c r="B5158" s="90">
        <v>8.1867483574790469</v>
      </c>
    </row>
    <row r="5159" spans="1:2">
      <c r="A5159" s="32">
        <v>5146</v>
      </c>
      <c r="B5159" s="90">
        <v>7.6535221254115342</v>
      </c>
    </row>
    <row r="5160" spans="1:2">
      <c r="A5160" s="32">
        <v>5147</v>
      </c>
      <c r="B5160" s="90">
        <v>8.361687574980234</v>
      </c>
    </row>
    <row r="5161" spans="1:2">
      <c r="A5161" s="32">
        <v>5148</v>
      </c>
      <c r="B5161" s="90">
        <v>7.5857849144199117</v>
      </c>
    </row>
    <row r="5162" spans="1:2">
      <c r="A5162" s="32">
        <v>5149</v>
      </c>
      <c r="B5162" s="90">
        <v>7.9598340079873937</v>
      </c>
    </row>
    <row r="5163" spans="1:2">
      <c r="A5163" s="32">
        <v>5150</v>
      </c>
      <c r="B5163" s="90">
        <v>8.3404679994778341</v>
      </c>
    </row>
    <row r="5164" spans="1:2">
      <c r="A5164" s="32">
        <v>5151</v>
      </c>
      <c r="B5164" s="90">
        <v>8.8931037590036901</v>
      </c>
    </row>
    <row r="5165" spans="1:2">
      <c r="A5165" s="32">
        <v>5152</v>
      </c>
      <c r="B5165" s="90">
        <v>8.5580011242599614</v>
      </c>
    </row>
    <row r="5166" spans="1:2">
      <c r="A5166" s="32">
        <v>5153</v>
      </c>
      <c r="B5166" s="90">
        <v>8.2834291592885023</v>
      </c>
    </row>
    <row r="5167" spans="1:2">
      <c r="A5167" s="32">
        <v>5154</v>
      </c>
      <c r="B5167" s="90">
        <v>8.4134902335348247</v>
      </c>
    </row>
    <row r="5168" spans="1:2">
      <c r="A5168" s="32">
        <v>5155</v>
      </c>
      <c r="B5168" s="90">
        <v>8.5651527625251838</v>
      </c>
    </row>
    <row r="5169" spans="1:2">
      <c r="A5169" s="32">
        <v>5156</v>
      </c>
      <c r="B5169" s="90">
        <v>7.1458419728191132</v>
      </c>
    </row>
    <row r="5170" spans="1:2">
      <c r="A5170" s="32">
        <v>5157</v>
      </c>
      <c r="B5170" s="90">
        <v>8.2018842907810736</v>
      </c>
    </row>
    <row r="5171" spans="1:2">
      <c r="A5171" s="32">
        <v>5158</v>
      </c>
      <c r="B5171" s="90">
        <v>7.456569366201669</v>
      </c>
    </row>
    <row r="5172" spans="1:2">
      <c r="A5172" s="32">
        <v>5159</v>
      </c>
      <c r="B5172" s="90">
        <v>8.206873584859709</v>
      </c>
    </row>
    <row r="5173" spans="1:2">
      <c r="A5173" s="32">
        <v>5160</v>
      </c>
      <c r="B5173" s="90">
        <v>8.4225691559576568</v>
      </c>
    </row>
    <row r="5174" spans="1:2">
      <c r="A5174" s="32">
        <v>5161</v>
      </c>
      <c r="B5174" s="90">
        <v>8.7546656599482748</v>
      </c>
    </row>
    <row r="5175" spans="1:2">
      <c r="A5175" s="32">
        <v>5162</v>
      </c>
      <c r="B5175" s="90">
        <v>8.8127913418007271</v>
      </c>
    </row>
    <row r="5176" spans="1:2">
      <c r="A5176" s="32">
        <v>5163</v>
      </c>
      <c r="B5176" s="90">
        <v>9.6928857136139523</v>
      </c>
    </row>
    <row r="5177" spans="1:2">
      <c r="A5177" s="32">
        <v>5164</v>
      </c>
      <c r="B5177" s="90">
        <v>8.360952787217073</v>
      </c>
    </row>
    <row r="5178" spans="1:2">
      <c r="A5178" s="32">
        <v>5165</v>
      </c>
      <c r="B5178" s="90">
        <v>7.7888577527864182</v>
      </c>
    </row>
    <row r="5179" spans="1:2">
      <c r="A5179" s="32">
        <v>5166</v>
      </c>
      <c r="B5179" s="90">
        <v>7.9925407067879739</v>
      </c>
    </row>
    <row r="5180" spans="1:2">
      <c r="A5180" s="32">
        <v>5167</v>
      </c>
      <c r="B5180" s="90">
        <v>8.2521772112835148</v>
      </c>
    </row>
    <row r="5181" spans="1:2">
      <c r="A5181" s="32">
        <v>5168</v>
      </c>
      <c r="B5181" s="90">
        <v>8.545148339776139</v>
      </c>
    </row>
    <row r="5182" spans="1:2">
      <c r="A5182" s="32">
        <v>5169</v>
      </c>
      <c r="B5182" s="90">
        <v>8.5994027909032305</v>
      </c>
    </row>
    <row r="5183" spans="1:2">
      <c r="A5183" s="32">
        <v>5170</v>
      </c>
      <c r="B5183" s="90">
        <v>8.8722205382028729</v>
      </c>
    </row>
    <row r="5184" spans="1:2">
      <c r="A5184" s="32">
        <v>5171</v>
      </c>
      <c r="B5184" s="90">
        <v>7.5039231729617013</v>
      </c>
    </row>
    <row r="5185" spans="1:2">
      <c r="A5185" s="32">
        <v>5172</v>
      </c>
      <c r="B5185" s="90">
        <v>7.2101049082369144</v>
      </c>
    </row>
    <row r="5186" spans="1:2">
      <c r="A5186" s="32">
        <v>5173</v>
      </c>
      <c r="B5186" s="90">
        <v>9.9676340801342818</v>
      </c>
    </row>
    <row r="5187" spans="1:2">
      <c r="A5187" s="32">
        <v>5174</v>
      </c>
      <c r="B5187" s="90">
        <v>7.293363072236354</v>
      </c>
    </row>
    <row r="5188" spans="1:2">
      <c r="A5188" s="32">
        <v>5175</v>
      </c>
      <c r="B5188" s="90">
        <v>7.3694402719168322</v>
      </c>
    </row>
    <row r="5189" spans="1:2">
      <c r="A5189" s="32">
        <v>5176</v>
      </c>
      <c r="B5189" s="90">
        <v>8.6235340828547802</v>
      </c>
    </row>
    <row r="5190" spans="1:2">
      <c r="A5190" s="32">
        <v>5177</v>
      </c>
      <c r="B5190" s="90">
        <v>7.3699995380193855</v>
      </c>
    </row>
    <row r="5191" spans="1:2">
      <c r="A5191" s="32">
        <v>5178</v>
      </c>
      <c r="B5191" s="90">
        <v>8.0103523522942801</v>
      </c>
    </row>
    <row r="5192" spans="1:2">
      <c r="A5192" s="32">
        <v>5179</v>
      </c>
      <c r="B5192" s="90">
        <v>7.5940776026588015</v>
      </c>
    </row>
    <row r="5193" spans="1:2">
      <c r="A5193" s="32">
        <v>5180</v>
      </c>
      <c r="B5193" s="90">
        <v>8.3937996516525644</v>
      </c>
    </row>
    <row r="5194" spans="1:2">
      <c r="A5194" s="32">
        <v>5181</v>
      </c>
      <c r="B5194" s="90">
        <v>8.4139036602126378</v>
      </c>
    </row>
    <row r="5195" spans="1:2">
      <c r="A5195" s="32">
        <v>5182</v>
      </c>
      <c r="B5195" s="90">
        <v>7.6977936318697173</v>
      </c>
    </row>
    <row r="5196" spans="1:2">
      <c r="A5196" s="32">
        <v>5183</v>
      </c>
      <c r="B5196" s="90">
        <v>8.375996269169697</v>
      </c>
    </row>
    <row r="5197" spans="1:2">
      <c r="A5197" s="32">
        <v>5184</v>
      </c>
      <c r="B5197" s="90">
        <v>8.9108791465201751</v>
      </c>
    </row>
    <row r="5198" spans="1:2">
      <c r="A5198" s="32">
        <v>5185</v>
      </c>
      <c r="B5198" s="90">
        <v>7.443617751667742</v>
      </c>
    </row>
    <row r="5199" spans="1:2">
      <c r="A5199" s="32">
        <v>5186</v>
      </c>
      <c r="B5199" s="90">
        <v>8.6015446926775461</v>
      </c>
    </row>
    <row r="5200" spans="1:2">
      <c r="A5200" s="32">
        <v>5187</v>
      </c>
      <c r="B5200" s="90">
        <v>8.4836244839001456</v>
      </c>
    </row>
    <row r="5201" spans="1:2">
      <c r="A5201" s="32">
        <v>5188</v>
      </c>
      <c r="B5201" s="90">
        <v>7.7957147175024852</v>
      </c>
    </row>
    <row r="5202" spans="1:2">
      <c r="A5202" s="32">
        <v>5189</v>
      </c>
      <c r="B5202" s="90">
        <v>8.4885744244863606</v>
      </c>
    </row>
    <row r="5203" spans="1:2">
      <c r="A5203" s="32">
        <v>5190</v>
      </c>
      <c r="B5203" s="90">
        <v>9.134837114444931</v>
      </c>
    </row>
    <row r="5204" spans="1:2">
      <c r="A5204" s="32">
        <v>5191</v>
      </c>
      <c r="B5204" s="90">
        <v>9.5295006862876956</v>
      </c>
    </row>
    <row r="5205" spans="1:2">
      <c r="A5205" s="32">
        <v>5192</v>
      </c>
      <c r="B5205" s="90">
        <v>7.327828642173178</v>
      </c>
    </row>
    <row r="5206" spans="1:2">
      <c r="A5206" s="32">
        <v>5193</v>
      </c>
      <c r="B5206" s="90">
        <v>7.0364373485847409</v>
      </c>
    </row>
    <row r="5207" spans="1:2">
      <c r="A5207" s="32">
        <v>5194</v>
      </c>
      <c r="B5207" s="90">
        <v>9.9990513131144265</v>
      </c>
    </row>
    <row r="5208" spans="1:2">
      <c r="A5208" s="32">
        <v>5195</v>
      </c>
      <c r="B5208" s="90">
        <v>7.5771266777398374</v>
      </c>
    </row>
    <row r="5209" spans="1:2">
      <c r="A5209" s="32">
        <v>5196</v>
      </c>
      <c r="B5209" s="90">
        <v>7.6539791676898945</v>
      </c>
    </row>
    <row r="5210" spans="1:2">
      <c r="A5210" s="32">
        <v>5197</v>
      </c>
      <c r="B5210" s="90">
        <v>8.2746888187911534</v>
      </c>
    </row>
    <row r="5211" spans="1:2">
      <c r="A5211" s="32">
        <v>5198</v>
      </c>
      <c r="B5211" s="90">
        <v>7.8909187069340554</v>
      </c>
    </row>
    <row r="5212" spans="1:2">
      <c r="A5212" s="32">
        <v>5199</v>
      </c>
      <c r="B5212" s="90">
        <v>8.6524733461399865</v>
      </c>
    </row>
    <row r="5213" spans="1:2">
      <c r="A5213" s="32">
        <v>5200</v>
      </c>
      <c r="B5213" s="90">
        <v>9.0600086447674215</v>
      </c>
    </row>
    <row r="5214" spans="1:2">
      <c r="A5214" s="32">
        <v>5201</v>
      </c>
      <c r="B5214" s="90">
        <v>7.2968733633533356</v>
      </c>
    </row>
    <row r="5215" spans="1:2">
      <c r="A5215" s="32">
        <v>5202</v>
      </c>
      <c r="B5215" s="90">
        <v>7.4280190059184008</v>
      </c>
    </row>
    <row r="5216" spans="1:2">
      <c r="A5216" s="32">
        <v>5203</v>
      </c>
      <c r="B5216" s="90">
        <v>8.3731479773117528</v>
      </c>
    </row>
    <row r="5217" spans="1:2">
      <c r="A5217" s="32">
        <v>5204</v>
      </c>
      <c r="B5217" s="90">
        <v>7.6050995283509559</v>
      </c>
    </row>
    <row r="5218" spans="1:2">
      <c r="A5218" s="32">
        <v>5205</v>
      </c>
      <c r="B5218" s="90">
        <v>9.8579532880334249</v>
      </c>
    </row>
    <row r="5219" spans="1:2">
      <c r="A5219" s="32">
        <v>5206</v>
      </c>
      <c r="B5219" s="90">
        <v>7.3939858012191948</v>
      </c>
    </row>
    <row r="5220" spans="1:2">
      <c r="A5220" s="32">
        <v>5207</v>
      </c>
      <c r="B5220" s="90">
        <v>7.5702057643060101</v>
      </c>
    </row>
    <row r="5221" spans="1:2">
      <c r="A5221" s="32">
        <v>5208</v>
      </c>
      <c r="B5221" s="90">
        <v>6.8538295707411336</v>
      </c>
    </row>
    <row r="5222" spans="1:2">
      <c r="A5222" s="32">
        <v>5209</v>
      </c>
      <c r="B5222" s="90">
        <v>8.9419130750645248</v>
      </c>
    </row>
    <row r="5223" spans="1:2">
      <c r="A5223" s="32">
        <v>5210</v>
      </c>
      <c r="B5223" s="90">
        <v>8.5224336755651073</v>
      </c>
    </row>
    <row r="5224" spans="1:2">
      <c r="A5224" s="32">
        <v>5211</v>
      </c>
      <c r="B5224" s="90">
        <v>8.5755549843378294</v>
      </c>
    </row>
    <row r="5225" spans="1:2">
      <c r="A5225" s="32">
        <v>5212</v>
      </c>
      <c r="B5225" s="90">
        <v>8.5714989952962011</v>
      </c>
    </row>
    <row r="5226" spans="1:2">
      <c r="A5226" s="32">
        <v>5213</v>
      </c>
      <c r="B5226" s="90">
        <v>8.4901501744536105</v>
      </c>
    </row>
    <row r="5227" spans="1:2">
      <c r="A5227" s="32">
        <v>5214</v>
      </c>
      <c r="B5227" s="90">
        <v>7.9719158786110382</v>
      </c>
    </row>
    <row r="5228" spans="1:2">
      <c r="A5228" s="32">
        <v>5215</v>
      </c>
      <c r="B5228" s="90">
        <v>8.5763827299718542</v>
      </c>
    </row>
    <row r="5229" spans="1:2">
      <c r="A5229" s="32">
        <v>5216</v>
      </c>
      <c r="B5229" s="90">
        <v>8.2621833578088477</v>
      </c>
    </row>
    <row r="5230" spans="1:2">
      <c r="A5230" s="32">
        <v>5217</v>
      </c>
      <c r="B5230" s="90">
        <v>7.5550404842608572</v>
      </c>
    </row>
    <row r="5231" spans="1:2">
      <c r="A5231" s="32">
        <v>5218</v>
      </c>
      <c r="B5231" s="90">
        <v>7.6125598702456889</v>
      </c>
    </row>
    <row r="5232" spans="1:2">
      <c r="A5232" s="32">
        <v>5219</v>
      </c>
      <c r="B5232" s="90">
        <v>8.0528374622982799</v>
      </c>
    </row>
    <row r="5233" spans="1:2">
      <c r="A5233" s="32">
        <v>5220</v>
      </c>
      <c r="B5233" s="90">
        <v>8.4798024458928563</v>
      </c>
    </row>
    <row r="5234" spans="1:2">
      <c r="A5234" s="32">
        <v>5221</v>
      </c>
      <c r="B5234" s="90">
        <v>8.4566276642641451</v>
      </c>
    </row>
    <row r="5235" spans="1:2">
      <c r="A5235" s="32">
        <v>5222</v>
      </c>
      <c r="B5235" s="90">
        <v>8.2822046535468896</v>
      </c>
    </row>
    <row r="5236" spans="1:2">
      <c r="A5236" s="32">
        <v>5223</v>
      </c>
      <c r="B5236" s="90">
        <v>8.7096724563337009</v>
      </c>
    </row>
    <row r="5237" spans="1:2">
      <c r="A5237" s="32">
        <v>5224</v>
      </c>
      <c r="B5237" s="90">
        <v>8.5767650169683787</v>
      </c>
    </row>
    <row r="5238" spans="1:2">
      <c r="A5238" s="32">
        <v>5225</v>
      </c>
      <c r="B5238" s="90">
        <v>8.4896159534732725</v>
      </c>
    </row>
    <row r="5239" spans="1:2">
      <c r="A5239" s="32">
        <v>5226</v>
      </c>
      <c r="B5239" s="90">
        <v>7.9543267076838369</v>
      </c>
    </row>
    <row r="5240" spans="1:2">
      <c r="A5240" s="32">
        <v>5227</v>
      </c>
      <c r="B5240" s="90">
        <v>8.5225177155570258</v>
      </c>
    </row>
    <row r="5241" spans="1:2">
      <c r="A5241" s="32">
        <v>5228</v>
      </c>
      <c r="B5241" s="90">
        <v>9.2997991886549372</v>
      </c>
    </row>
    <row r="5242" spans="1:2">
      <c r="A5242" s="32">
        <v>5229</v>
      </c>
      <c r="B5242" s="90">
        <v>7.7383729522667819</v>
      </c>
    </row>
    <row r="5243" spans="1:2">
      <c r="A5243" s="32">
        <v>5230</v>
      </c>
      <c r="B5243" s="90">
        <v>7.9174324060707519</v>
      </c>
    </row>
    <row r="5244" spans="1:2">
      <c r="A5244" s="32">
        <v>5231</v>
      </c>
      <c r="B5244" s="90">
        <v>8.2745974679378342</v>
      </c>
    </row>
    <row r="5245" spans="1:2">
      <c r="A5245" s="32">
        <v>5232</v>
      </c>
      <c r="B5245" s="90">
        <v>8.1423342546533313</v>
      </c>
    </row>
    <row r="5246" spans="1:2">
      <c r="A5246" s="32">
        <v>5233</v>
      </c>
      <c r="B5246" s="90">
        <v>7.3364234593396462</v>
      </c>
    </row>
    <row r="5247" spans="1:2">
      <c r="A5247" s="32">
        <v>5234</v>
      </c>
      <c r="B5247" s="90">
        <v>7.8536200933922897</v>
      </c>
    </row>
    <row r="5248" spans="1:2">
      <c r="A5248" s="32">
        <v>5235</v>
      </c>
      <c r="B5248" s="90">
        <v>7.9982002802138705</v>
      </c>
    </row>
    <row r="5249" spans="1:2">
      <c r="A5249" s="32">
        <v>5236</v>
      </c>
      <c r="B5249" s="90">
        <v>7.796843569956998</v>
      </c>
    </row>
    <row r="5250" spans="1:2">
      <c r="A5250" s="32">
        <v>5237</v>
      </c>
      <c r="B5250" s="90">
        <v>9.3300584061877121</v>
      </c>
    </row>
    <row r="5251" spans="1:2">
      <c r="A5251" s="32">
        <v>5238</v>
      </c>
      <c r="B5251" s="90">
        <v>7.90697209930297</v>
      </c>
    </row>
    <row r="5252" spans="1:2">
      <c r="A5252" s="32">
        <v>5239</v>
      </c>
      <c r="B5252" s="90">
        <v>7.5812707456223318</v>
      </c>
    </row>
    <row r="5253" spans="1:2">
      <c r="A5253" s="32">
        <v>5240</v>
      </c>
      <c r="B5253" s="90">
        <v>6.8277303706330557</v>
      </c>
    </row>
    <row r="5254" spans="1:2">
      <c r="A5254" s="32">
        <v>5241</v>
      </c>
      <c r="B5254" s="90">
        <v>8.5842753470850379</v>
      </c>
    </row>
    <row r="5255" spans="1:2">
      <c r="A5255" s="32">
        <v>5242</v>
      </c>
      <c r="B5255" s="90">
        <v>8.1264967635862391</v>
      </c>
    </row>
    <row r="5256" spans="1:2">
      <c r="A5256" s="32">
        <v>5243</v>
      </c>
      <c r="B5256" s="90">
        <v>8.0502648093675955</v>
      </c>
    </row>
    <row r="5257" spans="1:2">
      <c r="A5257" s="32">
        <v>5244</v>
      </c>
      <c r="B5257" s="90">
        <v>8.8122211435182951</v>
      </c>
    </row>
    <row r="5258" spans="1:2">
      <c r="A5258" s="32">
        <v>5245</v>
      </c>
      <c r="B5258" s="90">
        <v>8.7485139118462101</v>
      </c>
    </row>
    <row r="5259" spans="1:2">
      <c r="A5259" s="32">
        <v>5246</v>
      </c>
      <c r="B5259" s="90">
        <v>8.3244706442487431</v>
      </c>
    </row>
    <row r="5260" spans="1:2">
      <c r="A5260" s="32">
        <v>5247</v>
      </c>
      <c r="B5260" s="90">
        <v>9.4713340248997504</v>
      </c>
    </row>
    <row r="5261" spans="1:2">
      <c r="A5261" s="32">
        <v>5248</v>
      </c>
      <c r="B5261" s="90">
        <v>9.7682328831013816</v>
      </c>
    </row>
    <row r="5262" spans="1:2">
      <c r="A5262" s="32">
        <v>5249</v>
      </c>
      <c r="B5262" s="90">
        <v>7.9488622868698666</v>
      </c>
    </row>
    <row r="5263" spans="1:2">
      <c r="A5263" s="32">
        <v>5250</v>
      </c>
      <c r="B5263" s="90">
        <v>6.4603661132389467</v>
      </c>
    </row>
    <row r="5264" spans="1:2">
      <c r="A5264" s="32">
        <v>5251</v>
      </c>
      <c r="B5264" s="90">
        <v>7.3760555175410643</v>
      </c>
    </row>
    <row r="5265" spans="1:2">
      <c r="A5265" s="32">
        <v>5252</v>
      </c>
      <c r="B5265" s="90">
        <v>8.0872795846048113</v>
      </c>
    </row>
    <row r="5266" spans="1:2">
      <c r="A5266" s="32">
        <v>5253</v>
      </c>
      <c r="B5266" s="90">
        <v>7.782316777199493</v>
      </c>
    </row>
    <row r="5267" spans="1:2">
      <c r="A5267" s="32">
        <v>5254</v>
      </c>
      <c r="B5267" s="90">
        <v>7.3129585596924489</v>
      </c>
    </row>
    <row r="5268" spans="1:2">
      <c r="A5268" s="32">
        <v>5255</v>
      </c>
      <c r="B5268" s="90">
        <v>8.4342759268122283</v>
      </c>
    </row>
    <row r="5269" spans="1:2">
      <c r="A5269" s="32">
        <v>5256</v>
      </c>
      <c r="B5269" s="90">
        <v>9.0147443616139622</v>
      </c>
    </row>
    <row r="5270" spans="1:2">
      <c r="A5270" s="32">
        <v>5257</v>
      </c>
      <c r="B5270" s="90">
        <v>8.4307426152089366</v>
      </c>
    </row>
    <row r="5271" spans="1:2">
      <c r="A5271" s="32">
        <v>5258</v>
      </c>
      <c r="B5271" s="90">
        <v>8.9250738821027316</v>
      </c>
    </row>
    <row r="5272" spans="1:2">
      <c r="A5272" s="32">
        <v>5259</v>
      </c>
      <c r="B5272" s="90">
        <v>7.0320720977911195</v>
      </c>
    </row>
    <row r="5273" spans="1:2">
      <c r="A5273" s="32">
        <v>5260</v>
      </c>
      <c r="B5273" s="90">
        <v>7.9968478207306788</v>
      </c>
    </row>
    <row r="5274" spans="1:2">
      <c r="A5274" s="32">
        <v>5261</v>
      </c>
      <c r="B5274" s="90">
        <v>8.4285508605714288</v>
      </c>
    </row>
    <row r="5275" spans="1:2">
      <c r="A5275" s="32">
        <v>5262</v>
      </c>
      <c r="B5275" s="90">
        <v>8.2701732260575351</v>
      </c>
    </row>
    <row r="5276" spans="1:2">
      <c r="A5276" s="32">
        <v>5263</v>
      </c>
      <c r="B5276" s="90">
        <v>8.3580554654811134</v>
      </c>
    </row>
    <row r="5277" spans="1:2">
      <c r="A5277" s="32">
        <v>5264</v>
      </c>
      <c r="B5277" s="90">
        <v>7.7367849603125283</v>
      </c>
    </row>
    <row r="5278" spans="1:2">
      <c r="A5278" s="32">
        <v>5265</v>
      </c>
      <c r="B5278" s="90">
        <v>7.5216435529930186</v>
      </c>
    </row>
    <row r="5279" spans="1:2">
      <c r="A5279" s="32">
        <v>5266</v>
      </c>
      <c r="B5279" s="90">
        <v>7.8782987985338977</v>
      </c>
    </row>
    <row r="5280" spans="1:2">
      <c r="A5280" s="32">
        <v>5267</v>
      </c>
      <c r="B5280" s="90">
        <v>7.5932851673870889</v>
      </c>
    </row>
    <row r="5281" spans="1:2">
      <c r="A5281" s="32">
        <v>5268</v>
      </c>
      <c r="B5281" s="90">
        <v>6.7147819620597033</v>
      </c>
    </row>
    <row r="5282" spans="1:2">
      <c r="A5282" s="32">
        <v>5269</v>
      </c>
      <c r="B5282" s="90">
        <v>8.0836152527596461</v>
      </c>
    </row>
    <row r="5283" spans="1:2">
      <c r="A5283" s="32">
        <v>5270</v>
      </c>
      <c r="B5283" s="90">
        <v>7.0975315781121351</v>
      </c>
    </row>
    <row r="5284" spans="1:2">
      <c r="A5284" s="32">
        <v>5271</v>
      </c>
      <c r="B5284" s="90">
        <v>7.7696518721422612</v>
      </c>
    </row>
    <row r="5285" spans="1:2">
      <c r="A5285" s="32">
        <v>5272</v>
      </c>
      <c r="B5285" s="90">
        <v>8.6113160235109074</v>
      </c>
    </row>
    <row r="5286" spans="1:2">
      <c r="A5286" s="32">
        <v>5273</v>
      </c>
      <c r="B5286" s="90">
        <v>8.5180158021289518</v>
      </c>
    </row>
    <row r="5287" spans="1:2">
      <c r="A5287" s="32">
        <v>5274</v>
      </c>
      <c r="B5287" s="90">
        <v>8.3047554898034424</v>
      </c>
    </row>
    <row r="5288" spans="1:2">
      <c r="A5288" s="32">
        <v>5275</v>
      </c>
      <c r="B5288" s="90">
        <v>8.0608800681767541</v>
      </c>
    </row>
    <row r="5289" spans="1:2">
      <c r="A5289" s="32">
        <v>5276</v>
      </c>
      <c r="B5289" s="90">
        <v>9.6068972104724537</v>
      </c>
    </row>
    <row r="5290" spans="1:2">
      <c r="A5290" s="32">
        <v>5277</v>
      </c>
      <c r="B5290" s="90">
        <v>7.6817345096939933</v>
      </c>
    </row>
    <row r="5291" spans="1:2">
      <c r="A5291" s="32">
        <v>5278</v>
      </c>
      <c r="B5291" s="90">
        <v>8.867142012430401</v>
      </c>
    </row>
    <row r="5292" spans="1:2">
      <c r="A5292" s="32">
        <v>5279</v>
      </c>
      <c r="B5292" s="90">
        <v>8.8591168090359513</v>
      </c>
    </row>
    <row r="5293" spans="1:2">
      <c r="A5293" s="32">
        <v>5280</v>
      </c>
      <c r="B5293" s="90">
        <v>9.1503840254104194</v>
      </c>
    </row>
    <row r="5294" spans="1:2">
      <c r="A5294" s="32">
        <v>5281</v>
      </c>
      <c r="B5294" s="90">
        <v>8.1493437343299924</v>
      </c>
    </row>
    <row r="5295" spans="1:2">
      <c r="A5295" s="32">
        <v>5282</v>
      </c>
      <c r="B5295" s="90">
        <v>6.8566147577812613</v>
      </c>
    </row>
    <row r="5296" spans="1:2">
      <c r="A5296" s="32">
        <v>5283</v>
      </c>
      <c r="B5296" s="90">
        <v>8.3593125174478562</v>
      </c>
    </row>
    <row r="5297" spans="1:2">
      <c r="A5297" s="32">
        <v>5284</v>
      </c>
      <c r="B5297" s="90">
        <v>8.4965645930435141</v>
      </c>
    </row>
    <row r="5298" spans="1:2">
      <c r="A5298" s="32">
        <v>5285</v>
      </c>
      <c r="B5298" s="90">
        <v>7.8676852591864304</v>
      </c>
    </row>
    <row r="5299" spans="1:2">
      <c r="A5299" s="32">
        <v>5286</v>
      </c>
      <c r="B5299" s="90">
        <v>8.9321114283934104</v>
      </c>
    </row>
    <row r="5300" spans="1:2">
      <c r="A5300" s="32">
        <v>5287</v>
      </c>
      <c r="B5300" s="90">
        <v>8.2966034718334196</v>
      </c>
    </row>
    <row r="5301" spans="1:2">
      <c r="A5301" s="32">
        <v>5288</v>
      </c>
      <c r="B5301" s="90">
        <v>7.8442128080076801</v>
      </c>
    </row>
    <row r="5302" spans="1:2">
      <c r="A5302" s="32">
        <v>5289</v>
      </c>
      <c r="B5302" s="90">
        <v>8.756732783200361</v>
      </c>
    </row>
    <row r="5303" spans="1:2">
      <c r="A5303" s="32">
        <v>5290</v>
      </c>
      <c r="B5303" s="90">
        <v>8.4500753711080066</v>
      </c>
    </row>
    <row r="5304" spans="1:2">
      <c r="A5304" s="32">
        <v>5291</v>
      </c>
      <c r="B5304" s="90">
        <v>8.1752784717658038</v>
      </c>
    </row>
    <row r="5305" spans="1:2">
      <c r="A5305" s="32">
        <v>5292</v>
      </c>
      <c r="B5305" s="90">
        <v>8.2412367468502978</v>
      </c>
    </row>
    <row r="5306" spans="1:2">
      <c r="A5306" s="32">
        <v>5293</v>
      </c>
      <c r="B5306" s="90">
        <v>7.7361821635315486</v>
      </c>
    </row>
    <row r="5307" spans="1:2">
      <c r="A5307" s="32">
        <v>5294</v>
      </c>
      <c r="B5307" s="90">
        <v>6.8951618790175333</v>
      </c>
    </row>
    <row r="5308" spans="1:2">
      <c r="A5308" s="32">
        <v>5295</v>
      </c>
      <c r="B5308" s="90">
        <v>7.5912944125956727</v>
      </c>
    </row>
    <row r="5309" spans="1:2">
      <c r="A5309" s="32">
        <v>5296</v>
      </c>
      <c r="B5309" s="90">
        <v>7.5847434725442282</v>
      </c>
    </row>
    <row r="5310" spans="1:2">
      <c r="A5310" s="32">
        <v>5297</v>
      </c>
      <c r="B5310" s="90">
        <v>7.834112981277114</v>
      </c>
    </row>
    <row r="5311" spans="1:2">
      <c r="A5311" s="32">
        <v>5298</v>
      </c>
      <c r="B5311" s="90">
        <v>7.8737173344521381</v>
      </c>
    </row>
    <row r="5312" spans="1:2">
      <c r="A5312" s="32">
        <v>5299</v>
      </c>
      <c r="B5312" s="90">
        <v>9.2468366625276683</v>
      </c>
    </row>
    <row r="5313" spans="1:2">
      <c r="A5313" s="32">
        <v>5300</v>
      </c>
      <c r="B5313" s="90">
        <v>9.4629983309236643</v>
      </c>
    </row>
    <row r="5314" spans="1:2">
      <c r="A5314" s="32">
        <v>5301</v>
      </c>
      <c r="B5314" s="90">
        <v>8.089297550296159</v>
      </c>
    </row>
    <row r="5315" spans="1:2">
      <c r="A5315" s="32">
        <v>5302</v>
      </c>
      <c r="B5315" s="90">
        <v>8.4586751423932238</v>
      </c>
    </row>
    <row r="5316" spans="1:2">
      <c r="A5316" s="32">
        <v>5303</v>
      </c>
      <c r="B5316" s="90">
        <v>8.2877798869933343</v>
      </c>
    </row>
    <row r="5317" spans="1:2">
      <c r="A5317" s="32">
        <v>5304</v>
      </c>
      <c r="B5317" s="90">
        <v>9.1779673170249616</v>
      </c>
    </row>
    <row r="5318" spans="1:2">
      <c r="A5318" s="32">
        <v>5305</v>
      </c>
      <c r="B5318" s="90">
        <v>10.025407619711327</v>
      </c>
    </row>
    <row r="5319" spans="1:2">
      <c r="A5319" s="32">
        <v>5306</v>
      </c>
      <c r="B5319" s="90">
        <v>8.7423162315366767</v>
      </c>
    </row>
    <row r="5320" spans="1:2">
      <c r="A5320" s="32">
        <v>5307</v>
      </c>
      <c r="B5320" s="90">
        <v>7.829865123595396</v>
      </c>
    </row>
    <row r="5321" spans="1:2">
      <c r="A5321" s="32">
        <v>5308</v>
      </c>
      <c r="B5321" s="90">
        <v>7.9165760136964165</v>
      </c>
    </row>
    <row r="5322" spans="1:2">
      <c r="A5322" s="32">
        <v>5309</v>
      </c>
      <c r="B5322" s="90">
        <v>7.8376006029562566</v>
      </c>
    </row>
    <row r="5323" spans="1:2">
      <c r="A5323" s="32">
        <v>5310</v>
      </c>
      <c r="B5323" s="90">
        <v>8.2283997841618444</v>
      </c>
    </row>
    <row r="5324" spans="1:2">
      <c r="A5324" s="32">
        <v>5311</v>
      </c>
      <c r="B5324" s="90">
        <v>8.5831073835624014</v>
      </c>
    </row>
    <row r="5325" spans="1:2">
      <c r="A5325" s="32">
        <v>5312</v>
      </c>
      <c r="B5325" s="90">
        <v>8.6523077233196712</v>
      </c>
    </row>
    <row r="5326" spans="1:2">
      <c r="A5326" s="32">
        <v>5313</v>
      </c>
      <c r="B5326" s="90">
        <v>8.3243807550033004</v>
      </c>
    </row>
    <row r="5327" spans="1:2">
      <c r="A5327" s="32">
        <v>5314</v>
      </c>
      <c r="B5327" s="90">
        <v>8.5376997669121355</v>
      </c>
    </row>
    <row r="5328" spans="1:2">
      <c r="A5328" s="32">
        <v>5315</v>
      </c>
      <c r="B5328" s="90">
        <v>8.4152027307353912</v>
      </c>
    </row>
    <row r="5329" spans="1:2">
      <c r="A5329" s="32">
        <v>5316</v>
      </c>
      <c r="B5329" s="90">
        <v>9.2334593751128864</v>
      </c>
    </row>
    <row r="5330" spans="1:2">
      <c r="A5330" s="32">
        <v>5317</v>
      </c>
      <c r="B5330" s="90">
        <v>7.6996959888710421</v>
      </c>
    </row>
    <row r="5331" spans="1:2">
      <c r="A5331" s="32">
        <v>5318</v>
      </c>
      <c r="B5331" s="90">
        <v>8.9811198357678794</v>
      </c>
    </row>
    <row r="5332" spans="1:2">
      <c r="A5332" s="32">
        <v>5319</v>
      </c>
      <c r="B5332" s="90">
        <v>8.7540653314666166</v>
      </c>
    </row>
    <row r="5333" spans="1:2">
      <c r="A5333" s="32">
        <v>5320</v>
      </c>
      <c r="B5333" s="90">
        <v>7.4797221666493803</v>
      </c>
    </row>
    <row r="5334" spans="1:2">
      <c r="A5334" s="32">
        <v>5321</v>
      </c>
      <c r="B5334" s="90">
        <v>8.1203009300691047</v>
      </c>
    </row>
    <row r="5335" spans="1:2">
      <c r="A5335" s="32">
        <v>5322</v>
      </c>
      <c r="B5335" s="90">
        <v>7.2898584863138094</v>
      </c>
    </row>
    <row r="5336" spans="1:2">
      <c r="A5336" s="32">
        <v>5323</v>
      </c>
      <c r="B5336" s="90">
        <v>8.0295541235275607</v>
      </c>
    </row>
    <row r="5337" spans="1:2">
      <c r="A5337" s="32">
        <v>5324</v>
      </c>
      <c r="B5337" s="90">
        <v>8.5493776613305421</v>
      </c>
    </row>
    <row r="5338" spans="1:2">
      <c r="A5338" s="32">
        <v>5325</v>
      </c>
      <c r="B5338" s="90">
        <v>8.8667723023663108</v>
      </c>
    </row>
    <row r="5339" spans="1:2">
      <c r="A5339" s="32">
        <v>5326</v>
      </c>
      <c r="B5339" s="90">
        <v>8.3675227184982361</v>
      </c>
    </row>
    <row r="5340" spans="1:2">
      <c r="A5340" s="32">
        <v>5327</v>
      </c>
      <c r="B5340" s="90">
        <v>9.7437896944073099</v>
      </c>
    </row>
    <row r="5341" spans="1:2">
      <c r="A5341" s="32">
        <v>5328</v>
      </c>
      <c r="B5341" s="90">
        <v>7.8608779995167541</v>
      </c>
    </row>
    <row r="5342" spans="1:2">
      <c r="A5342" s="32">
        <v>5329</v>
      </c>
      <c r="B5342" s="90">
        <v>8.2603027772497661</v>
      </c>
    </row>
    <row r="5343" spans="1:2">
      <c r="A5343" s="32">
        <v>5330</v>
      </c>
      <c r="B5343" s="90">
        <v>8.1306670286302527</v>
      </c>
    </row>
    <row r="5344" spans="1:2">
      <c r="A5344" s="32">
        <v>5331</v>
      </c>
      <c r="B5344" s="90">
        <v>7.7758619355084688</v>
      </c>
    </row>
    <row r="5345" spans="1:2">
      <c r="A5345" s="32">
        <v>5332</v>
      </c>
      <c r="B5345" s="90">
        <v>7.0696455854596802</v>
      </c>
    </row>
    <row r="5346" spans="1:2">
      <c r="A5346" s="32">
        <v>5333</v>
      </c>
      <c r="B5346" s="90">
        <v>8.2560553022120544</v>
      </c>
    </row>
    <row r="5347" spans="1:2">
      <c r="A5347" s="32">
        <v>5334</v>
      </c>
      <c r="B5347" s="90">
        <v>8.8588494895446139</v>
      </c>
    </row>
    <row r="5348" spans="1:2">
      <c r="A5348" s="32">
        <v>5335</v>
      </c>
      <c r="B5348" s="90">
        <v>8.5262748034720008</v>
      </c>
    </row>
    <row r="5349" spans="1:2">
      <c r="A5349" s="32">
        <v>5336</v>
      </c>
      <c r="B5349" s="90">
        <v>8.0257842175925731</v>
      </c>
    </row>
    <row r="5350" spans="1:2">
      <c r="A5350" s="32">
        <v>5337</v>
      </c>
      <c r="B5350" s="90">
        <v>7.6771724770825429</v>
      </c>
    </row>
    <row r="5351" spans="1:2">
      <c r="A5351" s="32">
        <v>5338</v>
      </c>
      <c r="B5351" s="90">
        <v>7.4572627367863609</v>
      </c>
    </row>
    <row r="5352" spans="1:2">
      <c r="A5352" s="32">
        <v>5339</v>
      </c>
      <c r="B5352" s="90">
        <v>8.80406450120004</v>
      </c>
    </row>
    <row r="5353" spans="1:2">
      <c r="A5353" s="32">
        <v>5340</v>
      </c>
      <c r="B5353" s="90">
        <v>7.9491861747356589</v>
      </c>
    </row>
    <row r="5354" spans="1:2">
      <c r="A5354" s="32">
        <v>5341</v>
      </c>
      <c r="B5354" s="90">
        <v>7.9105100011456555</v>
      </c>
    </row>
    <row r="5355" spans="1:2">
      <c r="A5355" s="32">
        <v>5342</v>
      </c>
      <c r="B5355" s="90">
        <v>7.976639308882544</v>
      </c>
    </row>
    <row r="5356" spans="1:2">
      <c r="A5356" s="32">
        <v>5343</v>
      </c>
      <c r="B5356" s="90">
        <v>8.2200569580051734</v>
      </c>
    </row>
    <row r="5357" spans="1:2">
      <c r="A5357" s="32">
        <v>5344</v>
      </c>
      <c r="B5357" s="90">
        <v>7.5491161754369589</v>
      </c>
    </row>
    <row r="5358" spans="1:2">
      <c r="A5358" s="32">
        <v>5345</v>
      </c>
      <c r="B5358" s="90">
        <v>7.9887285445319973</v>
      </c>
    </row>
    <row r="5359" spans="1:2">
      <c r="A5359" s="32">
        <v>5346</v>
      </c>
      <c r="B5359" s="90">
        <v>9.0827763197082643</v>
      </c>
    </row>
    <row r="5360" spans="1:2">
      <c r="A5360" s="32">
        <v>5347</v>
      </c>
      <c r="B5360" s="90">
        <v>8.9784628820315948</v>
      </c>
    </row>
    <row r="5361" spans="1:2">
      <c r="A5361" s="32">
        <v>5348</v>
      </c>
      <c r="B5361" s="90">
        <v>8.7687038336301946</v>
      </c>
    </row>
    <row r="5362" spans="1:2">
      <c r="A5362" s="32">
        <v>5349</v>
      </c>
      <c r="B5362" s="90">
        <v>8.164493070769332</v>
      </c>
    </row>
    <row r="5363" spans="1:2">
      <c r="A5363" s="32">
        <v>5350</v>
      </c>
      <c r="B5363" s="90">
        <v>7.4017779718254459</v>
      </c>
    </row>
    <row r="5364" spans="1:2">
      <c r="A5364" s="32">
        <v>5351</v>
      </c>
      <c r="B5364" s="90">
        <v>7.8976714945852633</v>
      </c>
    </row>
    <row r="5365" spans="1:2">
      <c r="A5365" s="32">
        <v>5352</v>
      </c>
      <c r="B5365" s="90">
        <v>7.6743646526720681</v>
      </c>
    </row>
    <row r="5366" spans="1:2">
      <c r="A5366" s="32">
        <v>5353</v>
      </c>
      <c r="B5366" s="90">
        <v>8.4447269754552803</v>
      </c>
    </row>
    <row r="5367" spans="1:2">
      <c r="A5367" s="32">
        <v>5354</v>
      </c>
      <c r="B5367" s="90">
        <v>7.7290022148128168</v>
      </c>
    </row>
    <row r="5368" spans="1:2">
      <c r="A5368" s="32">
        <v>5355</v>
      </c>
      <c r="B5368" s="90">
        <v>8.3132553071036526</v>
      </c>
    </row>
    <row r="5369" spans="1:2">
      <c r="A5369" s="32">
        <v>5356</v>
      </c>
      <c r="B5369" s="90">
        <v>7.4478810981156238</v>
      </c>
    </row>
    <row r="5370" spans="1:2">
      <c r="A5370" s="32">
        <v>5357</v>
      </c>
      <c r="B5370" s="90">
        <v>6.5357678307779938</v>
      </c>
    </row>
    <row r="5371" spans="1:2">
      <c r="A5371" s="32">
        <v>5358</v>
      </c>
      <c r="B5371" s="90">
        <v>7.4296505012143967</v>
      </c>
    </row>
    <row r="5372" spans="1:2">
      <c r="A5372" s="32">
        <v>5359</v>
      </c>
      <c r="B5372" s="90">
        <v>8.5052923970804475</v>
      </c>
    </row>
    <row r="5373" spans="1:2">
      <c r="A5373" s="32">
        <v>5360</v>
      </c>
      <c r="B5373" s="90">
        <v>7.9789598600654124</v>
      </c>
    </row>
    <row r="5374" spans="1:2">
      <c r="A5374" s="32">
        <v>5361</v>
      </c>
      <c r="B5374" s="90">
        <v>7.9511571103623613</v>
      </c>
    </row>
    <row r="5375" spans="1:2">
      <c r="A5375" s="32">
        <v>5362</v>
      </c>
      <c r="B5375" s="90">
        <v>8.2315656787162084</v>
      </c>
    </row>
    <row r="5376" spans="1:2">
      <c r="A5376" s="32">
        <v>5363</v>
      </c>
      <c r="B5376" s="90">
        <v>8.7775879996818151</v>
      </c>
    </row>
    <row r="5377" spans="1:2">
      <c r="A5377" s="32">
        <v>5364</v>
      </c>
      <c r="B5377" s="90">
        <v>7.8518220222597837</v>
      </c>
    </row>
    <row r="5378" spans="1:2">
      <c r="A5378" s="32">
        <v>5365</v>
      </c>
      <c r="B5378" s="90">
        <v>7.6279806160511683</v>
      </c>
    </row>
    <row r="5379" spans="1:2">
      <c r="A5379" s="32">
        <v>5366</v>
      </c>
      <c r="B5379" s="90">
        <v>8.1829461910458168</v>
      </c>
    </row>
    <row r="5380" spans="1:2">
      <c r="A5380" s="32">
        <v>5367</v>
      </c>
      <c r="B5380" s="90">
        <v>8.510121677052485</v>
      </c>
    </row>
    <row r="5381" spans="1:2">
      <c r="A5381" s="32">
        <v>5368</v>
      </c>
      <c r="B5381" s="90">
        <v>7.162839806527777</v>
      </c>
    </row>
    <row r="5382" spans="1:2">
      <c r="A5382" s="32">
        <v>5369</v>
      </c>
      <c r="B5382" s="90">
        <v>7.1812342905058344</v>
      </c>
    </row>
    <row r="5383" spans="1:2">
      <c r="A5383" s="32">
        <v>5370</v>
      </c>
      <c r="B5383" s="90">
        <v>8.2165408265362991</v>
      </c>
    </row>
    <row r="5384" spans="1:2">
      <c r="A5384" s="32">
        <v>5371</v>
      </c>
      <c r="B5384" s="90">
        <v>8.1286115756325081</v>
      </c>
    </row>
    <row r="5385" spans="1:2">
      <c r="A5385" s="32">
        <v>5372</v>
      </c>
      <c r="B5385" s="90">
        <v>8.6039547186481062</v>
      </c>
    </row>
    <row r="5386" spans="1:2">
      <c r="A5386" s="32">
        <v>5373</v>
      </c>
      <c r="B5386" s="90">
        <v>8.8401391323893037</v>
      </c>
    </row>
    <row r="5387" spans="1:2">
      <c r="A5387" s="32">
        <v>5374</v>
      </c>
      <c r="B5387" s="90">
        <v>7.43326581220155</v>
      </c>
    </row>
    <row r="5388" spans="1:2">
      <c r="A5388" s="32">
        <v>5375</v>
      </c>
      <c r="B5388" s="90">
        <v>6.8726450960867238</v>
      </c>
    </row>
    <row r="5389" spans="1:2">
      <c r="A5389" s="32">
        <v>5376</v>
      </c>
      <c r="B5389" s="90">
        <v>8.0347152860967199</v>
      </c>
    </row>
    <row r="5390" spans="1:2">
      <c r="A5390" s="32">
        <v>5377</v>
      </c>
      <c r="B5390" s="90">
        <v>6.8560242550257007</v>
      </c>
    </row>
    <row r="5391" spans="1:2">
      <c r="A5391" s="32">
        <v>5378</v>
      </c>
      <c r="B5391" s="90">
        <v>7.8435554000222556</v>
      </c>
    </row>
    <row r="5392" spans="1:2">
      <c r="A5392" s="32">
        <v>5379</v>
      </c>
      <c r="B5392" s="90">
        <v>6.9841405427057461</v>
      </c>
    </row>
    <row r="5393" spans="1:2">
      <c r="A5393" s="32">
        <v>5380</v>
      </c>
      <c r="B5393" s="90">
        <v>8.5127864610894655</v>
      </c>
    </row>
    <row r="5394" spans="1:2">
      <c r="A5394" s="32">
        <v>5381</v>
      </c>
      <c r="B5394" s="90">
        <v>8.7343561407487584</v>
      </c>
    </row>
    <row r="5395" spans="1:2">
      <c r="A5395" s="32">
        <v>5382</v>
      </c>
      <c r="B5395" s="90">
        <v>7.327993955488993</v>
      </c>
    </row>
    <row r="5396" spans="1:2">
      <c r="A5396" s="32">
        <v>5383</v>
      </c>
      <c r="B5396" s="90">
        <v>8.350356685002593</v>
      </c>
    </row>
    <row r="5397" spans="1:2">
      <c r="A5397" s="32">
        <v>5384</v>
      </c>
      <c r="B5397" s="90">
        <v>9.3398674273619342</v>
      </c>
    </row>
    <row r="5398" spans="1:2">
      <c r="A5398" s="32">
        <v>5385</v>
      </c>
      <c r="B5398" s="90">
        <v>7.5638354134191994</v>
      </c>
    </row>
    <row r="5399" spans="1:2">
      <c r="A5399" s="32">
        <v>5386</v>
      </c>
      <c r="B5399" s="90">
        <v>7.0628967220192882</v>
      </c>
    </row>
    <row r="5400" spans="1:2">
      <c r="A5400" s="32">
        <v>5387</v>
      </c>
      <c r="B5400" s="90">
        <v>7.3351954539103819</v>
      </c>
    </row>
    <row r="5401" spans="1:2">
      <c r="A5401" s="32">
        <v>5388</v>
      </c>
      <c r="B5401" s="90">
        <v>7.9844414277793199</v>
      </c>
    </row>
    <row r="5402" spans="1:2">
      <c r="A5402" s="32">
        <v>5389</v>
      </c>
      <c r="B5402" s="90">
        <v>7.5880961098908353</v>
      </c>
    </row>
    <row r="5403" spans="1:2">
      <c r="A5403" s="32">
        <v>5390</v>
      </c>
      <c r="B5403" s="90">
        <v>7.6187349771335207</v>
      </c>
    </row>
    <row r="5404" spans="1:2">
      <c r="A5404" s="32">
        <v>5391</v>
      </c>
      <c r="B5404" s="90">
        <v>7.025403444653529</v>
      </c>
    </row>
    <row r="5405" spans="1:2">
      <c r="A5405" s="32">
        <v>5392</v>
      </c>
      <c r="B5405" s="90">
        <v>8.317380918608837</v>
      </c>
    </row>
    <row r="5406" spans="1:2">
      <c r="A5406" s="32">
        <v>5393</v>
      </c>
      <c r="B5406" s="90">
        <v>8.6993888472782697</v>
      </c>
    </row>
    <row r="5407" spans="1:2">
      <c r="A5407" s="32">
        <v>5394</v>
      </c>
      <c r="B5407" s="90">
        <v>8.1592398023587354</v>
      </c>
    </row>
    <row r="5408" spans="1:2">
      <c r="A5408" s="32">
        <v>5395</v>
      </c>
      <c r="B5408" s="90">
        <v>8.8762746878431003</v>
      </c>
    </row>
    <row r="5409" spans="1:2">
      <c r="A5409" s="32">
        <v>5396</v>
      </c>
      <c r="B5409" s="90">
        <v>8.0069037425340639</v>
      </c>
    </row>
    <row r="5410" spans="1:2">
      <c r="A5410" s="32">
        <v>5397</v>
      </c>
      <c r="B5410" s="90">
        <v>7.5968889267261597</v>
      </c>
    </row>
    <row r="5411" spans="1:2">
      <c r="A5411" s="32">
        <v>5398</v>
      </c>
      <c r="B5411" s="90">
        <v>7.6629775505258033</v>
      </c>
    </row>
    <row r="5412" spans="1:2">
      <c r="A5412" s="32">
        <v>5399</v>
      </c>
      <c r="B5412" s="90">
        <v>8.2390484448439345</v>
      </c>
    </row>
    <row r="5413" spans="1:2">
      <c r="A5413" s="32">
        <v>5400</v>
      </c>
      <c r="B5413" s="90">
        <v>7.6818392426245907</v>
      </c>
    </row>
    <row r="5414" spans="1:2">
      <c r="A5414" s="32">
        <v>5401</v>
      </c>
      <c r="B5414" s="90">
        <v>9.6272429517971201</v>
      </c>
    </row>
    <row r="5415" spans="1:2">
      <c r="A5415" s="32">
        <v>5402</v>
      </c>
      <c r="B5415" s="90">
        <v>8.2175366144322339</v>
      </c>
    </row>
    <row r="5416" spans="1:2">
      <c r="A5416" s="32">
        <v>5403</v>
      </c>
      <c r="B5416" s="90">
        <v>9.1462425600808732</v>
      </c>
    </row>
    <row r="5417" spans="1:2">
      <c r="A5417" s="32">
        <v>5404</v>
      </c>
      <c r="B5417" s="90">
        <v>8.5722042693108769</v>
      </c>
    </row>
    <row r="5418" spans="1:2">
      <c r="A5418" s="32">
        <v>5405</v>
      </c>
      <c r="B5418" s="90">
        <v>7.5190322974179411</v>
      </c>
    </row>
    <row r="5419" spans="1:2">
      <c r="A5419" s="32">
        <v>5406</v>
      </c>
      <c r="B5419" s="90">
        <v>9.1405785285614378</v>
      </c>
    </row>
    <row r="5420" spans="1:2">
      <c r="A5420" s="32">
        <v>5407</v>
      </c>
      <c r="B5420" s="90">
        <v>8.1812461376126979</v>
      </c>
    </row>
    <row r="5421" spans="1:2">
      <c r="A5421" s="32">
        <v>5408</v>
      </c>
      <c r="B5421" s="90">
        <v>9.3070893090164173</v>
      </c>
    </row>
    <row r="5422" spans="1:2">
      <c r="A5422" s="32">
        <v>5409</v>
      </c>
      <c r="B5422" s="90">
        <v>7.5084101604004596</v>
      </c>
    </row>
    <row r="5423" spans="1:2">
      <c r="A5423" s="32">
        <v>5410</v>
      </c>
      <c r="B5423" s="90">
        <v>9.5212672277767414</v>
      </c>
    </row>
    <row r="5424" spans="1:2">
      <c r="A5424" s="32">
        <v>5411</v>
      </c>
      <c r="B5424" s="90">
        <v>10.136351528405379</v>
      </c>
    </row>
    <row r="5425" spans="1:2">
      <c r="A5425" s="32">
        <v>5412</v>
      </c>
      <c r="B5425" s="90">
        <v>8.9846991122146225</v>
      </c>
    </row>
    <row r="5426" spans="1:2">
      <c r="A5426" s="32">
        <v>5413</v>
      </c>
      <c r="B5426" s="90">
        <v>7.5918780951667673</v>
      </c>
    </row>
    <row r="5427" spans="1:2">
      <c r="A5427" s="32">
        <v>5414</v>
      </c>
      <c r="B5427" s="90">
        <v>8.5558169861708286</v>
      </c>
    </row>
    <row r="5428" spans="1:2">
      <c r="A5428" s="32">
        <v>5415</v>
      </c>
      <c r="B5428" s="90">
        <v>8.6940534645648615</v>
      </c>
    </row>
    <row r="5429" spans="1:2">
      <c r="A5429" s="32">
        <v>5416</v>
      </c>
      <c r="B5429" s="90">
        <v>8.1438000374216823</v>
      </c>
    </row>
    <row r="5430" spans="1:2">
      <c r="A5430" s="32">
        <v>5417</v>
      </c>
      <c r="B5430" s="90">
        <v>8.3287600798073882</v>
      </c>
    </row>
    <row r="5431" spans="1:2">
      <c r="A5431" s="32">
        <v>5418</v>
      </c>
      <c r="B5431" s="90">
        <v>7.0987198380553718</v>
      </c>
    </row>
    <row r="5432" spans="1:2">
      <c r="A5432" s="32">
        <v>5419</v>
      </c>
      <c r="B5432" s="90">
        <v>8.6856632778987723</v>
      </c>
    </row>
    <row r="5433" spans="1:2">
      <c r="A5433" s="32">
        <v>5420</v>
      </c>
      <c r="B5433" s="90">
        <v>8.9103847516684116</v>
      </c>
    </row>
    <row r="5434" spans="1:2">
      <c r="A5434" s="32">
        <v>5421</v>
      </c>
      <c r="B5434" s="90">
        <v>8.8783889406739345</v>
      </c>
    </row>
    <row r="5435" spans="1:2">
      <c r="A5435" s="32">
        <v>5422</v>
      </c>
      <c r="B5435" s="90">
        <v>10.009215636864491</v>
      </c>
    </row>
    <row r="5436" spans="1:2">
      <c r="A5436" s="32">
        <v>5423</v>
      </c>
      <c r="B5436" s="90">
        <v>9.0410571802828237</v>
      </c>
    </row>
    <row r="5437" spans="1:2">
      <c r="A5437" s="32">
        <v>5424</v>
      </c>
      <c r="B5437" s="90">
        <v>7.2846687149447371</v>
      </c>
    </row>
    <row r="5438" spans="1:2">
      <c r="A5438" s="32">
        <v>5425</v>
      </c>
      <c r="B5438" s="90">
        <v>8.352994119435678</v>
      </c>
    </row>
    <row r="5439" spans="1:2">
      <c r="A5439" s="32">
        <v>5426</v>
      </c>
      <c r="B5439" s="90">
        <v>7.220745944824503</v>
      </c>
    </row>
    <row r="5440" spans="1:2">
      <c r="A5440" s="32">
        <v>5427</v>
      </c>
      <c r="B5440" s="90">
        <v>8.0029759538444587</v>
      </c>
    </row>
    <row r="5441" spans="1:2">
      <c r="A5441" s="32">
        <v>5428</v>
      </c>
      <c r="B5441" s="90">
        <v>8.5636979173363432</v>
      </c>
    </row>
    <row r="5442" spans="1:2">
      <c r="A5442" s="32">
        <v>5429</v>
      </c>
      <c r="B5442" s="90">
        <v>7.9169064973667496</v>
      </c>
    </row>
    <row r="5443" spans="1:2">
      <c r="A5443" s="32">
        <v>5430</v>
      </c>
      <c r="B5443" s="90">
        <v>7.669875877981525</v>
      </c>
    </row>
    <row r="5444" spans="1:2">
      <c r="A5444" s="32">
        <v>5431</v>
      </c>
      <c r="B5444" s="90">
        <v>8.6201962649549522</v>
      </c>
    </row>
    <row r="5445" spans="1:2">
      <c r="A5445" s="32">
        <v>5432</v>
      </c>
      <c r="B5445" s="90">
        <v>8.281771978866324</v>
      </c>
    </row>
    <row r="5446" spans="1:2">
      <c r="A5446" s="32">
        <v>5433</v>
      </c>
      <c r="B5446" s="90">
        <v>7.1092085882218399</v>
      </c>
    </row>
    <row r="5447" spans="1:2">
      <c r="A5447" s="32">
        <v>5434</v>
      </c>
      <c r="B5447" s="90">
        <v>7.5473713404209706</v>
      </c>
    </row>
    <row r="5448" spans="1:2">
      <c r="A5448" s="32">
        <v>5435</v>
      </c>
      <c r="B5448" s="90">
        <v>9.7145779434508022</v>
      </c>
    </row>
    <row r="5449" spans="1:2">
      <c r="A5449" s="32">
        <v>5436</v>
      </c>
      <c r="B5449" s="90">
        <v>8.6362091174780335</v>
      </c>
    </row>
    <row r="5450" spans="1:2">
      <c r="A5450" s="32">
        <v>5437</v>
      </c>
      <c r="B5450" s="90">
        <v>7.7110470446409369</v>
      </c>
    </row>
    <row r="5451" spans="1:2">
      <c r="A5451" s="32">
        <v>5438</v>
      </c>
      <c r="B5451" s="90">
        <v>8.6885227170337362</v>
      </c>
    </row>
    <row r="5452" spans="1:2">
      <c r="A5452" s="32">
        <v>5439</v>
      </c>
      <c r="B5452" s="90">
        <v>8.1432282196669892</v>
      </c>
    </row>
    <row r="5453" spans="1:2">
      <c r="A5453" s="32">
        <v>5440</v>
      </c>
      <c r="B5453" s="90">
        <v>7.235079710103598</v>
      </c>
    </row>
    <row r="5454" spans="1:2">
      <c r="A5454" s="32">
        <v>5441</v>
      </c>
      <c r="B5454" s="90">
        <v>7.6350773952761797</v>
      </c>
    </row>
    <row r="5455" spans="1:2">
      <c r="A5455" s="32">
        <v>5442</v>
      </c>
      <c r="B5455" s="90">
        <v>8.3257510508222001</v>
      </c>
    </row>
    <row r="5456" spans="1:2">
      <c r="A5456" s="32">
        <v>5443</v>
      </c>
      <c r="B5456" s="90">
        <v>8.4296829719704451</v>
      </c>
    </row>
    <row r="5457" spans="1:2">
      <c r="A5457" s="32">
        <v>5444</v>
      </c>
      <c r="B5457" s="90">
        <v>8.9928058166224094</v>
      </c>
    </row>
    <row r="5458" spans="1:2">
      <c r="A5458" s="32">
        <v>5445</v>
      </c>
      <c r="B5458" s="90">
        <v>8.4398114287470207</v>
      </c>
    </row>
    <row r="5459" spans="1:2">
      <c r="A5459" s="32">
        <v>5446</v>
      </c>
      <c r="B5459" s="90">
        <v>8.4507719577546876</v>
      </c>
    </row>
    <row r="5460" spans="1:2">
      <c r="A5460" s="32">
        <v>5447</v>
      </c>
      <c r="B5460" s="90">
        <v>7.4186358844771538</v>
      </c>
    </row>
    <row r="5461" spans="1:2">
      <c r="A5461" s="32">
        <v>5448</v>
      </c>
      <c r="B5461" s="90">
        <v>7.7908093301506263</v>
      </c>
    </row>
    <row r="5462" spans="1:2">
      <c r="A5462" s="32">
        <v>5449</v>
      </c>
      <c r="B5462" s="90">
        <v>7.4650050947161928</v>
      </c>
    </row>
    <row r="5463" spans="1:2">
      <c r="A5463" s="32">
        <v>5450</v>
      </c>
      <c r="B5463" s="90">
        <v>7.8755716338045429</v>
      </c>
    </row>
    <row r="5464" spans="1:2">
      <c r="A5464" s="32">
        <v>5451</v>
      </c>
      <c r="B5464" s="90">
        <v>8.5087565911428715</v>
      </c>
    </row>
    <row r="5465" spans="1:2">
      <c r="A5465" s="32">
        <v>5452</v>
      </c>
      <c r="B5465" s="90">
        <v>8.2899895101007299</v>
      </c>
    </row>
    <row r="5466" spans="1:2">
      <c r="A5466" s="32">
        <v>5453</v>
      </c>
      <c r="B5466" s="90">
        <v>8.6797940684061921</v>
      </c>
    </row>
    <row r="5467" spans="1:2">
      <c r="A5467" s="32">
        <v>5454</v>
      </c>
      <c r="B5467" s="90">
        <v>9.2047168142743274</v>
      </c>
    </row>
    <row r="5468" spans="1:2">
      <c r="A5468" s="32">
        <v>5455</v>
      </c>
      <c r="B5468" s="90">
        <v>8.1222481378542071</v>
      </c>
    </row>
    <row r="5469" spans="1:2">
      <c r="A5469" s="32">
        <v>5456</v>
      </c>
      <c r="B5469" s="90">
        <v>7.7899218533923644</v>
      </c>
    </row>
    <row r="5470" spans="1:2">
      <c r="A5470" s="32">
        <v>5457</v>
      </c>
      <c r="B5470" s="90">
        <v>8.1817501980331198</v>
      </c>
    </row>
    <row r="5471" spans="1:2">
      <c r="A5471" s="32">
        <v>5458</v>
      </c>
      <c r="B5471" s="90">
        <v>8.3588596822669103</v>
      </c>
    </row>
    <row r="5472" spans="1:2">
      <c r="A5472" s="32">
        <v>5459</v>
      </c>
      <c r="B5472" s="90">
        <v>7.8887201377933529</v>
      </c>
    </row>
    <row r="5473" spans="1:2">
      <c r="A5473" s="32">
        <v>5460</v>
      </c>
      <c r="B5473" s="90">
        <v>8.2340410201830387</v>
      </c>
    </row>
    <row r="5474" spans="1:2">
      <c r="A5474" s="32">
        <v>5461</v>
      </c>
      <c r="B5474" s="90">
        <v>8.0934365824929468</v>
      </c>
    </row>
    <row r="5475" spans="1:2">
      <c r="A5475" s="32">
        <v>5462</v>
      </c>
      <c r="B5475" s="90">
        <v>10.028497976758297</v>
      </c>
    </row>
    <row r="5476" spans="1:2">
      <c r="A5476" s="32">
        <v>5463</v>
      </c>
      <c r="B5476" s="90">
        <v>7.7694746157773427</v>
      </c>
    </row>
    <row r="5477" spans="1:2">
      <c r="A5477" s="32">
        <v>5464</v>
      </c>
      <c r="B5477" s="90">
        <v>9.0382544458889527</v>
      </c>
    </row>
    <row r="5478" spans="1:2">
      <c r="A5478" s="32">
        <v>5465</v>
      </c>
      <c r="B5478" s="90">
        <v>8.7599145592025547</v>
      </c>
    </row>
    <row r="5479" spans="1:2">
      <c r="A5479" s="32">
        <v>5466</v>
      </c>
      <c r="B5479" s="90">
        <v>7.3565478471508374</v>
      </c>
    </row>
    <row r="5480" spans="1:2">
      <c r="A5480" s="32">
        <v>5467</v>
      </c>
      <c r="B5480" s="90">
        <v>8.3095856757904265</v>
      </c>
    </row>
    <row r="5481" spans="1:2">
      <c r="A5481" s="32">
        <v>5468</v>
      </c>
      <c r="B5481" s="90">
        <v>7.0945131147792697</v>
      </c>
    </row>
    <row r="5482" spans="1:2">
      <c r="A5482" s="32">
        <v>5469</v>
      </c>
      <c r="B5482" s="90">
        <v>8.1905130071031156</v>
      </c>
    </row>
    <row r="5483" spans="1:2">
      <c r="A5483" s="32">
        <v>5470</v>
      </c>
      <c r="B5483" s="90">
        <v>9.3317470076007449</v>
      </c>
    </row>
    <row r="5484" spans="1:2">
      <c r="A5484" s="32">
        <v>5471</v>
      </c>
      <c r="B5484" s="90">
        <v>7.6671048331315461</v>
      </c>
    </row>
    <row r="5485" spans="1:2">
      <c r="A5485" s="32">
        <v>5472</v>
      </c>
      <c r="B5485" s="90">
        <v>9.600083901787805</v>
      </c>
    </row>
    <row r="5486" spans="1:2">
      <c r="A5486" s="32">
        <v>5473</v>
      </c>
      <c r="B5486" s="90">
        <v>8.8660031734123574</v>
      </c>
    </row>
    <row r="5487" spans="1:2">
      <c r="A5487" s="32">
        <v>5474</v>
      </c>
      <c r="B5487" s="90">
        <v>7.5598877357309897</v>
      </c>
    </row>
    <row r="5488" spans="1:2">
      <c r="A5488" s="32">
        <v>5475</v>
      </c>
      <c r="B5488" s="90">
        <v>8.1746910912286204</v>
      </c>
    </row>
    <row r="5489" spans="1:2">
      <c r="A5489" s="32">
        <v>5476</v>
      </c>
      <c r="B5489" s="90">
        <v>7.3559791764081659</v>
      </c>
    </row>
    <row r="5490" spans="1:2">
      <c r="A5490" s="32">
        <v>5477</v>
      </c>
      <c r="B5490" s="90">
        <v>7.9625554000427865</v>
      </c>
    </row>
    <row r="5491" spans="1:2">
      <c r="A5491" s="32">
        <v>5478</v>
      </c>
      <c r="B5491" s="90">
        <v>7.520216298508644</v>
      </c>
    </row>
    <row r="5492" spans="1:2">
      <c r="A5492" s="32">
        <v>5479</v>
      </c>
      <c r="B5492" s="90">
        <v>8.0181414837318226</v>
      </c>
    </row>
    <row r="5493" spans="1:2">
      <c r="A5493" s="32">
        <v>5480</v>
      </c>
      <c r="B5493" s="90">
        <v>7.7057921371756644</v>
      </c>
    </row>
    <row r="5494" spans="1:2">
      <c r="A5494" s="32">
        <v>5481</v>
      </c>
      <c r="B5494" s="90">
        <v>8.0779808635813115</v>
      </c>
    </row>
    <row r="5495" spans="1:2">
      <c r="A5495" s="32">
        <v>5482</v>
      </c>
      <c r="B5495" s="90">
        <v>7.1942756487008319</v>
      </c>
    </row>
    <row r="5496" spans="1:2">
      <c r="A5496" s="32">
        <v>5483</v>
      </c>
      <c r="B5496" s="90">
        <v>8.0410210781774847</v>
      </c>
    </row>
    <row r="5497" spans="1:2">
      <c r="A5497" s="32">
        <v>5484</v>
      </c>
      <c r="B5497" s="90">
        <v>8.8889960704952529</v>
      </c>
    </row>
    <row r="5498" spans="1:2">
      <c r="A5498" s="32">
        <v>5485</v>
      </c>
      <c r="B5498" s="90">
        <v>8.9215265778452366</v>
      </c>
    </row>
    <row r="5499" spans="1:2">
      <c r="A5499" s="32">
        <v>5486</v>
      </c>
      <c r="B5499" s="90">
        <v>7.4865720736246946</v>
      </c>
    </row>
    <row r="5500" spans="1:2">
      <c r="A5500" s="32">
        <v>5487</v>
      </c>
      <c r="B5500" s="90">
        <v>7.33659406789657</v>
      </c>
    </row>
    <row r="5501" spans="1:2">
      <c r="A5501" s="32">
        <v>5488</v>
      </c>
      <c r="B5501" s="90">
        <v>8.1446626818106846</v>
      </c>
    </row>
    <row r="5502" spans="1:2">
      <c r="A5502" s="32">
        <v>5489</v>
      </c>
      <c r="B5502" s="90">
        <v>7.7034027907042439</v>
      </c>
    </row>
    <row r="5503" spans="1:2">
      <c r="A5503" s="32">
        <v>5490</v>
      </c>
      <c r="B5503" s="90">
        <v>8.888853615456263</v>
      </c>
    </row>
    <row r="5504" spans="1:2">
      <c r="A5504" s="32">
        <v>5491</v>
      </c>
      <c r="B5504" s="90">
        <v>8.8720601031102859</v>
      </c>
    </row>
    <row r="5505" spans="1:2">
      <c r="A5505" s="32">
        <v>5492</v>
      </c>
      <c r="B5505" s="90">
        <v>7.2135979484640878</v>
      </c>
    </row>
    <row r="5506" spans="1:2">
      <c r="A5506" s="32">
        <v>5493</v>
      </c>
      <c r="B5506" s="90">
        <v>7.9716099694165568</v>
      </c>
    </row>
    <row r="5507" spans="1:2">
      <c r="A5507" s="32">
        <v>5494</v>
      </c>
      <c r="B5507" s="90">
        <v>8.2803010209593566</v>
      </c>
    </row>
    <row r="5508" spans="1:2">
      <c r="A5508" s="32">
        <v>5495</v>
      </c>
      <c r="B5508" s="90">
        <v>9.1735373793901385</v>
      </c>
    </row>
    <row r="5509" spans="1:2">
      <c r="A5509" s="32">
        <v>5496</v>
      </c>
      <c r="B5509" s="90">
        <v>9.583316326163688</v>
      </c>
    </row>
    <row r="5510" spans="1:2">
      <c r="A5510" s="32">
        <v>5497</v>
      </c>
      <c r="B5510" s="90">
        <v>8.1557201221945714</v>
      </c>
    </row>
    <row r="5511" spans="1:2">
      <c r="A5511" s="32">
        <v>5498</v>
      </c>
      <c r="B5511" s="90">
        <v>8.4625346731679461</v>
      </c>
    </row>
    <row r="5512" spans="1:2">
      <c r="A5512" s="32">
        <v>5499</v>
      </c>
      <c r="B5512" s="90">
        <v>9.0727310725489616</v>
      </c>
    </row>
    <row r="5513" spans="1:2">
      <c r="A5513" s="32">
        <v>5500</v>
      </c>
      <c r="B5513" s="90">
        <v>9.1982898533322359</v>
      </c>
    </row>
    <row r="5514" spans="1:2">
      <c r="A5514" s="32">
        <v>5501</v>
      </c>
      <c r="B5514" s="90">
        <v>8.6569671580698859</v>
      </c>
    </row>
    <row r="5515" spans="1:2">
      <c r="A5515" s="32">
        <v>5502</v>
      </c>
      <c r="B5515" s="90">
        <v>7.7496241834565494</v>
      </c>
    </row>
    <row r="5516" spans="1:2">
      <c r="A5516" s="32">
        <v>5503</v>
      </c>
      <c r="B5516" s="90">
        <v>8.0970200634470526</v>
      </c>
    </row>
    <row r="5517" spans="1:2">
      <c r="A5517" s="32">
        <v>5504</v>
      </c>
      <c r="B5517" s="90">
        <v>8.1576442226744827</v>
      </c>
    </row>
    <row r="5518" spans="1:2">
      <c r="A5518" s="32">
        <v>5505</v>
      </c>
      <c r="B5518" s="90">
        <v>7.1723939919444097</v>
      </c>
    </row>
    <row r="5519" spans="1:2">
      <c r="A5519" s="32">
        <v>5506</v>
      </c>
      <c r="B5519" s="90">
        <v>9.3935932908329747</v>
      </c>
    </row>
    <row r="5520" spans="1:2">
      <c r="A5520" s="32">
        <v>5507</v>
      </c>
      <c r="B5520" s="90">
        <v>8.1582119362867314</v>
      </c>
    </row>
    <row r="5521" spans="1:2">
      <c r="A5521" s="32">
        <v>5508</v>
      </c>
      <c r="B5521" s="90">
        <v>8.3020676852582458</v>
      </c>
    </row>
    <row r="5522" spans="1:2">
      <c r="A5522" s="32">
        <v>5509</v>
      </c>
      <c r="B5522" s="90">
        <v>8.9418919897924951</v>
      </c>
    </row>
    <row r="5523" spans="1:2">
      <c r="A5523" s="32">
        <v>5510</v>
      </c>
      <c r="B5523" s="90">
        <v>9.8622878174497721</v>
      </c>
    </row>
    <row r="5524" spans="1:2">
      <c r="A5524" s="32">
        <v>5511</v>
      </c>
      <c r="B5524" s="90">
        <v>8.313213307459721</v>
      </c>
    </row>
    <row r="5525" spans="1:2">
      <c r="A5525" s="32">
        <v>5512</v>
      </c>
      <c r="B5525" s="90">
        <v>7.4337971707562147</v>
      </c>
    </row>
    <row r="5526" spans="1:2">
      <c r="A5526" s="32">
        <v>5513</v>
      </c>
      <c r="B5526" s="90">
        <v>8.78648609001349</v>
      </c>
    </row>
    <row r="5527" spans="1:2">
      <c r="A5527" s="32">
        <v>5514</v>
      </c>
      <c r="B5527" s="90">
        <v>8.2714971407085596</v>
      </c>
    </row>
    <row r="5528" spans="1:2">
      <c r="A5528" s="32">
        <v>5515</v>
      </c>
      <c r="B5528" s="90">
        <v>7.7318812512259374</v>
      </c>
    </row>
    <row r="5529" spans="1:2">
      <c r="A5529" s="32">
        <v>5516</v>
      </c>
      <c r="B5529" s="90">
        <v>9.7622735988393465</v>
      </c>
    </row>
    <row r="5530" spans="1:2">
      <c r="A5530" s="32">
        <v>5517</v>
      </c>
      <c r="B5530" s="90">
        <v>8.2893670457810344</v>
      </c>
    </row>
    <row r="5531" spans="1:2">
      <c r="A5531" s="32">
        <v>5518</v>
      </c>
      <c r="B5531" s="90">
        <v>6.9630421703661538</v>
      </c>
    </row>
    <row r="5532" spans="1:2">
      <c r="A5532" s="32">
        <v>5519</v>
      </c>
      <c r="B5532" s="90">
        <v>8.5741765674327475</v>
      </c>
    </row>
    <row r="5533" spans="1:2">
      <c r="A5533" s="32">
        <v>5520</v>
      </c>
      <c r="B5533" s="90">
        <v>8.2211516698678437</v>
      </c>
    </row>
    <row r="5534" spans="1:2">
      <c r="A5534" s="32">
        <v>5521</v>
      </c>
      <c r="B5534" s="90">
        <v>8.5257568378856945</v>
      </c>
    </row>
    <row r="5535" spans="1:2">
      <c r="A5535" s="32">
        <v>5522</v>
      </c>
      <c r="B5535" s="90">
        <v>8.9388075912759906</v>
      </c>
    </row>
    <row r="5536" spans="1:2">
      <c r="A5536" s="32">
        <v>5523</v>
      </c>
      <c r="B5536" s="90">
        <v>9.143096056690192</v>
      </c>
    </row>
    <row r="5537" spans="1:2">
      <c r="A5537" s="32">
        <v>5524</v>
      </c>
      <c r="B5537" s="90">
        <v>8.780671167477859</v>
      </c>
    </row>
    <row r="5538" spans="1:2">
      <c r="A5538" s="32">
        <v>5525</v>
      </c>
      <c r="B5538" s="90">
        <v>8.149385031991633</v>
      </c>
    </row>
    <row r="5539" spans="1:2">
      <c r="A5539" s="32">
        <v>5526</v>
      </c>
      <c r="B5539" s="90">
        <v>8.9104556799281944</v>
      </c>
    </row>
    <row r="5540" spans="1:2">
      <c r="A5540" s="32">
        <v>5527</v>
      </c>
      <c r="B5540" s="90">
        <v>8.1807531163933689</v>
      </c>
    </row>
    <row r="5541" spans="1:2">
      <c r="A5541" s="32">
        <v>5528</v>
      </c>
      <c r="B5541" s="90">
        <v>7.7488101546138761</v>
      </c>
    </row>
    <row r="5542" spans="1:2">
      <c r="A5542" s="32">
        <v>5529</v>
      </c>
      <c r="B5542" s="90">
        <v>9.8785232366517768</v>
      </c>
    </row>
    <row r="5543" spans="1:2">
      <c r="A5543" s="32">
        <v>5530</v>
      </c>
      <c r="B5543" s="90">
        <v>8.1185081814579583</v>
      </c>
    </row>
    <row r="5544" spans="1:2">
      <c r="A5544" s="32">
        <v>5531</v>
      </c>
      <c r="B5544" s="90">
        <v>7.2564677460620386</v>
      </c>
    </row>
    <row r="5545" spans="1:2">
      <c r="A5545" s="32">
        <v>5532</v>
      </c>
      <c r="B5545" s="90">
        <v>8.7779865033861313</v>
      </c>
    </row>
    <row r="5546" spans="1:2">
      <c r="A5546" s="32">
        <v>5533</v>
      </c>
      <c r="B5546" s="90">
        <v>7.558779678105874</v>
      </c>
    </row>
    <row r="5547" spans="1:2">
      <c r="A5547" s="32">
        <v>5534</v>
      </c>
      <c r="B5547" s="90">
        <v>8.0192164433109774</v>
      </c>
    </row>
    <row r="5548" spans="1:2">
      <c r="A5548" s="32">
        <v>5535</v>
      </c>
      <c r="B5548" s="90">
        <v>9.4665687266106975</v>
      </c>
    </row>
    <row r="5549" spans="1:2">
      <c r="A5549" s="32">
        <v>5536</v>
      </c>
      <c r="B5549" s="90">
        <v>7.6486274728975419</v>
      </c>
    </row>
    <row r="5550" spans="1:2">
      <c r="A5550" s="32">
        <v>5537</v>
      </c>
      <c r="B5550" s="90">
        <v>8.7356409805909827</v>
      </c>
    </row>
    <row r="5551" spans="1:2">
      <c r="A5551" s="32">
        <v>5538</v>
      </c>
      <c r="B5551" s="90">
        <v>8.60968598510261</v>
      </c>
    </row>
    <row r="5552" spans="1:2">
      <c r="A5552" s="32">
        <v>5539</v>
      </c>
      <c r="B5552" s="90">
        <v>7.0535794380689412</v>
      </c>
    </row>
    <row r="5553" spans="1:2">
      <c r="A5553" s="32">
        <v>5540</v>
      </c>
      <c r="B5553" s="90">
        <v>9.1647007763280754</v>
      </c>
    </row>
    <row r="5554" spans="1:2">
      <c r="A5554" s="32">
        <v>5541</v>
      </c>
      <c r="B5554" s="90">
        <v>8.8735331382952474</v>
      </c>
    </row>
    <row r="5555" spans="1:2">
      <c r="A5555" s="32">
        <v>5542</v>
      </c>
      <c r="B5555" s="90">
        <v>8.7935858474950468</v>
      </c>
    </row>
    <row r="5556" spans="1:2">
      <c r="A5556" s="32">
        <v>5543</v>
      </c>
      <c r="B5556" s="90">
        <v>9.7128172607179053</v>
      </c>
    </row>
    <row r="5557" spans="1:2">
      <c r="A5557" s="32">
        <v>5544</v>
      </c>
      <c r="B5557" s="90">
        <v>7.6599071091555038</v>
      </c>
    </row>
    <row r="5558" spans="1:2">
      <c r="A5558" s="32">
        <v>5545</v>
      </c>
      <c r="B5558" s="90">
        <v>8.046136445741439</v>
      </c>
    </row>
    <row r="5559" spans="1:2">
      <c r="A5559" s="32">
        <v>5546</v>
      </c>
      <c r="B5559" s="90">
        <v>8.2112296288311892</v>
      </c>
    </row>
    <row r="5560" spans="1:2">
      <c r="A5560" s="32">
        <v>5547</v>
      </c>
      <c r="B5560" s="90">
        <v>7.792687655809396</v>
      </c>
    </row>
    <row r="5561" spans="1:2">
      <c r="A5561" s="32">
        <v>5548</v>
      </c>
      <c r="B5561" s="90">
        <v>8.2239866768350165</v>
      </c>
    </row>
    <row r="5562" spans="1:2">
      <c r="A5562" s="32">
        <v>5549</v>
      </c>
      <c r="B5562" s="90">
        <v>8.1936181038601585</v>
      </c>
    </row>
    <row r="5563" spans="1:2">
      <c r="A5563" s="32">
        <v>5550</v>
      </c>
      <c r="B5563" s="90">
        <v>8.0141343902822015</v>
      </c>
    </row>
    <row r="5564" spans="1:2">
      <c r="A5564" s="32">
        <v>5551</v>
      </c>
      <c r="B5564" s="90">
        <v>8.4533010286038248</v>
      </c>
    </row>
    <row r="5565" spans="1:2">
      <c r="A5565" s="32">
        <v>5552</v>
      </c>
      <c r="B5565" s="90">
        <v>8.1898939803771604</v>
      </c>
    </row>
    <row r="5566" spans="1:2">
      <c r="A5566" s="32">
        <v>5553</v>
      </c>
      <c r="B5566" s="90">
        <v>8.2136108792958531</v>
      </c>
    </row>
    <row r="5567" spans="1:2">
      <c r="A5567" s="32">
        <v>5554</v>
      </c>
      <c r="B5567" s="90">
        <v>8.6013690096036033</v>
      </c>
    </row>
    <row r="5568" spans="1:2">
      <c r="A5568" s="32">
        <v>5555</v>
      </c>
      <c r="B5568" s="90">
        <v>6.7539476240811922</v>
      </c>
    </row>
    <row r="5569" spans="1:2">
      <c r="A5569" s="32">
        <v>5556</v>
      </c>
      <c r="B5569" s="90">
        <v>8.6033633736452995</v>
      </c>
    </row>
    <row r="5570" spans="1:2">
      <c r="A5570" s="32">
        <v>5557</v>
      </c>
      <c r="B5570" s="90">
        <v>7.3157185045353819</v>
      </c>
    </row>
    <row r="5571" spans="1:2">
      <c r="A5571" s="32">
        <v>5558</v>
      </c>
      <c r="B5571" s="90">
        <v>9.4789398275859416</v>
      </c>
    </row>
    <row r="5572" spans="1:2">
      <c r="A5572" s="32">
        <v>5559</v>
      </c>
      <c r="B5572" s="90">
        <v>8.378705264086987</v>
      </c>
    </row>
    <row r="5573" spans="1:2">
      <c r="A5573" s="32">
        <v>5560</v>
      </c>
      <c r="B5573" s="90">
        <v>7.9728665161561167</v>
      </c>
    </row>
    <row r="5574" spans="1:2">
      <c r="A5574" s="32">
        <v>5561</v>
      </c>
      <c r="B5574" s="90">
        <v>7.7690410826192</v>
      </c>
    </row>
    <row r="5575" spans="1:2">
      <c r="A5575" s="32">
        <v>5562</v>
      </c>
      <c r="B5575" s="90">
        <v>8.3133207735439285</v>
      </c>
    </row>
    <row r="5576" spans="1:2">
      <c r="A5576" s="32">
        <v>5563</v>
      </c>
      <c r="B5576" s="90">
        <v>7.8204204094509491</v>
      </c>
    </row>
    <row r="5577" spans="1:2">
      <c r="A5577" s="32">
        <v>5564</v>
      </c>
      <c r="B5577" s="90">
        <v>6.3955295406025039</v>
      </c>
    </row>
    <row r="5578" spans="1:2">
      <c r="A5578" s="32">
        <v>5565</v>
      </c>
      <c r="B5578" s="90">
        <v>8.0946957630804945</v>
      </c>
    </row>
    <row r="5579" spans="1:2">
      <c r="A5579" s="32">
        <v>5566</v>
      </c>
      <c r="B5579" s="90">
        <v>9.7254125755574741</v>
      </c>
    </row>
    <row r="5580" spans="1:2">
      <c r="A5580" s="32">
        <v>5567</v>
      </c>
      <c r="B5580" s="90">
        <v>9.2896660393047856</v>
      </c>
    </row>
    <row r="5581" spans="1:2">
      <c r="A5581" s="32">
        <v>5568</v>
      </c>
      <c r="B5581" s="90">
        <v>8.1485201643860261</v>
      </c>
    </row>
    <row r="5582" spans="1:2">
      <c r="A5582" s="32">
        <v>5569</v>
      </c>
      <c r="B5582" s="90">
        <v>7.7362281451332082</v>
      </c>
    </row>
    <row r="5583" spans="1:2">
      <c r="A5583" s="32">
        <v>5570</v>
      </c>
      <c r="B5583" s="90">
        <v>7.8522187617933383</v>
      </c>
    </row>
    <row r="5584" spans="1:2">
      <c r="A5584" s="32">
        <v>5571</v>
      </c>
      <c r="B5584" s="90">
        <v>7.4143179374986357</v>
      </c>
    </row>
    <row r="5585" spans="1:2">
      <c r="A5585" s="32">
        <v>5572</v>
      </c>
      <c r="B5585" s="90">
        <v>8.3546680692731048</v>
      </c>
    </row>
    <row r="5586" spans="1:2">
      <c r="A5586" s="32">
        <v>5573</v>
      </c>
      <c r="B5586" s="90">
        <v>8.7730096150992924</v>
      </c>
    </row>
    <row r="5587" spans="1:2">
      <c r="A5587" s="32">
        <v>5574</v>
      </c>
      <c r="B5587" s="90">
        <v>8.9063441345867744</v>
      </c>
    </row>
    <row r="5588" spans="1:2">
      <c r="A5588" s="32">
        <v>5575</v>
      </c>
      <c r="B5588" s="90">
        <v>7.8700506693943266</v>
      </c>
    </row>
    <row r="5589" spans="1:2">
      <c r="A5589" s="32">
        <v>5576</v>
      </c>
      <c r="B5589" s="90">
        <v>8.4459655641781559</v>
      </c>
    </row>
    <row r="5590" spans="1:2">
      <c r="A5590" s="32">
        <v>5577</v>
      </c>
      <c r="B5590" s="90">
        <v>8.6248091055950926</v>
      </c>
    </row>
    <row r="5591" spans="1:2">
      <c r="A5591" s="32">
        <v>5578</v>
      </c>
      <c r="B5591" s="90">
        <v>9.0236685074731522</v>
      </c>
    </row>
    <row r="5592" spans="1:2">
      <c r="A5592" s="32">
        <v>5579</v>
      </c>
      <c r="B5592" s="90">
        <v>10.698261064562415</v>
      </c>
    </row>
    <row r="5593" spans="1:2">
      <c r="A5593" s="32">
        <v>5580</v>
      </c>
      <c r="B5593" s="90">
        <v>6.7467134006397611</v>
      </c>
    </row>
    <row r="5594" spans="1:2">
      <c r="A5594" s="32">
        <v>5581</v>
      </c>
      <c r="B5594" s="90">
        <v>7.5390942273262764</v>
      </c>
    </row>
    <row r="5595" spans="1:2">
      <c r="A5595" s="32">
        <v>5582</v>
      </c>
      <c r="B5595" s="90">
        <v>6.9852832975670154</v>
      </c>
    </row>
    <row r="5596" spans="1:2">
      <c r="A5596" s="32">
        <v>5583</v>
      </c>
      <c r="B5596" s="90">
        <v>8.7746642942811555</v>
      </c>
    </row>
    <row r="5597" spans="1:2">
      <c r="A5597" s="32">
        <v>5584</v>
      </c>
      <c r="B5597" s="90">
        <v>6.618820385526007</v>
      </c>
    </row>
    <row r="5598" spans="1:2">
      <c r="A5598" s="32">
        <v>5585</v>
      </c>
      <c r="B5598" s="90">
        <v>8.8304320807606835</v>
      </c>
    </row>
    <row r="5599" spans="1:2">
      <c r="A5599" s="32">
        <v>5586</v>
      </c>
      <c r="B5599" s="90">
        <v>6.7777520942933176</v>
      </c>
    </row>
    <row r="5600" spans="1:2">
      <c r="A5600" s="32">
        <v>5587</v>
      </c>
      <c r="B5600" s="90">
        <v>7.0532337125666507</v>
      </c>
    </row>
    <row r="5601" spans="1:2">
      <c r="A5601" s="32">
        <v>5588</v>
      </c>
      <c r="B5601" s="90">
        <v>8.7550574942748245</v>
      </c>
    </row>
    <row r="5602" spans="1:2">
      <c r="A5602" s="32">
        <v>5589</v>
      </c>
      <c r="B5602" s="90">
        <v>8.4751645347518441</v>
      </c>
    </row>
    <row r="5603" spans="1:2">
      <c r="A5603" s="32">
        <v>5590</v>
      </c>
      <c r="B5603" s="90">
        <v>7.7549457748728292</v>
      </c>
    </row>
    <row r="5604" spans="1:2">
      <c r="A5604" s="32">
        <v>5591</v>
      </c>
      <c r="B5604" s="90">
        <v>7.734320897800699</v>
      </c>
    </row>
    <row r="5605" spans="1:2">
      <c r="A5605" s="32">
        <v>5592</v>
      </c>
      <c r="B5605" s="90">
        <v>7.2992000084574595</v>
      </c>
    </row>
    <row r="5606" spans="1:2">
      <c r="A5606" s="32">
        <v>5593</v>
      </c>
      <c r="B5606" s="90">
        <v>8.1912449648236869</v>
      </c>
    </row>
    <row r="5607" spans="1:2">
      <c r="A5607" s="32">
        <v>5594</v>
      </c>
      <c r="B5607" s="90">
        <v>8.1293507940210681</v>
      </c>
    </row>
    <row r="5608" spans="1:2">
      <c r="A5608" s="32">
        <v>5595</v>
      </c>
      <c r="B5608" s="90">
        <v>8.5232397977319767</v>
      </c>
    </row>
    <row r="5609" spans="1:2">
      <c r="A5609" s="32">
        <v>5596</v>
      </c>
      <c r="B5609" s="90">
        <v>7.163460585325188</v>
      </c>
    </row>
    <row r="5610" spans="1:2">
      <c r="A5610" s="32">
        <v>5597</v>
      </c>
      <c r="B5610" s="90">
        <v>8.0342788827460154</v>
      </c>
    </row>
    <row r="5611" spans="1:2">
      <c r="A5611" s="32">
        <v>5598</v>
      </c>
      <c r="B5611" s="90">
        <v>6.5440432212108233</v>
      </c>
    </row>
    <row r="5612" spans="1:2">
      <c r="A5612" s="32">
        <v>5599</v>
      </c>
      <c r="B5612" s="90">
        <v>6.985235066246049</v>
      </c>
    </row>
    <row r="5613" spans="1:2">
      <c r="A5613" s="32">
        <v>5600</v>
      </c>
      <c r="B5613" s="90">
        <v>7.4224600228719551</v>
      </c>
    </row>
    <row r="5614" spans="1:2">
      <c r="A5614" s="32">
        <v>5601</v>
      </c>
      <c r="B5614" s="90">
        <v>8.2990874554616063</v>
      </c>
    </row>
    <row r="5615" spans="1:2">
      <c r="A5615" s="32">
        <v>5602</v>
      </c>
      <c r="B5615" s="90">
        <v>8.1708800181798047</v>
      </c>
    </row>
    <row r="5616" spans="1:2">
      <c r="A5616" s="32">
        <v>5603</v>
      </c>
      <c r="B5616" s="90">
        <v>9.5828179482491915</v>
      </c>
    </row>
    <row r="5617" spans="1:2">
      <c r="A5617" s="32">
        <v>5604</v>
      </c>
      <c r="B5617" s="90">
        <v>8.2054450808368298</v>
      </c>
    </row>
    <row r="5618" spans="1:2">
      <c r="A5618" s="32">
        <v>5605</v>
      </c>
      <c r="B5618" s="90">
        <v>8.9219447109251337</v>
      </c>
    </row>
    <row r="5619" spans="1:2">
      <c r="A5619" s="32">
        <v>5606</v>
      </c>
      <c r="B5619" s="90">
        <v>8.7461959572776475</v>
      </c>
    </row>
    <row r="5620" spans="1:2">
      <c r="A5620" s="32">
        <v>5607</v>
      </c>
      <c r="B5620" s="90">
        <v>8.2116368773257946</v>
      </c>
    </row>
    <row r="5621" spans="1:2">
      <c r="A5621" s="32">
        <v>5608</v>
      </c>
      <c r="B5621" s="90">
        <v>6.6023551137872118</v>
      </c>
    </row>
    <row r="5622" spans="1:2">
      <c r="A5622" s="32">
        <v>5609</v>
      </c>
      <c r="B5622" s="90">
        <v>8.878648313714125</v>
      </c>
    </row>
    <row r="5623" spans="1:2">
      <c r="A5623" s="32">
        <v>5610</v>
      </c>
      <c r="B5623" s="90">
        <v>8.6077161549295305</v>
      </c>
    </row>
    <row r="5624" spans="1:2">
      <c r="A5624" s="32">
        <v>5611</v>
      </c>
      <c r="B5624" s="90">
        <v>9.0164184010781874</v>
      </c>
    </row>
    <row r="5625" spans="1:2">
      <c r="A5625" s="32">
        <v>5612</v>
      </c>
      <c r="B5625" s="90">
        <v>7.6927028562106976</v>
      </c>
    </row>
    <row r="5626" spans="1:2">
      <c r="A5626" s="32">
        <v>5613</v>
      </c>
      <c r="B5626" s="90">
        <v>8.4303627822255436</v>
      </c>
    </row>
    <row r="5627" spans="1:2">
      <c r="A5627" s="32">
        <v>5614</v>
      </c>
      <c r="B5627" s="90">
        <v>8.4186297982372391</v>
      </c>
    </row>
    <row r="5628" spans="1:2">
      <c r="A5628" s="32">
        <v>5615</v>
      </c>
      <c r="B5628" s="90">
        <v>8.8955653904167296</v>
      </c>
    </row>
    <row r="5629" spans="1:2">
      <c r="A5629" s="32">
        <v>5616</v>
      </c>
      <c r="B5629" s="90">
        <v>7.5775159911738106</v>
      </c>
    </row>
    <row r="5630" spans="1:2">
      <c r="A5630" s="32">
        <v>5617</v>
      </c>
      <c r="B5630" s="90">
        <v>8.1968388999982711</v>
      </c>
    </row>
    <row r="5631" spans="1:2">
      <c r="A5631" s="32">
        <v>5618</v>
      </c>
      <c r="B5631" s="90">
        <v>8.1661878197336595</v>
      </c>
    </row>
    <row r="5632" spans="1:2">
      <c r="A5632" s="32">
        <v>5619</v>
      </c>
      <c r="B5632" s="90">
        <v>8.4403764630521945</v>
      </c>
    </row>
    <row r="5633" spans="1:2">
      <c r="A5633" s="32">
        <v>5620</v>
      </c>
      <c r="B5633" s="90">
        <v>8.4977662002508207</v>
      </c>
    </row>
    <row r="5634" spans="1:2">
      <c r="A5634" s="32">
        <v>5621</v>
      </c>
      <c r="B5634" s="90">
        <v>8.3857818432814017</v>
      </c>
    </row>
    <row r="5635" spans="1:2">
      <c r="A5635" s="32">
        <v>5622</v>
      </c>
      <c r="B5635" s="90">
        <v>7.8079843337886627</v>
      </c>
    </row>
    <row r="5636" spans="1:2">
      <c r="A5636" s="32">
        <v>5623</v>
      </c>
      <c r="B5636" s="90">
        <v>7.3504153988153025</v>
      </c>
    </row>
    <row r="5637" spans="1:2">
      <c r="A5637" s="32">
        <v>5624</v>
      </c>
      <c r="B5637" s="90">
        <v>7.8615327158753994</v>
      </c>
    </row>
    <row r="5638" spans="1:2">
      <c r="A5638" s="32">
        <v>5625</v>
      </c>
      <c r="B5638" s="90">
        <v>8.6077443403781739</v>
      </c>
    </row>
    <row r="5639" spans="1:2">
      <c r="A5639" s="32">
        <v>5626</v>
      </c>
      <c r="B5639" s="90">
        <v>8.208920963944685</v>
      </c>
    </row>
    <row r="5640" spans="1:2">
      <c r="A5640" s="32">
        <v>5627</v>
      </c>
      <c r="B5640" s="90">
        <v>7.7619386418586087</v>
      </c>
    </row>
    <row r="5641" spans="1:2">
      <c r="A5641" s="32">
        <v>5628</v>
      </c>
      <c r="B5641" s="90">
        <v>8.2442855454234056</v>
      </c>
    </row>
    <row r="5642" spans="1:2">
      <c r="A5642" s="32">
        <v>5629</v>
      </c>
      <c r="B5642" s="90">
        <v>8.1258919123021212</v>
      </c>
    </row>
    <row r="5643" spans="1:2">
      <c r="A5643" s="32">
        <v>5630</v>
      </c>
      <c r="B5643" s="90">
        <v>7.6806752128724476</v>
      </c>
    </row>
    <row r="5644" spans="1:2">
      <c r="A5644" s="32">
        <v>5631</v>
      </c>
      <c r="B5644" s="90">
        <v>8.1453065752253053</v>
      </c>
    </row>
    <row r="5645" spans="1:2">
      <c r="A5645" s="32">
        <v>5632</v>
      </c>
      <c r="B5645" s="90">
        <v>7.9512426521484185</v>
      </c>
    </row>
    <row r="5646" spans="1:2">
      <c r="A5646" s="32">
        <v>5633</v>
      </c>
      <c r="B5646" s="90">
        <v>7.4561736281364048</v>
      </c>
    </row>
    <row r="5647" spans="1:2">
      <c r="A5647" s="32">
        <v>5634</v>
      </c>
      <c r="B5647" s="90">
        <v>8.391781962478742</v>
      </c>
    </row>
    <row r="5648" spans="1:2">
      <c r="A5648" s="32">
        <v>5635</v>
      </c>
      <c r="B5648" s="90">
        <v>7.4850704170300757</v>
      </c>
    </row>
    <row r="5649" spans="1:2">
      <c r="A5649" s="32">
        <v>5636</v>
      </c>
      <c r="B5649" s="90">
        <v>7.9638936596408776</v>
      </c>
    </row>
    <row r="5650" spans="1:2">
      <c r="A5650" s="32">
        <v>5637</v>
      </c>
      <c r="B5650" s="90">
        <v>8.4064006293315838</v>
      </c>
    </row>
    <row r="5651" spans="1:2">
      <c r="A5651" s="32">
        <v>5638</v>
      </c>
      <c r="B5651" s="90">
        <v>8.1833849414918074</v>
      </c>
    </row>
    <row r="5652" spans="1:2">
      <c r="A5652" s="32">
        <v>5639</v>
      </c>
      <c r="B5652" s="90">
        <v>8.0316969845094111</v>
      </c>
    </row>
    <row r="5653" spans="1:2">
      <c r="A5653" s="32">
        <v>5640</v>
      </c>
      <c r="B5653" s="90">
        <v>8.9050821851181823</v>
      </c>
    </row>
    <row r="5654" spans="1:2">
      <c r="A5654" s="32">
        <v>5641</v>
      </c>
      <c r="B5654" s="90">
        <v>8.5922432350986195</v>
      </c>
    </row>
    <row r="5655" spans="1:2">
      <c r="A5655" s="32">
        <v>5642</v>
      </c>
      <c r="B5655" s="90">
        <v>7.8368960657612821</v>
      </c>
    </row>
    <row r="5656" spans="1:2">
      <c r="A5656" s="32">
        <v>5643</v>
      </c>
      <c r="B5656" s="90">
        <v>8.1956437735655161</v>
      </c>
    </row>
    <row r="5657" spans="1:2">
      <c r="A5657" s="32">
        <v>5644</v>
      </c>
      <c r="B5657" s="90">
        <v>8.7109051696352253</v>
      </c>
    </row>
    <row r="5658" spans="1:2">
      <c r="A5658" s="32">
        <v>5645</v>
      </c>
      <c r="B5658" s="90">
        <v>6.4686703180853904</v>
      </c>
    </row>
    <row r="5659" spans="1:2">
      <c r="A5659" s="32">
        <v>5646</v>
      </c>
      <c r="B5659" s="90">
        <v>8.2166272958737068</v>
      </c>
    </row>
    <row r="5660" spans="1:2">
      <c r="A5660" s="32">
        <v>5647</v>
      </c>
      <c r="B5660" s="90">
        <v>8.9533140206507493</v>
      </c>
    </row>
    <row r="5661" spans="1:2">
      <c r="A5661" s="32">
        <v>5648</v>
      </c>
      <c r="B5661" s="90">
        <v>9.1491502489241423</v>
      </c>
    </row>
    <row r="5662" spans="1:2">
      <c r="A5662" s="32">
        <v>5649</v>
      </c>
      <c r="B5662" s="90">
        <v>6.9282961820594817</v>
      </c>
    </row>
    <row r="5663" spans="1:2">
      <c r="A5663" s="32">
        <v>5650</v>
      </c>
      <c r="B5663" s="90">
        <v>7.5529295612985132</v>
      </c>
    </row>
    <row r="5664" spans="1:2">
      <c r="A5664" s="32">
        <v>5651</v>
      </c>
      <c r="B5664" s="90">
        <v>8.444269161673116</v>
      </c>
    </row>
    <row r="5665" spans="1:2">
      <c r="A5665" s="32">
        <v>5652</v>
      </c>
      <c r="B5665" s="90">
        <v>7.1401773645361137</v>
      </c>
    </row>
    <row r="5666" spans="1:2">
      <c r="A5666" s="32">
        <v>5653</v>
      </c>
      <c r="B5666" s="90">
        <v>9.2654517671063434</v>
      </c>
    </row>
    <row r="5667" spans="1:2">
      <c r="A5667" s="32">
        <v>5654</v>
      </c>
      <c r="B5667" s="90">
        <v>8.565087443689313</v>
      </c>
    </row>
    <row r="5668" spans="1:2">
      <c r="A5668" s="32">
        <v>5655</v>
      </c>
      <c r="B5668" s="90">
        <v>7.2700959511449952</v>
      </c>
    </row>
    <row r="5669" spans="1:2">
      <c r="A5669" s="32">
        <v>5656</v>
      </c>
      <c r="B5669" s="90">
        <v>7.6108857292270446</v>
      </c>
    </row>
    <row r="5670" spans="1:2">
      <c r="A5670" s="32">
        <v>5657</v>
      </c>
      <c r="B5670" s="90">
        <v>8.4322089573260062</v>
      </c>
    </row>
    <row r="5671" spans="1:2">
      <c r="A5671" s="32">
        <v>5658</v>
      </c>
      <c r="B5671" s="90">
        <v>7.6454122140907073</v>
      </c>
    </row>
    <row r="5672" spans="1:2">
      <c r="A5672" s="32">
        <v>5659</v>
      </c>
      <c r="B5672" s="90">
        <v>8.0258359080942387</v>
      </c>
    </row>
    <row r="5673" spans="1:2">
      <c r="A5673" s="32">
        <v>5660</v>
      </c>
      <c r="B5673" s="90">
        <v>7.5204214386750285</v>
      </c>
    </row>
    <row r="5674" spans="1:2">
      <c r="A5674" s="32">
        <v>5661</v>
      </c>
      <c r="B5674" s="90">
        <v>8.8127475856006594</v>
      </c>
    </row>
    <row r="5675" spans="1:2">
      <c r="A5675" s="32">
        <v>5662</v>
      </c>
      <c r="B5675" s="90">
        <v>8.0325347325258534</v>
      </c>
    </row>
    <row r="5676" spans="1:2">
      <c r="A5676" s="32">
        <v>5663</v>
      </c>
      <c r="B5676" s="90">
        <v>9.1075120530085414</v>
      </c>
    </row>
    <row r="5677" spans="1:2">
      <c r="A5677" s="32">
        <v>5664</v>
      </c>
      <c r="B5677" s="90">
        <v>7.2919371948135607</v>
      </c>
    </row>
    <row r="5678" spans="1:2">
      <c r="A5678" s="32">
        <v>5665</v>
      </c>
      <c r="B5678" s="90">
        <v>7.4567893158493073</v>
      </c>
    </row>
    <row r="5679" spans="1:2">
      <c r="A5679" s="32">
        <v>5666</v>
      </c>
      <c r="B5679" s="90">
        <v>6.6181009029935192</v>
      </c>
    </row>
    <row r="5680" spans="1:2">
      <c r="A5680" s="32">
        <v>5667</v>
      </c>
      <c r="B5680" s="90">
        <v>7.8643072353920731</v>
      </c>
    </row>
    <row r="5681" spans="1:2">
      <c r="A5681" s="32">
        <v>5668</v>
      </c>
      <c r="B5681" s="90">
        <v>8.1162823655286545</v>
      </c>
    </row>
    <row r="5682" spans="1:2">
      <c r="A5682" s="32">
        <v>5669</v>
      </c>
      <c r="B5682" s="90">
        <v>7.8734563460115625</v>
      </c>
    </row>
    <row r="5683" spans="1:2">
      <c r="A5683" s="32">
        <v>5670</v>
      </c>
      <c r="B5683" s="90">
        <v>8.0909568574188189</v>
      </c>
    </row>
    <row r="5684" spans="1:2">
      <c r="A5684" s="32">
        <v>5671</v>
      </c>
      <c r="B5684" s="90">
        <v>7.534894834338016</v>
      </c>
    </row>
    <row r="5685" spans="1:2">
      <c r="A5685" s="32">
        <v>5672</v>
      </c>
      <c r="B5685" s="90">
        <v>6.9074627725459132</v>
      </c>
    </row>
    <row r="5686" spans="1:2">
      <c r="A5686" s="32">
        <v>5673</v>
      </c>
      <c r="B5686" s="90">
        <v>6.8073233481777242</v>
      </c>
    </row>
    <row r="5687" spans="1:2">
      <c r="A5687" s="32">
        <v>5674</v>
      </c>
      <c r="B5687" s="90">
        <v>8.4083857754451365</v>
      </c>
    </row>
    <row r="5688" spans="1:2">
      <c r="A5688" s="32">
        <v>5675</v>
      </c>
      <c r="B5688" s="90">
        <v>8.4469806208834495</v>
      </c>
    </row>
    <row r="5689" spans="1:2">
      <c r="A5689" s="32">
        <v>5676</v>
      </c>
      <c r="B5689" s="90">
        <v>7.2299727008023984</v>
      </c>
    </row>
    <row r="5690" spans="1:2">
      <c r="A5690" s="32">
        <v>5677</v>
      </c>
      <c r="B5690" s="90">
        <v>7.849134766075295</v>
      </c>
    </row>
    <row r="5691" spans="1:2">
      <c r="A5691" s="32">
        <v>5678</v>
      </c>
      <c r="B5691" s="90">
        <v>8.213881719234525</v>
      </c>
    </row>
    <row r="5692" spans="1:2">
      <c r="A5692" s="32">
        <v>5679</v>
      </c>
      <c r="B5692" s="90">
        <v>7.9321437897527449</v>
      </c>
    </row>
    <row r="5693" spans="1:2">
      <c r="A5693" s="32">
        <v>5680</v>
      </c>
      <c r="B5693" s="90">
        <v>8.5401557084989665</v>
      </c>
    </row>
    <row r="5694" spans="1:2">
      <c r="A5694" s="32">
        <v>5681</v>
      </c>
      <c r="B5694" s="90">
        <v>7.8329697887192236</v>
      </c>
    </row>
    <row r="5695" spans="1:2">
      <c r="A5695" s="32">
        <v>5682</v>
      </c>
      <c r="B5695" s="90">
        <v>7.9012725243409134</v>
      </c>
    </row>
    <row r="5696" spans="1:2">
      <c r="A5696" s="32">
        <v>5683</v>
      </c>
      <c r="B5696" s="90">
        <v>8.5096046500542393</v>
      </c>
    </row>
    <row r="5697" spans="1:2">
      <c r="A5697" s="32">
        <v>5684</v>
      </c>
      <c r="B5697" s="90">
        <v>8.0243205827839343</v>
      </c>
    </row>
    <row r="5698" spans="1:2">
      <c r="A5698" s="32">
        <v>5685</v>
      </c>
      <c r="B5698" s="90">
        <v>7.8633798229623038</v>
      </c>
    </row>
    <row r="5699" spans="1:2">
      <c r="A5699" s="32">
        <v>5686</v>
      </c>
      <c r="B5699" s="90">
        <v>7.2795218839640352</v>
      </c>
    </row>
    <row r="5700" spans="1:2">
      <c r="A5700" s="32">
        <v>5687</v>
      </c>
      <c r="B5700" s="90">
        <v>7.2669419631681453</v>
      </c>
    </row>
    <row r="5701" spans="1:2">
      <c r="A5701" s="32">
        <v>5688</v>
      </c>
      <c r="B5701" s="90">
        <v>7.6297426008249252</v>
      </c>
    </row>
    <row r="5702" spans="1:2">
      <c r="A5702" s="32">
        <v>5689</v>
      </c>
      <c r="B5702" s="90">
        <v>7.3436443185752323</v>
      </c>
    </row>
    <row r="5703" spans="1:2">
      <c r="A5703" s="32">
        <v>5690</v>
      </c>
      <c r="B5703" s="90">
        <v>7.9630972298747107</v>
      </c>
    </row>
    <row r="5704" spans="1:2">
      <c r="A5704" s="32">
        <v>5691</v>
      </c>
      <c r="B5704" s="90">
        <v>7.6362425879840901</v>
      </c>
    </row>
    <row r="5705" spans="1:2">
      <c r="A5705" s="32">
        <v>5692</v>
      </c>
      <c r="B5705" s="90">
        <v>8.7693388190791204</v>
      </c>
    </row>
    <row r="5706" spans="1:2">
      <c r="A5706" s="32">
        <v>5693</v>
      </c>
      <c r="B5706" s="90">
        <v>7.5652426795725747</v>
      </c>
    </row>
    <row r="5707" spans="1:2">
      <c r="A5707" s="32">
        <v>5694</v>
      </c>
      <c r="B5707" s="90">
        <v>8.2155765096517168</v>
      </c>
    </row>
    <row r="5708" spans="1:2">
      <c r="A5708" s="32">
        <v>5695</v>
      </c>
      <c r="B5708" s="90">
        <v>8.7757918111941766</v>
      </c>
    </row>
    <row r="5709" spans="1:2">
      <c r="A5709" s="32">
        <v>5696</v>
      </c>
      <c r="B5709" s="90">
        <v>8.5767915943324535</v>
      </c>
    </row>
    <row r="5710" spans="1:2">
      <c r="A5710" s="32">
        <v>5697</v>
      </c>
      <c r="B5710" s="90">
        <v>7.4817193517847915</v>
      </c>
    </row>
    <row r="5711" spans="1:2">
      <c r="A5711" s="32">
        <v>5698</v>
      </c>
      <c r="B5711" s="90">
        <v>7.2657876551101337</v>
      </c>
    </row>
    <row r="5712" spans="1:2">
      <c r="A5712" s="32">
        <v>5699</v>
      </c>
      <c r="B5712" s="90">
        <v>6.8780002057931995</v>
      </c>
    </row>
    <row r="5713" spans="1:2">
      <c r="A5713" s="32">
        <v>5700</v>
      </c>
      <c r="B5713" s="90">
        <v>7.3548142584622598</v>
      </c>
    </row>
    <row r="5714" spans="1:2">
      <c r="A5714" s="32">
        <v>5701</v>
      </c>
      <c r="B5714" s="90">
        <v>7.2500755119569931</v>
      </c>
    </row>
    <row r="5715" spans="1:2">
      <c r="A5715" s="32">
        <v>5702</v>
      </c>
      <c r="B5715" s="90">
        <v>9.520779850755865</v>
      </c>
    </row>
    <row r="5716" spans="1:2">
      <c r="A5716" s="32">
        <v>5703</v>
      </c>
      <c r="B5716" s="90">
        <v>7.1772240910785499</v>
      </c>
    </row>
    <row r="5717" spans="1:2">
      <c r="A5717" s="32">
        <v>5704</v>
      </c>
      <c r="B5717" s="90">
        <v>8.2407128388210218</v>
      </c>
    </row>
    <row r="5718" spans="1:2">
      <c r="A5718" s="32">
        <v>5705</v>
      </c>
      <c r="B5718" s="90">
        <v>8.1614083705437146</v>
      </c>
    </row>
    <row r="5719" spans="1:2">
      <c r="A5719" s="32">
        <v>5706</v>
      </c>
      <c r="B5719" s="90">
        <v>8.6051746837128231</v>
      </c>
    </row>
    <row r="5720" spans="1:2">
      <c r="A5720" s="32">
        <v>5707</v>
      </c>
      <c r="B5720" s="90">
        <v>8.5606463661967993</v>
      </c>
    </row>
    <row r="5721" spans="1:2">
      <c r="A5721" s="32">
        <v>5708</v>
      </c>
      <c r="B5721" s="90">
        <v>7.8613358007428582</v>
      </c>
    </row>
    <row r="5722" spans="1:2">
      <c r="A5722" s="32">
        <v>5709</v>
      </c>
      <c r="B5722" s="90">
        <v>9.9435745125939032</v>
      </c>
    </row>
    <row r="5723" spans="1:2">
      <c r="A5723" s="32">
        <v>5710</v>
      </c>
      <c r="B5723" s="90">
        <v>8.5161753374508766</v>
      </c>
    </row>
    <row r="5724" spans="1:2">
      <c r="A5724" s="32">
        <v>5711</v>
      </c>
      <c r="B5724" s="90">
        <v>8.2873820076474622</v>
      </c>
    </row>
    <row r="5725" spans="1:2">
      <c r="A5725" s="32">
        <v>5712</v>
      </c>
      <c r="B5725" s="90">
        <v>8.3466418174159926</v>
      </c>
    </row>
    <row r="5726" spans="1:2">
      <c r="A5726" s="32">
        <v>5713</v>
      </c>
      <c r="B5726" s="90">
        <v>8.9300580549626041</v>
      </c>
    </row>
    <row r="5727" spans="1:2">
      <c r="A5727" s="32">
        <v>5714</v>
      </c>
      <c r="B5727" s="90">
        <v>7.4609660951846104</v>
      </c>
    </row>
    <row r="5728" spans="1:2">
      <c r="A5728" s="32">
        <v>5715</v>
      </c>
      <c r="B5728" s="90">
        <v>8.1654887785411088</v>
      </c>
    </row>
    <row r="5729" spans="1:2">
      <c r="A5729" s="32">
        <v>5716</v>
      </c>
      <c r="B5729" s="90">
        <v>8.1241123477175048</v>
      </c>
    </row>
    <row r="5730" spans="1:2">
      <c r="A5730" s="32">
        <v>5717</v>
      </c>
      <c r="B5730" s="90">
        <v>7.8061744562770183</v>
      </c>
    </row>
    <row r="5731" spans="1:2">
      <c r="A5731" s="32">
        <v>5718</v>
      </c>
      <c r="B5731" s="90">
        <v>7.6492660846674898</v>
      </c>
    </row>
    <row r="5732" spans="1:2">
      <c r="A5732" s="32">
        <v>5719</v>
      </c>
      <c r="B5732" s="90">
        <v>9.4346739929068431</v>
      </c>
    </row>
    <row r="5733" spans="1:2">
      <c r="A5733" s="32">
        <v>5720</v>
      </c>
      <c r="B5733" s="90">
        <v>10.195550982271188</v>
      </c>
    </row>
    <row r="5734" spans="1:2">
      <c r="A5734" s="32">
        <v>5721</v>
      </c>
      <c r="B5734" s="90">
        <v>8.9100759206083957</v>
      </c>
    </row>
    <row r="5735" spans="1:2">
      <c r="A5735" s="32">
        <v>5722</v>
      </c>
      <c r="B5735" s="90">
        <v>7.6660851752585328</v>
      </c>
    </row>
    <row r="5736" spans="1:2">
      <c r="A5736" s="32">
        <v>5723</v>
      </c>
      <c r="B5736" s="90">
        <v>9.3844400925979325</v>
      </c>
    </row>
    <row r="5737" spans="1:2">
      <c r="A5737" s="32">
        <v>5724</v>
      </c>
      <c r="B5737" s="90">
        <v>7.4528845105774622</v>
      </c>
    </row>
    <row r="5738" spans="1:2">
      <c r="A5738" s="32">
        <v>5725</v>
      </c>
      <c r="B5738" s="90">
        <v>7.7151167033796293</v>
      </c>
    </row>
    <row r="5739" spans="1:2">
      <c r="A5739" s="32">
        <v>5726</v>
      </c>
      <c r="B5739" s="90">
        <v>8.9057541887807901</v>
      </c>
    </row>
    <row r="5740" spans="1:2">
      <c r="A5740" s="32">
        <v>5727</v>
      </c>
      <c r="B5740" s="90">
        <v>8.3275419613587633</v>
      </c>
    </row>
    <row r="5741" spans="1:2">
      <c r="A5741" s="32">
        <v>5728</v>
      </c>
      <c r="B5741" s="90">
        <v>7.9218746008723668</v>
      </c>
    </row>
    <row r="5742" spans="1:2">
      <c r="A5742" s="32">
        <v>5729</v>
      </c>
      <c r="B5742" s="90">
        <v>7.5118930411996372</v>
      </c>
    </row>
    <row r="5743" spans="1:2">
      <c r="A5743" s="32">
        <v>5730</v>
      </c>
      <c r="B5743" s="90">
        <v>7.6310619803958808</v>
      </c>
    </row>
    <row r="5744" spans="1:2">
      <c r="A5744" s="32">
        <v>5731</v>
      </c>
      <c r="B5744" s="90">
        <v>9.1941839341405061</v>
      </c>
    </row>
    <row r="5745" spans="1:2">
      <c r="A5745" s="32">
        <v>5732</v>
      </c>
      <c r="B5745" s="90">
        <v>7.0228177172601649</v>
      </c>
    </row>
    <row r="5746" spans="1:2">
      <c r="A5746" s="32">
        <v>5733</v>
      </c>
      <c r="B5746" s="90">
        <v>7.3449028302527664</v>
      </c>
    </row>
    <row r="5747" spans="1:2">
      <c r="A5747" s="32">
        <v>5734</v>
      </c>
      <c r="B5747" s="90">
        <v>7.5895965756194901</v>
      </c>
    </row>
    <row r="5748" spans="1:2">
      <c r="A5748" s="32">
        <v>5735</v>
      </c>
      <c r="B5748" s="90">
        <v>8.5683255901683797</v>
      </c>
    </row>
    <row r="5749" spans="1:2">
      <c r="A5749" s="32">
        <v>5736</v>
      </c>
      <c r="B5749" s="90">
        <v>6.8548518813962733</v>
      </c>
    </row>
    <row r="5750" spans="1:2">
      <c r="A5750" s="32">
        <v>5737</v>
      </c>
      <c r="B5750" s="90">
        <v>8.0591813734779336</v>
      </c>
    </row>
    <row r="5751" spans="1:2">
      <c r="A5751" s="32">
        <v>5738</v>
      </c>
      <c r="B5751" s="90">
        <v>8.3298970577958666</v>
      </c>
    </row>
    <row r="5752" spans="1:2">
      <c r="A5752" s="32">
        <v>5739</v>
      </c>
      <c r="B5752" s="90">
        <v>9.4768101604832378</v>
      </c>
    </row>
    <row r="5753" spans="1:2">
      <c r="A5753" s="32">
        <v>5740</v>
      </c>
      <c r="B5753" s="90">
        <v>7.9515343962822129</v>
      </c>
    </row>
    <row r="5754" spans="1:2">
      <c r="A5754" s="32">
        <v>5741</v>
      </c>
      <c r="B5754" s="90">
        <v>6.9473612770477651</v>
      </c>
    </row>
    <row r="5755" spans="1:2">
      <c r="A5755" s="32">
        <v>5742</v>
      </c>
      <c r="B5755" s="90">
        <v>7.8343841318463348</v>
      </c>
    </row>
    <row r="5756" spans="1:2">
      <c r="A5756" s="32">
        <v>5743</v>
      </c>
      <c r="B5756" s="90">
        <v>7.6569611246926632</v>
      </c>
    </row>
    <row r="5757" spans="1:2">
      <c r="A5757" s="32">
        <v>5744</v>
      </c>
      <c r="B5757" s="90">
        <v>7.6660013154058753</v>
      </c>
    </row>
    <row r="5758" spans="1:2">
      <c r="A5758" s="32">
        <v>5745</v>
      </c>
      <c r="B5758" s="90">
        <v>7.7554875785566946</v>
      </c>
    </row>
    <row r="5759" spans="1:2">
      <c r="A5759" s="32">
        <v>5746</v>
      </c>
      <c r="B5759" s="90">
        <v>7.5469752807438262</v>
      </c>
    </row>
    <row r="5760" spans="1:2">
      <c r="A5760" s="32">
        <v>5747</v>
      </c>
      <c r="B5760" s="90">
        <v>8.4561632636592403</v>
      </c>
    </row>
    <row r="5761" spans="1:2">
      <c r="A5761" s="32">
        <v>5748</v>
      </c>
      <c r="B5761" s="90">
        <v>7.6653689405211685</v>
      </c>
    </row>
    <row r="5762" spans="1:2">
      <c r="A5762" s="32">
        <v>5749</v>
      </c>
      <c r="B5762" s="90">
        <v>7.0198970363246325</v>
      </c>
    </row>
    <row r="5763" spans="1:2">
      <c r="A5763" s="32">
        <v>5750</v>
      </c>
      <c r="B5763" s="90">
        <v>7.2042080099047334</v>
      </c>
    </row>
    <row r="5764" spans="1:2">
      <c r="A5764" s="32">
        <v>5751</v>
      </c>
      <c r="B5764" s="90">
        <v>9.552490901415851</v>
      </c>
    </row>
    <row r="5765" spans="1:2">
      <c r="A5765" s="32">
        <v>5752</v>
      </c>
      <c r="B5765" s="90">
        <v>8.4173809399859945</v>
      </c>
    </row>
    <row r="5766" spans="1:2">
      <c r="A5766" s="32">
        <v>5753</v>
      </c>
      <c r="B5766" s="90">
        <v>8.0423612389845491</v>
      </c>
    </row>
    <row r="5767" spans="1:2">
      <c r="A5767" s="32">
        <v>5754</v>
      </c>
      <c r="B5767" s="90">
        <v>8.5583291229827889</v>
      </c>
    </row>
    <row r="5768" spans="1:2">
      <c r="A5768" s="32">
        <v>5755</v>
      </c>
      <c r="B5768" s="90">
        <v>9.3452100443392414</v>
      </c>
    </row>
    <row r="5769" spans="1:2">
      <c r="A5769" s="32">
        <v>5756</v>
      </c>
      <c r="B5769" s="90">
        <v>8.1625135515489635</v>
      </c>
    </row>
    <row r="5770" spans="1:2">
      <c r="A5770" s="32">
        <v>5757</v>
      </c>
      <c r="B5770" s="90">
        <v>7.6400690795869499</v>
      </c>
    </row>
    <row r="5771" spans="1:2">
      <c r="A5771" s="32">
        <v>5758</v>
      </c>
      <c r="B5771" s="90">
        <v>7.6690519662740915</v>
      </c>
    </row>
    <row r="5772" spans="1:2">
      <c r="A5772" s="32">
        <v>5759</v>
      </c>
      <c r="B5772" s="90">
        <v>7.7512322888172331</v>
      </c>
    </row>
    <row r="5773" spans="1:2">
      <c r="A5773" s="32">
        <v>5760</v>
      </c>
      <c r="B5773" s="90">
        <v>7.3025717709438913</v>
      </c>
    </row>
    <row r="5774" spans="1:2">
      <c r="A5774" s="32">
        <v>5761</v>
      </c>
      <c r="B5774" s="90">
        <v>6.9127616787269721</v>
      </c>
    </row>
    <row r="5775" spans="1:2">
      <c r="A5775" s="32">
        <v>5762</v>
      </c>
      <c r="B5775" s="90">
        <v>7.9329450543582869</v>
      </c>
    </row>
    <row r="5776" spans="1:2">
      <c r="A5776" s="32">
        <v>5763</v>
      </c>
      <c r="B5776" s="90">
        <v>8.1856859240413797</v>
      </c>
    </row>
    <row r="5777" spans="1:2">
      <c r="A5777" s="32">
        <v>5764</v>
      </c>
      <c r="B5777" s="90">
        <v>7.1390442399292331</v>
      </c>
    </row>
    <row r="5778" spans="1:2">
      <c r="A5778" s="32">
        <v>5765</v>
      </c>
      <c r="B5778" s="90">
        <v>7.6745507824275734</v>
      </c>
    </row>
    <row r="5779" spans="1:2">
      <c r="A5779" s="32">
        <v>5766</v>
      </c>
      <c r="B5779" s="90">
        <v>7.803271398595502</v>
      </c>
    </row>
    <row r="5780" spans="1:2">
      <c r="A5780" s="32">
        <v>5767</v>
      </c>
      <c r="B5780" s="90">
        <v>8.7831837110423248</v>
      </c>
    </row>
    <row r="5781" spans="1:2">
      <c r="A5781" s="32">
        <v>5768</v>
      </c>
      <c r="B5781" s="90">
        <v>7.6617324955710115</v>
      </c>
    </row>
    <row r="5782" spans="1:2">
      <c r="A5782" s="32">
        <v>5769</v>
      </c>
      <c r="B5782" s="90">
        <v>7.7896423572161879</v>
      </c>
    </row>
    <row r="5783" spans="1:2">
      <c r="A5783" s="32">
        <v>5770</v>
      </c>
      <c r="B5783" s="90">
        <v>7.3980144626520667</v>
      </c>
    </row>
    <row r="5784" spans="1:2">
      <c r="A5784" s="32">
        <v>5771</v>
      </c>
      <c r="B5784" s="90">
        <v>7.1652401011781377</v>
      </c>
    </row>
    <row r="5785" spans="1:2">
      <c r="A5785" s="32">
        <v>5772</v>
      </c>
      <c r="B5785" s="90">
        <v>8.5424718749508965</v>
      </c>
    </row>
    <row r="5786" spans="1:2">
      <c r="A5786" s="32">
        <v>5773</v>
      </c>
      <c r="B5786" s="90">
        <v>8.5612903262413873</v>
      </c>
    </row>
    <row r="5787" spans="1:2">
      <c r="A5787" s="32">
        <v>5774</v>
      </c>
      <c r="B5787" s="90">
        <v>8.3657025207064635</v>
      </c>
    </row>
    <row r="5788" spans="1:2">
      <c r="A5788" s="32">
        <v>5775</v>
      </c>
      <c r="B5788" s="90">
        <v>7.9366520891034984</v>
      </c>
    </row>
    <row r="5789" spans="1:2">
      <c r="A5789" s="32">
        <v>5776</v>
      </c>
      <c r="B5789" s="90">
        <v>7.6572965273343225</v>
      </c>
    </row>
    <row r="5790" spans="1:2">
      <c r="A5790" s="32">
        <v>5777</v>
      </c>
      <c r="B5790" s="90">
        <v>7.9602652379310195</v>
      </c>
    </row>
    <row r="5791" spans="1:2">
      <c r="A5791" s="32">
        <v>5778</v>
      </c>
      <c r="B5791" s="90">
        <v>7.6303777374586543</v>
      </c>
    </row>
    <row r="5792" spans="1:2">
      <c r="A5792" s="32">
        <v>5779</v>
      </c>
      <c r="B5792" s="90">
        <v>8.3075042576248599</v>
      </c>
    </row>
    <row r="5793" spans="1:2">
      <c r="A5793" s="32">
        <v>5780</v>
      </c>
      <c r="B5793" s="90">
        <v>9.9916335513717165</v>
      </c>
    </row>
    <row r="5794" spans="1:2">
      <c r="A5794" s="32">
        <v>5781</v>
      </c>
      <c r="B5794" s="90">
        <v>7.441994403225217</v>
      </c>
    </row>
    <row r="5795" spans="1:2">
      <c r="A5795" s="32">
        <v>5782</v>
      </c>
      <c r="B5795" s="90">
        <v>8.9854211584786086</v>
      </c>
    </row>
    <row r="5796" spans="1:2">
      <c r="A5796" s="32">
        <v>5783</v>
      </c>
      <c r="B5796" s="90">
        <v>10.176394986438165</v>
      </c>
    </row>
    <row r="5797" spans="1:2">
      <c r="A5797" s="32">
        <v>5784</v>
      </c>
      <c r="B5797" s="90">
        <v>7.0485995108638644</v>
      </c>
    </row>
    <row r="5798" spans="1:2">
      <c r="A5798" s="32">
        <v>5785</v>
      </c>
      <c r="B5798" s="90">
        <v>7.4605620113538418</v>
      </c>
    </row>
    <row r="5799" spans="1:2">
      <c r="A5799" s="32">
        <v>5786</v>
      </c>
      <c r="B5799" s="90">
        <v>8.3193268039606298</v>
      </c>
    </row>
    <row r="5800" spans="1:2">
      <c r="A5800" s="32">
        <v>5787</v>
      </c>
      <c r="B5800" s="90">
        <v>8.9485158888959511</v>
      </c>
    </row>
    <row r="5801" spans="1:2">
      <c r="A5801" s="32">
        <v>5788</v>
      </c>
      <c r="B5801" s="90">
        <v>7.5464190315506245</v>
      </c>
    </row>
    <row r="5802" spans="1:2">
      <c r="A5802" s="32">
        <v>5789</v>
      </c>
      <c r="B5802" s="90">
        <v>8.9028331570056203</v>
      </c>
    </row>
    <row r="5803" spans="1:2">
      <c r="A5803" s="32">
        <v>5790</v>
      </c>
      <c r="B5803" s="90">
        <v>8.8195796747292068</v>
      </c>
    </row>
    <row r="5804" spans="1:2">
      <c r="A5804" s="32">
        <v>5791</v>
      </c>
      <c r="B5804" s="90">
        <v>7.4582269784653246</v>
      </c>
    </row>
    <row r="5805" spans="1:2">
      <c r="A5805" s="32">
        <v>5792</v>
      </c>
      <c r="B5805" s="90">
        <v>8.046786859968849</v>
      </c>
    </row>
    <row r="5806" spans="1:2">
      <c r="A5806" s="32">
        <v>5793</v>
      </c>
      <c r="B5806" s="90">
        <v>9.1612256745910603</v>
      </c>
    </row>
    <row r="5807" spans="1:2">
      <c r="A5807" s="32">
        <v>5794</v>
      </c>
      <c r="B5807" s="90">
        <v>8.7578363762706832</v>
      </c>
    </row>
    <row r="5808" spans="1:2">
      <c r="A5808" s="32">
        <v>5795</v>
      </c>
      <c r="B5808" s="90">
        <v>8.706533196876526</v>
      </c>
    </row>
    <row r="5809" spans="1:2">
      <c r="A5809" s="32">
        <v>5796</v>
      </c>
      <c r="B5809" s="90">
        <v>8.4098139420116667</v>
      </c>
    </row>
    <row r="5810" spans="1:2">
      <c r="A5810" s="32">
        <v>5797</v>
      </c>
      <c r="B5810" s="90">
        <v>7.1337054749910447</v>
      </c>
    </row>
    <row r="5811" spans="1:2">
      <c r="A5811" s="32">
        <v>5798</v>
      </c>
      <c r="B5811" s="90">
        <v>7.2883843085767204</v>
      </c>
    </row>
    <row r="5812" spans="1:2">
      <c r="A5812" s="32">
        <v>5799</v>
      </c>
      <c r="B5812" s="90">
        <v>8.3159564606979153</v>
      </c>
    </row>
    <row r="5813" spans="1:2">
      <c r="A5813" s="32">
        <v>5800</v>
      </c>
      <c r="B5813" s="90">
        <v>7.7270887029876443</v>
      </c>
    </row>
    <row r="5814" spans="1:2">
      <c r="A5814" s="32">
        <v>5801</v>
      </c>
      <c r="B5814" s="90">
        <v>7.8311585111562598</v>
      </c>
    </row>
    <row r="5815" spans="1:2">
      <c r="A5815" s="32">
        <v>5802</v>
      </c>
      <c r="B5815" s="90">
        <v>8.6336283842917325</v>
      </c>
    </row>
    <row r="5816" spans="1:2">
      <c r="A5816" s="32">
        <v>5803</v>
      </c>
      <c r="B5816" s="90">
        <v>6.5963753597264008</v>
      </c>
    </row>
    <row r="5817" spans="1:2">
      <c r="A5817" s="32">
        <v>5804</v>
      </c>
      <c r="B5817" s="90">
        <v>9.4226065509711745</v>
      </c>
    </row>
    <row r="5818" spans="1:2">
      <c r="A5818" s="32">
        <v>5805</v>
      </c>
      <c r="B5818" s="90">
        <v>7.9727412822025672</v>
      </c>
    </row>
    <row r="5819" spans="1:2">
      <c r="A5819" s="32">
        <v>5806</v>
      </c>
      <c r="B5819" s="90">
        <v>8.2717747543740501</v>
      </c>
    </row>
    <row r="5820" spans="1:2">
      <c r="A5820" s="32">
        <v>5807</v>
      </c>
      <c r="B5820" s="90">
        <v>7.6621290737279608</v>
      </c>
    </row>
    <row r="5821" spans="1:2">
      <c r="A5821" s="32">
        <v>5808</v>
      </c>
      <c r="B5821" s="90">
        <v>7.2919992596049061</v>
      </c>
    </row>
    <row r="5822" spans="1:2">
      <c r="A5822" s="32">
        <v>5809</v>
      </c>
      <c r="B5822" s="90">
        <v>8.1365423261363148</v>
      </c>
    </row>
    <row r="5823" spans="1:2">
      <c r="A5823" s="32">
        <v>5810</v>
      </c>
      <c r="B5823" s="90">
        <v>7.2978731792692209</v>
      </c>
    </row>
    <row r="5824" spans="1:2">
      <c r="A5824" s="32">
        <v>5811</v>
      </c>
      <c r="B5824" s="90">
        <v>7.6152673261431847</v>
      </c>
    </row>
    <row r="5825" spans="1:2">
      <c r="A5825" s="32">
        <v>5812</v>
      </c>
      <c r="B5825" s="90">
        <v>7.7748369459355953</v>
      </c>
    </row>
    <row r="5826" spans="1:2">
      <c r="A5826" s="32">
        <v>5813</v>
      </c>
      <c r="B5826" s="90">
        <v>7.776881132852723</v>
      </c>
    </row>
    <row r="5827" spans="1:2">
      <c r="A5827" s="32">
        <v>5814</v>
      </c>
      <c r="B5827" s="90">
        <v>8.4383206217371765</v>
      </c>
    </row>
    <row r="5828" spans="1:2">
      <c r="A5828" s="32">
        <v>5815</v>
      </c>
      <c r="B5828" s="90">
        <v>9.2565054130106361</v>
      </c>
    </row>
    <row r="5829" spans="1:2">
      <c r="A5829" s="32">
        <v>5816</v>
      </c>
      <c r="B5829" s="90">
        <v>7.7999246520960304</v>
      </c>
    </row>
    <row r="5830" spans="1:2">
      <c r="A5830" s="32">
        <v>5817</v>
      </c>
      <c r="B5830" s="90">
        <v>6.9473731151907243</v>
      </c>
    </row>
    <row r="5831" spans="1:2">
      <c r="A5831" s="32">
        <v>5818</v>
      </c>
      <c r="B5831" s="90">
        <v>8.7699509640136473</v>
      </c>
    </row>
    <row r="5832" spans="1:2">
      <c r="A5832" s="32">
        <v>5819</v>
      </c>
      <c r="B5832" s="90">
        <v>6.9357522042701802</v>
      </c>
    </row>
    <row r="5833" spans="1:2">
      <c r="A5833" s="32">
        <v>5820</v>
      </c>
      <c r="B5833" s="90">
        <v>7.7016407242408071</v>
      </c>
    </row>
    <row r="5834" spans="1:2">
      <c r="A5834" s="32">
        <v>5821</v>
      </c>
      <c r="B5834" s="90">
        <v>8.1767589665610387</v>
      </c>
    </row>
    <row r="5835" spans="1:2">
      <c r="A5835" s="32">
        <v>5822</v>
      </c>
      <c r="B5835" s="90">
        <v>8.8800565973653143</v>
      </c>
    </row>
    <row r="5836" spans="1:2">
      <c r="A5836" s="32">
        <v>5823</v>
      </c>
      <c r="B5836" s="90">
        <v>8.6497489611079832</v>
      </c>
    </row>
    <row r="5837" spans="1:2">
      <c r="A5837" s="32">
        <v>5824</v>
      </c>
      <c r="B5837" s="90">
        <v>8.508900848078417</v>
      </c>
    </row>
    <row r="5838" spans="1:2">
      <c r="A5838" s="32">
        <v>5825</v>
      </c>
      <c r="B5838" s="90">
        <v>7.6694717805273687</v>
      </c>
    </row>
    <row r="5839" spans="1:2">
      <c r="A5839" s="32">
        <v>5826</v>
      </c>
      <c r="B5839" s="90">
        <v>8.5442667985338243</v>
      </c>
    </row>
    <row r="5840" spans="1:2">
      <c r="A5840" s="32">
        <v>5827</v>
      </c>
      <c r="B5840" s="90">
        <v>7.1550433082861682</v>
      </c>
    </row>
    <row r="5841" spans="1:2">
      <c r="A5841" s="32">
        <v>5828</v>
      </c>
      <c r="B5841" s="90">
        <v>8.1373380841195075</v>
      </c>
    </row>
    <row r="5842" spans="1:2">
      <c r="A5842" s="32">
        <v>5829</v>
      </c>
      <c r="B5842" s="90">
        <v>6.9464802749232639</v>
      </c>
    </row>
    <row r="5843" spans="1:2">
      <c r="A5843" s="32">
        <v>5830</v>
      </c>
      <c r="B5843" s="90">
        <v>8.5618579422684018</v>
      </c>
    </row>
    <row r="5844" spans="1:2">
      <c r="A5844" s="32">
        <v>5831</v>
      </c>
      <c r="B5844" s="90">
        <v>7.6422792150303911</v>
      </c>
    </row>
    <row r="5845" spans="1:2">
      <c r="A5845" s="32">
        <v>5832</v>
      </c>
      <c r="B5845" s="90">
        <v>8.4054560746230678</v>
      </c>
    </row>
    <row r="5846" spans="1:2">
      <c r="A5846" s="32">
        <v>5833</v>
      </c>
      <c r="B5846" s="90">
        <v>6.9124683072584805</v>
      </c>
    </row>
    <row r="5847" spans="1:2">
      <c r="A5847" s="32">
        <v>5834</v>
      </c>
      <c r="B5847" s="90">
        <v>7.5767151911655217</v>
      </c>
    </row>
    <row r="5848" spans="1:2">
      <c r="A5848" s="32">
        <v>5835</v>
      </c>
      <c r="B5848" s="90">
        <v>9.4524480532329136</v>
      </c>
    </row>
    <row r="5849" spans="1:2">
      <c r="A5849" s="32">
        <v>5836</v>
      </c>
      <c r="B5849" s="90">
        <v>7.2068341086716101</v>
      </c>
    </row>
    <row r="5850" spans="1:2">
      <c r="A5850" s="32">
        <v>5837</v>
      </c>
      <c r="B5850" s="90">
        <v>7.9741054757983898</v>
      </c>
    </row>
    <row r="5851" spans="1:2">
      <c r="A5851" s="32">
        <v>5838</v>
      </c>
      <c r="B5851" s="90">
        <v>8.004521274507832</v>
      </c>
    </row>
    <row r="5852" spans="1:2">
      <c r="A5852" s="32">
        <v>5839</v>
      </c>
      <c r="B5852" s="90">
        <v>9.7879619104295497</v>
      </c>
    </row>
    <row r="5853" spans="1:2">
      <c r="A5853" s="32">
        <v>5840</v>
      </c>
      <c r="B5853" s="90">
        <v>7.9240105152483187</v>
      </c>
    </row>
    <row r="5854" spans="1:2">
      <c r="A5854" s="32">
        <v>5841</v>
      </c>
      <c r="B5854" s="90">
        <v>8.6100330749948473</v>
      </c>
    </row>
    <row r="5855" spans="1:2">
      <c r="A5855" s="32">
        <v>5842</v>
      </c>
      <c r="B5855" s="90">
        <v>8.7014267579886244</v>
      </c>
    </row>
    <row r="5856" spans="1:2">
      <c r="A5856" s="32">
        <v>5843</v>
      </c>
      <c r="B5856" s="90">
        <v>8.2861441294268907</v>
      </c>
    </row>
    <row r="5857" spans="1:2">
      <c r="A5857" s="32">
        <v>5844</v>
      </c>
      <c r="B5857" s="90">
        <v>7.7276875689432636</v>
      </c>
    </row>
    <row r="5858" spans="1:2">
      <c r="A5858" s="32">
        <v>5845</v>
      </c>
      <c r="B5858" s="90">
        <v>7.8468670793903543</v>
      </c>
    </row>
    <row r="5859" spans="1:2">
      <c r="A5859" s="32">
        <v>5846</v>
      </c>
      <c r="B5859" s="90">
        <v>6.7916917860158419</v>
      </c>
    </row>
    <row r="5860" spans="1:2">
      <c r="A5860" s="32">
        <v>5847</v>
      </c>
      <c r="B5860" s="90">
        <v>8.0423984238105763</v>
      </c>
    </row>
    <row r="5861" spans="1:2">
      <c r="A5861" s="32">
        <v>5848</v>
      </c>
      <c r="B5861" s="90">
        <v>8.6631586065801454</v>
      </c>
    </row>
    <row r="5862" spans="1:2">
      <c r="A5862" s="32">
        <v>5849</v>
      </c>
      <c r="B5862" s="90">
        <v>8.6178895395625883</v>
      </c>
    </row>
    <row r="5863" spans="1:2">
      <c r="A5863" s="32">
        <v>5850</v>
      </c>
      <c r="B5863" s="90">
        <v>6.7696064473812596</v>
      </c>
    </row>
    <row r="5864" spans="1:2">
      <c r="A5864" s="32">
        <v>5851</v>
      </c>
      <c r="B5864" s="90">
        <v>7.2881695549562329</v>
      </c>
    </row>
    <row r="5865" spans="1:2">
      <c r="A5865" s="32">
        <v>5852</v>
      </c>
      <c r="B5865" s="90">
        <v>8.6544851632698272</v>
      </c>
    </row>
    <row r="5866" spans="1:2">
      <c r="A5866" s="32">
        <v>5853</v>
      </c>
      <c r="B5866" s="90">
        <v>7.8378490081538308</v>
      </c>
    </row>
    <row r="5867" spans="1:2">
      <c r="A5867" s="32">
        <v>5854</v>
      </c>
      <c r="B5867" s="90">
        <v>8.6101770981994061</v>
      </c>
    </row>
    <row r="5868" spans="1:2">
      <c r="A5868" s="32">
        <v>5855</v>
      </c>
      <c r="B5868" s="90">
        <v>9.1356250485428401</v>
      </c>
    </row>
    <row r="5869" spans="1:2">
      <c r="A5869" s="32">
        <v>5856</v>
      </c>
      <c r="B5869" s="90">
        <v>7.6460384320334569</v>
      </c>
    </row>
    <row r="5870" spans="1:2">
      <c r="A5870" s="32">
        <v>5857</v>
      </c>
      <c r="B5870" s="90">
        <v>8.4548027985716807</v>
      </c>
    </row>
    <row r="5871" spans="1:2">
      <c r="A5871" s="32">
        <v>5858</v>
      </c>
      <c r="B5871" s="90">
        <v>9.0313052383840855</v>
      </c>
    </row>
    <row r="5872" spans="1:2">
      <c r="A5872" s="32">
        <v>5859</v>
      </c>
      <c r="B5872" s="90">
        <v>8.559258231698001</v>
      </c>
    </row>
    <row r="5873" spans="1:2">
      <c r="A5873" s="32">
        <v>5860</v>
      </c>
      <c r="B5873" s="90">
        <v>9.2759506624252719</v>
      </c>
    </row>
    <row r="5874" spans="1:2">
      <c r="A5874" s="32">
        <v>5861</v>
      </c>
      <c r="B5874" s="90">
        <v>7.8390447661885148</v>
      </c>
    </row>
    <row r="5875" spans="1:2">
      <c r="A5875" s="32">
        <v>5862</v>
      </c>
      <c r="B5875" s="90">
        <v>9.629665456873246</v>
      </c>
    </row>
    <row r="5876" spans="1:2">
      <c r="A5876" s="32">
        <v>5863</v>
      </c>
      <c r="B5876" s="90">
        <v>8.4400986340609538</v>
      </c>
    </row>
    <row r="5877" spans="1:2">
      <c r="A5877" s="32">
        <v>5864</v>
      </c>
      <c r="B5877" s="90">
        <v>7.7636200386301644</v>
      </c>
    </row>
    <row r="5878" spans="1:2">
      <c r="A5878" s="32">
        <v>5865</v>
      </c>
      <c r="B5878" s="90">
        <v>8.4328027689307294</v>
      </c>
    </row>
    <row r="5879" spans="1:2">
      <c r="A5879" s="32">
        <v>5866</v>
      </c>
      <c r="B5879" s="90">
        <v>8.0861107519628419</v>
      </c>
    </row>
    <row r="5880" spans="1:2">
      <c r="A5880" s="32">
        <v>5867</v>
      </c>
      <c r="B5880" s="90">
        <v>9.2376436722869357</v>
      </c>
    </row>
    <row r="5881" spans="1:2">
      <c r="A5881" s="32">
        <v>5868</v>
      </c>
      <c r="B5881" s="90">
        <v>7.9459749577536334</v>
      </c>
    </row>
    <row r="5882" spans="1:2">
      <c r="A5882" s="32">
        <v>5869</v>
      </c>
      <c r="B5882" s="90">
        <v>7.4776202028249248</v>
      </c>
    </row>
    <row r="5883" spans="1:2">
      <c r="A5883" s="32">
        <v>5870</v>
      </c>
      <c r="B5883" s="90">
        <v>6.9408979385156693</v>
      </c>
    </row>
    <row r="5884" spans="1:2">
      <c r="A5884" s="32">
        <v>5871</v>
      </c>
      <c r="B5884" s="90">
        <v>7.5684762206776295</v>
      </c>
    </row>
    <row r="5885" spans="1:2">
      <c r="A5885" s="32">
        <v>5872</v>
      </c>
      <c r="B5885" s="90">
        <v>9.1061615838222032</v>
      </c>
    </row>
    <row r="5886" spans="1:2">
      <c r="A5886" s="32">
        <v>5873</v>
      </c>
      <c r="B5886" s="90">
        <v>7.2963164320146658</v>
      </c>
    </row>
    <row r="5887" spans="1:2">
      <c r="A5887" s="32">
        <v>5874</v>
      </c>
      <c r="B5887" s="90">
        <v>8.5473974887933419</v>
      </c>
    </row>
    <row r="5888" spans="1:2">
      <c r="A5888" s="32">
        <v>5875</v>
      </c>
      <c r="B5888" s="90">
        <v>8.2205090335836957</v>
      </c>
    </row>
    <row r="5889" spans="1:2">
      <c r="A5889" s="32">
        <v>5876</v>
      </c>
      <c r="B5889" s="90">
        <v>7.9782536772561539</v>
      </c>
    </row>
    <row r="5890" spans="1:2">
      <c r="A5890" s="32">
        <v>5877</v>
      </c>
      <c r="B5890" s="90">
        <v>7.9632130514728292</v>
      </c>
    </row>
    <row r="5891" spans="1:2">
      <c r="A5891" s="32">
        <v>5878</v>
      </c>
      <c r="B5891" s="90">
        <v>8.9718714227998788</v>
      </c>
    </row>
    <row r="5892" spans="1:2">
      <c r="A5892" s="32">
        <v>5879</v>
      </c>
      <c r="B5892" s="90">
        <v>8.6885898250644011</v>
      </c>
    </row>
    <row r="5893" spans="1:2">
      <c r="A5893" s="32">
        <v>5880</v>
      </c>
      <c r="B5893" s="90">
        <v>7.8030085224643768</v>
      </c>
    </row>
    <row r="5894" spans="1:2">
      <c r="A5894" s="32">
        <v>5881</v>
      </c>
      <c r="B5894" s="90">
        <v>7.3254612824756959</v>
      </c>
    </row>
    <row r="5895" spans="1:2">
      <c r="A5895" s="32">
        <v>5882</v>
      </c>
      <c r="B5895" s="90">
        <v>7.8143721431151105</v>
      </c>
    </row>
    <row r="5896" spans="1:2">
      <c r="A5896" s="32">
        <v>5883</v>
      </c>
      <c r="B5896" s="90">
        <v>9.1973902919210015</v>
      </c>
    </row>
    <row r="5897" spans="1:2">
      <c r="A5897" s="32">
        <v>5884</v>
      </c>
      <c r="B5897" s="90">
        <v>8.1060725580517961</v>
      </c>
    </row>
    <row r="5898" spans="1:2">
      <c r="A5898" s="32">
        <v>5885</v>
      </c>
      <c r="B5898" s="90">
        <v>7.6901786389850564</v>
      </c>
    </row>
    <row r="5899" spans="1:2">
      <c r="A5899" s="32">
        <v>5886</v>
      </c>
      <c r="B5899" s="90">
        <v>8.8491651506096041</v>
      </c>
    </row>
    <row r="5900" spans="1:2">
      <c r="A5900" s="32">
        <v>5887</v>
      </c>
      <c r="B5900" s="90">
        <v>7.8009743974407231</v>
      </c>
    </row>
    <row r="5901" spans="1:2">
      <c r="A5901" s="32">
        <v>5888</v>
      </c>
      <c r="B5901" s="90">
        <v>7.2781652544476376</v>
      </c>
    </row>
    <row r="5902" spans="1:2">
      <c r="A5902" s="32">
        <v>5889</v>
      </c>
      <c r="B5902" s="90">
        <v>7.8763911473254815</v>
      </c>
    </row>
    <row r="5903" spans="1:2">
      <c r="A5903" s="32">
        <v>5890</v>
      </c>
      <c r="B5903" s="90">
        <v>8.2086697920333211</v>
      </c>
    </row>
    <row r="5904" spans="1:2">
      <c r="A5904" s="32">
        <v>5891</v>
      </c>
      <c r="B5904" s="90">
        <v>8.0814384755593309</v>
      </c>
    </row>
    <row r="5905" spans="1:2">
      <c r="A5905" s="32">
        <v>5892</v>
      </c>
      <c r="B5905" s="90">
        <v>8.7486002388754631</v>
      </c>
    </row>
    <row r="5906" spans="1:2">
      <c r="A5906" s="32">
        <v>5893</v>
      </c>
      <c r="B5906" s="90">
        <v>8.7132733482527271</v>
      </c>
    </row>
    <row r="5907" spans="1:2">
      <c r="A5907" s="32">
        <v>5894</v>
      </c>
      <c r="B5907" s="90">
        <v>8.2917198094908464</v>
      </c>
    </row>
    <row r="5908" spans="1:2">
      <c r="A5908" s="32">
        <v>5895</v>
      </c>
      <c r="B5908" s="90">
        <v>8.4783481879569393</v>
      </c>
    </row>
    <row r="5909" spans="1:2">
      <c r="A5909" s="32">
        <v>5896</v>
      </c>
      <c r="B5909" s="90">
        <v>7.7578425870275387</v>
      </c>
    </row>
    <row r="5910" spans="1:2">
      <c r="A5910" s="32">
        <v>5897</v>
      </c>
      <c r="B5910" s="90">
        <v>9.3708630092080689</v>
      </c>
    </row>
    <row r="5911" spans="1:2">
      <c r="A5911" s="32">
        <v>5898</v>
      </c>
      <c r="B5911" s="90">
        <v>6.9690145193807416</v>
      </c>
    </row>
    <row r="5912" spans="1:2">
      <c r="A5912" s="32">
        <v>5899</v>
      </c>
      <c r="B5912" s="90">
        <v>8.2129494655342121</v>
      </c>
    </row>
    <row r="5913" spans="1:2">
      <c r="A5913" s="32">
        <v>5900</v>
      </c>
      <c r="B5913" s="90">
        <v>9.5987647726688561</v>
      </c>
    </row>
    <row r="5914" spans="1:2">
      <c r="A5914" s="32">
        <v>5901</v>
      </c>
      <c r="B5914" s="90">
        <v>8.4973002629491088</v>
      </c>
    </row>
    <row r="5915" spans="1:2">
      <c r="A5915" s="32">
        <v>5902</v>
      </c>
      <c r="B5915" s="90">
        <v>7.9656854187409287</v>
      </c>
    </row>
    <row r="5916" spans="1:2">
      <c r="A5916" s="32">
        <v>5903</v>
      </c>
      <c r="B5916" s="90">
        <v>7.2679047015623564</v>
      </c>
    </row>
    <row r="5917" spans="1:2">
      <c r="A5917" s="32">
        <v>5904</v>
      </c>
      <c r="B5917" s="90">
        <v>8.1982505286894636</v>
      </c>
    </row>
    <row r="5918" spans="1:2">
      <c r="A5918" s="32">
        <v>5905</v>
      </c>
      <c r="B5918" s="90">
        <v>9.6872009273808679</v>
      </c>
    </row>
    <row r="5919" spans="1:2">
      <c r="A5919" s="32">
        <v>5906</v>
      </c>
      <c r="B5919" s="90">
        <v>7.854049188380789</v>
      </c>
    </row>
    <row r="5920" spans="1:2">
      <c r="A5920" s="32">
        <v>5907</v>
      </c>
      <c r="B5920" s="90">
        <v>6.7020632531027085</v>
      </c>
    </row>
    <row r="5921" spans="1:2">
      <c r="A5921" s="32">
        <v>5908</v>
      </c>
      <c r="B5921" s="90">
        <v>8.2228356613102491</v>
      </c>
    </row>
    <row r="5922" spans="1:2">
      <c r="A5922" s="32">
        <v>5909</v>
      </c>
      <c r="B5922" s="90">
        <v>6.549985244341137</v>
      </c>
    </row>
    <row r="5923" spans="1:2">
      <c r="A5923" s="32">
        <v>5910</v>
      </c>
      <c r="B5923" s="90">
        <v>8.0170563274554301</v>
      </c>
    </row>
    <row r="5924" spans="1:2">
      <c r="A5924" s="32">
        <v>5911</v>
      </c>
      <c r="B5924" s="90">
        <v>7.9666182655066535</v>
      </c>
    </row>
    <row r="5925" spans="1:2">
      <c r="A5925" s="32">
        <v>5912</v>
      </c>
      <c r="B5925" s="90">
        <v>7.1253775892121585</v>
      </c>
    </row>
    <row r="5926" spans="1:2">
      <c r="A5926" s="32">
        <v>5913</v>
      </c>
      <c r="B5926" s="90">
        <v>7.8646297096854099</v>
      </c>
    </row>
    <row r="5927" spans="1:2">
      <c r="A5927" s="32">
        <v>5914</v>
      </c>
      <c r="B5927" s="90">
        <v>9.3903328993592403</v>
      </c>
    </row>
    <row r="5928" spans="1:2">
      <c r="A5928" s="32">
        <v>5915</v>
      </c>
      <c r="B5928" s="90">
        <v>8.3898741639448176</v>
      </c>
    </row>
    <row r="5929" spans="1:2">
      <c r="A5929" s="32">
        <v>5916</v>
      </c>
      <c r="B5929" s="90">
        <v>8.165309565890853</v>
      </c>
    </row>
    <row r="5930" spans="1:2">
      <c r="A5930" s="32">
        <v>5917</v>
      </c>
      <c r="B5930" s="90">
        <v>8.6925019852050482</v>
      </c>
    </row>
    <row r="5931" spans="1:2">
      <c r="A5931" s="32">
        <v>5918</v>
      </c>
      <c r="B5931" s="90">
        <v>7.5202884453933168</v>
      </c>
    </row>
    <row r="5932" spans="1:2">
      <c r="A5932" s="32">
        <v>5919</v>
      </c>
      <c r="B5932" s="90">
        <v>8.3290806958852759</v>
      </c>
    </row>
    <row r="5933" spans="1:2">
      <c r="A5933" s="32">
        <v>5920</v>
      </c>
      <c r="B5933" s="90">
        <v>7.6784209918309223</v>
      </c>
    </row>
    <row r="5934" spans="1:2">
      <c r="A5934" s="32">
        <v>5921</v>
      </c>
      <c r="B5934" s="90">
        <v>7.4341714083195454</v>
      </c>
    </row>
    <row r="5935" spans="1:2">
      <c r="A5935" s="32">
        <v>5922</v>
      </c>
      <c r="B5935" s="90">
        <v>8.1905756786104842</v>
      </c>
    </row>
    <row r="5936" spans="1:2">
      <c r="A5936" s="32">
        <v>5923</v>
      </c>
      <c r="B5936" s="90">
        <v>8.0314879047855854</v>
      </c>
    </row>
    <row r="5937" spans="1:2">
      <c r="A5937" s="32">
        <v>5924</v>
      </c>
      <c r="B5937" s="90">
        <v>8.0136167580342121</v>
      </c>
    </row>
    <row r="5938" spans="1:2">
      <c r="A5938" s="32">
        <v>5925</v>
      </c>
      <c r="B5938" s="90">
        <v>7.9208335819123388</v>
      </c>
    </row>
    <row r="5939" spans="1:2">
      <c r="A5939" s="32">
        <v>5926</v>
      </c>
      <c r="B5939" s="90">
        <v>8.0817285024113641</v>
      </c>
    </row>
    <row r="5940" spans="1:2">
      <c r="A5940" s="32">
        <v>5927</v>
      </c>
      <c r="B5940" s="90">
        <v>7.1836939080226863</v>
      </c>
    </row>
    <row r="5941" spans="1:2">
      <c r="A5941" s="32">
        <v>5928</v>
      </c>
      <c r="B5941" s="90">
        <v>8.2794369096182763</v>
      </c>
    </row>
    <row r="5942" spans="1:2">
      <c r="A5942" s="32">
        <v>5929</v>
      </c>
      <c r="B5942" s="90">
        <v>8.3573258267651376</v>
      </c>
    </row>
    <row r="5943" spans="1:2">
      <c r="A5943" s="32">
        <v>5930</v>
      </c>
      <c r="B5943" s="90">
        <v>8.4318691560243284</v>
      </c>
    </row>
    <row r="5944" spans="1:2">
      <c r="A5944" s="32">
        <v>5931</v>
      </c>
      <c r="B5944" s="90">
        <v>6.6887315473189268</v>
      </c>
    </row>
    <row r="5945" spans="1:2">
      <c r="A5945" s="32">
        <v>5932</v>
      </c>
      <c r="B5945" s="90">
        <v>8.2133087848438056</v>
      </c>
    </row>
    <row r="5946" spans="1:2">
      <c r="A5946" s="32">
        <v>5933</v>
      </c>
      <c r="B5946" s="90">
        <v>8.0919722815453241</v>
      </c>
    </row>
    <row r="5947" spans="1:2">
      <c r="A5947" s="32">
        <v>5934</v>
      </c>
      <c r="B5947" s="90">
        <v>7.3088466554461142</v>
      </c>
    </row>
    <row r="5948" spans="1:2">
      <c r="A5948" s="32">
        <v>5935</v>
      </c>
      <c r="B5948" s="90">
        <v>7.7573798000592262</v>
      </c>
    </row>
    <row r="5949" spans="1:2">
      <c r="A5949" s="32">
        <v>5936</v>
      </c>
      <c r="B5949" s="90">
        <v>7.4664679398993394</v>
      </c>
    </row>
    <row r="5950" spans="1:2">
      <c r="A5950" s="32">
        <v>5937</v>
      </c>
      <c r="B5950" s="90">
        <v>7.9910864889593247</v>
      </c>
    </row>
    <row r="5951" spans="1:2">
      <c r="A5951" s="32">
        <v>5938</v>
      </c>
      <c r="B5951" s="90">
        <v>7.1374302933105529</v>
      </c>
    </row>
    <row r="5952" spans="1:2">
      <c r="A5952" s="32">
        <v>5939</v>
      </c>
      <c r="B5952" s="90">
        <v>8.183313593584737</v>
      </c>
    </row>
    <row r="5953" spans="1:2">
      <c r="A5953" s="32">
        <v>5940</v>
      </c>
      <c r="B5953" s="90">
        <v>8.4351848144122847</v>
      </c>
    </row>
    <row r="5954" spans="1:2">
      <c r="A5954" s="32">
        <v>5941</v>
      </c>
      <c r="B5954" s="90">
        <v>9.4579129131756616</v>
      </c>
    </row>
    <row r="5955" spans="1:2">
      <c r="A5955" s="32">
        <v>5942</v>
      </c>
      <c r="B5955" s="90">
        <v>7.8057965939127429</v>
      </c>
    </row>
    <row r="5956" spans="1:2">
      <c r="A5956" s="32">
        <v>5943</v>
      </c>
      <c r="B5956" s="90">
        <v>8.7826216610361687</v>
      </c>
    </row>
    <row r="5957" spans="1:2">
      <c r="A5957" s="32">
        <v>5944</v>
      </c>
      <c r="B5957" s="90">
        <v>7.6216789971663905</v>
      </c>
    </row>
    <row r="5958" spans="1:2">
      <c r="A5958" s="32">
        <v>5945</v>
      </c>
      <c r="B5958" s="90">
        <v>8.4278124597066171</v>
      </c>
    </row>
    <row r="5959" spans="1:2">
      <c r="A5959" s="32">
        <v>5946</v>
      </c>
      <c r="B5959" s="90">
        <v>9.723070988918229</v>
      </c>
    </row>
    <row r="5960" spans="1:2">
      <c r="A5960" s="32">
        <v>5947</v>
      </c>
      <c r="B5960" s="90">
        <v>9.3013135493598718</v>
      </c>
    </row>
    <row r="5961" spans="1:2">
      <c r="A5961" s="32">
        <v>5948</v>
      </c>
      <c r="B5961" s="90">
        <v>9.5786427471825153</v>
      </c>
    </row>
    <row r="5962" spans="1:2">
      <c r="A5962" s="32">
        <v>5949</v>
      </c>
      <c r="B5962" s="90">
        <v>8.502432397159561</v>
      </c>
    </row>
    <row r="5963" spans="1:2">
      <c r="A5963" s="32">
        <v>5950</v>
      </c>
      <c r="B5963" s="90">
        <v>7.9774834558380201</v>
      </c>
    </row>
    <row r="5964" spans="1:2">
      <c r="A5964" s="32">
        <v>5951</v>
      </c>
      <c r="B5964" s="90">
        <v>7.2839621964464811</v>
      </c>
    </row>
    <row r="5965" spans="1:2">
      <c r="A5965" s="32">
        <v>5952</v>
      </c>
      <c r="B5965" s="90">
        <v>8.0267561796587845</v>
      </c>
    </row>
    <row r="5966" spans="1:2">
      <c r="A5966" s="32">
        <v>5953</v>
      </c>
      <c r="B5966" s="90">
        <v>8.0587288874564447</v>
      </c>
    </row>
    <row r="5967" spans="1:2">
      <c r="A5967" s="32">
        <v>5954</v>
      </c>
      <c r="B5967" s="90">
        <v>6.5630184992724798</v>
      </c>
    </row>
    <row r="5968" spans="1:2">
      <c r="A5968" s="32">
        <v>5955</v>
      </c>
      <c r="B5968" s="90">
        <v>8.8222964185068715</v>
      </c>
    </row>
    <row r="5969" spans="1:2">
      <c r="A5969" s="32">
        <v>5956</v>
      </c>
      <c r="B5969" s="90">
        <v>7.5966639268497493</v>
      </c>
    </row>
    <row r="5970" spans="1:2">
      <c r="A5970" s="32">
        <v>5957</v>
      </c>
      <c r="B5970" s="90">
        <v>8.4178330457371189</v>
      </c>
    </row>
    <row r="5971" spans="1:2">
      <c r="A5971" s="32">
        <v>5958</v>
      </c>
      <c r="B5971" s="90">
        <v>8.9700562443193821</v>
      </c>
    </row>
    <row r="5972" spans="1:2">
      <c r="A5972" s="32">
        <v>5959</v>
      </c>
      <c r="B5972" s="90">
        <v>8.1383822909927712</v>
      </c>
    </row>
    <row r="5973" spans="1:2">
      <c r="A5973" s="32">
        <v>5960</v>
      </c>
      <c r="B5973" s="90">
        <v>8.5527314879168301</v>
      </c>
    </row>
    <row r="5974" spans="1:2">
      <c r="A5974" s="32">
        <v>5961</v>
      </c>
      <c r="B5974" s="90">
        <v>7.6650790747602899</v>
      </c>
    </row>
    <row r="5975" spans="1:2">
      <c r="A5975" s="32">
        <v>5962</v>
      </c>
      <c r="B5975" s="90">
        <v>7.0957724211795021</v>
      </c>
    </row>
    <row r="5976" spans="1:2">
      <c r="A5976" s="32">
        <v>5963</v>
      </c>
      <c r="B5976" s="90">
        <v>8.3096299157365294</v>
      </c>
    </row>
    <row r="5977" spans="1:2">
      <c r="A5977" s="32">
        <v>5964</v>
      </c>
      <c r="B5977" s="90">
        <v>8.3432338221167619</v>
      </c>
    </row>
    <row r="5978" spans="1:2">
      <c r="A5978" s="32">
        <v>5965</v>
      </c>
      <c r="B5978" s="90">
        <v>8.8302652614160433</v>
      </c>
    </row>
    <row r="5979" spans="1:2">
      <c r="A5979" s="32">
        <v>5966</v>
      </c>
      <c r="B5979" s="90">
        <v>7.741125442612927</v>
      </c>
    </row>
    <row r="5980" spans="1:2">
      <c r="A5980" s="32">
        <v>5967</v>
      </c>
      <c r="B5980" s="90">
        <v>7.6281576038767014</v>
      </c>
    </row>
    <row r="5981" spans="1:2">
      <c r="A5981" s="32">
        <v>5968</v>
      </c>
      <c r="B5981" s="90">
        <v>7.5274996085829207</v>
      </c>
    </row>
    <row r="5982" spans="1:2">
      <c r="A5982" s="32">
        <v>5969</v>
      </c>
      <c r="B5982" s="90">
        <v>8.9015769314844047</v>
      </c>
    </row>
    <row r="5983" spans="1:2">
      <c r="A5983" s="32">
        <v>5970</v>
      </c>
      <c r="B5983" s="90">
        <v>6.9952533017840626</v>
      </c>
    </row>
    <row r="5984" spans="1:2">
      <c r="A5984" s="32">
        <v>5971</v>
      </c>
      <c r="B5984" s="90">
        <v>9.2011093523825505</v>
      </c>
    </row>
    <row r="5985" spans="1:2">
      <c r="A5985" s="32">
        <v>5972</v>
      </c>
      <c r="B5985" s="90">
        <v>9.3570178954700118</v>
      </c>
    </row>
    <row r="5986" spans="1:2">
      <c r="A5986" s="32">
        <v>5973</v>
      </c>
      <c r="B5986" s="90">
        <v>8.1897825022735145</v>
      </c>
    </row>
    <row r="5987" spans="1:2">
      <c r="A5987" s="32">
        <v>5974</v>
      </c>
      <c r="B5987" s="90">
        <v>8.3852590028661371</v>
      </c>
    </row>
    <row r="5988" spans="1:2">
      <c r="A5988" s="32">
        <v>5975</v>
      </c>
      <c r="B5988" s="90">
        <v>7.1203375016220685</v>
      </c>
    </row>
    <row r="5989" spans="1:2">
      <c r="A5989" s="32">
        <v>5976</v>
      </c>
      <c r="B5989" s="90">
        <v>8.0412324052884685</v>
      </c>
    </row>
    <row r="5990" spans="1:2">
      <c r="A5990" s="32">
        <v>5977</v>
      </c>
      <c r="B5990" s="90">
        <v>7.8507872846132711</v>
      </c>
    </row>
    <row r="5991" spans="1:2">
      <c r="A5991" s="32">
        <v>5978</v>
      </c>
      <c r="B5991" s="90">
        <v>7.5571733108293779</v>
      </c>
    </row>
    <row r="5992" spans="1:2">
      <c r="A5992" s="32">
        <v>5979</v>
      </c>
      <c r="B5992" s="90">
        <v>7.0415229251426146</v>
      </c>
    </row>
    <row r="5993" spans="1:2">
      <c r="A5993" s="32">
        <v>5980</v>
      </c>
      <c r="B5993" s="90">
        <v>8.6862665799464498</v>
      </c>
    </row>
    <row r="5994" spans="1:2">
      <c r="A5994" s="32">
        <v>5981</v>
      </c>
      <c r="B5994" s="90">
        <v>7.1072508045071006</v>
      </c>
    </row>
    <row r="5995" spans="1:2">
      <c r="A5995" s="32">
        <v>5982</v>
      </c>
      <c r="B5995" s="90">
        <v>8.5288710919495223</v>
      </c>
    </row>
    <row r="5996" spans="1:2">
      <c r="A5996" s="32">
        <v>5983</v>
      </c>
      <c r="B5996" s="90">
        <v>8.2991140126073173</v>
      </c>
    </row>
    <row r="5997" spans="1:2">
      <c r="A5997" s="32">
        <v>5984</v>
      </c>
      <c r="B5997" s="90">
        <v>9.1557429054235406</v>
      </c>
    </row>
    <row r="5998" spans="1:2">
      <c r="A5998" s="32">
        <v>5985</v>
      </c>
      <c r="B5998" s="90">
        <v>8.4811062607532666</v>
      </c>
    </row>
    <row r="5999" spans="1:2">
      <c r="A5999" s="32">
        <v>5986</v>
      </c>
      <c r="B5999" s="90">
        <v>7.2096078386226976</v>
      </c>
    </row>
    <row r="6000" spans="1:2">
      <c r="A6000" s="32">
        <v>5987</v>
      </c>
      <c r="B6000" s="90">
        <v>6.9312129630487824</v>
      </c>
    </row>
    <row r="6001" spans="1:2">
      <c r="A6001" s="32">
        <v>5988</v>
      </c>
      <c r="B6001" s="90">
        <v>8.3734038331440175</v>
      </c>
    </row>
    <row r="6002" spans="1:2">
      <c r="A6002" s="32">
        <v>5989</v>
      </c>
      <c r="B6002" s="90">
        <v>8.3340203608924863</v>
      </c>
    </row>
    <row r="6003" spans="1:2">
      <c r="A6003" s="32">
        <v>5990</v>
      </c>
      <c r="B6003" s="90">
        <v>7.4784112037592481</v>
      </c>
    </row>
    <row r="6004" spans="1:2">
      <c r="A6004" s="32">
        <v>5991</v>
      </c>
      <c r="B6004" s="90">
        <v>8.6827783830108007</v>
      </c>
    </row>
    <row r="6005" spans="1:2">
      <c r="A6005" s="32">
        <v>5992</v>
      </c>
      <c r="B6005" s="90">
        <v>8.1971865316890362</v>
      </c>
    </row>
    <row r="6006" spans="1:2">
      <c r="A6006" s="32">
        <v>5993</v>
      </c>
      <c r="B6006" s="90">
        <v>8.7348563748474639</v>
      </c>
    </row>
    <row r="6007" spans="1:2">
      <c r="A6007" s="32">
        <v>5994</v>
      </c>
      <c r="B6007" s="90">
        <v>8.5425849012260251</v>
      </c>
    </row>
    <row r="6008" spans="1:2">
      <c r="A6008" s="32">
        <v>5995</v>
      </c>
      <c r="B6008" s="90">
        <v>7.5331337163574705</v>
      </c>
    </row>
    <row r="6009" spans="1:2">
      <c r="A6009" s="32">
        <v>5996</v>
      </c>
      <c r="B6009" s="90">
        <v>9.5356371521903949</v>
      </c>
    </row>
    <row r="6010" spans="1:2">
      <c r="A6010" s="32">
        <v>5997</v>
      </c>
      <c r="B6010" s="90">
        <v>8.3888957875559189</v>
      </c>
    </row>
    <row r="6011" spans="1:2">
      <c r="A6011" s="32">
        <v>5998</v>
      </c>
      <c r="B6011" s="90">
        <v>9.0196900761376959</v>
      </c>
    </row>
    <row r="6012" spans="1:2">
      <c r="A6012" s="32">
        <v>5999</v>
      </c>
      <c r="B6012" s="90">
        <v>7.9328186974995996</v>
      </c>
    </row>
    <row r="6013" spans="1:2">
      <c r="A6013" s="32">
        <v>6000</v>
      </c>
      <c r="B6013" s="90">
        <v>7.8033884600189722</v>
      </c>
    </row>
    <row r="6014" spans="1:2">
      <c r="A6014" s="32">
        <v>6001</v>
      </c>
      <c r="B6014" s="90">
        <v>8.8127401199437969</v>
      </c>
    </row>
    <row r="6015" spans="1:2">
      <c r="A6015" s="32">
        <v>6002</v>
      </c>
      <c r="B6015" s="90">
        <v>8.7691779289654388</v>
      </c>
    </row>
    <row r="6016" spans="1:2">
      <c r="A6016" s="32">
        <v>6003</v>
      </c>
      <c r="B6016" s="90">
        <v>7.4278586150830739</v>
      </c>
    </row>
    <row r="6017" spans="1:2">
      <c r="A6017" s="32">
        <v>6004</v>
      </c>
      <c r="B6017" s="90">
        <v>7.1103356536379696</v>
      </c>
    </row>
    <row r="6018" spans="1:2">
      <c r="A6018" s="32">
        <v>6005</v>
      </c>
      <c r="B6018" s="90">
        <v>7.5264576449600247</v>
      </c>
    </row>
    <row r="6019" spans="1:2">
      <c r="A6019" s="32">
        <v>6006</v>
      </c>
      <c r="B6019" s="90">
        <v>8.4524633587587363</v>
      </c>
    </row>
    <row r="6020" spans="1:2">
      <c r="A6020" s="32">
        <v>6007</v>
      </c>
      <c r="B6020" s="90">
        <v>8.0573738248937428</v>
      </c>
    </row>
    <row r="6021" spans="1:2">
      <c r="A6021" s="32">
        <v>6008</v>
      </c>
      <c r="B6021" s="90">
        <v>8.4515811003557157</v>
      </c>
    </row>
    <row r="6022" spans="1:2">
      <c r="A6022" s="32">
        <v>6009</v>
      </c>
      <c r="B6022" s="90">
        <v>9.0773863495351836</v>
      </c>
    </row>
    <row r="6023" spans="1:2">
      <c r="A6023" s="32">
        <v>6010</v>
      </c>
      <c r="B6023" s="90">
        <v>9.1246390996345355</v>
      </c>
    </row>
    <row r="6024" spans="1:2">
      <c r="A6024" s="32">
        <v>6011</v>
      </c>
      <c r="B6024" s="90">
        <v>6.8846315362716277</v>
      </c>
    </row>
    <row r="6025" spans="1:2">
      <c r="A6025" s="32">
        <v>6012</v>
      </c>
      <c r="B6025" s="90">
        <v>9.3522773996201334</v>
      </c>
    </row>
    <row r="6026" spans="1:2">
      <c r="A6026" s="32">
        <v>6013</v>
      </c>
      <c r="B6026" s="90">
        <v>7.0612931929919807</v>
      </c>
    </row>
    <row r="6027" spans="1:2">
      <c r="A6027" s="32">
        <v>6014</v>
      </c>
      <c r="B6027" s="90">
        <v>7.982236359099252</v>
      </c>
    </row>
    <row r="6028" spans="1:2">
      <c r="A6028" s="32">
        <v>6015</v>
      </c>
      <c r="B6028" s="90">
        <v>7.2463468867343348</v>
      </c>
    </row>
    <row r="6029" spans="1:2">
      <c r="A6029" s="32">
        <v>6016</v>
      </c>
      <c r="B6029" s="90">
        <v>8.2456895080642472</v>
      </c>
    </row>
    <row r="6030" spans="1:2">
      <c r="A6030" s="32">
        <v>6017</v>
      </c>
      <c r="B6030" s="90">
        <v>7.6354649220960802</v>
      </c>
    </row>
    <row r="6031" spans="1:2">
      <c r="A6031" s="32">
        <v>6018</v>
      </c>
      <c r="B6031" s="90">
        <v>6.6935208145293643</v>
      </c>
    </row>
    <row r="6032" spans="1:2">
      <c r="A6032" s="32">
        <v>6019</v>
      </c>
      <c r="B6032" s="90">
        <v>7.8003908837241624</v>
      </c>
    </row>
    <row r="6033" spans="1:2">
      <c r="A6033" s="32">
        <v>6020</v>
      </c>
      <c r="B6033" s="90">
        <v>8.0646005002377166</v>
      </c>
    </row>
    <row r="6034" spans="1:2">
      <c r="A6034" s="32">
        <v>6021</v>
      </c>
      <c r="B6034" s="90">
        <v>8.6822026573629767</v>
      </c>
    </row>
    <row r="6035" spans="1:2">
      <c r="A6035" s="32">
        <v>6022</v>
      </c>
      <c r="B6035" s="90">
        <v>8.5944543334624868</v>
      </c>
    </row>
    <row r="6036" spans="1:2">
      <c r="A6036" s="32">
        <v>6023</v>
      </c>
      <c r="B6036" s="90">
        <v>7.6977385154359323</v>
      </c>
    </row>
    <row r="6037" spans="1:2">
      <c r="A6037" s="32">
        <v>6024</v>
      </c>
      <c r="B6037" s="90">
        <v>8.2836568651994273</v>
      </c>
    </row>
    <row r="6038" spans="1:2">
      <c r="A6038" s="32">
        <v>6025</v>
      </c>
      <c r="B6038" s="90">
        <v>8.610542996034237</v>
      </c>
    </row>
    <row r="6039" spans="1:2">
      <c r="A6039" s="32">
        <v>6026</v>
      </c>
      <c r="B6039" s="90">
        <v>8.044058550819944</v>
      </c>
    </row>
    <row r="6040" spans="1:2">
      <c r="A6040" s="32">
        <v>6027</v>
      </c>
      <c r="B6040" s="90">
        <v>8.5169040061085095</v>
      </c>
    </row>
    <row r="6041" spans="1:2">
      <c r="A6041" s="32">
        <v>6028</v>
      </c>
      <c r="B6041" s="90">
        <v>7.7029621686854233</v>
      </c>
    </row>
    <row r="6042" spans="1:2">
      <c r="A6042" s="32">
        <v>6029</v>
      </c>
      <c r="B6042" s="90">
        <v>8.4237958874090211</v>
      </c>
    </row>
    <row r="6043" spans="1:2">
      <c r="A6043" s="32">
        <v>6030</v>
      </c>
      <c r="B6043" s="90">
        <v>7.2163133468525933</v>
      </c>
    </row>
    <row r="6044" spans="1:2">
      <c r="A6044" s="32">
        <v>6031</v>
      </c>
      <c r="B6044" s="90">
        <v>7.9702855444775889</v>
      </c>
    </row>
    <row r="6045" spans="1:2">
      <c r="A6045" s="32">
        <v>6032</v>
      </c>
      <c r="B6045" s="90">
        <v>8.4853844191731955</v>
      </c>
    </row>
    <row r="6046" spans="1:2">
      <c r="A6046" s="32">
        <v>6033</v>
      </c>
      <c r="B6046" s="90">
        <v>7.6739082733592552</v>
      </c>
    </row>
    <row r="6047" spans="1:2">
      <c r="A6047" s="32">
        <v>6034</v>
      </c>
      <c r="B6047" s="90">
        <v>8.5236151644250935</v>
      </c>
    </row>
    <row r="6048" spans="1:2">
      <c r="A6048" s="32">
        <v>6035</v>
      </c>
      <c r="B6048" s="90">
        <v>8.6782998379647811</v>
      </c>
    </row>
    <row r="6049" spans="1:2">
      <c r="A6049" s="32">
        <v>6036</v>
      </c>
      <c r="B6049" s="90">
        <v>7.331765491448154</v>
      </c>
    </row>
    <row r="6050" spans="1:2">
      <c r="A6050" s="32">
        <v>6037</v>
      </c>
      <c r="B6050" s="90">
        <v>8.6270108699692134</v>
      </c>
    </row>
    <row r="6051" spans="1:2">
      <c r="A6051" s="32">
        <v>6038</v>
      </c>
      <c r="B6051" s="90">
        <v>8.1644771783079833</v>
      </c>
    </row>
    <row r="6052" spans="1:2">
      <c r="A6052" s="32">
        <v>6039</v>
      </c>
      <c r="B6052" s="90">
        <v>8.1837709019883391</v>
      </c>
    </row>
    <row r="6053" spans="1:2">
      <c r="A6053" s="32">
        <v>6040</v>
      </c>
      <c r="B6053" s="90">
        <v>8.5293416394360424</v>
      </c>
    </row>
    <row r="6054" spans="1:2">
      <c r="A6054" s="32">
        <v>6041</v>
      </c>
      <c r="B6054" s="90">
        <v>8.3301006056279547</v>
      </c>
    </row>
    <row r="6055" spans="1:2">
      <c r="A6055" s="32">
        <v>6042</v>
      </c>
      <c r="B6055" s="90">
        <v>8.1552881294548492</v>
      </c>
    </row>
    <row r="6056" spans="1:2">
      <c r="A6056" s="32">
        <v>6043</v>
      </c>
      <c r="B6056" s="90">
        <v>8.2524884308901889</v>
      </c>
    </row>
    <row r="6057" spans="1:2">
      <c r="A6057" s="32">
        <v>6044</v>
      </c>
      <c r="B6057" s="90">
        <v>9.0905935994486633</v>
      </c>
    </row>
    <row r="6058" spans="1:2">
      <c r="A6058" s="32">
        <v>6045</v>
      </c>
      <c r="B6058" s="90">
        <v>8.0420279996083384</v>
      </c>
    </row>
    <row r="6059" spans="1:2">
      <c r="A6059" s="32">
        <v>6046</v>
      </c>
      <c r="B6059" s="90">
        <v>6.8953434932979256</v>
      </c>
    </row>
    <row r="6060" spans="1:2">
      <c r="A6060" s="32">
        <v>6047</v>
      </c>
      <c r="B6060" s="90">
        <v>7.8232949169202097</v>
      </c>
    </row>
    <row r="6061" spans="1:2">
      <c r="A6061" s="32">
        <v>6048</v>
      </c>
      <c r="B6061" s="90">
        <v>7.5693489063703634</v>
      </c>
    </row>
    <row r="6062" spans="1:2">
      <c r="A6062" s="32">
        <v>6049</v>
      </c>
      <c r="B6062" s="90">
        <v>7.3168097864586654</v>
      </c>
    </row>
    <row r="6063" spans="1:2">
      <c r="A6063" s="32">
        <v>6050</v>
      </c>
      <c r="B6063" s="90">
        <v>7.6902982479462354</v>
      </c>
    </row>
    <row r="6064" spans="1:2">
      <c r="A6064" s="32">
        <v>6051</v>
      </c>
      <c r="B6064" s="90">
        <v>7.1451401181375402</v>
      </c>
    </row>
    <row r="6065" spans="1:2">
      <c r="A6065" s="32">
        <v>6052</v>
      </c>
      <c r="B6065" s="90">
        <v>8.358404265984797</v>
      </c>
    </row>
    <row r="6066" spans="1:2">
      <c r="A6066" s="32">
        <v>6053</v>
      </c>
      <c r="B6066" s="90">
        <v>7.4151021693482635</v>
      </c>
    </row>
    <row r="6067" spans="1:2">
      <c r="A6067" s="32">
        <v>6054</v>
      </c>
      <c r="B6067" s="90">
        <v>8.1366578245667718</v>
      </c>
    </row>
    <row r="6068" spans="1:2">
      <c r="A6068" s="32">
        <v>6055</v>
      </c>
      <c r="B6068" s="90">
        <v>7.447585922066934</v>
      </c>
    </row>
    <row r="6069" spans="1:2">
      <c r="A6069" s="32">
        <v>6056</v>
      </c>
      <c r="B6069" s="90">
        <v>8.1730897382174934</v>
      </c>
    </row>
    <row r="6070" spans="1:2">
      <c r="A6070" s="32">
        <v>6057</v>
      </c>
      <c r="B6070" s="90">
        <v>8.1036604345427286</v>
      </c>
    </row>
    <row r="6071" spans="1:2">
      <c r="A6071" s="32">
        <v>6058</v>
      </c>
      <c r="B6071" s="90">
        <v>8.0178138773042669</v>
      </c>
    </row>
    <row r="6072" spans="1:2">
      <c r="A6072" s="32">
        <v>6059</v>
      </c>
      <c r="B6072" s="90">
        <v>8.30696604671855</v>
      </c>
    </row>
    <row r="6073" spans="1:2">
      <c r="A6073" s="32">
        <v>6060</v>
      </c>
      <c r="B6073" s="90">
        <v>8.2568757098827188</v>
      </c>
    </row>
    <row r="6074" spans="1:2">
      <c r="A6074" s="32">
        <v>6061</v>
      </c>
      <c r="B6074" s="90">
        <v>8.1388910287331449</v>
      </c>
    </row>
    <row r="6075" spans="1:2">
      <c r="A6075" s="32">
        <v>6062</v>
      </c>
      <c r="B6075" s="90">
        <v>8.1679848985748507</v>
      </c>
    </row>
    <row r="6076" spans="1:2">
      <c r="A6076" s="32">
        <v>6063</v>
      </c>
      <c r="B6076" s="90">
        <v>8.2853422191838995</v>
      </c>
    </row>
    <row r="6077" spans="1:2">
      <c r="A6077" s="32">
        <v>6064</v>
      </c>
      <c r="B6077" s="90">
        <v>7.9848131870766501</v>
      </c>
    </row>
    <row r="6078" spans="1:2">
      <c r="A6078" s="32">
        <v>6065</v>
      </c>
      <c r="B6078" s="90">
        <v>7.3496894750268211</v>
      </c>
    </row>
    <row r="6079" spans="1:2">
      <c r="A6079" s="32">
        <v>6066</v>
      </c>
      <c r="B6079" s="90">
        <v>7.7788015133718522</v>
      </c>
    </row>
    <row r="6080" spans="1:2">
      <c r="A6080" s="32">
        <v>6067</v>
      </c>
      <c r="B6080" s="90">
        <v>7.337344937652758</v>
      </c>
    </row>
    <row r="6081" spans="1:2">
      <c r="A6081" s="32">
        <v>6068</v>
      </c>
      <c r="B6081" s="90">
        <v>8.538778285243378</v>
      </c>
    </row>
    <row r="6082" spans="1:2">
      <c r="A6082" s="32">
        <v>6069</v>
      </c>
      <c r="B6082" s="90">
        <v>7.5312973835745485</v>
      </c>
    </row>
    <row r="6083" spans="1:2">
      <c r="A6083" s="32">
        <v>6070</v>
      </c>
      <c r="B6083" s="90">
        <v>7.2528621227850651</v>
      </c>
    </row>
    <row r="6084" spans="1:2">
      <c r="A6084" s="32">
        <v>6071</v>
      </c>
      <c r="B6084" s="90">
        <v>8.2101635092993277</v>
      </c>
    </row>
    <row r="6085" spans="1:2">
      <c r="A6085" s="32">
        <v>6072</v>
      </c>
      <c r="B6085" s="90">
        <v>8.0658758949348233</v>
      </c>
    </row>
    <row r="6086" spans="1:2">
      <c r="A6086" s="32">
        <v>6073</v>
      </c>
      <c r="B6086" s="90">
        <v>8.7404305113377756</v>
      </c>
    </row>
    <row r="6087" spans="1:2">
      <c r="A6087" s="32">
        <v>6074</v>
      </c>
      <c r="B6087" s="90">
        <v>8.1186424821673402</v>
      </c>
    </row>
    <row r="6088" spans="1:2">
      <c r="A6088" s="32">
        <v>6075</v>
      </c>
      <c r="B6088" s="90">
        <v>7.9690801772957265</v>
      </c>
    </row>
    <row r="6089" spans="1:2">
      <c r="A6089" s="32">
        <v>6076</v>
      </c>
      <c r="B6089" s="90">
        <v>7.2093245808716055</v>
      </c>
    </row>
    <row r="6090" spans="1:2">
      <c r="A6090" s="32">
        <v>6077</v>
      </c>
      <c r="B6090" s="90">
        <v>8.039674882345512</v>
      </c>
    </row>
    <row r="6091" spans="1:2">
      <c r="A6091" s="32">
        <v>6078</v>
      </c>
      <c r="B6091" s="90">
        <v>7.060367279207397</v>
      </c>
    </row>
    <row r="6092" spans="1:2">
      <c r="A6092" s="32">
        <v>6079</v>
      </c>
      <c r="B6092" s="90">
        <v>8.0084516212853352</v>
      </c>
    </row>
    <row r="6093" spans="1:2">
      <c r="A6093" s="32">
        <v>6080</v>
      </c>
      <c r="B6093" s="90">
        <v>8.1760609282022063</v>
      </c>
    </row>
    <row r="6094" spans="1:2">
      <c r="A6094" s="32">
        <v>6081</v>
      </c>
      <c r="B6094" s="90">
        <v>9.108387957749569</v>
      </c>
    </row>
    <row r="6095" spans="1:2">
      <c r="A6095" s="32">
        <v>6082</v>
      </c>
      <c r="B6095" s="90">
        <v>7.6048875785184435</v>
      </c>
    </row>
    <row r="6096" spans="1:2">
      <c r="A6096" s="32">
        <v>6083</v>
      </c>
      <c r="B6096" s="90">
        <v>8.0476220696553877</v>
      </c>
    </row>
    <row r="6097" spans="1:2">
      <c r="A6097" s="32">
        <v>6084</v>
      </c>
      <c r="B6097" s="90">
        <v>8.0306378210600524</v>
      </c>
    </row>
    <row r="6098" spans="1:2">
      <c r="A6098" s="32">
        <v>6085</v>
      </c>
      <c r="B6098" s="90">
        <v>8.0432621867712939</v>
      </c>
    </row>
    <row r="6099" spans="1:2">
      <c r="A6099" s="32">
        <v>6086</v>
      </c>
      <c r="B6099" s="90">
        <v>9.2102794193410649</v>
      </c>
    </row>
    <row r="6100" spans="1:2">
      <c r="A6100" s="32">
        <v>6087</v>
      </c>
      <c r="B6100" s="90">
        <v>8.1705697651720381</v>
      </c>
    </row>
    <row r="6101" spans="1:2">
      <c r="A6101" s="32">
        <v>6088</v>
      </c>
      <c r="B6101" s="90">
        <v>8.0690283059435988</v>
      </c>
    </row>
    <row r="6102" spans="1:2">
      <c r="A6102" s="32">
        <v>6089</v>
      </c>
      <c r="B6102" s="90">
        <v>7.3448182967187687</v>
      </c>
    </row>
    <row r="6103" spans="1:2">
      <c r="A6103" s="32">
        <v>6090</v>
      </c>
      <c r="B6103" s="90">
        <v>8.0061299869455524</v>
      </c>
    </row>
    <row r="6104" spans="1:2">
      <c r="A6104" s="32">
        <v>6091</v>
      </c>
      <c r="B6104" s="90">
        <v>8.460065621855108</v>
      </c>
    </row>
    <row r="6105" spans="1:2">
      <c r="A6105" s="32">
        <v>6092</v>
      </c>
      <c r="B6105" s="90">
        <v>6.9819334273600822</v>
      </c>
    </row>
    <row r="6106" spans="1:2">
      <c r="A6106" s="32">
        <v>6093</v>
      </c>
      <c r="B6106" s="90">
        <v>8.1725812672434532</v>
      </c>
    </row>
    <row r="6107" spans="1:2">
      <c r="A6107" s="32">
        <v>6094</v>
      </c>
      <c r="B6107" s="90">
        <v>8.4663202876730939</v>
      </c>
    </row>
    <row r="6108" spans="1:2">
      <c r="A6108" s="32">
        <v>6095</v>
      </c>
      <c r="B6108" s="90">
        <v>8.1638219217241694</v>
      </c>
    </row>
    <row r="6109" spans="1:2">
      <c r="A6109" s="32">
        <v>6096</v>
      </c>
      <c r="B6109" s="90">
        <v>8.1407163540214071</v>
      </c>
    </row>
    <row r="6110" spans="1:2">
      <c r="A6110" s="32">
        <v>6097</v>
      </c>
      <c r="B6110" s="90">
        <v>7.6748526614466837</v>
      </c>
    </row>
    <row r="6111" spans="1:2">
      <c r="A6111" s="32">
        <v>6098</v>
      </c>
      <c r="B6111" s="90">
        <v>8.32950662808849</v>
      </c>
    </row>
    <row r="6112" spans="1:2">
      <c r="A6112" s="32">
        <v>6099</v>
      </c>
      <c r="B6112" s="90">
        <v>7.3266744314640571</v>
      </c>
    </row>
    <row r="6113" spans="1:2">
      <c r="A6113" s="32">
        <v>6100</v>
      </c>
      <c r="B6113" s="90">
        <v>7.3783411172922353</v>
      </c>
    </row>
    <row r="6114" spans="1:2">
      <c r="A6114" s="32">
        <v>6101</v>
      </c>
      <c r="B6114" s="90">
        <v>7.7918100627404412</v>
      </c>
    </row>
    <row r="6115" spans="1:2">
      <c r="A6115" s="32">
        <v>6102</v>
      </c>
      <c r="B6115" s="90">
        <v>7.770724216298964</v>
      </c>
    </row>
    <row r="6116" spans="1:2">
      <c r="A6116" s="32">
        <v>6103</v>
      </c>
      <c r="B6116" s="90">
        <v>8.3147215241179921</v>
      </c>
    </row>
    <row r="6117" spans="1:2">
      <c r="A6117" s="32">
        <v>6104</v>
      </c>
      <c r="B6117" s="90">
        <v>7.9738929487258039</v>
      </c>
    </row>
    <row r="6118" spans="1:2">
      <c r="A6118" s="32">
        <v>6105</v>
      </c>
      <c r="B6118" s="90">
        <v>8.4960294751821639</v>
      </c>
    </row>
    <row r="6119" spans="1:2">
      <c r="A6119" s="32">
        <v>6106</v>
      </c>
      <c r="B6119" s="90">
        <v>8.1416831064495749</v>
      </c>
    </row>
    <row r="6120" spans="1:2">
      <c r="A6120" s="32">
        <v>6107</v>
      </c>
      <c r="B6120" s="90">
        <v>7.769342618450815</v>
      </c>
    </row>
    <row r="6121" spans="1:2">
      <c r="A6121" s="32">
        <v>6108</v>
      </c>
      <c r="B6121" s="90">
        <v>9.3574055924476074</v>
      </c>
    </row>
    <row r="6122" spans="1:2">
      <c r="A6122" s="32">
        <v>6109</v>
      </c>
      <c r="B6122" s="90">
        <v>8.7377497327327003</v>
      </c>
    </row>
    <row r="6123" spans="1:2">
      <c r="A6123" s="32">
        <v>6110</v>
      </c>
      <c r="B6123" s="90">
        <v>7.6175951148706007</v>
      </c>
    </row>
    <row r="6124" spans="1:2">
      <c r="A6124" s="32">
        <v>6111</v>
      </c>
      <c r="B6124" s="90">
        <v>8.1797629374984737</v>
      </c>
    </row>
    <row r="6125" spans="1:2">
      <c r="A6125" s="32">
        <v>6112</v>
      </c>
      <c r="B6125" s="90">
        <v>7.624224545237607</v>
      </c>
    </row>
    <row r="6126" spans="1:2">
      <c r="A6126" s="32">
        <v>6113</v>
      </c>
      <c r="B6126" s="90">
        <v>8.8434473590986755</v>
      </c>
    </row>
    <row r="6127" spans="1:2">
      <c r="A6127" s="32">
        <v>6114</v>
      </c>
      <c r="B6127" s="90">
        <v>8.0536015734872528</v>
      </c>
    </row>
    <row r="6128" spans="1:2">
      <c r="A6128" s="32">
        <v>6115</v>
      </c>
      <c r="B6128" s="90">
        <v>7.8730335827787208</v>
      </c>
    </row>
    <row r="6129" spans="1:2">
      <c r="A6129" s="32">
        <v>6116</v>
      </c>
      <c r="B6129" s="90">
        <v>8.6376267816408365</v>
      </c>
    </row>
    <row r="6130" spans="1:2">
      <c r="A6130" s="32">
        <v>6117</v>
      </c>
      <c r="B6130" s="90">
        <v>8.9668209127588234</v>
      </c>
    </row>
    <row r="6131" spans="1:2">
      <c r="A6131" s="32">
        <v>6118</v>
      </c>
      <c r="B6131" s="90">
        <v>8.6166169389194245</v>
      </c>
    </row>
    <row r="6132" spans="1:2">
      <c r="A6132" s="32">
        <v>6119</v>
      </c>
      <c r="B6132" s="90">
        <v>8.3642033060079903</v>
      </c>
    </row>
    <row r="6133" spans="1:2">
      <c r="A6133" s="32">
        <v>6120</v>
      </c>
      <c r="B6133" s="90">
        <v>8.7247120934226086</v>
      </c>
    </row>
    <row r="6134" spans="1:2">
      <c r="A6134" s="32">
        <v>6121</v>
      </c>
      <c r="B6134" s="90">
        <v>7.4993077506488488</v>
      </c>
    </row>
    <row r="6135" spans="1:2">
      <c r="A6135" s="32">
        <v>6122</v>
      </c>
      <c r="B6135" s="90">
        <v>7.8190315123695733</v>
      </c>
    </row>
    <row r="6136" spans="1:2">
      <c r="A6136" s="32">
        <v>6123</v>
      </c>
      <c r="B6136" s="90">
        <v>8.8102442940838834</v>
      </c>
    </row>
    <row r="6137" spans="1:2">
      <c r="A6137" s="32">
        <v>6124</v>
      </c>
      <c r="B6137" s="90">
        <v>7.3649080316748696</v>
      </c>
    </row>
    <row r="6138" spans="1:2">
      <c r="A6138" s="32">
        <v>6125</v>
      </c>
      <c r="B6138" s="90">
        <v>7.1874530786558877</v>
      </c>
    </row>
    <row r="6139" spans="1:2">
      <c r="A6139" s="32">
        <v>6126</v>
      </c>
      <c r="B6139" s="90">
        <v>9.008063104476026</v>
      </c>
    </row>
    <row r="6140" spans="1:2">
      <c r="A6140" s="32">
        <v>6127</v>
      </c>
      <c r="B6140" s="90">
        <v>9.4184749111163839</v>
      </c>
    </row>
    <row r="6141" spans="1:2">
      <c r="A6141" s="32">
        <v>6128</v>
      </c>
      <c r="B6141" s="90">
        <v>7.640403268552439</v>
      </c>
    </row>
    <row r="6142" spans="1:2">
      <c r="A6142" s="32">
        <v>6129</v>
      </c>
      <c r="B6142" s="90">
        <v>7.058779386074451</v>
      </c>
    </row>
    <row r="6143" spans="1:2">
      <c r="A6143" s="32">
        <v>6130</v>
      </c>
      <c r="B6143" s="90">
        <v>7.6232345099841199</v>
      </c>
    </row>
    <row r="6144" spans="1:2">
      <c r="A6144" s="32">
        <v>6131</v>
      </c>
      <c r="B6144" s="90">
        <v>8.0680934801353761</v>
      </c>
    </row>
    <row r="6145" spans="1:2">
      <c r="A6145" s="32">
        <v>6132</v>
      </c>
      <c r="B6145" s="90">
        <v>8.121430492544178</v>
      </c>
    </row>
    <row r="6146" spans="1:2">
      <c r="A6146" s="32">
        <v>6133</v>
      </c>
      <c r="B6146" s="90">
        <v>7.9924946341895584</v>
      </c>
    </row>
    <row r="6147" spans="1:2">
      <c r="A6147" s="32">
        <v>6134</v>
      </c>
      <c r="B6147" s="90">
        <v>7.7971523531444014</v>
      </c>
    </row>
    <row r="6148" spans="1:2">
      <c r="A6148" s="32">
        <v>6135</v>
      </c>
      <c r="B6148" s="90">
        <v>8.5167205346881723</v>
      </c>
    </row>
    <row r="6149" spans="1:2">
      <c r="A6149" s="32">
        <v>6136</v>
      </c>
      <c r="B6149" s="90">
        <v>8.2638247537279987</v>
      </c>
    </row>
    <row r="6150" spans="1:2">
      <c r="A6150" s="32">
        <v>6137</v>
      </c>
      <c r="B6150" s="90">
        <v>7.5925283161171775</v>
      </c>
    </row>
    <row r="6151" spans="1:2">
      <c r="A6151" s="32">
        <v>6138</v>
      </c>
      <c r="B6151" s="90">
        <v>9.3062848877019793</v>
      </c>
    </row>
    <row r="6152" spans="1:2">
      <c r="A6152" s="32">
        <v>6139</v>
      </c>
      <c r="B6152" s="90">
        <v>8.3617486664482765</v>
      </c>
    </row>
    <row r="6153" spans="1:2">
      <c r="A6153" s="32">
        <v>6140</v>
      </c>
      <c r="B6153" s="90">
        <v>11.654412465861585</v>
      </c>
    </row>
    <row r="6154" spans="1:2">
      <c r="A6154" s="32">
        <v>6141</v>
      </c>
      <c r="B6154" s="90">
        <v>6.9485392832107546</v>
      </c>
    </row>
    <row r="6155" spans="1:2">
      <c r="A6155" s="32">
        <v>6142</v>
      </c>
      <c r="B6155" s="90">
        <v>7.5734493102780922</v>
      </c>
    </row>
    <row r="6156" spans="1:2">
      <c r="A6156" s="32">
        <v>6143</v>
      </c>
      <c r="B6156" s="90">
        <v>7.5758502146319504</v>
      </c>
    </row>
    <row r="6157" spans="1:2">
      <c r="A6157" s="32">
        <v>6144</v>
      </c>
      <c r="B6157" s="90">
        <v>8.0328501055169372</v>
      </c>
    </row>
    <row r="6158" spans="1:2">
      <c r="A6158" s="32">
        <v>6145</v>
      </c>
      <c r="B6158" s="90">
        <v>7.6660606533271771</v>
      </c>
    </row>
    <row r="6159" spans="1:2">
      <c r="A6159" s="32">
        <v>6146</v>
      </c>
      <c r="B6159" s="90">
        <v>8.9467718398169911</v>
      </c>
    </row>
    <row r="6160" spans="1:2">
      <c r="A6160" s="32">
        <v>6147</v>
      </c>
      <c r="B6160" s="90">
        <v>8.646383386334346</v>
      </c>
    </row>
    <row r="6161" spans="1:2">
      <c r="A6161" s="32">
        <v>6148</v>
      </c>
      <c r="B6161" s="90">
        <v>8.4056044909443894</v>
      </c>
    </row>
    <row r="6162" spans="1:2">
      <c r="A6162" s="32">
        <v>6149</v>
      </c>
      <c r="B6162" s="90">
        <v>7.9973774684820409</v>
      </c>
    </row>
    <row r="6163" spans="1:2">
      <c r="A6163" s="32">
        <v>6150</v>
      </c>
      <c r="B6163" s="90">
        <v>7.4585399322863246</v>
      </c>
    </row>
    <row r="6164" spans="1:2">
      <c r="A6164" s="32">
        <v>6151</v>
      </c>
      <c r="B6164" s="90">
        <v>8.4662476363997961</v>
      </c>
    </row>
    <row r="6165" spans="1:2">
      <c r="A6165" s="32">
        <v>6152</v>
      </c>
      <c r="B6165" s="90">
        <v>7.5222326940271786</v>
      </c>
    </row>
    <row r="6166" spans="1:2">
      <c r="A6166" s="32">
        <v>6153</v>
      </c>
      <c r="B6166" s="90">
        <v>7.2454847852484203</v>
      </c>
    </row>
    <row r="6167" spans="1:2">
      <c r="A6167" s="32">
        <v>6154</v>
      </c>
      <c r="B6167" s="90">
        <v>8.188409845391817</v>
      </c>
    </row>
    <row r="6168" spans="1:2">
      <c r="A6168" s="32">
        <v>6155</v>
      </c>
      <c r="B6168" s="90">
        <v>7.9798429818660646</v>
      </c>
    </row>
    <row r="6169" spans="1:2">
      <c r="A6169" s="32">
        <v>6156</v>
      </c>
      <c r="B6169" s="90">
        <v>7.3751255050578415</v>
      </c>
    </row>
    <row r="6170" spans="1:2">
      <c r="A6170" s="32">
        <v>6157</v>
      </c>
      <c r="B6170" s="90">
        <v>7.7573531008068013</v>
      </c>
    </row>
    <row r="6171" spans="1:2">
      <c r="A6171" s="32">
        <v>6158</v>
      </c>
      <c r="B6171" s="90">
        <v>8.5871975864425334</v>
      </c>
    </row>
    <row r="6172" spans="1:2">
      <c r="A6172" s="32">
        <v>6159</v>
      </c>
      <c r="B6172" s="90">
        <v>8.0159559094239849</v>
      </c>
    </row>
    <row r="6173" spans="1:2">
      <c r="A6173" s="32">
        <v>6160</v>
      </c>
      <c r="B6173" s="90">
        <v>8.8353074850534998</v>
      </c>
    </row>
    <row r="6174" spans="1:2">
      <c r="A6174" s="32">
        <v>6161</v>
      </c>
      <c r="B6174" s="90">
        <v>7.1775399269312619</v>
      </c>
    </row>
    <row r="6175" spans="1:2">
      <c r="A6175" s="32">
        <v>6162</v>
      </c>
      <c r="B6175" s="90">
        <v>8.49357914197242</v>
      </c>
    </row>
    <row r="6176" spans="1:2">
      <c r="A6176" s="32">
        <v>6163</v>
      </c>
      <c r="B6176" s="90">
        <v>8.2876198712249316</v>
      </c>
    </row>
    <row r="6177" spans="1:2">
      <c r="A6177" s="32">
        <v>6164</v>
      </c>
      <c r="B6177" s="90">
        <v>7.6230683797846703</v>
      </c>
    </row>
    <row r="6178" spans="1:2">
      <c r="A6178" s="32">
        <v>6165</v>
      </c>
      <c r="B6178" s="90">
        <v>7.4744391905532082</v>
      </c>
    </row>
    <row r="6179" spans="1:2">
      <c r="A6179" s="32">
        <v>6166</v>
      </c>
      <c r="B6179" s="90">
        <v>7.5371062254418035</v>
      </c>
    </row>
    <row r="6180" spans="1:2">
      <c r="A6180" s="32">
        <v>6167</v>
      </c>
      <c r="B6180" s="90">
        <v>7.6163953089088308</v>
      </c>
    </row>
    <row r="6181" spans="1:2">
      <c r="A6181" s="32">
        <v>6168</v>
      </c>
      <c r="B6181" s="90">
        <v>8.8451658984489843</v>
      </c>
    </row>
    <row r="6182" spans="1:2">
      <c r="A6182" s="32">
        <v>6169</v>
      </c>
      <c r="B6182" s="90">
        <v>8.0690636046680311</v>
      </c>
    </row>
    <row r="6183" spans="1:2">
      <c r="A6183" s="32">
        <v>6170</v>
      </c>
      <c r="B6183" s="90">
        <v>7.0405375610565031</v>
      </c>
    </row>
    <row r="6184" spans="1:2">
      <c r="A6184" s="32">
        <v>6171</v>
      </c>
      <c r="B6184" s="90">
        <v>7.8458888140953054</v>
      </c>
    </row>
    <row r="6185" spans="1:2">
      <c r="A6185" s="32">
        <v>6172</v>
      </c>
      <c r="B6185" s="90">
        <v>8.0289662633960344</v>
      </c>
    </row>
    <row r="6186" spans="1:2">
      <c r="A6186" s="32">
        <v>6173</v>
      </c>
      <c r="B6186" s="90">
        <v>7.2731171413562832</v>
      </c>
    </row>
    <row r="6187" spans="1:2">
      <c r="A6187" s="32">
        <v>6174</v>
      </c>
      <c r="B6187" s="90">
        <v>7.4361912767638323</v>
      </c>
    </row>
    <row r="6188" spans="1:2">
      <c r="A6188" s="32">
        <v>6175</v>
      </c>
      <c r="B6188" s="90">
        <v>7.7167925520541099</v>
      </c>
    </row>
    <row r="6189" spans="1:2">
      <c r="A6189" s="32">
        <v>6176</v>
      </c>
      <c r="B6189" s="90">
        <v>8.6905392919596096</v>
      </c>
    </row>
    <row r="6190" spans="1:2">
      <c r="A6190" s="32">
        <v>6177</v>
      </c>
      <c r="B6190" s="90">
        <v>7.6185845554352234</v>
      </c>
    </row>
    <row r="6191" spans="1:2">
      <c r="A6191" s="32">
        <v>6178</v>
      </c>
      <c r="B6191" s="90">
        <v>8.6730843298755236</v>
      </c>
    </row>
    <row r="6192" spans="1:2">
      <c r="A6192" s="32">
        <v>6179</v>
      </c>
      <c r="B6192" s="90">
        <v>8.0175893183431768</v>
      </c>
    </row>
    <row r="6193" spans="1:2">
      <c r="A6193" s="32">
        <v>6180</v>
      </c>
      <c r="B6193" s="90">
        <v>8.4571212965903495</v>
      </c>
    </row>
    <row r="6194" spans="1:2">
      <c r="A6194" s="32">
        <v>6181</v>
      </c>
      <c r="B6194" s="90">
        <v>7.6510376318619793</v>
      </c>
    </row>
    <row r="6195" spans="1:2">
      <c r="A6195" s="32">
        <v>6182</v>
      </c>
      <c r="B6195" s="90">
        <v>8.0082624171068364</v>
      </c>
    </row>
    <row r="6196" spans="1:2">
      <c r="A6196" s="32">
        <v>6183</v>
      </c>
      <c r="B6196" s="90">
        <v>8.2836206719933489</v>
      </c>
    </row>
    <row r="6197" spans="1:2">
      <c r="A6197" s="32">
        <v>6184</v>
      </c>
      <c r="B6197" s="90">
        <v>8.4771000604625097</v>
      </c>
    </row>
    <row r="6198" spans="1:2">
      <c r="A6198" s="32">
        <v>6185</v>
      </c>
      <c r="B6198" s="90">
        <v>7.5176969321458404</v>
      </c>
    </row>
    <row r="6199" spans="1:2">
      <c r="A6199" s="32">
        <v>6186</v>
      </c>
      <c r="B6199" s="90">
        <v>7.7218063093001303</v>
      </c>
    </row>
    <row r="6200" spans="1:2">
      <c r="A6200" s="32">
        <v>6187</v>
      </c>
      <c r="B6200" s="90">
        <v>7.8639682673550126</v>
      </c>
    </row>
    <row r="6201" spans="1:2">
      <c r="A6201" s="32">
        <v>6188</v>
      </c>
      <c r="B6201" s="90">
        <v>7.5513165417220396</v>
      </c>
    </row>
    <row r="6202" spans="1:2">
      <c r="A6202" s="32">
        <v>6189</v>
      </c>
      <c r="B6202" s="90">
        <v>7.3335617666795647</v>
      </c>
    </row>
    <row r="6203" spans="1:2">
      <c r="A6203" s="32">
        <v>6190</v>
      </c>
      <c r="B6203" s="90">
        <v>8.5552121118475419</v>
      </c>
    </row>
    <row r="6204" spans="1:2">
      <c r="A6204" s="32">
        <v>6191</v>
      </c>
      <c r="B6204" s="90">
        <v>7.8733079475335659</v>
      </c>
    </row>
    <row r="6205" spans="1:2">
      <c r="A6205" s="32">
        <v>6192</v>
      </c>
      <c r="B6205" s="90">
        <v>8.2961299896368068</v>
      </c>
    </row>
    <row r="6206" spans="1:2">
      <c r="A6206" s="32">
        <v>6193</v>
      </c>
      <c r="B6206" s="90">
        <v>8.2082705874495474</v>
      </c>
    </row>
    <row r="6207" spans="1:2">
      <c r="A6207" s="32">
        <v>6194</v>
      </c>
      <c r="B6207" s="90">
        <v>7.75846360480194</v>
      </c>
    </row>
    <row r="6208" spans="1:2">
      <c r="A6208" s="32">
        <v>6195</v>
      </c>
      <c r="B6208" s="90">
        <v>8.2768733186450358</v>
      </c>
    </row>
    <row r="6209" spans="1:2">
      <c r="A6209" s="32">
        <v>6196</v>
      </c>
      <c r="B6209" s="90">
        <v>6.9299165586211329</v>
      </c>
    </row>
    <row r="6210" spans="1:2">
      <c r="A6210" s="32">
        <v>6197</v>
      </c>
      <c r="B6210" s="90">
        <v>8.6234419987981692</v>
      </c>
    </row>
    <row r="6211" spans="1:2">
      <c r="A6211" s="32">
        <v>6198</v>
      </c>
      <c r="B6211" s="90">
        <v>7.8299274325558779</v>
      </c>
    </row>
    <row r="6212" spans="1:2">
      <c r="A6212" s="32">
        <v>6199</v>
      </c>
      <c r="B6212" s="90">
        <v>8.6672725633723413</v>
      </c>
    </row>
    <row r="6213" spans="1:2">
      <c r="A6213" s="32">
        <v>6200</v>
      </c>
      <c r="B6213" s="90">
        <v>7.4810344101067239</v>
      </c>
    </row>
    <row r="6214" spans="1:2">
      <c r="A6214" s="32">
        <v>6201</v>
      </c>
      <c r="B6214" s="90">
        <v>8.0932899654822563</v>
      </c>
    </row>
    <row r="6215" spans="1:2">
      <c r="A6215" s="32">
        <v>6202</v>
      </c>
      <c r="B6215" s="90">
        <v>8.0028884305152452</v>
      </c>
    </row>
    <row r="6216" spans="1:2">
      <c r="A6216" s="32">
        <v>6203</v>
      </c>
      <c r="B6216" s="90">
        <v>7.4993414938651988</v>
      </c>
    </row>
    <row r="6217" spans="1:2">
      <c r="A6217" s="32">
        <v>6204</v>
      </c>
      <c r="B6217" s="90">
        <v>8.1380667340977926</v>
      </c>
    </row>
    <row r="6218" spans="1:2">
      <c r="A6218" s="32">
        <v>6205</v>
      </c>
      <c r="B6218" s="90">
        <v>8.0898641292470792</v>
      </c>
    </row>
    <row r="6219" spans="1:2">
      <c r="A6219" s="32">
        <v>6206</v>
      </c>
      <c r="B6219" s="90">
        <v>8.0876589772475285</v>
      </c>
    </row>
    <row r="6220" spans="1:2">
      <c r="A6220" s="32">
        <v>6207</v>
      </c>
      <c r="B6220" s="90">
        <v>8.1181179272848762</v>
      </c>
    </row>
    <row r="6221" spans="1:2">
      <c r="A6221" s="32">
        <v>6208</v>
      </c>
      <c r="B6221" s="90">
        <v>8.7537719272055021</v>
      </c>
    </row>
    <row r="6222" spans="1:2">
      <c r="A6222" s="32">
        <v>6209</v>
      </c>
      <c r="B6222" s="90">
        <v>9.5426512801360257</v>
      </c>
    </row>
    <row r="6223" spans="1:2">
      <c r="A6223" s="32">
        <v>6210</v>
      </c>
      <c r="B6223" s="90">
        <v>10.308881024797035</v>
      </c>
    </row>
    <row r="6224" spans="1:2">
      <c r="A6224" s="32">
        <v>6211</v>
      </c>
      <c r="B6224" s="90">
        <v>8.6532362182294271</v>
      </c>
    </row>
    <row r="6225" spans="1:2">
      <c r="A6225" s="32">
        <v>6212</v>
      </c>
      <c r="B6225" s="90">
        <v>8.6302392131706114</v>
      </c>
    </row>
    <row r="6226" spans="1:2">
      <c r="A6226" s="32">
        <v>6213</v>
      </c>
      <c r="B6226" s="90">
        <v>8.2438584811832296</v>
      </c>
    </row>
    <row r="6227" spans="1:2">
      <c r="A6227" s="32">
        <v>6214</v>
      </c>
      <c r="B6227" s="90">
        <v>8.2299455061472262</v>
      </c>
    </row>
    <row r="6228" spans="1:2">
      <c r="A6228" s="32">
        <v>6215</v>
      </c>
      <c r="B6228" s="90">
        <v>8.4108792771499008</v>
      </c>
    </row>
    <row r="6229" spans="1:2">
      <c r="A6229" s="32">
        <v>6216</v>
      </c>
      <c r="B6229" s="90">
        <v>8.5110159064190469</v>
      </c>
    </row>
    <row r="6230" spans="1:2">
      <c r="A6230" s="32">
        <v>6217</v>
      </c>
      <c r="B6230" s="90">
        <v>7.811457911456344</v>
      </c>
    </row>
    <row r="6231" spans="1:2">
      <c r="A6231" s="32">
        <v>6218</v>
      </c>
      <c r="B6231" s="90">
        <v>7.8217146821885182</v>
      </c>
    </row>
    <row r="6232" spans="1:2">
      <c r="A6232" s="32">
        <v>6219</v>
      </c>
      <c r="B6232" s="90">
        <v>8.4299734561576845</v>
      </c>
    </row>
    <row r="6233" spans="1:2">
      <c r="A6233" s="32">
        <v>6220</v>
      </c>
      <c r="B6233" s="90">
        <v>8.5939135122935912</v>
      </c>
    </row>
    <row r="6234" spans="1:2">
      <c r="A6234" s="32">
        <v>6221</v>
      </c>
      <c r="B6234" s="90">
        <v>6.8699070298806602</v>
      </c>
    </row>
    <row r="6235" spans="1:2">
      <c r="A6235" s="32">
        <v>6222</v>
      </c>
      <c r="B6235" s="90">
        <v>8.1369394802730017</v>
      </c>
    </row>
    <row r="6236" spans="1:2">
      <c r="A6236" s="32">
        <v>6223</v>
      </c>
      <c r="B6236" s="90">
        <v>8.3449911714568064</v>
      </c>
    </row>
    <row r="6237" spans="1:2">
      <c r="A6237" s="32">
        <v>6224</v>
      </c>
      <c r="B6237" s="90">
        <v>7.2168283134312183</v>
      </c>
    </row>
    <row r="6238" spans="1:2">
      <c r="A6238" s="32">
        <v>6225</v>
      </c>
      <c r="B6238" s="90">
        <v>8.609055503559091</v>
      </c>
    </row>
    <row r="6239" spans="1:2">
      <c r="A6239" s="32">
        <v>6226</v>
      </c>
      <c r="B6239" s="90">
        <v>7.939243728200533</v>
      </c>
    </row>
    <row r="6240" spans="1:2">
      <c r="A6240" s="32">
        <v>6227</v>
      </c>
      <c r="B6240" s="90">
        <v>8.0862821408824317</v>
      </c>
    </row>
    <row r="6241" spans="1:2">
      <c r="A6241" s="32">
        <v>6228</v>
      </c>
      <c r="B6241" s="90">
        <v>9.0217213694760456</v>
      </c>
    </row>
    <row r="6242" spans="1:2">
      <c r="A6242" s="32">
        <v>6229</v>
      </c>
      <c r="B6242" s="90">
        <v>7.7752841184126433</v>
      </c>
    </row>
    <row r="6243" spans="1:2">
      <c r="A6243" s="32">
        <v>6230</v>
      </c>
      <c r="B6243" s="90">
        <v>8.1144363892842737</v>
      </c>
    </row>
    <row r="6244" spans="1:2">
      <c r="A6244" s="32">
        <v>6231</v>
      </c>
      <c r="B6244" s="90">
        <v>8.7058110119741272</v>
      </c>
    </row>
    <row r="6245" spans="1:2">
      <c r="A6245" s="32">
        <v>6232</v>
      </c>
      <c r="B6245" s="90">
        <v>8.574423500494543</v>
      </c>
    </row>
    <row r="6246" spans="1:2">
      <c r="A6246" s="32">
        <v>6233</v>
      </c>
      <c r="B6246" s="90">
        <v>8.2442772026833797</v>
      </c>
    </row>
    <row r="6247" spans="1:2">
      <c r="A6247" s="32">
        <v>6234</v>
      </c>
      <c r="B6247" s="90">
        <v>8.4972794673203449</v>
      </c>
    </row>
    <row r="6248" spans="1:2">
      <c r="A6248" s="32">
        <v>6235</v>
      </c>
      <c r="B6248" s="90">
        <v>8.194955370156217</v>
      </c>
    </row>
    <row r="6249" spans="1:2">
      <c r="A6249" s="32">
        <v>6236</v>
      </c>
      <c r="B6249" s="90">
        <v>7.2828244717036137</v>
      </c>
    </row>
    <row r="6250" spans="1:2">
      <c r="A6250" s="32">
        <v>6237</v>
      </c>
      <c r="B6250" s="90">
        <v>8.6183058347500427</v>
      </c>
    </row>
    <row r="6251" spans="1:2">
      <c r="A6251" s="32">
        <v>6238</v>
      </c>
      <c r="B6251" s="90">
        <v>8.3504692795738968</v>
      </c>
    </row>
    <row r="6252" spans="1:2">
      <c r="A6252" s="32">
        <v>6239</v>
      </c>
      <c r="B6252" s="90">
        <v>7.834486103324509</v>
      </c>
    </row>
    <row r="6253" spans="1:2">
      <c r="A6253" s="32">
        <v>6240</v>
      </c>
      <c r="B6253" s="90">
        <v>8.6593665639562438</v>
      </c>
    </row>
    <row r="6254" spans="1:2">
      <c r="A6254" s="32">
        <v>6241</v>
      </c>
      <c r="B6254" s="90">
        <v>7.9148586586901146</v>
      </c>
    </row>
    <row r="6255" spans="1:2">
      <c r="A6255" s="32">
        <v>6242</v>
      </c>
      <c r="B6255" s="90">
        <v>7.8844461919135123</v>
      </c>
    </row>
    <row r="6256" spans="1:2">
      <c r="A6256" s="32">
        <v>6243</v>
      </c>
      <c r="B6256" s="90">
        <v>7.9378129437769598</v>
      </c>
    </row>
    <row r="6257" spans="1:2">
      <c r="A6257" s="32">
        <v>6244</v>
      </c>
      <c r="B6257" s="90">
        <v>6.9237395620142799</v>
      </c>
    </row>
    <row r="6258" spans="1:2">
      <c r="A6258" s="32">
        <v>6245</v>
      </c>
      <c r="B6258" s="90">
        <v>9.0972543627714586</v>
      </c>
    </row>
    <row r="6259" spans="1:2">
      <c r="A6259" s="32">
        <v>6246</v>
      </c>
      <c r="B6259" s="90">
        <v>8.2293680915102438</v>
      </c>
    </row>
    <row r="6260" spans="1:2">
      <c r="A6260" s="32">
        <v>6247</v>
      </c>
      <c r="B6260" s="90">
        <v>8.54647711964396</v>
      </c>
    </row>
    <row r="6261" spans="1:2">
      <c r="A6261" s="32">
        <v>6248</v>
      </c>
      <c r="B6261" s="90">
        <v>7.3156493341659319</v>
      </c>
    </row>
    <row r="6262" spans="1:2">
      <c r="A6262" s="32">
        <v>6249</v>
      </c>
      <c r="B6262" s="90">
        <v>7.1988001362293943</v>
      </c>
    </row>
    <row r="6263" spans="1:2">
      <c r="A6263" s="32">
        <v>6250</v>
      </c>
      <c r="B6263" s="90">
        <v>8.7583151871584715</v>
      </c>
    </row>
    <row r="6264" spans="1:2">
      <c r="A6264" s="32">
        <v>6251</v>
      </c>
      <c r="B6264" s="90">
        <v>7.9614489790522782</v>
      </c>
    </row>
    <row r="6265" spans="1:2">
      <c r="A6265" s="32">
        <v>6252</v>
      </c>
      <c r="B6265" s="90">
        <v>8.6403573735432886</v>
      </c>
    </row>
    <row r="6266" spans="1:2">
      <c r="A6266" s="32">
        <v>6253</v>
      </c>
      <c r="B6266" s="90">
        <v>8.4444091121296694</v>
      </c>
    </row>
    <row r="6267" spans="1:2">
      <c r="A6267" s="32">
        <v>6254</v>
      </c>
      <c r="B6267" s="90">
        <v>7.3363081146537166</v>
      </c>
    </row>
    <row r="6268" spans="1:2">
      <c r="A6268" s="32">
        <v>6255</v>
      </c>
      <c r="B6268" s="90">
        <v>8.3310708696745124</v>
      </c>
    </row>
    <row r="6269" spans="1:2">
      <c r="A6269" s="32">
        <v>6256</v>
      </c>
      <c r="B6269" s="90">
        <v>8.2693268541261133</v>
      </c>
    </row>
    <row r="6270" spans="1:2">
      <c r="A6270" s="32">
        <v>6257</v>
      </c>
      <c r="B6270" s="90">
        <v>8.6474895216578727</v>
      </c>
    </row>
    <row r="6271" spans="1:2">
      <c r="A6271" s="32">
        <v>6258</v>
      </c>
      <c r="B6271" s="90">
        <v>7.9152822771953666</v>
      </c>
    </row>
    <row r="6272" spans="1:2">
      <c r="A6272" s="32">
        <v>6259</v>
      </c>
      <c r="B6272" s="90">
        <v>7.4541237901117636</v>
      </c>
    </row>
    <row r="6273" spans="1:2">
      <c r="A6273" s="32">
        <v>6260</v>
      </c>
      <c r="B6273" s="90">
        <v>7.5882544380740047</v>
      </c>
    </row>
    <row r="6274" spans="1:2">
      <c r="A6274" s="32">
        <v>6261</v>
      </c>
      <c r="B6274" s="90">
        <v>7.9831284857404157</v>
      </c>
    </row>
    <row r="6275" spans="1:2">
      <c r="A6275" s="32">
        <v>6262</v>
      </c>
      <c r="B6275" s="90">
        <v>9.3516316707021296</v>
      </c>
    </row>
    <row r="6276" spans="1:2">
      <c r="A6276" s="32">
        <v>6263</v>
      </c>
      <c r="B6276" s="90">
        <v>7.3023333584549901</v>
      </c>
    </row>
    <row r="6277" spans="1:2">
      <c r="A6277" s="32">
        <v>6264</v>
      </c>
      <c r="B6277" s="90">
        <v>8.1480848689061371</v>
      </c>
    </row>
    <row r="6278" spans="1:2">
      <c r="A6278" s="32">
        <v>6265</v>
      </c>
      <c r="B6278" s="90">
        <v>9.5206771972967346</v>
      </c>
    </row>
    <row r="6279" spans="1:2">
      <c r="A6279" s="32">
        <v>6266</v>
      </c>
      <c r="B6279" s="90">
        <v>8.8992199313192799</v>
      </c>
    </row>
    <row r="6280" spans="1:2">
      <c r="A6280" s="32">
        <v>6267</v>
      </c>
      <c r="B6280" s="90">
        <v>8.3637833674386517</v>
      </c>
    </row>
    <row r="6281" spans="1:2">
      <c r="A6281" s="32">
        <v>6268</v>
      </c>
      <c r="B6281" s="90">
        <v>8.792797602636325</v>
      </c>
    </row>
    <row r="6282" spans="1:2">
      <c r="A6282" s="32">
        <v>6269</v>
      </c>
      <c r="B6282" s="90">
        <v>9.2481401881020879</v>
      </c>
    </row>
    <row r="6283" spans="1:2">
      <c r="A6283" s="32">
        <v>6270</v>
      </c>
      <c r="B6283" s="90">
        <v>8.6308098418818808</v>
      </c>
    </row>
    <row r="6284" spans="1:2">
      <c r="A6284" s="32">
        <v>6271</v>
      </c>
      <c r="B6284" s="90">
        <v>7.6989841417557585</v>
      </c>
    </row>
    <row r="6285" spans="1:2">
      <c r="A6285" s="32">
        <v>6272</v>
      </c>
      <c r="B6285" s="90">
        <v>9.2465059217037329</v>
      </c>
    </row>
    <row r="6286" spans="1:2">
      <c r="A6286" s="32">
        <v>6273</v>
      </c>
      <c r="B6286" s="90">
        <v>7.7246115543028173</v>
      </c>
    </row>
    <row r="6287" spans="1:2">
      <c r="A6287" s="32">
        <v>6274</v>
      </c>
      <c r="B6287" s="90">
        <v>7.3696212117362796</v>
      </c>
    </row>
    <row r="6288" spans="1:2">
      <c r="A6288" s="32">
        <v>6275</v>
      </c>
      <c r="B6288" s="90">
        <v>7.6885383176437614</v>
      </c>
    </row>
    <row r="6289" spans="1:2">
      <c r="A6289" s="32">
        <v>6276</v>
      </c>
      <c r="B6289" s="90">
        <v>7.5226868155677389</v>
      </c>
    </row>
    <row r="6290" spans="1:2">
      <c r="A6290" s="32">
        <v>6277</v>
      </c>
      <c r="B6290" s="90">
        <v>7.5187798594868278</v>
      </c>
    </row>
    <row r="6291" spans="1:2">
      <c r="A6291" s="32">
        <v>6278</v>
      </c>
      <c r="B6291" s="90">
        <v>8.3005515887031045</v>
      </c>
    </row>
    <row r="6292" spans="1:2">
      <c r="A6292" s="32">
        <v>6279</v>
      </c>
      <c r="B6292" s="90">
        <v>7.8685797629883147</v>
      </c>
    </row>
    <row r="6293" spans="1:2">
      <c r="A6293" s="32">
        <v>6280</v>
      </c>
      <c r="B6293" s="90">
        <v>8.7453772347753631</v>
      </c>
    </row>
    <row r="6294" spans="1:2">
      <c r="A6294" s="32">
        <v>6281</v>
      </c>
      <c r="B6294" s="90">
        <v>7.4176292204362122</v>
      </c>
    </row>
    <row r="6295" spans="1:2">
      <c r="A6295" s="32">
        <v>6282</v>
      </c>
      <c r="B6295" s="90">
        <v>8.424326319540473</v>
      </c>
    </row>
    <row r="6296" spans="1:2">
      <c r="A6296" s="32">
        <v>6283</v>
      </c>
      <c r="B6296" s="90">
        <v>8.5420552636271623</v>
      </c>
    </row>
    <row r="6297" spans="1:2">
      <c r="A6297" s="32">
        <v>6284</v>
      </c>
      <c r="B6297" s="90">
        <v>7.8031024275443546</v>
      </c>
    </row>
    <row r="6298" spans="1:2">
      <c r="A6298" s="32">
        <v>6285</v>
      </c>
      <c r="B6298" s="90">
        <v>9.3354001233189621</v>
      </c>
    </row>
    <row r="6299" spans="1:2">
      <c r="A6299" s="32">
        <v>6286</v>
      </c>
      <c r="B6299" s="90">
        <v>7.4739735187574947</v>
      </c>
    </row>
    <row r="6300" spans="1:2">
      <c r="A6300" s="32">
        <v>6287</v>
      </c>
      <c r="B6300" s="90">
        <v>8.083265382745962</v>
      </c>
    </row>
    <row r="6301" spans="1:2">
      <c r="A6301" s="32">
        <v>6288</v>
      </c>
      <c r="B6301" s="90">
        <v>8.336816350826215</v>
      </c>
    </row>
    <row r="6302" spans="1:2">
      <c r="A6302" s="32">
        <v>6289</v>
      </c>
      <c r="B6302" s="90">
        <v>8.0315412872378715</v>
      </c>
    </row>
    <row r="6303" spans="1:2">
      <c r="A6303" s="32">
        <v>6290</v>
      </c>
      <c r="B6303" s="90">
        <v>8.4530561529426311</v>
      </c>
    </row>
    <row r="6304" spans="1:2">
      <c r="A6304" s="32">
        <v>6291</v>
      </c>
      <c r="B6304" s="90">
        <v>8.1612013229021425</v>
      </c>
    </row>
    <row r="6305" spans="1:2">
      <c r="A6305" s="32">
        <v>6292</v>
      </c>
      <c r="B6305" s="90">
        <v>8.1196576498231181</v>
      </c>
    </row>
    <row r="6306" spans="1:2">
      <c r="A6306" s="32">
        <v>6293</v>
      </c>
      <c r="B6306" s="90">
        <v>8.6211670205992235</v>
      </c>
    </row>
    <row r="6307" spans="1:2">
      <c r="A6307" s="32">
        <v>6294</v>
      </c>
      <c r="B6307" s="90">
        <v>7.2358979988491479</v>
      </c>
    </row>
    <row r="6308" spans="1:2">
      <c r="A6308" s="32">
        <v>6295</v>
      </c>
      <c r="B6308" s="90">
        <v>7.5380542188499522</v>
      </c>
    </row>
    <row r="6309" spans="1:2">
      <c r="A6309" s="32">
        <v>6296</v>
      </c>
      <c r="B6309" s="90">
        <v>7.2382025138891084</v>
      </c>
    </row>
    <row r="6310" spans="1:2">
      <c r="A6310" s="32">
        <v>6297</v>
      </c>
      <c r="B6310" s="90">
        <v>8.4512006811885971</v>
      </c>
    </row>
    <row r="6311" spans="1:2">
      <c r="A6311" s="32">
        <v>6298</v>
      </c>
      <c r="B6311" s="90">
        <v>8.0743330110823575</v>
      </c>
    </row>
    <row r="6312" spans="1:2">
      <c r="A6312" s="32">
        <v>6299</v>
      </c>
      <c r="B6312" s="90">
        <v>8.1599677786910032</v>
      </c>
    </row>
    <row r="6313" spans="1:2">
      <c r="A6313" s="32">
        <v>6300</v>
      </c>
      <c r="B6313" s="90">
        <v>9.2390256279325236</v>
      </c>
    </row>
    <row r="6314" spans="1:2">
      <c r="A6314" s="32">
        <v>6301</v>
      </c>
      <c r="B6314" s="90">
        <v>7.027790526182943</v>
      </c>
    </row>
    <row r="6315" spans="1:2">
      <c r="A6315" s="32">
        <v>6302</v>
      </c>
      <c r="B6315" s="90">
        <v>7.7469844458553316</v>
      </c>
    </row>
    <row r="6316" spans="1:2">
      <c r="A6316" s="32">
        <v>6303</v>
      </c>
      <c r="B6316" s="90">
        <v>8.2908642085027981</v>
      </c>
    </row>
    <row r="6317" spans="1:2">
      <c r="A6317" s="32">
        <v>6304</v>
      </c>
      <c r="B6317" s="90">
        <v>8.6507920540128751</v>
      </c>
    </row>
    <row r="6318" spans="1:2">
      <c r="A6318" s="32">
        <v>6305</v>
      </c>
      <c r="B6318" s="90">
        <v>8.2919995277786942</v>
      </c>
    </row>
    <row r="6319" spans="1:2">
      <c r="A6319" s="32">
        <v>6306</v>
      </c>
      <c r="B6319" s="90">
        <v>7.1105322373192523</v>
      </c>
    </row>
    <row r="6320" spans="1:2">
      <c r="A6320" s="32">
        <v>6307</v>
      </c>
      <c r="B6320" s="90">
        <v>8.0639807310635661</v>
      </c>
    </row>
    <row r="6321" spans="1:2">
      <c r="A6321" s="32">
        <v>6308</v>
      </c>
      <c r="B6321" s="90">
        <v>9.0739221316798098</v>
      </c>
    </row>
    <row r="6322" spans="1:2">
      <c r="A6322" s="32">
        <v>6309</v>
      </c>
      <c r="B6322" s="90">
        <v>7.7747866104391461</v>
      </c>
    </row>
    <row r="6323" spans="1:2">
      <c r="A6323" s="32">
        <v>6310</v>
      </c>
      <c r="B6323" s="90">
        <v>8.3321203376252093</v>
      </c>
    </row>
    <row r="6324" spans="1:2">
      <c r="A6324" s="32">
        <v>6311</v>
      </c>
      <c r="B6324" s="90">
        <v>8.2435572803914869</v>
      </c>
    </row>
    <row r="6325" spans="1:2">
      <c r="A6325" s="32">
        <v>6312</v>
      </c>
      <c r="B6325" s="90">
        <v>7.6189547106040933</v>
      </c>
    </row>
    <row r="6326" spans="1:2">
      <c r="A6326" s="32">
        <v>6313</v>
      </c>
      <c r="B6326" s="90">
        <v>8.8734343467214121</v>
      </c>
    </row>
    <row r="6327" spans="1:2">
      <c r="A6327" s="32">
        <v>6314</v>
      </c>
      <c r="B6327" s="90">
        <v>8.7478141284135695</v>
      </c>
    </row>
    <row r="6328" spans="1:2">
      <c r="A6328" s="32">
        <v>6315</v>
      </c>
      <c r="B6328" s="90">
        <v>8.6569924482162062</v>
      </c>
    </row>
    <row r="6329" spans="1:2">
      <c r="A6329" s="32">
        <v>6316</v>
      </c>
      <c r="B6329" s="90">
        <v>9.3840988010559929</v>
      </c>
    </row>
    <row r="6330" spans="1:2">
      <c r="A6330" s="32">
        <v>6317</v>
      </c>
      <c r="B6330" s="90">
        <v>8.8803061014996452</v>
      </c>
    </row>
    <row r="6331" spans="1:2">
      <c r="A6331" s="32">
        <v>6318</v>
      </c>
      <c r="B6331" s="90">
        <v>8.195304356138303</v>
      </c>
    </row>
    <row r="6332" spans="1:2">
      <c r="A6332" s="32">
        <v>6319</v>
      </c>
      <c r="B6332" s="90">
        <v>7.4903458741891527</v>
      </c>
    </row>
    <row r="6333" spans="1:2">
      <c r="A6333" s="32">
        <v>6320</v>
      </c>
      <c r="B6333" s="90">
        <v>7.0120621174008191</v>
      </c>
    </row>
    <row r="6334" spans="1:2">
      <c r="A6334" s="32">
        <v>6321</v>
      </c>
      <c r="B6334" s="90">
        <v>8.4440988189381461</v>
      </c>
    </row>
    <row r="6335" spans="1:2">
      <c r="A6335" s="32">
        <v>6322</v>
      </c>
      <c r="B6335" s="90">
        <v>8.7291213883173349</v>
      </c>
    </row>
    <row r="6336" spans="1:2">
      <c r="A6336" s="32">
        <v>6323</v>
      </c>
      <c r="B6336" s="90">
        <v>7.5736255418881653</v>
      </c>
    </row>
    <row r="6337" spans="1:2">
      <c r="A6337" s="32">
        <v>6324</v>
      </c>
      <c r="B6337" s="90">
        <v>7.1557267633721775</v>
      </c>
    </row>
    <row r="6338" spans="1:2">
      <c r="A6338" s="32">
        <v>6325</v>
      </c>
      <c r="B6338" s="90">
        <v>7.9712901083312291</v>
      </c>
    </row>
    <row r="6339" spans="1:2">
      <c r="A6339" s="32">
        <v>6326</v>
      </c>
      <c r="B6339" s="90">
        <v>7.8947442296781114</v>
      </c>
    </row>
    <row r="6340" spans="1:2">
      <c r="A6340" s="32">
        <v>6327</v>
      </c>
      <c r="B6340" s="90">
        <v>7.1035888755073042</v>
      </c>
    </row>
    <row r="6341" spans="1:2">
      <c r="A6341" s="32">
        <v>6328</v>
      </c>
      <c r="B6341" s="90">
        <v>9.2123556084829215</v>
      </c>
    </row>
    <row r="6342" spans="1:2">
      <c r="A6342" s="32">
        <v>6329</v>
      </c>
      <c r="B6342" s="90">
        <v>8.08830871382529</v>
      </c>
    </row>
    <row r="6343" spans="1:2">
      <c r="A6343" s="32">
        <v>6330</v>
      </c>
      <c r="B6343" s="90">
        <v>8.1524503126724746</v>
      </c>
    </row>
    <row r="6344" spans="1:2">
      <c r="A6344" s="32">
        <v>6331</v>
      </c>
      <c r="B6344" s="90">
        <v>8.078899557756861</v>
      </c>
    </row>
    <row r="6345" spans="1:2">
      <c r="A6345" s="32">
        <v>6332</v>
      </c>
      <c r="B6345" s="90">
        <v>6.8018974338584934</v>
      </c>
    </row>
    <row r="6346" spans="1:2">
      <c r="A6346" s="32">
        <v>6333</v>
      </c>
      <c r="B6346" s="90">
        <v>8.2835554681204417</v>
      </c>
    </row>
    <row r="6347" spans="1:2">
      <c r="A6347" s="32">
        <v>6334</v>
      </c>
      <c r="B6347" s="90">
        <v>8.2113699032797811</v>
      </c>
    </row>
    <row r="6348" spans="1:2">
      <c r="A6348" s="32">
        <v>6335</v>
      </c>
      <c r="B6348" s="90">
        <v>9.3942421970868306</v>
      </c>
    </row>
    <row r="6349" spans="1:2">
      <c r="A6349" s="32">
        <v>6336</v>
      </c>
      <c r="B6349" s="90">
        <v>7.1746608517764789</v>
      </c>
    </row>
    <row r="6350" spans="1:2">
      <c r="A6350" s="32">
        <v>6337</v>
      </c>
      <c r="B6350" s="90">
        <v>7.9043853626230884</v>
      </c>
    </row>
    <row r="6351" spans="1:2">
      <c r="A6351" s="32">
        <v>6338</v>
      </c>
      <c r="B6351" s="90">
        <v>7.7331424981072878</v>
      </c>
    </row>
    <row r="6352" spans="1:2">
      <c r="A6352" s="32">
        <v>6339</v>
      </c>
      <c r="B6352" s="90">
        <v>6.9605576198247974</v>
      </c>
    </row>
    <row r="6353" spans="1:2">
      <c r="A6353" s="32">
        <v>6340</v>
      </c>
      <c r="B6353" s="90">
        <v>8.1517575202906301</v>
      </c>
    </row>
    <row r="6354" spans="1:2">
      <c r="A6354" s="32">
        <v>6341</v>
      </c>
      <c r="B6354" s="90">
        <v>9.0551200717111406</v>
      </c>
    </row>
    <row r="6355" spans="1:2">
      <c r="A6355" s="32">
        <v>6342</v>
      </c>
      <c r="B6355" s="90">
        <v>7.0454717326057326</v>
      </c>
    </row>
    <row r="6356" spans="1:2">
      <c r="A6356" s="32">
        <v>6343</v>
      </c>
      <c r="B6356" s="90">
        <v>8.1534746797737796</v>
      </c>
    </row>
    <row r="6357" spans="1:2">
      <c r="A6357" s="32">
        <v>6344</v>
      </c>
      <c r="B6357" s="90">
        <v>7.0810493859194734</v>
      </c>
    </row>
    <row r="6358" spans="1:2">
      <c r="A6358" s="32">
        <v>6345</v>
      </c>
      <c r="B6358" s="90">
        <v>8.6188891906511618</v>
      </c>
    </row>
    <row r="6359" spans="1:2">
      <c r="A6359" s="32">
        <v>6346</v>
      </c>
      <c r="B6359" s="90">
        <v>8.8253083739970126</v>
      </c>
    </row>
    <row r="6360" spans="1:2">
      <c r="A6360" s="32">
        <v>6347</v>
      </c>
      <c r="B6360" s="90">
        <v>8.1235933319959432</v>
      </c>
    </row>
    <row r="6361" spans="1:2">
      <c r="A6361" s="32">
        <v>6348</v>
      </c>
      <c r="B6361" s="90">
        <v>7.5735738532748016</v>
      </c>
    </row>
    <row r="6362" spans="1:2">
      <c r="A6362" s="32">
        <v>6349</v>
      </c>
      <c r="B6362" s="90">
        <v>8.6868850155078476</v>
      </c>
    </row>
    <row r="6363" spans="1:2">
      <c r="A6363" s="32">
        <v>6350</v>
      </c>
      <c r="B6363" s="90">
        <v>9.6635043669772092</v>
      </c>
    </row>
    <row r="6364" spans="1:2">
      <c r="A6364" s="32">
        <v>6351</v>
      </c>
      <c r="B6364" s="90">
        <v>8.0915815196033787</v>
      </c>
    </row>
    <row r="6365" spans="1:2">
      <c r="A6365" s="32">
        <v>6352</v>
      </c>
      <c r="B6365" s="90">
        <v>7.41503941863742</v>
      </c>
    </row>
    <row r="6366" spans="1:2">
      <c r="A6366" s="32">
        <v>6353</v>
      </c>
      <c r="B6366" s="90">
        <v>8.0288189524328182</v>
      </c>
    </row>
    <row r="6367" spans="1:2">
      <c r="A6367" s="32">
        <v>6354</v>
      </c>
      <c r="B6367" s="90">
        <v>7.4160612427830204</v>
      </c>
    </row>
    <row r="6368" spans="1:2">
      <c r="A6368" s="32">
        <v>6355</v>
      </c>
      <c r="B6368" s="90">
        <v>8.1514616743614283</v>
      </c>
    </row>
    <row r="6369" spans="1:2">
      <c r="A6369" s="32">
        <v>6356</v>
      </c>
      <c r="B6369" s="90">
        <v>8.9256523787520585</v>
      </c>
    </row>
    <row r="6370" spans="1:2">
      <c r="A6370" s="32">
        <v>6357</v>
      </c>
      <c r="B6370" s="90">
        <v>8.1155635737490126</v>
      </c>
    </row>
    <row r="6371" spans="1:2">
      <c r="A6371" s="32">
        <v>6358</v>
      </c>
      <c r="B6371" s="90">
        <v>8.3643009384947948</v>
      </c>
    </row>
    <row r="6372" spans="1:2">
      <c r="A6372" s="32">
        <v>6359</v>
      </c>
      <c r="B6372" s="90">
        <v>7.5280634104903594</v>
      </c>
    </row>
    <row r="6373" spans="1:2">
      <c r="A6373" s="32">
        <v>6360</v>
      </c>
      <c r="B6373" s="90">
        <v>7.5740306321351527</v>
      </c>
    </row>
    <row r="6374" spans="1:2">
      <c r="A6374" s="32">
        <v>6361</v>
      </c>
      <c r="B6374" s="90">
        <v>7.457790673963304</v>
      </c>
    </row>
    <row r="6375" spans="1:2">
      <c r="A6375" s="32">
        <v>6362</v>
      </c>
      <c r="B6375" s="90">
        <v>8.2454962143729862</v>
      </c>
    </row>
    <row r="6376" spans="1:2">
      <c r="A6376" s="32">
        <v>6363</v>
      </c>
      <c r="B6376" s="90">
        <v>8.1713472363492858</v>
      </c>
    </row>
    <row r="6377" spans="1:2">
      <c r="A6377" s="32">
        <v>6364</v>
      </c>
      <c r="B6377" s="90">
        <v>7.6353854147038911</v>
      </c>
    </row>
    <row r="6378" spans="1:2">
      <c r="A6378" s="32">
        <v>6365</v>
      </c>
      <c r="B6378" s="90">
        <v>7.4138526352751581</v>
      </c>
    </row>
    <row r="6379" spans="1:2">
      <c r="A6379" s="32">
        <v>6366</v>
      </c>
      <c r="B6379" s="90">
        <v>7.7945251796107025</v>
      </c>
    </row>
    <row r="6380" spans="1:2">
      <c r="A6380" s="32">
        <v>6367</v>
      </c>
      <c r="B6380" s="90">
        <v>8.1149354168933776</v>
      </c>
    </row>
    <row r="6381" spans="1:2">
      <c r="A6381" s="32">
        <v>6368</v>
      </c>
      <c r="B6381" s="90">
        <v>8.42553594465668</v>
      </c>
    </row>
    <row r="6382" spans="1:2">
      <c r="A6382" s="32">
        <v>6369</v>
      </c>
      <c r="B6382" s="90">
        <v>7.4882253997532571</v>
      </c>
    </row>
    <row r="6383" spans="1:2">
      <c r="A6383" s="32">
        <v>6370</v>
      </c>
      <c r="B6383" s="90">
        <v>6.9445312923600886</v>
      </c>
    </row>
    <row r="6384" spans="1:2">
      <c r="A6384" s="32">
        <v>6371</v>
      </c>
      <c r="B6384" s="90">
        <v>7.8131369692675561</v>
      </c>
    </row>
    <row r="6385" spans="1:2">
      <c r="A6385" s="32">
        <v>6372</v>
      </c>
      <c r="B6385" s="90">
        <v>9.3445951467814066</v>
      </c>
    </row>
    <row r="6386" spans="1:2">
      <c r="A6386" s="32">
        <v>6373</v>
      </c>
      <c r="B6386" s="90">
        <v>7.9146009252499336</v>
      </c>
    </row>
    <row r="6387" spans="1:2">
      <c r="A6387" s="32">
        <v>6374</v>
      </c>
      <c r="B6387" s="90">
        <v>7.3612659822263593</v>
      </c>
    </row>
    <row r="6388" spans="1:2">
      <c r="A6388" s="32">
        <v>6375</v>
      </c>
      <c r="B6388" s="90">
        <v>7.8230861384708108</v>
      </c>
    </row>
    <row r="6389" spans="1:2">
      <c r="A6389" s="32">
        <v>6376</v>
      </c>
      <c r="B6389" s="90">
        <v>8.1785751021671249</v>
      </c>
    </row>
    <row r="6390" spans="1:2">
      <c r="A6390" s="32">
        <v>6377</v>
      </c>
      <c r="B6390" s="90">
        <v>6.7881795110300951</v>
      </c>
    </row>
    <row r="6391" spans="1:2">
      <c r="A6391" s="32">
        <v>6378</v>
      </c>
      <c r="B6391" s="90">
        <v>8.5882796195754683</v>
      </c>
    </row>
    <row r="6392" spans="1:2">
      <c r="A6392" s="32">
        <v>6379</v>
      </c>
      <c r="B6392" s="90">
        <v>7.4481967526155</v>
      </c>
    </row>
    <row r="6393" spans="1:2">
      <c r="A6393" s="32">
        <v>6380</v>
      </c>
      <c r="B6393" s="90">
        <v>8.949178471535042</v>
      </c>
    </row>
    <row r="6394" spans="1:2">
      <c r="A6394" s="32">
        <v>6381</v>
      </c>
      <c r="B6394" s="90">
        <v>9.1139728486526845</v>
      </c>
    </row>
    <row r="6395" spans="1:2">
      <c r="A6395" s="32">
        <v>6382</v>
      </c>
      <c r="B6395" s="90">
        <v>9.218421996664155</v>
      </c>
    </row>
    <row r="6396" spans="1:2">
      <c r="A6396" s="32">
        <v>6383</v>
      </c>
      <c r="B6396" s="90">
        <v>8.3479134746078625</v>
      </c>
    </row>
    <row r="6397" spans="1:2">
      <c r="A6397" s="32">
        <v>6384</v>
      </c>
      <c r="B6397" s="90">
        <v>8.0813985534754806</v>
      </c>
    </row>
    <row r="6398" spans="1:2">
      <c r="A6398" s="32">
        <v>6385</v>
      </c>
      <c r="B6398" s="90">
        <v>8.176334741678648</v>
      </c>
    </row>
    <row r="6399" spans="1:2">
      <c r="A6399" s="32">
        <v>6386</v>
      </c>
      <c r="B6399" s="90">
        <v>8.1766183285591172</v>
      </c>
    </row>
    <row r="6400" spans="1:2">
      <c r="A6400" s="32">
        <v>6387</v>
      </c>
      <c r="B6400" s="90">
        <v>7.68613252955869</v>
      </c>
    </row>
    <row r="6401" spans="1:2">
      <c r="A6401" s="32">
        <v>6388</v>
      </c>
      <c r="B6401" s="90">
        <v>7.736314375582884</v>
      </c>
    </row>
    <row r="6402" spans="1:2">
      <c r="A6402" s="32">
        <v>6389</v>
      </c>
      <c r="B6402" s="90">
        <v>10.916767523759644</v>
      </c>
    </row>
    <row r="6403" spans="1:2">
      <c r="A6403" s="32">
        <v>6390</v>
      </c>
      <c r="B6403" s="90">
        <v>7.9271782715187502</v>
      </c>
    </row>
    <row r="6404" spans="1:2">
      <c r="A6404" s="32">
        <v>6391</v>
      </c>
      <c r="B6404" s="90">
        <v>7.8509157608693734</v>
      </c>
    </row>
    <row r="6405" spans="1:2">
      <c r="A6405" s="32">
        <v>6392</v>
      </c>
      <c r="B6405" s="90">
        <v>9.3455526408662539</v>
      </c>
    </row>
    <row r="6406" spans="1:2">
      <c r="A6406" s="32">
        <v>6393</v>
      </c>
      <c r="B6406" s="90">
        <v>8.4964903719998457</v>
      </c>
    </row>
    <row r="6407" spans="1:2">
      <c r="A6407" s="32">
        <v>6394</v>
      </c>
      <c r="B6407" s="90">
        <v>8.4311252465750393</v>
      </c>
    </row>
    <row r="6408" spans="1:2">
      <c r="A6408" s="32">
        <v>6395</v>
      </c>
      <c r="B6408" s="90">
        <v>8.4882590811867225</v>
      </c>
    </row>
    <row r="6409" spans="1:2">
      <c r="A6409" s="32">
        <v>6396</v>
      </c>
      <c r="B6409" s="90">
        <v>7.8836922554239361</v>
      </c>
    </row>
    <row r="6410" spans="1:2">
      <c r="A6410" s="32">
        <v>6397</v>
      </c>
      <c r="B6410" s="90">
        <v>7.1884601249071904</v>
      </c>
    </row>
    <row r="6411" spans="1:2">
      <c r="A6411" s="32">
        <v>6398</v>
      </c>
      <c r="B6411" s="90">
        <v>7.5091558239014562</v>
      </c>
    </row>
    <row r="6412" spans="1:2">
      <c r="A6412" s="32">
        <v>6399</v>
      </c>
      <c r="B6412" s="90">
        <v>9.1922506465706988</v>
      </c>
    </row>
    <row r="6413" spans="1:2">
      <c r="A6413" s="32">
        <v>6400</v>
      </c>
      <c r="B6413" s="90">
        <v>8.1163419952714655</v>
      </c>
    </row>
    <row r="6414" spans="1:2">
      <c r="A6414" s="32">
        <v>6401</v>
      </c>
      <c r="B6414" s="90">
        <v>7.2804625460689296</v>
      </c>
    </row>
    <row r="6415" spans="1:2">
      <c r="A6415" s="32">
        <v>6402</v>
      </c>
      <c r="B6415" s="90">
        <v>7.9646049128349965</v>
      </c>
    </row>
    <row r="6416" spans="1:2">
      <c r="A6416" s="32">
        <v>6403</v>
      </c>
      <c r="B6416" s="90">
        <v>7.740316696452739</v>
      </c>
    </row>
    <row r="6417" spans="1:2">
      <c r="A6417" s="32">
        <v>6404</v>
      </c>
      <c r="B6417" s="90">
        <v>7.7068235020870066</v>
      </c>
    </row>
    <row r="6418" spans="1:2">
      <c r="A6418" s="32">
        <v>6405</v>
      </c>
      <c r="B6418" s="90">
        <v>8.5872213888273272</v>
      </c>
    </row>
    <row r="6419" spans="1:2">
      <c r="A6419" s="32">
        <v>6406</v>
      </c>
      <c r="B6419" s="90">
        <v>8.0163019404737472</v>
      </c>
    </row>
    <row r="6420" spans="1:2">
      <c r="A6420" s="32">
        <v>6407</v>
      </c>
      <c r="B6420" s="90">
        <v>8.615693806111933</v>
      </c>
    </row>
    <row r="6421" spans="1:2">
      <c r="A6421" s="32">
        <v>6408</v>
      </c>
      <c r="B6421" s="90">
        <v>9.2056667409325605</v>
      </c>
    </row>
    <row r="6422" spans="1:2">
      <c r="A6422" s="32">
        <v>6409</v>
      </c>
      <c r="B6422" s="90">
        <v>9.0230517037396414</v>
      </c>
    </row>
    <row r="6423" spans="1:2">
      <c r="A6423" s="32">
        <v>6410</v>
      </c>
      <c r="B6423" s="90">
        <v>6.7218519383306896</v>
      </c>
    </row>
    <row r="6424" spans="1:2">
      <c r="A6424" s="32">
        <v>6411</v>
      </c>
      <c r="B6424" s="90">
        <v>8.2465098717507175</v>
      </c>
    </row>
    <row r="6425" spans="1:2">
      <c r="A6425" s="32">
        <v>6412</v>
      </c>
      <c r="B6425" s="90">
        <v>7.432173500729971</v>
      </c>
    </row>
    <row r="6426" spans="1:2">
      <c r="A6426" s="32">
        <v>6413</v>
      </c>
      <c r="B6426" s="90">
        <v>8.8634518269475375</v>
      </c>
    </row>
    <row r="6427" spans="1:2">
      <c r="A6427" s="32">
        <v>6414</v>
      </c>
      <c r="B6427" s="90">
        <v>8.0683201468512618</v>
      </c>
    </row>
    <row r="6428" spans="1:2">
      <c r="A6428" s="32">
        <v>6415</v>
      </c>
      <c r="B6428" s="90">
        <v>8.4867292146648978</v>
      </c>
    </row>
    <row r="6429" spans="1:2">
      <c r="A6429" s="32">
        <v>6416</v>
      </c>
      <c r="B6429" s="90">
        <v>8.4731145131812209</v>
      </c>
    </row>
    <row r="6430" spans="1:2">
      <c r="A6430" s="32">
        <v>6417</v>
      </c>
      <c r="B6430" s="90">
        <v>9.0012481897287682</v>
      </c>
    </row>
    <row r="6431" spans="1:2">
      <c r="A6431" s="32">
        <v>6418</v>
      </c>
      <c r="B6431" s="90">
        <v>7.6457993133252149</v>
      </c>
    </row>
    <row r="6432" spans="1:2">
      <c r="A6432" s="32">
        <v>6419</v>
      </c>
      <c r="B6432" s="90">
        <v>7.4373560711555458</v>
      </c>
    </row>
    <row r="6433" spans="1:2">
      <c r="A6433" s="32">
        <v>6420</v>
      </c>
      <c r="B6433" s="90">
        <v>8.2031678952191669</v>
      </c>
    </row>
    <row r="6434" spans="1:2">
      <c r="A6434" s="32">
        <v>6421</v>
      </c>
      <c r="B6434" s="90">
        <v>9.2797665033132475</v>
      </c>
    </row>
    <row r="6435" spans="1:2">
      <c r="A6435" s="32">
        <v>6422</v>
      </c>
      <c r="B6435" s="90">
        <v>7.8836999248591786</v>
      </c>
    </row>
    <row r="6436" spans="1:2">
      <c r="A6436" s="32">
        <v>6423</v>
      </c>
      <c r="B6436" s="90">
        <v>8.1934192074237817</v>
      </c>
    </row>
    <row r="6437" spans="1:2">
      <c r="A6437" s="32">
        <v>6424</v>
      </c>
      <c r="B6437" s="90">
        <v>7.6185956168551581</v>
      </c>
    </row>
    <row r="6438" spans="1:2">
      <c r="A6438" s="32">
        <v>6425</v>
      </c>
      <c r="B6438" s="90">
        <v>8.7023818834252733</v>
      </c>
    </row>
    <row r="6439" spans="1:2">
      <c r="A6439" s="32">
        <v>6426</v>
      </c>
      <c r="B6439" s="90">
        <v>9.1520428110483518</v>
      </c>
    </row>
    <row r="6440" spans="1:2">
      <c r="A6440" s="32">
        <v>6427</v>
      </c>
      <c r="B6440" s="90">
        <v>7.3068184102343592</v>
      </c>
    </row>
    <row r="6441" spans="1:2">
      <c r="A6441" s="32">
        <v>6428</v>
      </c>
      <c r="B6441" s="90">
        <v>8.6042633613802622</v>
      </c>
    </row>
    <row r="6442" spans="1:2">
      <c r="A6442" s="32">
        <v>6429</v>
      </c>
      <c r="B6442" s="90">
        <v>8.102766829376904</v>
      </c>
    </row>
    <row r="6443" spans="1:2">
      <c r="A6443" s="32">
        <v>6430</v>
      </c>
      <c r="B6443" s="90">
        <v>7.8942963872648688</v>
      </c>
    </row>
    <row r="6444" spans="1:2">
      <c r="A6444" s="32">
        <v>6431</v>
      </c>
      <c r="B6444" s="90">
        <v>7.2346717775922009</v>
      </c>
    </row>
    <row r="6445" spans="1:2">
      <c r="A6445" s="32">
        <v>6432</v>
      </c>
      <c r="B6445" s="90">
        <v>9.1358886252377438</v>
      </c>
    </row>
    <row r="6446" spans="1:2">
      <c r="A6446" s="32">
        <v>6433</v>
      </c>
      <c r="B6446" s="90">
        <v>7.4434758189287269</v>
      </c>
    </row>
    <row r="6447" spans="1:2">
      <c r="A6447" s="32">
        <v>6434</v>
      </c>
      <c r="B6447" s="90">
        <v>8.7270991736865504</v>
      </c>
    </row>
    <row r="6448" spans="1:2">
      <c r="A6448" s="32">
        <v>6435</v>
      </c>
      <c r="B6448" s="90">
        <v>8.196788503578782</v>
      </c>
    </row>
    <row r="6449" spans="1:2">
      <c r="A6449" s="32">
        <v>6436</v>
      </c>
      <c r="B6449" s="90">
        <v>8.4818471091762202</v>
      </c>
    </row>
    <row r="6450" spans="1:2">
      <c r="A6450" s="32">
        <v>6437</v>
      </c>
      <c r="B6450" s="90">
        <v>7.9895239767658124</v>
      </c>
    </row>
    <row r="6451" spans="1:2">
      <c r="A6451" s="32">
        <v>6438</v>
      </c>
      <c r="B6451" s="90">
        <v>7.4119022724881463</v>
      </c>
    </row>
    <row r="6452" spans="1:2">
      <c r="A6452" s="32">
        <v>6439</v>
      </c>
      <c r="B6452" s="90">
        <v>7.3422311505177911</v>
      </c>
    </row>
    <row r="6453" spans="1:2">
      <c r="A6453" s="32">
        <v>6440</v>
      </c>
      <c r="B6453" s="90">
        <v>7.553789622898341</v>
      </c>
    </row>
    <row r="6454" spans="1:2">
      <c r="A6454" s="32">
        <v>6441</v>
      </c>
      <c r="B6454" s="90">
        <v>7.913767562582402</v>
      </c>
    </row>
    <row r="6455" spans="1:2">
      <c r="A6455" s="32">
        <v>6442</v>
      </c>
      <c r="B6455" s="90">
        <v>8.1500747822258841</v>
      </c>
    </row>
    <row r="6456" spans="1:2">
      <c r="A6456" s="32">
        <v>6443</v>
      </c>
      <c r="B6456" s="90">
        <v>8.7023883583511292</v>
      </c>
    </row>
    <row r="6457" spans="1:2">
      <c r="A6457" s="32">
        <v>6444</v>
      </c>
      <c r="B6457" s="90">
        <v>8.2510325999926142</v>
      </c>
    </row>
    <row r="6458" spans="1:2">
      <c r="A6458" s="32">
        <v>6445</v>
      </c>
      <c r="B6458" s="90">
        <v>8.5428741809478606</v>
      </c>
    </row>
    <row r="6459" spans="1:2">
      <c r="A6459" s="32">
        <v>6446</v>
      </c>
      <c r="B6459" s="90">
        <v>7.7158983614445784</v>
      </c>
    </row>
    <row r="6460" spans="1:2">
      <c r="A6460" s="32">
        <v>6447</v>
      </c>
      <c r="B6460" s="90">
        <v>7.9093300239651976</v>
      </c>
    </row>
    <row r="6461" spans="1:2">
      <c r="A6461" s="32">
        <v>6448</v>
      </c>
      <c r="B6461" s="90">
        <v>6.5743288110754294</v>
      </c>
    </row>
    <row r="6462" spans="1:2">
      <c r="A6462" s="32">
        <v>6449</v>
      </c>
      <c r="B6462" s="90">
        <v>8.7179762054907481</v>
      </c>
    </row>
    <row r="6463" spans="1:2">
      <c r="A6463" s="32">
        <v>6450</v>
      </c>
      <c r="B6463" s="90">
        <v>7.8201289087017321</v>
      </c>
    </row>
    <row r="6464" spans="1:2">
      <c r="A6464" s="32">
        <v>6451</v>
      </c>
      <c r="B6464" s="90">
        <v>6.853755588946802</v>
      </c>
    </row>
    <row r="6465" spans="1:2">
      <c r="A6465" s="32">
        <v>6452</v>
      </c>
      <c r="B6465" s="90">
        <v>8.0877040405370018</v>
      </c>
    </row>
    <row r="6466" spans="1:2">
      <c r="A6466" s="32">
        <v>6453</v>
      </c>
      <c r="B6466" s="90">
        <v>7.9833777153232015</v>
      </c>
    </row>
    <row r="6467" spans="1:2">
      <c r="A6467" s="32">
        <v>6454</v>
      </c>
      <c r="B6467" s="90">
        <v>8.5957042843943814</v>
      </c>
    </row>
    <row r="6468" spans="1:2">
      <c r="A6468" s="32">
        <v>6455</v>
      </c>
      <c r="B6468" s="90">
        <v>8.5897237950569902</v>
      </c>
    </row>
    <row r="6469" spans="1:2">
      <c r="A6469" s="32">
        <v>6456</v>
      </c>
      <c r="B6469" s="90">
        <v>9.1387532804984186</v>
      </c>
    </row>
    <row r="6470" spans="1:2">
      <c r="A6470" s="32">
        <v>6457</v>
      </c>
      <c r="B6470" s="90">
        <v>8.6774073655021216</v>
      </c>
    </row>
    <row r="6471" spans="1:2">
      <c r="A6471" s="32">
        <v>6458</v>
      </c>
      <c r="B6471" s="90">
        <v>8.3404524493811625</v>
      </c>
    </row>
    <row r="6472" spans="1:2">
      <c r="A6472" s="32">
        <v>6459</v>
      </c>
      <c r="B6472" s="90">
        <v>8.5078567402241347</v>
      </c>
    </row>
    <row r="6473" spans="1:2">
      <c r="A6473" s="32">
        <v>6460</v>
      </c>
      <c r="B6473" s="90">
        <v>8.3429603213601045</v>
      </c>
    </row>
    <row r="6474" spans="1:2">
      <c r="A6474" s="32">
        <v>6461</v>
      </c>
      <c r="B6474" s="90">
        <v>9.0039551707454599</v>
      </c>
    </row>
    <row r="6475" spans="1:2">
      <c r="A6475" s="32">
        <v>6462</v>
      </c>
      <c r="B6475" s="90">
        <v>8.661046266081863</v>
      </c>
    </row>
    <row r="6476" spans="1:2">
      <c r="A6476" s="32">
        <v>6463</v>
      </c>
      <c r="B6476" s="90">
        <v>8.3291358974126819</v>
      </c>
    </row>
    <row r="6477" spans="1:2">
      <c r="A6477" s="32">
        <v>6464</v>
      </c>
      <c r="B6477" s="90">
        <v>8.240257187163305</v>
      </c>
    </row>
    <row r="6478" spans="1:2">
      <c r="A6478" s="32">
        <v>6465</v>
      </c>
      <c r="B6478" s="90">
        <v>8.2069560911008068</v>
      </c>
    </row>
    <row r="6479" spans="1:2">
      <c r="A6479" s="32">
        <v>6466</v>
      </c>
      <c r="B6479" s="90">
        <v>8.1531715530208366</v>
      </c>
    </row>
    <row r="6480" spans="1:2">
      <c r="A6480" s="32">
        <v>6467</v>
      </c>
      <c r="B6480" s="90">
        <v>8.4385814857763979</v>
      </c>
    </row>
    <row r="6481" spans="1:2">
      <c r="A6481" s="32">
        <v>6468</v>
      </c>
      <c r="B6481" s="90">
        <v>8.5297274799474287</v>
      </c>
    </row>
    <row r="6482" spans="1:2">
      <c r="A6482" s="32">
        <v>6469</v>
      </c>
      <c r="B6482" s="90">
        <v>7.9893040019884847</v>
      </c>
    </row>
    <row r="6483" spans="1:2">
      <c r="A6483" s="32">
        <v>6470</v>
      </c>
      <c r="B6483" s="90">
        <v>7.997947569030277</v>
      </c>
    </row>
    <row r="6484" spans="1:2">
      <c r="A6484" s="32">
        <v>6471</v>
      </c>
      <c r="B6484" s="90">
        <v>8.7316803460572014</v>
      </c>
    </row>
    <row r="6485" spans="1:2">
      <c r="A6485" s="32">
        <v>6472</v>
      </c>
      <c r="B6485" s="90">
        <v>8.2679011711862778</v>
      </c>
    </row>
    <row r="6486" spans="1:2">
      <c r="A6486" s="32">
        <v>6473</v>
      </c>
      <c r="B6486" s="90">
        <v>8.3907701773557388</v>
      </c>
    </row>
    <row r="6487" spans="1:2">
      <c r="A6487" s="32">
        <v>6474</v>
      </c>
      <c r="B6487" s="90">
        <v>9.585243970466987</v>
      </c>
    </row>
    <row r="6488" spans="1:2">
      <c r="A6488" s="32">
        <v>6475</v>
      </c>
      <c r="B6488" s="90">
        <v>7.4770564380316511</v>
      </c>
    </row>
    <row r="6489" spans="1:2">
      <c r="A6489" s="32">
        <v>6476</v>
      </c>
      <c r="B6489" s="90">
        <v>8.1723817702025432</v>
      </c>
    </row>
    <row r="6490" spans="1:2">
      <c r="A6490" s="32">
        <v>6477</v>
      </c>
      <c r="B6490" s="90">
        <v>7.5790906363930937</v>
      </c>
    </row>
    <row r="6491" spans="1:2">
      <c r="A6491" s="32">
        <v>6478</v>
      </c>
      <c r="B6491" s="90">
        <v>7.6174822075133255</v>
      </c>
    </row>
    <row r="6492" spans="1:2">
      <c r="A6492" s="32">
        <v>6479</v>
      </c>
      <c r="B6492" s="90">
        <v>8.0522731877138707</v>
      </c>
    </row>
    <row r="6493" spans="1:2">
      <c r="A6493" s="32">
        <v>6480</v>
      </c>
      <c r="B6493" s="90">
        <v>8.6032659244992953</v>
      </c>
    </row>
    <row r="6494" spans="1:2">
      <c r="A6494" s="32">
        <v>6481</v>
      </c>
      <c r="B6494" s="90">
        <v>7.7598124118626766</v>
      </c>
    </row>
    <row r="6495" spans="1:2">
      <c r="A6495" s="32">
        <v>6482</v>
      </c>
      <c r="B6495" s="90">
        <v>9.6611329627211617</v>
      </c>
    </row>
    <row r="6496" spans="1:2">
      <c r="A6496" s="32">
        <v>6483</v>
      </c>
      <c r="B6496" s="90">
        <v>8.1630602848131701</v>
      </c>
    </row>
    <row r="6497" spans="1:2">
      <c r="A6497" s="32">
        <v>6484</v>
      </c>
      <c r="B6497" s="90">
        <v>7.8435442496624708</v>
      </c>
    </row>
    <row r="6498" spans="1:2">
      <c r="A6498" s="32">
        <v>6485</v>
      </c>
      <c r="B6498" s="90">
        <v>7.9303416847338735</v>
      </c>
    </row>
    <row r="6499" spans="1:2">
      <c r="A6499" s="32">
        <v>6486</v>
      </c>
      <c r="B6499" s="90">
        <v>8.3854837793143666</v>
      </c>
    </row>
    <row r="6500" spans="1:2">
      <c r="A6500" s="32">
        <v>6487</v>
      </c>
      <c r="B6500" s="90">
        <v>9.049612260586601</v>
      </c>
    </row>
    <row r="6501" spans="1:2">
      <c r="A6501" s="32">
        <v>6488</v>
      </c>
      <c r="B6501" s="90">
        <v>7.6016713414248294</v>
      </c>
    </row>
    <row r="6502" spans="1:2">
      <c r="A6502" s="32">
        <v>6489</v>
      </c>
      <c r="B6502" s="90">
        <v>8.3066129074623714</v>
      </c>
    </row>
    <row r="6503" spans="1:2">
      <c r="A6503" s="32">
        <v>6490</v>
      </c>
      <c r="B6503" s="90">
        <v>8.4030701028952777</v>
      </c>
    </row>
    <row r="6504" spans="1:2">
      <c r="A6504" s="32">
        <v>6491</v>
      </c>
      <c r="B6504" s="90">
        <v>8.8177085308041949</v>
      </c>
    </row>
    <row r="6505" spans="1:2">
      <c r="A6505" s="32">
        <v>6492</v>
      </c>
      <c r="B6505" s="90">
        <v>8.223923265348791</v>
      </c>
    </row>
    <row r="6506" spans="1:2">
      <c r="A6506" s="32">
        <v>6493</v>
      </c>
      <c r="B6506" s="90">
        <v>7.5443272782308526</v>
      </c>
    </row>
    <row r="6507" spans="1:2">
      <c r="A6507" s="32">
        <v>6494</v>
      </c>
      <c r="B6507" s="90">
        <v>8.520527102942383</v>
      </c>
    </row>
    <row r="6508" spans="1:2">
      <c r="A6508" s="32">
        <v>6495</v>
      </c>
      <c r="B6508" s="90">
        <v>7.9001093888195815</v>
      </c>
    </row>
    <row r="6509" spans="1:2">
      <c r="A6509" s="32">
        <v>6496</v>
      </c>
      <c r="B6509" s="90">
        <v>8.3413769565135087</v>
      </c>
    </row>
    <row r="6510" spans="1:2">
      <c r="A6510" s="32">
        <v>6497</v>
      </c>
      <c r="B6510" s="90">
        <v>7.3583754938279151</v>
      </c>
    </row>
    <row r="6511" spans="1:2">
      <c r="A6511" s="32">
        <v>6498</v>
      </c>
      <c r="B6511" s="90">
        <v>8.8989030758914289</v>
      </c>
    </row>
    <row r="6512" spans="1:2">
      <c r="A6512" s="32">
        <v>6499</v>
      </c>
      <c r="B6512" s="90">
        <v>7.3950937369226839</v>
      </c>
    </row>
    <row r="6513" spans="1:2">
      <c r="A6513" s="32">
        <v>6500</v>
      </c>
      <c r="B6513" s="90">
        <v>7.6489890552681228</v>
      </c>
    </row>
    <row r="6514" spans="1:2">
      <c r="A6514" s="32">
        <v>6501</v>
      </c>
      <c r="B6514" s="90">
        <v>8.4190489491902305</v>
      </c>
    </row>
    <row r="6515" spans="1:2">
      <c r="A6515" s="32">
        <v>6502</v>
      </c>
      <c r="B6515" s="90">
        <v>8.0050281100234582</v>
      </c>
    </row>
    <row r="6516" spans="1:2">
      <c r="A6516" s="32">
        <v>6503</v>
      </c>
      <c r="B6516" s="90">
        <v>7.1542924752562547</v>
      </c>
    </row>
    <row r="6517" spans="1:2">
      <c r="A6517" s="32">
        <v>6504</v>
      </c>
      <c r="B6517" s="90">
        <v>7.3875664918310457</v>
      </c>
    </row>
    <row r="6518" spans="1:2">
      <c r="A6518" s="32">
        <v>6505</v>
      </c>
      <c r="B6518" s="90">
        <v>8.4974528147053974</v>
      </c>
    </row>
    <row r="6519" spans="1:2">
      <c r="A6519" s="32">
        <v>6506</v>
      </c>
      <c r="B6519" s="90">
        <v>9.1930206025045287</v>
      </c>
    </row>
    <row r="6520" spans="1:2">
      <c r="A6520" s="32">
        <v>6507</v>
      </c>
      <c r="B6520" s="90">
        <v>6.8731128224866032</v>
      </c>
    </row>
    <row r="6521" spans="1:2">
      <c r="A6521" s="32">
        <v>6508</v>
      </c>
      <c r="B6521" s="90">
        <v>8.3749870572372842</v>
      </c>
    </row>
    <row r="6522" spans="1:2">
      <c r="A6522" s="32">
        <v>6509</v>
      </c>
      <c r="B6522" s="90">
        <v>8.1728050264358139</v>
      </c>
    </row>
    <row r="6523" spans="1:2">
      <c r="A6523" s="32">
        <v>6510</v>
      </c>
      <c r="B6523" s="90">
        <v>8.0417295397654325</v>
      </c>
    </row>
    <row r="6524" spans="1:2">
      <c r="A6524" s="32">
        <v>6511</v>
      </c>
      <c r="B6524" s="90">
        <v>6.4437940547528028</v>
      </c>
    </row>
    <row r="6525" spans="1:2">
      <c r="A6525" s="32">
        <v>6512</v>
      </c>
      <c r="B6525" s="90">
        <v>7.7696378339657395</v>
      </c>
    </row>
    <row r="6526" spans="1:2">
      <c r="A6526" s="32">
        <v>6513</v>
      </c>
      <c r="B6526" s="90">
        <v>7.6338064117060007</v>
      </c>
    </row>
    <row r="6527" spans="1:2">
      <c r="A6527" s="32">
        <v>6514</v>
      </c>
      <c r="B6527" s="90">
        <v>6.5446236889661176</v>
      </c>
    </row>
    <row r="6528" spans="1:2">
      <c r="A6528" s="32">
        <v>6515</v>
      </c>
      <c r="B6528" s="90">
        <v>8.5826988577242069</v>
      </c>
    </row>
    <row r="6529" spans="1:2">
      <c r="A6529" s="32">
        <v>6516</v>
      </c>
      <c r="B6529" s="90">
        <v>8.4082711908271595</v>
      </c>
    </row>
    <row r="6530" spans="1:2">
      <c r="A6530" s="32">
        <v>6517</v>
      </c>
      <c r="B6530" s="90">
        <v>9.2122511246843715</v>
      </c>
    </row>
    <row r="6531" spans="1:2">
      <c r="A6531" s="32">
        <v>6518</v>
      </c>
      <c r="B6531" s="90">
        <v>7.6577486854463226</v>
      </c>
    </row>
    <row r="6532" spans="1:2">
      <c r="A6532" s="32">
        <v>6519</v>
      </c>
      <c r="B6532" s="90">
        <v>7.2740160802232223</v>
      </c>
    </row>
    <row r="6533" spans="1:2">
      <c r="A6533" s="32">
        <v>6520</v>
      </c>
      <c r="B6533" s="90">
        <v>8.5474863677315209</v>
      </c>
    </row>
    <row r="6534" spans="1:2">
      <c r="A6534" s="32">
        <v>6521</v>
      </c>
      <c r="B6534" s="90">
        <v>8.8624322157012827</v>
      </c>
    </row>
    <row r="6535" spans="1:2">
      <c r="A6535" s="32">
        <v>6522</v>
      </c>
      <c r="B6535" s="90">
        <v>7.6293607594330197</v>
      </c>
    </row>
    <row r="6536" spans="1:2">
      <c r="A6536" s="32">
        <v>6523</v>
      </c>
      <c r="B6536" s="90">
        <v>9.3913804615707406</v>
      </c>
    </row>
    <row r="6537" spans="1:2">
      <c r="A6537" s="32">
        <v>6524</v>
      </c>
      <c r="B6537" s="90">
        <v>7.747443907139151</v>
      </c>
    </row>
    <row r="6538" spans="1:2">
      <c r="A6538" s="32">
        <v>6525</v>
      </c>
      <c r="B6538" s="90">
        <v>8.0069628283411305</v>
      </c>
    </row>
    <row r="6539" spans="1:2">
      <c r="A6539" s="32">
        <v>6526</v>
      </c>
      <c r="B6539" s="90">
        <v>8.3735382922839356</v>
      </c>
    </row>
    <row r="6540" spans="1:2">
      <c r="A6540" s="32">
        <v>6527</v>
      </c>
      <c r="B6540" s="90">
        <v>7.2123601746899491</v>
      </c>
    </row>
    <row r="6541" spans="1:2">
      <c r="A6541" s="32">
        <v>6528</v>
      </c>
      <c r="B6541" s="90">
        <v>8.8245796692139233</v>
      </c>
    </row>
    <row r="6542" spans="1:2">
      <c r="A6542" s="32">
        <v>6529</v>
      </c>
      <c r="B6542" s="90">
        <v>7.3603235947501782</v>
      </c>
    </row>
    <row r="6543" spans="1:2">
      <c r="A6543" s="32">
        <v>6530</v>
      </c>
      <c r="B6543" s="90">
        <v>9.3420080292885519</v>
      </c>
    </row>
    <row r="6544" spans="1:2">
      <c r="A6544" s="32">
        <v>6531</v>
      </c>
      <c r="B6544" s="90">
        <v>8.1655451835440864</v>
      </c>
    </row>
    <row r="6545" spans="1:2">
      <c r="A6545" s="32">
        <v>6532</v>
      </c>
      <c r="B6545" s="90">
        <v>7.4762385830735454</v>
      </c>
    </row>
    <row r="6546" spans="1:2">
      <c r="A6546" s="32">
        <v>6533</v>
      </c>
      <c r="B6546" s="90">
        <v>7.8506025600565827</v>
      </c>
    </row>
    <row r="6547" spans="1:2">
      <c r="A6547" s="32">
        <v>6534</v>
      </c>
      <c r="B6547" s="90">
        <v>9.0234732473669066</v>
      </c>
    </row>
    <row r="6548" spans="1:2">
      <c r="A6548" s="32">
        <v>6535</v>
      </c>
      <c r="B6548" s="90">
        <v>7.9866021024724567</v>
      </c>
    </row>
    <row r="6549" spans="1:2">
      <c r="A6549" s="32">
        <v>6536</v>
      </c>
      <c r="B6549" s="90">
        <v>9.095688851632918</v>
      </c>
    </row>
    <row r="6550" spans="1:2">
      <c r="A6550" s="32">
        <v>6537</v>
      </c>
      <c r="B6550" s="90">
        <v>7.7900144886150366</v>
      </c>
    </row>
    <row r="6551" spans="1:2">
      <c r="A6551" s="32">
        <v>6538</v>
      </c>
      <c r="B6551" s="90">
        <v>7.4834052001307168</v>
      </c>
    </row>
    <row r="6552" spans="1:2">
      <c r="A6552" s="32">
        <v>6539</v>
      </c>
      <c r="B6552" s="90">
        <v>8.3383703450935336</v>
      </c>
    </row>
    <row r="6553" spans="1:2">
      <c r="A6553" s="32">
        <v>6540</v>
      </c>
      <c r="B6553" s="90">
        <v>8.4901581277500604</v>
      </c>
    </row>
    <row r="6554" spans="1:2">
      <c r="A6554" s="32">
        <v>6541</v>
      </c>
      <c r="B6554" s="90">
        <v>8.8239367085592733</v>
      </c>
    </row>
    <row r="6555" spans="1:2">
      <c r="A6555" s="32">
        <v>6542</v>
      </c>
      <c r="B6555" s="90">
        <v>8.8251794741200769</v>
      </c>
    </row>
    <row r="6556" spans="1:2">
      <c r="A6556" s="32">
        <v>6543</v>
      </c>
      <c r="B6556" s="90">
        <v>8.4260892383041401</v>
      </c>
    </row>
    <row r="6557" spans="1:2">
      <c r="A6557" s="32">
        <v>6544</v>
      </c>
      <c r="B6557" s="90">
        <v>8.7757469227942071</v>
      </c>
    </row>
    <row r="6558" spans="1:2">
      <c r="A6558" s="32">
        <v>6545</v>
      </c>
      <c r="B6558" s="90">
        <v>7.5835113771619866</v>
      </c>
    </row>
    <row r="6559" spans="1:2">
      <c r="A6559" s="32">
        <v>6546</v>
      </c>
      <c r="B6559" s="90">
        <v>8.6826048861576108</v>
      </c>
    </row>
    <row r="6560" spans="1:2">
      <c r="A6560" s="32">
        <v>6547</v>
      </c>
      <c r="B6560" s="90">
        <v>8.691224044126038</v>
      </c>
    </row>
    <row r="6561" spans="1:2">
      <c r="A6561" s="32">
        <v>6548</v>
      </c>
      <c r="B6561" s="90">
        <v>8.1021017273642304</v>
      </c>
    </row>
    <row r="6562" spans="1:2">
      <c r="A6562" s="32">
        <v>6549</v>
      </c>
      <c r="B6562" s="90">
        <v>8.4546931610135161</v>
      </c>
    </row>
    <row r="6563" spans="1:2">
      <c r="A6563" s="32">
        <v>6550</v>
      </c>
      <c r="B6563" s="90">
        <v>7.860924422569</v>
      </c>
    </row>
    <row r="6564" spans="1:2">
      <c r="A6564" s="32">
        <v>6551</v>
      </c>
      <c r="B6564" s="90">
        <v>7.0151259419381562</v>
      </c>
    </row>
    <row r="6565" spans="1:2">
      <c r="A6565" s="32">
        <v>6552</v>
      </c>
      <c r="B6565" s="90">
        <v>8.588667678918263</v>
      </c>
    </row>
    <row r="6566" spans="1:2">
      <c r="A6566" s="32">
        <v>6553</v>
      </c>
      <c r="B6566" s="90">
        <v>8.8223281240490525</v>
      </c>
    </row>
    <row r="6567" spans="1:2">
      <c r="A6567" s="32">
        <v>6554</v>
      </c>
      <c r="B6567" s="90">
        <v>7.7431303237877387</v>
      </c>
    </row>
    <row r="6568" spans="1:2">
      <c r="A6568" s="32">
        <v>6555</v>
      </c>
      <c r="B6568" s="90">
        <v>9.0092459019977529</v>
      </c>
    </row>
    <row r="6569" spans="1:2">
      <c r="A6569" s="32">
        <v>6556</v>
      </c>
      <c r="B6569" s="90">
        <v>7.3172997737199479</v>
      </c>
    </row>
    <row r="6570" spans="1:2">
      <c r="A6570" s="32">
        <v>6557</v>
      </c>
      <c r="B6570" s="90">
        <v>7.458276151376082</v>
      </c>
    </row>
    <row r="6571" spans="1:2">
      <c r="A6571" s="32">
        <v>6558</v>
      </c>
      <c r="B6571" s="90">
        <v>9.0953325130466993</v>
      </c>
    </row>
    <row r="6572" spans="1:2">
      <c r="A6572" s="32">
        <v>6559</v>
      </c>
      <c r="B6572" s="90">
        <v>10.492865900745542</v>
      </c>
    </row>
    <row r="6573" spans="1:2">
      <c r="A6573" s="32">
        <v>6560</v>
      </c>
      <c r="B6573" s="90">
        <v>8.0547866228721343</v>
      </c>
    </row>
    <row r="6574" spans="1:2">
      <c r="A6574" s="32">
        <v>6561</v>
      </c>
      <c r="B6574" s="90">
        <v>8.4550219754114657</v>
      </c>
    </row>
    <row r="6575" spans="1:2">
      <c r="A6575" s="32">
        <v>6562</v>
      </c>
      <c r="B6575" s="90">
        <v>7.5281067342356778</v>
      </c>
    </row>
    <row r="6576" spans="1:2">
      <c r="A6576" s="32">
        <v>6563</v>
      </c>
      <c r="B6576" s="90">
        <v>7.6483208794448414</v>
      </c>
    </row>
    <row r="6577" spans="1:2">
      <c r="A6577" s="32">
        <v>6564</v>
      </c>
      <c r="B6577" s="90">
        <v>8.7087651210705488</v>
      </c>
    </row>
    <row r="6578" spans="1:2">
      <c r="A6578" s="32">
        <v>6565</v>
      </c>
      <c r="B6578" s="90">
        <v>8.3970341344048549</v>
      </c>
    </row>
    <row r="6579" spans="1:2">
      <c r="A6579" s="32">
        <v>6566</v>
      </c>
      <c r="B6579" s="90">
        <v>8.9427430108929826</v>
      </c>
    </row>
    <row r="6580" spans="1:2">
      <c r="A6580" s="32">
        <v>6567</v>
      </c>
      <c r="B6580" s="90">
        <v>7.7298950603220549</v>
      </c>
    </row>
    <row r="6581" spans="1:2">
      <c r="A6581" s="32">
        <v>6568</v>
      </c>
      <c r="B6581" s="90">
        <v>7.8474539661943261</v>
      </c>
    </row>
    <row r="6582" spans="1:2">
      <c r="A6582" s="32">
        <v>6569</v>
      </c>
      <c r="B6582" s="90">
        <v>8.0597836069357243</v>
      </c>
    </row>
    <row r="6583" spans="1:2">
      <c r="A6583" s="32">
        <v>6570</v>
      </c>
      <c r="B6583" s="90">
        <v>7.9180004876562888</v>
      </c>
    </row>
    <row r="6584" spans="1:2">
      <c r="A6584" s="32">
        <v>6571</v>
      </c>
      <c r="B6584" s="90">
        <v>8.7364663995438789</v>
      </c>
    </row>
    <row r="6585" spans="1:2">
      <c r="A6585" s="32">
        <v>6572</v>
      </c>
      <c r="B6585" s="90">
        <v>7.2666783940755941</v>
      </c>
    </row>
    <row r="6586" spans="1:2">
      <c r="A6586" s="32">
        <v>6573</v>
      </c>
      <c r="B6586" s="90">
        <v>7.5150668594397265</v>
      </c>
    </row>
    <row r="6587" spans="1:2">
      <c r="A6587" s="32">
        <v>6574</v>
      </c>
      <c r="B6587" s="90">
        <v>7.3597668097063691</v>
      </c>
    </row>
    <row r="6588" spans="1:2">
      <c r="A6588" s="32">
        <v>6575</v>
      </c>
      <c r="B6588" s="90">
        <v>8.4733314835814149</v>
      </c>
    </row>
    <row r="6589" spans="1:2">
      <c r="A6589" s="32">
        <v>6576</v>
      </c>
      <c r="B6589" s="90">
        <v>8.1297106685786407</v>
      </c>
    </row>
    <row r="6590" spans="1:2">
      <c r="A6590" s="32">
        <v>6577</v>
      </c>
      <c r="B6590" s="90">
        <v>7.6147092574263597</v>
      </c>
    </row>
    <row r="6591" spans="1:2">
      <c r="A6591" s="32">
        <v>6578</v>
      </c>
      <c r="B6591" s="90">
        <v>7.320879414424879</v>
      </c>
    </row>
    <row r="6592" spans="1:2">
      <c r="A6592" s="32">
        <v>6579</v>
      </c>
      <c r="B6592" s="90">
        <v>8.1448485229299443</v>
      </c>
    </row>
    <row r="6593" spans="1:2">
      <c r="A6593" s="32">
        <v>6580</v>
      </c>
      <c r="B6593" s="90">
        <v>7.8837711856861166</v>
      </c>
    </row>
    <row r="6594" spans="1:2">
      <c r="A6594" s="32">
        <v>6581</v>
      </c>
      <c r="B6594" s="90">
        <v>7.7744572106433596</v>
      </c>
    </row>
    <row r="6595" spans="1:2">
      <c r="A6595" s="32">
        <v>6582</v>
      </c>
      <c r="B6595" s="90">
        <v>7.6718130127764823</v>
      </c>
    </row>
    <row r="6596" spans="1:2">
      <c r="A6596" s="32">
        <v>6583</v>
      </c>
      <c r="B6596" s="90">
        <v>7.7531906579551615</v>
      </c>
    </row>
    <row r="6597" spans="1:2">
      <c r="A6597" s="32">
        <v>6584</v>
      </c>
      <c r="B6597" s="90">
        <v>8.1959224694111992</v>
      </c>
    </row>
    <row r="6598" spans="1:2">
      <c r="A6598" s="32">
        <v>6585</v>
      </c>
      <c r="B6598" s="90">
        <v>7.4134039741756137</v>
      </c>
    </row>
    <row r="6599" spans="1:2">
      <c r="A6599" s="32">
        <v>6586</v>
      </c>
      <c r="B6599" s="90">
        <v>8.6774165613048382</v>
      </c>
    </row>
    <row r="6600" spans="1:2">
      <c r="A6600" s="32">
        <v>6587</v>
      </c>
      <c r="B6600" s="90">
        <v>8.9109640201039841</v>
      </c>
    </row>
    <row r="6601" spans="1:2">
      <c r="A6601" s="32">
        <v>6588</v>
      </c>
      <c r="B6601" s="90">
        <v>7.9844424032186057</v>
      </c>
    </row>
    <row r="6602" spans="1:2">
      <c r="A6602" s="32">
        <v>6589</v>
      </c>
      <c r="B6602" s="90">
        <v>8.701498685864113</v>
      </c>
    </row>
    <row r="6603" spans="1:2">
      <c r="A6603" s="32">
        <v>6590</v>
      </c>
      <c r="B6603" s="90">
        <v>8.8112365094901079</v>
      </c>
    </row>
    <row r="6604" spans="1:2">
      <c r="A6604" s="32">
        <v>6591</v>
      </c>
      <c r="B6604" s="90">
        <v>7.8426966787207357</v>
      </c>
    </row>
    <row r="6605" spans="1:2">
      <c r="A6605" s="32">
        <v>6592</v>
      </c>
      <c r="B6605" s="90">
        <v>7.1782628813382621</v>
      </c>
    </row>
    <row r="6606" spans="1:2">
      <c r="A6606" s="32">
        <v>6593</v>
      </c>
      <c r="B6606" s="90">
        <v>8.3554370454047397</v>
      </c>
    </row>
    <row r="6607" spans="1:2">
      <c r="A6607" s="32">
        <v>6594</v>
      </c>
      <c r="B6607" s="90">
        <v>7.6151828651701097</v>
      </c>
    </row>
    <row r="6608" spans="1:2">
      <c r="A6608" s="32">
        <v>6595</v>
      </c>
      <c r="B6608" s="90">
        <v>7.204135333244154</v>
      </c>
    </row>
    <row r="6609" spans="1:2">
      <c r="A6609" s="32">
        <v>6596</v>
      </c>
      <c r="B6609" s="90">
        <v>7.6260621001712616</v>
      </c>
    </row>
    <row r="6610" spans="1:2">
      <c r="A6610" s="32">
        <v>6597</v>
      </c>
      <c r="B6610" s="90">
        <v>8.4877420933873235</v>
      </c>
    </row>
    <row r="6611" spans="1:2">
      <c r="A6611" s="32">
        <v>6598</v>
      </c>
      <c r="B6611" s="90">
        <v>7.3057817949522708</v>
      </c>
    </row>
    <row r="6612" spans="1:2">
      <c r="A6612" s="32">
        <v>6599</v>
      </c>
      <c r="B6612" s="90">
        <v>8.8750856730926841</v>
      </c>
    </row>
    <row r="6613" spans="1:2">
      <c r="A6613" s="32">
        <v>6600</v>
      </c>
      <c r="B6613" s="90">
        <v>8.4816903647257877</v>
      </c>
    </row>
    <row r="6614" spans="1:2">
      <c r="A6614" s="32">
        <v>6601</v>
      </c>
      <c r="B6614" s="90">
        <v>7.7893422488005006</v>
      </c>
    </row>
    <row r="6615" spans="1:2">
      <c r="A6615" s="32">
        <v>6602</v>
      </c>
      <c r="B6615" s="90">
        <v>7.3017851312007442</v>
      </c>
    </row>
    <row r="6616" spans="1:2">
      <c r="A6616" s="32">
        <v>6603</v>
      </c>
      <c r="B6616" s="90">
        <v>7.9082906596703193</v>
      </c>
    </row>
    <row r="6617" spans="1:2">
      <c r="A6617" s="32">
        <v>6604</v>
      </c>
      <c r="B6617" s="90">
        <v>6.9405044328179217</v>
      </c>
    </row>
    <row r="6618" spans="1:2">
      <c r="A6618" s="32">
        <v>6605</v>
      </c>
      <c r="B6618" s="90">
        <v>8.3060300803209905</v>
      </c>
    </row>
    <row r="6619" spans="1:2">
      <c r="A6619" s="32">
        <v>6606</v>
      </c>
      <c r="B6619" s="90">
        <v>7.7725575450200797</v>
      </c>
    </row>
    <row r="6620" spans="1:2">
      <c r="A6620" s="32">
        <v>6607</v>
      </c>
      <c r="B6620" s="90">
        <v>9.2374095679767727</v>
      </c>
    </row>
    <row r="6621" spans="1:2">
      <c r="A6621" s="32">
        <v>6608</v>
      </c>
      <c r="B6621" s="90">
        <v>7.8131475803463655</v>
      </c>
    </row>
    <row r="6622" spans="1:2">
      <c r="A6622" s="32">
        <v>6609</v>
      </c>
      <c r="B6622" s="90">
        <v>8.4961812556884482</v>
      </c>
    </row>
    <row r="6623" spans="1:2">
      <c r="A6623" s="32">
        <v>6610</v>
      </c>
      <c r="B6623" s="90">
        <v>6.7142344696718101</v>
      </c>
    </row>
    <row r="6624" spans="1:2">
      <c r="A6624" s="32">
        <v>6611</v>
      </c>
      <c r="B6624" s="90">
        <v>7.5488728886657457</v>
      </c>
    </row>
    <row r="6625" spans="1:2">
      <c r="A6625" s="32">
        <v>6612</v>
      </c>
      <c r="B6625" s="90">
        <v>8.4303473241773155</v>
      </c>
    </row>
    <row r="6626" spans="1:2">
      <c r="A6626" s="32">
        <v>6613</v>
      </c>
      <c r="B6626" s="90">
        <v>8.4851685056230775</v>
      </c>
    </row>
    <row r="6627" spans="1:2">
      <c r="A6627" s="32">
        <v>6614</v>
      </c>
      <c r="B6627" s="90">
        <v>8.2527162573601149</v>
      </c>
    </row>
    <row r="6628" spans="1:2">
      <c r="A6628" s="32">
        <v>6615</v>
      </c>
      <c r="B6628" s="90">
        <v>7.0692928566330542</v>
      </c>
    </row>
    <row r="6629" spans="1:2">
      <c r="A6629" s="32">
        <v>6616</v>
      </c>
      <c r="B6629" s="90">
        <v>7.8071473725548284</v>
      </c>
    </row>
    <row r="6630" spans="1:2">
      <c r="A6630" s="32">
        <v>6617</v>
      </c>
      <c r="B6630" s="90">
        <v>7.6571650843207175</v>
      </c>
    </row>
    <row r="6631" spans="1:2">
      <c r="A6631" s="32">
        <v>6618</v>
      </c>
      <c r="B6631" s="90">
        <v>8.2806706477343237</v>
      </c>
    </row>
    <row r="6632" spans="1:2">
      <c r="A6632" s="32">
        <v>6619</v>
      </c>
      <c r="B6632" s="90">
        <v>9.2193398393691286</v>
      </c>
    </row>
    <row r="6633" spans="1:2">
      <c r="A6633" s="32">
        <v>6620</v>
      </c>
      <c r="B6633" s="90">
        <v>8.2721000174964097</v>
      </c>
    </row>
    <row r="6634" spans="1:2">
      <c r="A6634" s="32">
        <v>6621</v>
      </c>
      <c r="B6634" s="90">
        <v>7.0520804376877457</v>
      </c>
    </row>
    <row r="6635" spans="1:2">
      <c r="A6635" s="32">
        <v>6622</v>
      </c>
      <c r="B6635" s="90">
        <v>7.4805233980403418</v>
      </c>
    </row>
    <row r="6636" spans="1:2">
      <c r="A6636" s="32">
        <v>6623</v>
      </c>
      <c r="B6636" s="90">
        <v>9.1626237348770516</v>
      </c>
    </row>
    <row r="6637" spans="1:2">
      <c r="A6637" s="32">
        <v>6624</v>
      </c>
      <c r="B6637" s="90">
        <v>8.8019732552715322</v>
      </c>
    </row>
    <row r="6638" spans="1:2">
      <c r="A6638" s="32">
        <v>6625</v>
      </c>
      <c r="B6638" s="90">
        <v>8.3617926281798738</v>
      </c>
    </row>
    <row r="6639" spans="1:2">
      <c r="A6639" s="32">
        <v>6626</v>
      </c>
      <c r="B6639" s="90">
        <v>9.0836148127697562</v>
      </c>
    </row>
    <row r="6640" spans="1:2">
      <c r="A6640" s="32">
        <v>6627</v>
      </c>
      <c r="B6640" s="90">
        <v>7.7060285512781359</v>
      </c>
    </row>
    <row r="6641" spans="1:2">
      <c r="A6641" s="32">
        <v>6628</v>
      </c>
      <c r="B6641" s="90">
        <v>8.5543011395925372</v>
      </c>
    </row>
    <row r="6642" spans="1:2">
      <c r="A6642" s="32">
        <v>6629</v>
      </c>
      <c r="B6642" s="90">
        <v>8.1267350491918187</v>
      </c>
    </row>
    <row r="6643" spans="1:2">
      <c r="A6643" s="32">
        <v>6630</v>
      </c>
      <c r="B6643" s="90">
        <v>9.3592214387078752</v>
      </c>
    </row>
    <row r="6644" spans="1:2">
      <c r="A6644" s="32">
        <v>6631</v>
      </c>
      <c r="B6644" s="90">
        <v>7.3560692305065984</v>
      </c>
    </row>
    <row r="6645" spans="1:2">
      <c r="A6645" s="32">
        <v>6632</v>
      </c>
      <c r="B6645" s="90">
        <v>7.2419943449128583</v>
      </c>
    </row>
    <row r="6646" spans="1:2">
      <c r="A6646" s="32">
        <v>6633</v>
      </c>
      <c r="B6646" s="90">
        <v>8.1856753768825818</v>
      </c>
    </row>
    <row r="6647" spans="1:2">
      <c r="A6647" s="32">
        <v>6634</v>
      </c>
      <c r="B6647" s="90">
        <v>8.2471944716100207</v>
      </c>
    </row>
    <row r="6648" spans="1:2">
      <c r="A6648" s="32">
        <v>6635</v>
      </c>
      <c r="B6648" s="90">
        <v>10.243593685084413</v>
      </c>
    </row>
    <row r="6649" spans="1:2">
      <c r="A6649" s="32">
        <v>6636</v>
      </c>
      <c r="B6649" s="90">
        <v>8.194680509957422</v>
      </c>
    </row>
    <row r="6650" spans="1:2">
      <c r="A6650" s="32">
        <v>6637</v>
      </c>
      <c r="B6650" s="90">
        <v>7.8633773769232507</v>
      </c>
    </row>
    <row r="6651" spans="1:2">
      <c r="A6651" s="32">
        <v>6638</v>
      </c>
      <c r="B6651" s="90">
        <v>7.5333372583899898</v>
      </c>
    </row>
    <row r="6652" spans="1:2">
      <c r="A6652" s="32">
        <v>6639</v>
      </c>
      <c r="B6652" s="90">
        <v>7.8706275114251172</v>
      </c>
    </row>
    <row r="6653" spans="1:2">
      <c r="A6653" s="32">
        <v>6640</v>
      </c>
      <c r="B6653" s="90">
        <v>8.4033538394232252</v>
      </c>
    </row>
    <row r="6654" spans="1:2">
      <c r="A6654" s="32">
        <v>6641</v>
      </c>
      <c r="B6654" s="90">
        <v>9.0908618628657614</v>
      </c>
    </row>
    <row r="6655" spans="1:2">
      <c r="A6655" s="32">
        <v>6642</v>
      </c>
      <c r="B6655" s="90">
        <v>9.5092265678681027</v>
      </c>
    </row>
    <row r="6656" spans="1:2">
      <c r="A6656" s="32">
        <v>6643</v>
      </c>
      <c r="B6656" s="90">
        <v>7.7119243270400624</v>
      </c>
    </row>
    <row r="6657" spans="1:2">
      <c r="A6657" s="32">
        <v>6644</v>
      </c>
      <c r="B6657" s="90">
        <v>7.9049504208109491</v>
      </c>
    </row>
    <row r="6658" spans="1:2">
      <c r="A6658" s="32">
        <v>6645</v>
      </c>
      <c r="B6658" s="90">
        <v>7.7783410705733527</v>
      </c>
    </row>
    <row r="6659" spans="1:2">
      <c r="A6659" s="32">
        <v>6646</v>
      </c>
      <c r="B6659" s="90">
        <v>8.0260093358226126</v>
      </c>
    </row>
    <row r="6660" spans="1:2">
      <c r="A6660" s="32">
        <v>6647</v>
      </c>
      <c r="B6660" s="90">
        <v>8.3895682253849291</v>
      </c>
    </row>
    <row r="6661" spans="1:2">
      <c r="A6661" s="32">
        <v>6648</v>
      </c>
      <c r="B6661" s="90">
        <v>8.4324245039458567</v>
      </c>
    </row>
    <row r="6662" spans="1:2">
      <c r="A6662" s="32">
        <v>6649</v>
      </c>
      <c r="B6662" s="90">
        <v>7.4233719063988408</v>
      </c>
    </row>
    <row r="6663" spans="1:2">
      <c r="A6663" s="32">
        <v>6650</v>
      </c>
      <c r="B6663" s="90">
        <v>8.4725647395442305</v>
      </c>
    </row>
    <row r="6664" spans="1:2">
      <c r="A6664" s="32">
        <v>6651</v>
      </c>
      <c r="B6664" s="90">
        <v>8.8124652983398217</v>
      </c>
    </row>
    <row r="6665" spans="1:2">
      <c r="A6665" s="32">
        <v>6652</v>
      </c>
      <c r="B6665" s="90">
        <v>7.6189231520312086</v>
      </c>
    </row>
    <row r="6666" spans="1:2">
      <c r="A6666" s="32">
        <v>6653</v>
      </c>
      <c r="B6666" s="90">
        <v>7.8967482898319918</v>
      </c>
    </row>
    <row r="6667" spans="1:2">
      <c r="A6667" s="32">
        <v>6654</v>
      </c>
      <c r="B6667" s="90">
        <v>8.3774262037776079</v>
      </c>
    </row>
    <row r="6668" spans="1:2">
      <c r="A6668" s="32">
        <v>6655</v>
      </c>
      <c r="B6668" s="90">
        <v>8.0739182490336461</v>
      </c>
    </row>
    <row r="6669" spans="1:2">
      <c r="A6669" s="32">
        <v>6656</v>
      </c>
      <c r="B6669" s="90">
        <v>8.714786353634274</v>
      </c>
    </row>
    <row r="6670" spans="1:2">
      <c r="A6670" s="32">
        <v>6657</v>
      </c>
      <c r="B6670" s="90">
        <v>8.1833945345745782</v>
      </c>
    </row>
    <row r="6671" spans="1:2">
      <c r="A6671" s="32">
        <v>6658</v>
      </c>
      <c r="B6671" s="90">
        <v>8.0347256194653305</v>
      </c>
    </row>
    <row r="6672" spans="1:2">
      <c r="A6672" s="32">
        <v>6659</v>
      </c>
      <c r="B6672" s="90">
        <v>9.5203701896335371</v>
      </c>
    </row>
    <row r="6673" spans="1:2">
      <c r="A6673" s="32">
        <v>6660</v>
      </c>
      <c r="B6673" s="90">
        <v>7.6762752444395046</v>
      </c>
    </row>
    <row r="6674" spans="1:2">
      <c r="A6674" s="32">
        <v>6661</v>
      </c>
      <c r="B6674" s="90">
        <v>8.9339956936931291</v>
      </c>
    </row>
    <row r="6675" spans="1:2">
      <c r="A6675" s="32">
        <v>6662</v>
      </c>
      <c r="B6675" s="90">
        <v>7.7673797949717232</v>
      </c>
    </row>
    <row r="6676" spans="1:2">
      <c r="A6676" s="32">
        <v>6663</v>
      </c>
      <c r="B6676" s="90">
        <v>7.6963640699605049</v>
      </c>
    </row>
    <row r="6677" spans="1:2">
      <c r="A6677" s="32">
        <v>6664</v>
      </c>
      <c r="B6677" s="90">
        <v>7.5008740799398277</v>
      </c>
    </row>
    <row r="6678" spans="1:2">
      <c r="A6678" s="32">
        <v>6665</v>
      </c>
      <c r="B6678" s="90">
        <v>8.6845618595146234</v>
      </c>
    </row>
    <row r="6679" spans="1:2">
      <c r="A6679" s="32">
        <v>6666</v>
      </c>
      <c r="B6679" s="90">
        <v>7.5716544272408637</v>
      </c>
    </row>
    <row r="6680" spans="1:2">
      <c r="A6680" s="32">
        <v>6667</v>
      </c>
      <c r="B6680" s="90">
        <v>7.7201354354988343</v>
      </c>
    </row>
    <row r="6681" spans="1:2">
      <c r="A6681" s="32">
        <v>6668</v>
      </c>
      <c r="B6681" s="90">
        <v>7.6205229094169411</v>
      </c>
    </row>
    <row r="6682" spans="1:2">
      <c r="A6682" s="32">
        <v>6669</v>
      </c>
      <c r="B6682" s="90">
        <v>7.779972666236179</v>
      </c>
    </row>
    <row r="6683" spans="1:2">
      <c r="A6683" s="32">
        <v>6670</v>
      </c>
      <c r="B6683" s="90">
        <v>7.6526856477779663</v>
      </c>
    </row>
    <row r="6684" spans="1:2">
      <c r="A6684" s="32">
        <v>6671</v>
      </c>
      <c r="B6684" s="90">
        <v>8.7961535466271172</v>
      </c>
    </row>
    <row r="6685" spans="1:2">
      <c r="A6685" s="32">
        <v>6672</v>
      </c>
      <c r="B6685" s="90">
        <v>7.9769431723202269</v>
      </c>
    </row>
    <row r="6686" spans="1:2">
      <c r="A6686" s="32">
        <v>6673</v>
      </c>
      <c r="B6686" s="90">
        <v>8.1507164949545441</v>
      </c>
    </row>
    <row r="6687" spans="1:2">
      <c r="A6687" s="32">
        <v>6674</v>
      </c>
      <c r="B6687" s="90">
        <v>6.6020831859881666</v>
      </c>
    </row>
    <row r="6688" spans="1:2">
      <c r="A6688" s="32">
        <v>6675</v>
      </c>
      <c r="B6688" s="90">
        <v>6.9869416970492431</v>
      </c>
    </row>
    <row r="6689" spans="1:2">
      <c r="A6689" s="32">
        <v>6676</v>
      </c>
      <c r="B6689" s="90">
        <v>7.8969403656328314</v>
      </c>
    </row>
    <row r="6690" spans="1:2">
      <c r="A6690" s="32">
        <v>6677</v>
      </c>
      <c r="B6690" s="90">
        <v>8.9867909721212325</v>
      </c>
    </row>
    <row r="6691" spans="1:2">
      <c r="A6691" s="32">
        <v>6678</v>
      </c>
      <c r="B6691" s="90">
        <v>7.9335556586852913</v>
      </c>
    </row>
    <row r="6692" spans="1:2">
      <c r="A6692" s="32">
        <v>6679</v>
      </c>
      <c r="B6692" s="90">
        <v>7.2362017539910077</v>
      </c>
    </row>
    <row r="6693" spans="1:2">
      <c r="A6693" s="32">
        <v>6680</v>
      </c>
      <c r="B6693" s="90">
        <v>8.5492017805414839</v>
      </c>
    </row>
    <row r="6694" spans="1:2">
      <c r="A6694" s="32">
        <v>6681</v>
      </c>
      <c r="B6694" s="90">
        <v>8.5592937463134593</v>
      </c>
    </row>
    <row r="6695" spans="1:2">
      <c r="A6695" s="32">
        <v>6682</v>
      </c>
      <c r="B6695" s="90">
        <v>6.8498048378136698</v>
      </c>
    </row>
    <row r="6696" spans="1:2">
      <c r="A6696" s="32">
        <v>6683</v>
      </c>
      <c r="B6696" s="90">
        <v>7.355276984953897</v>
      </c>
    </row>
    <row r="6697" spans="1:2">
      <c r="A6697" s="32">
        <v>6684</v>
      </c>
      <c r="B6697" s="90">
        <v>7.9269020081027151</v>
      </c>
    </row>
    <row r="6698" spans="1:2">
      <c r="A6698" s="32">
        <v>6685</v>
      </c>
      <c r="B6698" s="90">
        <v>8.1553336796270681</v>
      </c>
    </row>
    <row r="6699" spans="1:2">
      <c r="A6699" s="32">
        <v>6686</v>
      </c>
      <c r="B6699" s="90">
        <v>9.0217793201908538</v>
      </c>
    </row>
    <row r="6700" spans="1:2">
      <c r="A6700" s="32">
        <v>6687</v>
      </c>
      <c r="B6700" s="90">
        <v>9.0322377466467021</v>
      </c>
    </row>
    <row r="6701" spans="1:2">
      <c r="A6701" s="32">
        <v>6688</v>
      </c>
      <c r="B6701" s="90">
        <v>8.0180892586071337</v>
      </c>
    </row>
    <row r="6702" spans="1:2">
      <c r="A6702" s="32">
        <v>6689</v>
      </c>
      <c r="B6702" s="90">
        <v>9.0120139378059356</v>
      </c>
    </row>
    <row r="6703" spans="1:2">
      <c r="A6703" s="32">
        <v>6690</v>
      </c>
      <c r="B6703" s="90">
        <v>8.1554080933342821</v>
      </c>
    </row>
    <row r="6704" spans="1:2">
      <c r="A6704" s="32">
        <v>6691</v>
      </c>
      <c r="B6704" s="90">
        <v>8.4058767661813647</v>
      </c>
    </row>
    <row r="6705" spans="1:2">
      <c r="A6705" s="32">
        <v>6692</v>
      </c>
      <c r="B6705" s="90">
        <v>9.3950853820705671</v>
      </c>
    </row>
    <row r="6706" spans="1:2">
      <c r="A6706" s="32">
        <v>6693</v>
      </c>
      <c r="B6706" s="90">
        <v>8.202463015955507</v>
      </c>
    </row>
    <row r="6707" spans="1:2">
      <c r="A6707" s="32">
        <v>6694</v>
      </c>
      <c r="B6707" s="90">
        <v>8.7252615014370676</v>
      </c>
    </row>
    <row r="6708" spans="1:2">
      <c r="A6708" s="32">
        <v>6695</v>
      </c>
      <c r="B6708" s="90">
        <v>8.3884703411718835</v>
      </c>
    </row>
    <row r="6709" spans="1:2">
      <c r="A6709" s="32">
        <v>6696</v>
      </c>
      <c r="B6709" s="90">
        <v>7.9602379653563284</v>
      </c>
    </row>
    <row r="6710" spans="1:2">
      <c r="A6710" s="32">
        <v>6697</v>
      </c>
      <c r="B6710" s="90">
        <v>7.5550545882154108</v>
      </c>
    </row>
    <row r="6711" spans="1:2">
      <c r="A6711" s="32">
        <v>6698</v>
      </c>
      <c r="B6711" s="90">
        <v>8.376058601422157</v>
      </c>
    </row>
    <row r="6712" spans="1:2">
      <c r="A6712" s="32">
        <v>6699</v>
      </c>
      <c r="B6712" s="90">
        <v>8.8500216097704598</v>
      </c>
    </row>
    <row r="6713" spans="1:2">
      <c r="A6713" s="32">
        <v>6700</v>
      </c>
      <c r="B6713" s="90">
        <v>8.9971535697374367</v>
      </c>
    </row>
    <row r="6714" spans="1:2">
      <c r="A6714" s="32">
        <v>6701</v>
      </c>
      <c r="B6714" s="90">
        <v>8.1957094836825259</v>
      </c>
    </row>
    <row r="6715" spans="1:2">
      <c r="A6715" s="32">
        <v>6702</v>
      </c>
      <c r="B6715" s="90">
        <v>7.8869887418468219</v>
      </c>
    </row>
    <row r="6716" spans="1:2">
      <c r="A6716" s="32">
        <v>6703</v>
      </c>
      <c r="B6716" s="90">
        <v>7.3693563785081109</v>
      </c>
    </row>
    <row r="6717" spans="1:2">
      <c r="A6717" s="32">
        <v>6704</v>
      </c>
      <c r="B6717" s="90">
        <v>7.0637534529845469</v>
      </c>
    </row>
    <row r="6718" spans="1:2">
      <c r="A6718" s="32">
        <v>6705</v>
      </c>
      <c r="B6718" s="90">
        <v>8.5766152633630988</v>
      </c>
    </row>
    <row r="6719" spans="1:2">
      <c r="A6719" s="32">
        <v>6706</v>
      </c>
      <c r="B6719" s="90">
        <v>8.7577405600717633</v>
      </c>
    </row>
    <row r="6720" spans="1:2">
      <c r="A6720" s="32">
        <v>6707</v>
      </c>
      <c r="B6720" s="90">
        <v>8.0290038183088033</v>
      </c>
    </row>
    <row r="6721" spans="1:2">
      <c r="A6721" s="32">
        <v>6708</v>
      </c>
      <c r="B6721" s="90">
        <v>7.9386138596270124</v>
      </c>
    </row>
    <row r="6722" spans="1:2">
      <c r="A6722" s="32">
        <v>6709</v>
      </c>
      <c r="B6722" s="90">
        <v>7.5648805838898934</v>
      </c>
    </row>
    <row r="6723" spans="1:2">
      <c r="A6723" s="32">
        <v>6710</v>
      </c>
      <c r="B6723" s="90">
        <v>8.573346729668609</v>
      </c>
    </row>
    <row r="6724" spans="1:2">
      <c r="A6724" s="32">
        <v>6711</v>
      </c>
      <c r="B6724" s="90">
        <v>7.8141501582944368</v>
      </c>
    </row>
    <row r="6725" spans="1:2">
      <c r="A6725" s="32">
        <v>6712</v>
      </c>
      <c r="B6725" s="90">
        <v>7.6345969087223793</v>
      </c>
    </row>
    <row r="6726" spans="1:2">
      <c r="A6726" s="32">
        <v>6713</v>
      </c>
      <c r="B6726" s="90">
        <v>8.4787307568910357</v>
      </c>
    </row>
    <row r="6727" spans="1:2">
      <c r="A6727" s="32">
        <v>6714</v>
      </c>
      <c r="B6727" s="90">
        <v>7.7607980501256071</v>
      </c>
    </row>
    <row r="6728" spans="1:2">
      <c r="A6728" s="32">
        <v>6715</v>
      </c>
      <c r="B6728" s="90">
        <v>8.8820328739529391</v>
      </c>
    </row>
    <row r="6729" spans="1:2">
      <c r="A6729" s="32">
        <v>6716</v>
      </c>
      <c r="B6729" s="90">
        <v>8.1030857381212673</v>
      </c>
    </row>
    <row r="6730" spans="1:2">
      <c r="A6730" s="32">
        <v>6717</v>
      </c>
      <c r="B6730" s="90">
        <v>8.5268158222542549</v>
      </c>
    </row>
    <row r="6731" spans="1:2">
      <c r="A6731" s="32">
        <v>6718</v>
      </c>
      <c r="B6731" s="90">
        <v>7.9793523786692413</v>
      </c>
    </row>
    <row r="6732" spans="1:2">
      <c r="A6732" s="32">
        <v>6719</v>
      </c>
      <c r="B6732" s="90">
        <v>8.8988497634285793</v>
      </c>
    </row>
    <row r="6733" spans="1:2">
      <c r="A6733" s="32">
        <v>6720</v>
      </c>
      <c r="B6733" s="90">
        <v>8.3191087807266424</v>
      </c>
    </row>
    <row r="6734" spans="1:2">
      <c r="A6734" s="32">
        <v>6721</v>
      </c>
      <c r="B6734" s="90">
        <v>7.250156152640101</v>
      </c>
    </row>
    <row r="6735" spans="1:2">
      <c r="A6735" s="32">
        <v>6722</v>
      </c>
      <c r="B6735" s="90">
        <v>7.2364856919228941</v>
      </c>
    </row>
    <row r="6736" spans="1:2">
      <c r="A6736" s="32">
        <v>6723</v>
      </c>
      <c r="B6736" s="90">
        <v>7.2731308926612854</v>
      </c>
    </row>
    <row r="6737" spans="1:2">
      <c r="A6737" s="32">
        <v>6724</v>
      </c>
      <c r="B6737" s="90">
        <v>8.6693968452847017</v>
      </c>
    </row>
    <row r="6738" spans="1:2">
      <c r="A6738" s="32">
        <v>6725</v>
      </c>
      <c r="B6738" s="90">
        <v>9.1562387871713327</v>
      </c>
    </row>
    <row r="6739" spans="1:2">
      <c r="A6739" s="32">
        <v>6726</v>
      </c>
      <c r="B6739" s="90">
        <v>7.3900974061758884</v>
      </c>
    </row>
    <row r="6740" spans="1:2">
      <c r="A6740" s="32">
        <v>6727</v>
      </c>
      <c r="B6740" s="90">
        <v>7.7712961528326616</v>
      </c>
    </row>
    <row r="6741" spans="1:2">
      <c r="A6741" s="32">
        <v>6728</v>
      </c>
      <c r="B6741" s="90">
        <v>8.1609486131041233</v>
      </c>
    </row>
    <row r="6742" spans="1:2">
      <c r="A6742" s="32">
        <v>6729</v>
      </c>
      <c r="B6742" s="90">
        <v>8.1209960932017413</v>
      </c>
    </row>
    <row r="6743" spans="1:2">
      <c r="A6743" s="32">
        <v>6730</v>
      </c>
      <c r="B6743" s="90">
        <v>8.9477877364177907</v>
      </c>
    </row>
    <row r="6744" spans="1:2">
      <c r="A6744" s="32">
        <v>6731</v>
      </c>
      <c r="B6744" s="90">
        <v>7.989300707182581</v>
      </c>
    </row>
    <row r="6745" spans="1:2">
      <c r="A6745" s="32">
        <v>6732</v>
      </c>
      <c r="B6745" s="90">
        <v>7.9017295324307106</v>
      </c>
    </row>
    <row r="6746" spans="1:2">
      <c r="A6746" s="32">
        <v>6733</v>
      </c>
      <c r="B6746" s="90">
        <v>8.8912082509643078</v>
      </c>
    </row>
    <row r="6747" spans="1:2">
      <c r="A6747" s="32">
        <v>6734</v>
      </c>
      <c r="B6747" s="90">
        <v>9.4955622366021899</v>
      </c>
    </row>
    <row r="6748" spans="1:2">
      <c r="A6748" s="32">
        <v>6735</v>
      </c>
      <c r="B6748" s="90">
        <v>7.6322623209545304</v>
      </c>
    </row>
    <row r="6749" spans="1:2">
      <c r="A6749" s="32">
        <v>6736</v>
      </c>
      <c r="B6749" s="90">
        <v>6.9422276065297366</v>
      </c>
    </row>
    <row r="6750" spans="1:2">
      <c r="A6750" s="32">
        <v>6737</v>
      </c>
      <c r="B6750" s="90">
        <v>8.7026369682728966</v>
      </c>
    </row>
    <row r="6751" spans="1:2">
      <c r="A6751" s="32">
        <v>6738</v>
      </c>
      <c r="B6751" s="90">
        <v>8.7039517826595283</v>
      </c>
    </row>
    <row r="6752" spans="1:2">
      <c r="A6752" s="32">
        <v>6739</v>
      </c>
      <c r="B6752" s="90">
        <v>7.6834083303874339</v>
      </c>
    </row>
    <row r="6753" spans="1:2">
      <c r="A6753" s="32">
        <v>6740</v>
      </c>
      <c r="B6753" s="90">
        <v>8.6660796568542811</v>
      </c>
    </row>
    <row r="6754" spans="1:2">
      <c r="A6754" s="32">
        <v>6741</v>
      </c>
      <c r="B6754" s="90">
        <v>9.6557359023294644</v>
      </c>
    </row>
    <row r="6755" spans="1:2">
      <c r="A6755" s="32">
        <v>6742</v>
      </c>
      <c r="B6755" s="90">
        <v>8.2169769275361801</v>
      </c>
    </row>
    <row r="6756" spans="1:2">
      <c r="A6756" s="32">
        <v>6743</v>
      </c>
      <c r="B6756" s="90">
        <v>8.4929072146680973</v>
      </c>
    </row>
    <row r="6757" spans="1:2">
      <c r="A6757" s="32">
        <v>6744</v>
      </c>
      <c r="B6757" s="90">
        <v>8.571383410288659</v>
      </c>
    </row>
    <row r="6758" spans="1:2">
      <c r="A6758" s="32">
        <v>6745</v>
      </c>
      <c r="B6758" s="90">
        <v>8.2720970802414904</v>
      </c>
    </row>
    <row r="6759" spans="1:2">
      <c r="A6759" s="32">
        <v>6746</v>
      </c>
      <c r="B6759" s="90">
        <v>7.3646000364824085</v>
      </c>
    </row>
    <row r="6760" spans="1:2">
      <c r="A6760" s="32">
        <v>6747</v>
      </c>
      <c r="B6760" s="90">
        <v>7.6571732836242985</v>
      </c>
    </row>
    <row r="6761" spans="1:2">
      <c r="A6761" s="32">
        <v>6748</v>
      </c>
      <c r="B6761" s="90">
        <v>6.9556818451335554</v>
      </c>
    </row>
    <row r="6762" spans="1:2">
      <c r="A6762" s="32">
        <v>6749</v>
      </c>
      <c r="B6762" s="90">
        <v>8.3258145157929064</v>
      </c>
    </row>
    <row r="6763" spans="1:2">
      <c r="A6763" s="32">
        <v>6750</v>
      </c>
      <c r="B6763" s="90">
        <v>8.9952232405122707</v>
      </c>
    </row>
    <row r="6764" spans="1:2">
      <c r="A6764" s="32">
        <v>6751</v>
      </c>
      <c r="B6764" s="90">
        <v>8.289343244731338</v>
      </c>
    </row>
    <row r="6765" spans="1:2">
      <c r="A6765" s="32">
        <v>6752</v>
      </c>
      <c r="B6765" s="90">
        <v>7.1046766459822486</v>
      </c>
    </row>
    <row r="6766" spans="1:2">
      <c r="A6766" s="32">
        <v>6753</v>
      </c>
      <c r="B6766" s="90">
        <v>7.2630871864100062</v>
      </c>
    </row>
    <row r="6767" spans="1:2">
      <c r="A6767" s="32">
        <v>6754</v>
      </c>
      <c r="B6767" s="90">
        <v>7.6778911294563752</v>
      </c>
    </row>
    <row r="6768" spans="1:2">
      <c r="A6768" s="32">
        <v>6755</v>
      </c>
      <c r="B6768" s="90">
        <v>9.6552873366277154</v>
      </c>
    </row>
    <row r="6769" spans="1:2">
      <c r="A6769" s="32">
        <v>6756</v>
      </c>
      <c r="B6769" s="90">
        <v>8.8327539749639392</v>
      </c>
    </row>
    <row r="6770" spans="1:2">
      <c r="A6770" s="32">
        <v>6757</v>
      </c>
      <c r="B6770" s="90">
        <v>8.5798253228792092</v>
      </c>
    </row>
    <row r="6771" spans="1:2">
      <c r="A6771" s="32">
        <v>6758</v>
      </c>
      <c r="B6771" s="90">
        <v>7.852345409333096</v>
      </c>
    </row>
    <row r="6772" spans="1:2">
      <c r="A6772" s="32">
        <v>6759</v>
      </c>
      <c r="B6772" s="90">
        <v>9.3063031850902647</v>
      </c>
    </row>
    <row r="6773" spans="1:2">
      <c r="A6773" s="32">
        <v>6760</v>
      </c>
      <c r="B6773" s="90">
        <v>7.5936413206108124</v>
      </c>
    </row>
    <row r="6774" spans="1:2">
      <c r="A6774" s="32">
        <v>6761</v>
      </c>
      <c r="B6774" s="90">
        <v>6.7322367233174925</v>
      </c>
    </row>
    <row r="6775" spans="1:2">
      <c r="A6775" s="32">
        <v>6762</v>
      </c>
      <c r="B6775" s="90">
        <v>9.7106211098413393</v>
      </c>
    </row>
    <row r="6776" spans="1:2">
      <c r="A6776" s="32">
        <v>6763</v>
      </c>
      <c r="B6776" s="90">
        <v>7.9930835919556156</v>
      </c>
    </row>
    <row r="6777" spans="1:2">
      <c r="A6777" s="32">
        <v>6764</v>
      </c>
      <c r="B6777" s="90">
        <v>7.3609048494553209</v>
      </c>
    </row>
    <row r="6778" spans="1:2">
      <c r="A6778" s="32">
        <v>6765</v>
      </c>
      <c r="B6778" s="90">
        <v>9.9132073337736593</v>
      </c>
    </row>
    <row r="6779" spans="1:2">
      <c r="A6779" s="32">
        <v>6766</v>
      </c>
      <c r="B6779" s="90">
        <v>8.6604422436333319</v>
      </c>
    </row>
    <row r="6780" spans="1:2">
      <c r="A6780" s="32">
        <v>6767</v>
      </c>
      <c r="B6780" s="90">
        <v>7.7845964682701956</v>
      </c>
    </row>
    <row r="6781" spans="1:2">
      <c r="A6781" s="32">
        <v>6768</v>
      </c>
      <c r="B6781" s="90">
        <v>7.7208625568471057</v>
      </c>
    </row>
    <row r="6782" spans="1:2">
      <c r="A6782" s="32">
        <v>6769</v>
      </c>
      <c r="B6782" s="90">
        <v>6.9705210187245337</v>
      </c>
    </row>
    <row r="6783" spans="1:2">
      <c r="A6783" s="32">
        <v>6770</v>
      </c>
      <c r="B6783" s="90">
        <v>7.9414172739279421</v>
      </c>
    </row>
    <row r="6784" spans="1:2">
      <c r="A6784" s="32">
        <v>6771</v>
      </c>
      <c r="B6784" s="90">
        <v>8.6082339584853109</v>
      </c>
    </row>
    <row r="6785" spans="1:2">
      <c r="A6785" s="32">
        <v>6772</v>
      </c>
      <c r="B6785" s="90">
        <v>8.1131807711258475</v>
      </c>
    </row>
    <row r="6786" spans="1:2">
      <c r="A6786" s="32">
        <v>6773</v>
      </c>
      <c r="B6786" s="90">
        <v>8.2210138578024878</v>
      </c>
    </row>
    <row r="6787" spans="1:2">
      <c r="A6787" s="32">
        <v>6774</v>
      </c>
      <c r="B6787" s="90">
        <v>8.1174517835549711</v>
      </c>
    </row>
    <row r="6788" spans="1:2">
      <c r="A6788" s="32">
        <v>6775</v>
      </c>
      <c r="B6788" s="90">
        <v>8.2264153056596907</v>
      </c>
    </row>
    <row r="6789" spans="1:2">
      <c r="A6789" s="32">
        <v>6776</v>
      </c>
      <c r="B6789" s="90">
        <v>7.7266246026630201</v>
      </c>
    </row>
    <row r="6790" spans="1:2">
      <c r="A6790" s="32">
        <v>6777</v>
      </c>
      <c r="B6790" s="90">
        <v>7.3933660559649201</v>
      </c>
    </row>
    <row r="6791" spans="1:2">
      <c r="A6791" s="32">
        <v>6778</v>
      </c>
      <c r="B6791" s="90">
        <v>7.7520005310451685</v>
      </c>
    </row>
    <row r="6792" spans="1:2">
      <c r="A6792" s="32">
        <v>6779</v>
      </c>
      <c r="B6792" s="90">
        <v>7.4756733004653171</v>
      </c>
    </row>
    <row r="6793" spans="1:2">
      <c r="A6793" s="32">
        <v>6780</v>
      </c>
      <c r="B6793" s="90">
        <v>7.8226935965344024</v>
      </c>
    </row>
    <row r="6794" spans="1:2">
      <c r="A6794" s="32">
        <v>6781</v>
      </c>
      <c r="B6794" s="90">
        <v>7.42202321897682</v>
      </c>
    </row>
    <row r="6795" spans="1:2">
      <c r="A6795" s="32">
        <v>6782</v>
      </c>
      <c r="B6795" s="90">
        <v>8.26172959449943</v>
      </c>
    </row>
    <row r="6796" spans="1:2">
      <c r="A6796" s="32">
        <v>6783</v>
      </c>
      <c r="B6796" s="90">
        <v>7.5806387660886374</v>
      </c>
    </row>
    <row r="6797" spans="1:2">
      <c r="A6797" s="32">
        <v>6784</v>
      </c>
      <c r="B6797" s="90">
        <v>7.8052423617233524</v>
      </c>
    </row>
    <row r="6798" spans="1:2">
      <c r="A6798" s="32">
        <v>6785</v>
      </c>
      <c r="B6798" s="90">
        <v>7.2770724084969114</v>
      </c>
    </row>
    <row r="6799" spans="1:2">
      <c r="A6799" s="32">
        <v>6786</v>
      </c>
      <c r="B6799" s="90">
        <v>8.3839319946077904</v>
      </c>
    </row>
    <row r="6800" spans="1:2">
      <c r="A6800" s="32">
        <v>6787</v>
      </c>
      <c r="B6800" s="90">
        <v>7.6266167930140476</v>
      </c>
    </row>
    <row r="6801" spans="1:2">
      <c r="A6801" s="32">
        <v>6788</v>
      </c>
      <c r="B6801" s="90">
        <v>8.9589953114411252</v>
      </c>
    </row>
    <row r="6802" spans="1:2">
      <c r="A6802" s="32">
        <v>6789</v>
      </c>
      <c r="B6802" s="90">
        <v>9.3006229427624536</v>
      </c>
    </row>
    <row r="6803" spans="1:2">
      <c r="A6803" s="32">
        <v>6790</v>
      </c>
      <c r="B6803" s="90">
        <v>7.6687436782086014</v>
      </c>
    </row>
    <row r="6804" spans="1:2">
      <c r="A6804" s="32">
        <v>6791</v>
      </c>
      <c r="B6804" s="90">
        <v>8.0602565383587113</v>
      </c>
    </row>
    <row r="6805" spans="1:2">
      <c r="A6805" s="32">
        <v>6792</v>
      </c>
      <c r="B6805" s="90">
        <v>8.5712308115668492</v>
      </c>
    </row>
    <row r="6806" spans="1:2">
      <c r="A6806" s="32">
        <v>6793</v>
      </c>
      <c r="B6806" s="90">
        <v>7.7289906778208666</v>
      </c>
    </row>
    <row r="6807" spans="1:2">
      <c r="A6807" s="32">
        <v>6794</v>
      </c>
      <c r="B6807" s="90">
        <v>8.2393283042197165</v>
      </c>
    </row>
    <row r="6808" spans="1:2">
      <c r="A6808" s="32">
        <v>6795</v>
      </c>
      <c r="B6808" s="90">
        <v>7.0970387855475172</v>
      </c>
    </row>
    <row r="6809" spans="1:2">
      <c r="A6809" s="32">
        <v>6796</v>
      </c>
      <c r="B6809" s="90">
        <v>7.3252498281176619</v>
      </c>
    </row>
    <row r="6810" spans="1:2">
      <c r="A6810" s="32">
        <v>6797</v>
      </c>
      <c r="B6810" s="90">
        <v>7.6258882508316246</v>
      </c>
    </row>
    <row r="6811" spans="1:2">
      <c r="A6811" s="32">
        <v>6798</v>
      </c>
      <c r="B6811" s="90">
        <v>9.0116709719531478</v>
      </c>
    </row>
    <row r="6812" spans="1:2">
      <c r="A6812" s="32">
        <v>6799</v>
      </c>
      <c r="B6812" s="90">
        <v>8.1834873919618953</v>
      </c>
    </row>
    <row r="6813" spans="1:2">
      <c r="A6813" s="32">
        <v>6800</v>
      </c>
      <c r="B6813" s="90">
        <v>8.1726540440328765</v>
      </c>
    </row>
    <row r="6814" spans="1:2">
      <c r="A6814" s="32">
        <v>6801</v>
      </c>
      <c r="B6814" s="90">
        <v>7.6835876014440991</v>
      </c>
    </row>
    <row r="6815" spans="1:2">
      <c r="A6815" s="32">
        <v>6802</v>
      </c>
      <c r="B6815" s="90">
        <v>8.3133881976319302</v>
      </c>
    </row>
    <row r="6816" spans="1:2">
      <c r="A6816" s="32">
        <v>6803</v>
      </c>
      <c r="B6816" s="90">
        <v>8.0631979894118917</v>
      </c>
    </row>
    <row r="6817" spans="1:2">
      <c r="A6817" s="32">
        <v>6804</v>
      </c>
      <c r="B6817" s="90">
        <v>8.8858114215261335</v>
      </c>
    </row>
    <row r="6818" spans="1:2">
      <c r="A6818" s="32">
        <v>6805</v>
      </c>
      <c r="B6818" s="90">
        <v>7.9798759931047494</v>
      </c>
    </row>
    <row r="6819" spans="1:2">
      <c r="A6819" s="32">
        <v>6806</v>
      </c>
      <c r="B6819" s="90">
        <v>7.3782027061531066</v>
      </c>
    </row>
    <row r="6820" spans="1:2">
      <c r="A6820" s="32">
        <v>6807</v>
      </c>
      <c r="B6820" s="90">
        <v>7.3865270502615719</v>
      </c>
    </row>
    <row r="6821" spans="1:2">
      <c r="A6821" s="32">
        <v>6808</v>
      </c>
      <c r="B6821" s="90">
        <v>7.4164562664020961</v>
      </c>
    </row>
    <row r="6822" spans="1:2">
      <c r="A6822" s="32">
        <v>6809</v>
      </c>
      <c r="B6822" s="90">
        <v>7.9425135520661989</v>
      </c>
    </row>
    <row r="6823" spans="1:2">
      <c r="A6823" s="32">
        <v>6810</v>
      </c>
      <c r="B6823" s="90">
        <v>9.3100665901515178</v>
      </c>
    </row>
    <row r="6824" spans="1:2">
      <c r="A6824" s="32">
        <v>6811</v>
      </c>
      <c r="B6824" s="90">
        <v>6.9936567353238903</v>
      </c>
    </row>
    <row r="6825" spans="1:2">
      <c r="A6825" s="32">
        <v>6812</v>
      </c>
      <c r="B6825" s="90">
        <v>8.9050014087611782</v>
      </c>
    </row>
    <row r="6826" spans="1:2">
      <c r="A6826" s="32">
        <v>6813</v>
      </c>
      <c r="B6826" s="90">
        <v>7.5307877716698641</v>
      </c>
    </row>
    <row r="6827" spans="1:2">
      <c r="A6827" s="32">
        <v>6814</v>
      </c>
      <c r="B6827" s="90">
        <v>7.3019038537028873</v>
      </c>
    </row>
    <row r="6828" spans="1:2">
      <c r="A6828" s="32">
        <v>6815</v>
      </c>
      <c r="B6828" s="90">
        <v>9.6455992239885511</v>
      </c>
    </row>
    <row r="6829" spans="1:2">
      <c r="A6829" s="32">
        <v>6816</v>
      </c>
      <c r="B6829" s="90">
        <v>8.2929488969016703</v>
      </c>
    </row>
    <row r="6830" spans="1:2">
      <c r="A6830" s="32">
        <v>6817</v>
      </c>
      <c r="B6830" s="90">
        <v>7.9190579115893289</v>
      </c>
    </row>
    <row r="6831" spans="1:2">
      <c r="A6831" s="32">
        <v>6818</v>
      </c>
      <c r="B6831" s="90">
        <v>7.5711462425958089</v>
      </c>
    </row>
    <row r="6832" spans="1:2">
      <c r="A6832" s="32">
        <v>6819</v>
      </c>
      <c r="B6832" s="90">
        <v>7.8506047711914073</v>
      </c>
    </row>
    <row r="6833" spans="1:2">
      <c r="A6833" s="32">
        <v>6820</v>
      </c>
      <c r="B6833" s="90">
        <v>8.9297462118995252</v>
      </c>
    </row>
    <row r="6834" spans="1:2">
      <c r="A6834" s="32">
        <v>6821</v>
      </c>
      <c r="B6834" s="90">
        <v>7.8006241858326737</v>
      </c>
    </row>
    <row r="6835" spans="1:2">
      <c r="A6835" s="32">
        <v>6822</v>
      </c>
      <c r="B6835" s="90">
        <v>7.2900345230824621</v>
      </c>
    </row>
    <row r="6836" spans="1:2">
      <c r="A6836" s="32">
        <v>6823</v>
      </c>
      <c r="B6836" s="90">
        <v>8.9735444176855257</v>
      </c>
    </row>
    <row r="6837" spans="1:2">
      <c r="A6837" s="32">
        <v>6824</v>
      </c>
      <c r="B6837" s="90">
        <v>7.176988005969581</v>
      </c>
    </row>
    <row r="6838" spans="1:2">
      <c r="A6838" s="32">
        <v>6825</v>
      </c>
      <c r="B6838" s="90">
        <v>8.4329927154873943</v>
      </c>
    </row>
    <row r="6839" spans="1:2">
      <c r="A6839" s="32">
        <v>6826</v>
      </c>
      <c r="B6839" s="90">
        <v>8.2569067610519156</v>
      </c>
    </row>
    <row r="6840" spans="1:2">
      <c r="A6840" s="32">
        <v>6827</v>
      </c>
      <c r="B6840" s="90">
        <v>7.585962049827045</v>
      </c>
    </row>
    <row r="6841" spans="1:2">
      <c r="A6841" s="32">
        <v>6828</v>
      </c>
      <c r="B6841" s="90">
        <v>8.1942162872983051</v>
      </c>
    </row>
    <row r="6842" spans="1:2">
      <c r="A6842" s="32">
        <v>6829</v>
      </c>
      <c r="B6842" s="90">
        <v>7.8768889768168595</v>
      </c>
    </row>
    <row r="6843" spans="1:2">
      <c r="A6843" s="32">
        <v>6830</v>
      </c>
      <c r="B6843" s="90">
        <v>7.0953198106543365</v>
      </c>
    </row>
    <row r="6844" spans="1:2">
      <c r="A6844" s="32">
        <v>6831</v>
      </c>
      <c r="B6844" s="90">
        <v>8.3506488583732832</v>
      </c>
    </row>
    <row r="6845" spans="1:2">
      <c r="A6845" s="32">
        <v>6832</v>
      </c>
      <c r="B6845" s="90">
        <v>8.0334228671029368</v>
      </c>
    </row>
    <row r="6846" spans="1:2">
      <c r="A6846" s="32">
        <v>6833</v>
      </c>
      <c r="B6846" s="90">
        <v>9.1023043780241437</v>
      </c>
    </row>
    <row r="6847" spans="1:2">
      <c r="A6847" s="32">
        <v>6834</v>
      </c>
      <c r="B6847" s="90">
        <v>8.1272482665261894</v>
      </c>
    </row>
    <row r="6848" spans="1:2">
      <c r="A6848" s="32">
        <v>6835</v>
      </c>
      <c r="B6848" s="90">
        <v>8.2617039349281054</v>
      </c>
    </row>
    <row r="6849" spans="1:2">
      <c r="A6849" s="32">
        <v>6836</v>
      </c>
      <c r="B6849" s="90">
        <v>7.7535280091433911</v>
      </c>
    </row>
    <row r="6850" spans="1:2">
      <c r="A6850" s="32">
        <v>6837</v>
      </c>
      <c r="B6850" s="90">
        <v>8.9094529684741328</v>
      </c>
    </row>
    <row r="6851" spans="1:2">
      <c r="A6851" s="32">
        <v>6838</v>
      </c>
      <c r="B6851" s="90">
        <v>9.4141711202979828</v>
      </c>
    </row>
    <row r="6852" spans="1:2">
      <c r="A6852" s="32">
        <v>6839</v>
      </c>
      <c r="B6852" s="90">
        <v>7.362236312518375</v>
      </c>
    </row>
    <row r="6853" spans="1:2">
      <c r="A6853" s="32">
        <v>6840</v>
      </c>
      <c r="B6853" s="90">
        <v>8.4089145544324388</v>
      </c>
    </row>
    <row r="6854" spans="1:2">
      <c r="A6854" s="32">
        <v>6841</v>
      </c>
      <c r="B6854" s="90">
        <v>7.9599289441058181</v>
      </c>
    </row>
    <row r="6855" spans="1:2">
      <c r="A6855" s="32">
        <v>6842</v>
      </c>
      <c r="B6855" s="90">
        <v>8.0532512252405937</v>
      </c>
    </row>
    <row r="6856" spans="1:2">
      <c r="A6856" s="32">
        <v>6843</v>
      </c>
      <c r="B6856" s="90">
        <v>7.2790358985669812</v>
      </c>
    </row>
    <row r="6857" spans="1:2">
      <c r="A6857" s="32">
        <v>6844</v>
      </c>
      <c r="B6857" s="90">
        <v>8.761522116314751</v>
      </c>
    </row>
    <row r="6858" spans="1:2">
      <c r="A6858" s="32">
        <v>6845</v>
      </c>
      <c r="B6858" s="90">
        <v>7.9657222636997282</v>
      </c>
    </row>
    <row r="6859" spans="1:2">
      <c r="A6859" s="32">
        <v>6846</v>
      </c>
      <c r="B6859" s="90">
        <v>8.6886670173281555</v>
      </c>
    </row>
    <row r="6860" spans="1:2">
      <c r="A6860" s="32">
        <v>6847</v>
      </c>
      <c r="B6860" s="90">
        <v>7.9393101120358249</v>
      </c>
    </row>
    <row r="6861" spans="1:2">
      <c r="A6861" s="32">
        <v>6848</v>
      </c>
      <c r="B6861" s="90">
        <v>9.0535122154087269</v>
      </c>
    </row>
    <row r="6862" spans="1:2">
      <c r="A6862" s="32">
        <v>6849</v>
      </c>
      <c r="B6862" s="90">
        <v>7.1115733996820047</v>
      </c>
    </row>
    <row r="6863" spans="1:2">
      <c r="A6863" s="32">
        <v>6850</v>
      </c>
      <c r="B6863" s="90">
        <v>8.6005458040730787</v>
      </c>
    </row>
    <row r="6864" spans="1:2">
      <c r="A6864" s="32">
        <v>6851</v>
      </c>
      <c r="B6864" s="90">
        <v>8.7076728681315174</v>
      </c>
    </row>
    <row r="6865" spans="1:2">
      <c r="A6865" s="32">
        <v>6852</v>
      </c>
      <c r="B6865" s="90">
        <v>8.2172226074591581</v>
      </c>
    </row>
    <row r="6866" spans="1:2">
      <c r="A6866" s="32">
        <v>6853</v>
      </c>
      <c r="B6866" s="90">
        <v>7.6742452049561525</v>
      </c>
    </row>
    <row r="6867" spans="1:2">
      <c r="A6867" s="32">
        <v>6854</v>
      </c>
      <c r="B6867" s="90">
        <v>8.4256838616651759</v>
      </c>
    </row>
    <row r="6868" spans="1:2">
      <c r="A6868" s="32">
        <v>6855</v>
      </c>
      <c r="B6868" s="90">
        <v>8.1293735633007014</v>
      </c>
    </row>
    <row r="6869" spans="1:2">
      <c r="A6869" s="32">
        <v>6856</v>
      </c>
      <c r="B6869" s="90">
        <v>7.618366469097877</v>
      </c>
    </row>
    <row r="6870" spans="1:2">
      <c r="A6870" s="32">
        <v>6857</v>
      </c>
      <c r="B6870" s="90">
        <v>8.2622307099586401</v>
      </c>
    </row>
    <row r="6871" spans="1:2">
      <c r="A6871" s="32">
        <v>6858</v>
      </c>
      <c r="B6871" s="90">
        <v>7.6838757962167179</v>
      </c>
    </row>
    <row r="6872" spans="1:2">
      <c r="A6872" s="32">
        <v>6859</v>
      </c>
      <c r="B6872" s="90">
        <v>8.5328171760979696</v>
      </c>
    </row>
    <row r="6873" spans="1:2">
      <c r="A6873" s="32">
        <v>6860</v>
      </c>
      <c r="B6873" s="90">
        <v>7.6060784388626876</v>
      </c>
    </row>
    <row r="6874" spans="1:2">
      <c r="A6874" s="32">
        <v>6861</v>
      </c>
      <c r="B6874" s="90">
        <v>10.152283056062343</v>
      </c>
    </row>
    <row r="6875" spans="1:2">
      <c r="A6875" s="32">
        <v>6862</v>
      </c>
      <c r="B6875" s="90">
        <v>7.861365845029419</v>
      </c>
    </row>
    <row r="6876" spans="1:2">
      <c r="A6876" s="32">
        <v>6863</v>
      </c>
      <c r="B6876" s="90">
        <v>7.9969655681575169</v>
      </c>
    </row>
    <row r="6877" spans="1:2">
      <c r="A6877" s="32">
        <v>6864</v>
      </c>
      <c r="B6877" s="90">
        <v>7.950467391031026</v>
      </c>
    </row>
    <row r="6878" spans="1:2">
      <c r="A6878" s="32">
        <v>6865</v>
      </c>
      <c r="B6878" s="90">
        <v>8.1850125974957937</v>
      </c>
    </row>
    <row r="6879" spans="1:2">
      <c r="A6879" s="32">
        <v>6866</v>
      </c>
      <c r="B6879" s="90">
        <v>8.7663793063004416</v>
      </c>
    </row>
    <row r="6880" spans="1:2">
      <c r="A6880" s="32">
        <v>6867</v>
      </c>
      <c r="B6880" s="90">
        <v>9.0421471410513892</v>
      </c>
    </row>
    <row r="6881" spans="1:2">
      <c r="A6881" s="32">
        <v>6868</v>
      </c>
      <c r="B6881" s="90">
        <v>7.1076111893612692</v>
      </c>
    </row>
    <row r="6882" spans="1:2">
      <c r="A6882" s="32">
        <v>6869</v>
      </c>
      <c r="B6882" s="90">
        <v>7.283229974869494</v>
      </c>
    </row>
    <row r="6883" spans="1:2">
      <c r="A6883" s="32">
        <v>6870</v>
      </c>
      <c r="B6883" s="90">
        <v>8.4191751992312476</v>
      </c>
    </row>
    <row r="6884" spans="1:2">
      <c r="A6884" s="32">
        <v>6871</v>
      </c>
      <c r="B6884" s="90">
        <v>7.6123440291246398</v>
      </c>
    </row>
    <row r="6885" spans="1:2">
      <c r="A6885" s="32">
        <v>6872</v>
      </c>
      <c r="B6885" s="90">
        <v>8.4127232141254442</v>
      </c>
    </row>
    <row r="6886" spans="1:2">
      <c r="A6886" s="32">
        <v>6873</v>
      </c>
      <c r="B6886" s="90">
        <v>9.083160076111211</v>
      </c>
    </row>
    <row r="6887" spans="1:2">
      <c r="A6887" s="32">
        <v>6874</v>
      </c>
      <c r="B6887" s="90">
        <v>7.7398235774832047</v>
      </c>
    </row>
    <row r="6888" spans="1:2">
      <c r="A6888" s="32">
        <v>6875</v>
      </c>
      <c r="B6888" s="90">
        <v>8.0039455116354077</v>
      </c>
    </row>
    <row r="6889" spans="1:2">
      <c r="A6889" s="32">
        <v>6876</v>
      </c>
      <c r="B6889" s="90">
        <v>8.910479461527741</v>
      </c>
    </row>
    <row r="6890" spans="1:2">
      <c r="A6890" s="32">
        <v>6877</v>
      </c>
      <c r="B6890" s="90">
        <v>7.7145671635694031</v>
      </c>
    </row>
    <row r="6891" spans="1:2">
      <c r="A6891" s="32">
        <v>6878</v>
      </c>
      <c r="B6891" s="90">
        <v>8.2703551372311122</v>
      </c>
    </row>
    <row r="6892" spans="1:2">
      <c r="A6892" s="32">
        <v>6879</v>
      </c>
      <c r="B6892" s="90">
        <v>7.4272871311707043</v>
      </c>
    </row>
    <row r="6893" spans="1:2">
      <c r="A6893" s="32">
        <v>6880</v>
      </c>
      <c r="B6893" s="90">
        <v>7.0459845399338725</v>
      </c>
    </row>
    <row r="6894" spans="1:2">
      <c r="A6894" s="32">
        <v>6881</v>
      </c>
      <c r="B6894" s="90">
        <v>7.3854510697685001</v>
      </c>
    </row>
    <row r="6895" spans="1:2">
      <c r="A6895" s="32">
        <v>6882</v>
      </c>
      <c r="B6895" s="90">
        <v>8.3060236746332183</v>
      </c>
    </row>
    <row r="6896" spans="1:2">
      <c r="A6896" s="32">
        <v>6883</v>
      </c>
      <c r="B6896" s="90">
        <v>7.2279018943779416</v>
      </c>
    </row>
    <row r="6897" spans="1:2">
      <c r="A6897" s="32">
        <v>6884</v>
      </c>
      <c r="B6897" s="90">
        <v>7.9942248594819194</v>
      </c>
    </row>
    <row r="6898" spans="1:2">
      <c r="A6898" s="32">
        <v>6885</v>
      </c>
      <c r="B6898" s="90">
        <v>9.7623431653108081</v>
      </c>
    </row>
    <row r="6899" spans="1:2">
      <c r="A6899" s="32">
        <v>6886</v>
      </c>
      <c r="B6899" s="90">
        <v>7.4642507050184941</v>
      </c>
    </row>
    <row r="6900" spans="1:2">
      <c r="A6900" s="32">
        <v>6887</v>
      </c>
      <c r="B6900" s="90">
        <v>7.1711009936898522</v>
      </c>
    </row>
    <row r="6901" spans="1:2">
      <c r="A6901" s="32">
        <v>6888</v>
      </c>
      <c r="B6901" s="90">
        <v>8.3388457145014705</v>
      </c>
    </row>
    <row r="6902" spans="1:2">
      <c r="A6902" s="32">
        <v>6889</v>
      </c>
      <c r="B6902" s="90">
        <v>9.4263426141850086</v>
      </c>
    </row>
    <row r="6903" spans="1:2">
      <c r="A6903" s="32">
        <v>6890</v>
      </c>
      <c r="B6903" s="90">
        <v>7.685139925170664</v>
      </c>
    </row>
    <row r="6904" spans="1:2">
      <c r="A6904" s="32">
        <v>6891</v>
      </c>
      <c r="B6904" s="90">
        <v>8.0012259645978183</v>
      </c>
    </row>
    <row r="6905" spans="1:2">
      <c r="A6905" s="32">
        <v>6892</v>
      </c>
      <c r="B6905" s="90">
        <v>7.9496650281804131</v>
      </c>
    </row>
    <row r="6906" spans="1:2">
      <c r="A6906" s="32">
        <v>6893</v>
      </c>
      <c r="B6906" s="90">
        <v>7.8622742698273154</v>
      </c>
    </row>
    <row r="6907" spans="1:2">
      <c r="A6907" s="32">
        <v>6894</v>
      </c>
      <c r="B6907" s="90">
        <v>6.6463636502617325</v>
      </c>
    </row>
    <row r="6908" spans="1:2">
      <c r="A6908" s="32">
        <v>6895</v>
      </c>
      <c r="B6908" s="90">
        <v>8.7012862648521523</v>
      </c>
    </row>
    <row r="6909" spans="1:2">
      <c r="A6909" s="32">
        <v>6896</v>
      </c>
      <c r="B6909" s="90">
        <v>7.8845689389810909</v>
      </c>
    </row>
    <row r="6910" spans="1:2">
      <c r="A6910" s="32">
        <v>6897</v>
      </c>
      <c r="B6910" s="90">
        <v>6.9318298861162164</v>
      </c>
    </row>
    <row r="6911" spans="1:2">
      <c r="A6911" s="32">
        <v>6898</v>
      </c>
      <c r="B6911" s="90">
        <v>8.4293392907026856</v>
      </c>
    </row>
    <row r="6912" spans="1:2">
      <c r="A6912" s="32">
        <v>6899</v>
      </c>
      <c r="B6912" s="90">
        <v>7.3118860835165851</v>
      </c>
    </row>
    <row r="6913" spans="1:2">
      <c r="A6913" s="32">
        <v>6900</v>
      </c>
      <c r="B6913" s="90">
        <v>6.680270076815102</v>
      </c>
    </row>
    <row r="6914" spans="1:2">
      <c r="A6914" s="32">
        <v>6901</v>
      </c>
      <c r="B6914" s="90">
        <v>7.688378108207897</v>
      </c>
    </row>
    <row r="6915" spans="1:2">
      <c r="A6915" s="32">
        <v>6902</v>
      </c>
      <c r="B6915" s="90">
        <v>6.7385569886124301</v>
      </c>
    </row>
    <row r="6916" spans="1:2">
      <c r="A6916" s="32">
        <v>6903</v>
      </c>
      <c r="B6916" s="90">
        <v>7.5060023667036333</v>
      </c>
    </row>
    <row r="6917" spans="1:2">
      <c r="A6917" s="32">
        <v>6904</v>
      </c>
      <c r="B6917" s="90">
        <v>7.8472052688746023</v>
      </c>
    </row>
    <row r="6918" spans="1:2">
      <c r="A6918" s="32">
        <v>6905</v>
      </c>
      <c r="B6918" s="90">
        <v>8.1053838666594107</v>
      </c>
    </row>
    <row r="6919" spans="1:2">
      <c r="A6919" s="32">
        <v>6906</v>
      </c>
      <c r="B6919" s="90">
        <v>8.1968007111047996</v>
      </c>
    </row>
    <row r="6920" spans="1:2">
      <c r="A6920" s="32">
        <v>6907</v>
      </c>
      <c r="B6920" s="90">
        <v>8.2295062472588931</v>
      </c>
    </row>
    <row r="6921" spans="1:2">
      <c r="A6921" s="32">
        <v>6908</v>
      </c>
      <c r="B6921" s="90">
        <v>8.5085492602787181</v>
      </c>
    </row>
    <row r="6922" spans="1:2">
      <c r="A6922" s="32">
        <v>6909</v>
      </c>
      <c r="B6922" s="90">
        <v>7.0218984051728102</v>
      </c>
    </row>
    <row r="6923" spans="1:2">
      <c r="A6923" s="32">
        <v>6910</v>
      </c>
      <c r="B6923" s="90">
        <v>8.4353332462260511</v>
      </c>
    </row>
    <row r="6924" spans="1:2">
      <c r="A6924" s="32">
        <v>6911</v>
      </c>
      <c r="B6924" s="90">
        <v>6.5012727567006765</v>
      </c>
    </row>
    <row r="6925" spans="1:2">
      <c r="A6925" s="32">
        <v>6912</v>
      </c>
      <c r="B6925" s="90">
        <v>8.3609231676392959</v>
      </c>
    </row>
    <row r="6926" spans="1:2">
      <c r="A6926" s="32">
        <v>6913</v>
      </c>
      <c r="B6926" s="90">
        <v>9.4050879425796321</v>
      </c>
    </row>
    <row r="6927" spans="1:2">
      <c r="A6927" s="32">
        <v>6914</v>
      </c>
      <c r="B6927" s="90">
        <v>8.1820924756608875</v>
      </c>
    </row>
    <row r="6928" spans="1:2">
      <c r="A6928" s="32">
        <v>6915</v>
      </c>
      <c r="B6928" s="90">
        <v>8.6025526326273258</v>
      </c>
    </row>
    <row r="6929" spans="1:2">
      <c r="A6929" s="32">
        <v>6916</v>
      </c>
      <c r="B6929" s="90">
        <v>8.8902518860363617</v>
      </c>
    </row>
    <row r="6930" spans="1:2">
      <c r="A6930" s="32">
        <v>6917</v>
      </c>
      <c r="B6930" s="90">
        <v>9.1846897014523918</v>
      </c>
    </row>
    <row r="6931" spans="1:2">
      <c r="A6931" s="32">
        <v>6918</v>
      </c>
      <c r="B6931" s="90">
        <v>7.723598034400057</v>
      </c>
    </row>
    <row r="6932" spans="1:2">
      <c r="A6932" s="32">
        <v>6919</v>
      </c>
      <c r="B6932" s="90">
        <v>8.7983370888050203</v>
      </c>
    </row>
    <row r="6933" spans="1:2">
      <c r="A6933" s="32">
        <v>6920</v>
      </c>
      <c r="B6933" s="90">
        <v>8.3396600095329187</v>
      </c>
    </row>
    <row r="6934" spans="1:2">
      <c r="A6934" s="32">
        <v>6921</v>
      </c>
      <c r="B6934" s="90">
        <v>7.855443457824097</v>
      </c>
    </row>
    <row r="6935" spans="1:2">
      <c r="A6935" s="32">
        <v>6922</v>
      </c>
      <c r="B6935" s="90">
        <v>8.405497463630109</v>
      </c>
    </row>
    <row r="6936" spans="1:2">
      <c r="A6936" s="32">
        <v>6923</v>
      </c>
      <c r="B6936" s="90">
        <v>9.8827660608218491</v>
      </c>
    </row>
    <row r="6937" spans="1:2">
      <c r="A6937" s="32">
        <v>6924</v>
      </c>
      <c r="B6937" s="90">
        <v>9.01104640252675</v>
      </c>
    </row>
    <row r="6938" spans="1:2">
      <c r="A6938" s="32">
        <v>6925</v>
      </c>
      <c r="B6938" s="90">
        <v>9.2308747949833112</v>
      </c>
    </row>
    <row r="6939" spans="1:2">
      <c r="A6939" s="32">
        <v>6926</v>
      </c>
      <c r="B6939" s="90">
        <v>7.7730912086712136</v>
      </c>
    </row>
    <row r="6940" spans="1:2">
      <c r="A6940" s="32">
        <v>6927</v>
      </c>
      <c r="B6940" s="90">
        <v>7.7592971162904227</v>
      </c>
    </row>
    <row r="6941" spans="1:2">
      <c r="A6941" s="32">
        <v>6928</v>
      </c>
      <c r="B6941" s="90">
        <v>7.2334192168315798</v>
      </c>
    </row>
    <row r="6942" spans="1:2">
      <c r="A6942" s="32">
        <v>6929</v>
      </c>
      <c r="B6942" s="90">
        <v>9.1755485257444676</v>
      </c>
    </row>
    <row r="6943" spans="1:2">
      <c r="A6943" s="32">
        <v>6930</v>
      </c>
      <c r="B6943" s="90">
        <v>8.7948533132306697</v>
      </c>
    </row>
    <row r="6944" spans="1:2">
      <c r="A6944" s="32">
        <v>6931</v>
      </c>
      <c r="B6944" s="90">
        <v>7.1408839272907176</v>
      </c>
    </row>
    <row r="6945" spans="1:2">
      <c r="A6945" s="32">
        <v>6932</v>
      </c>
      <c r="B6945" s="90">
        <v>7.1776795465092658</v>
      </c>
    </row>
    <row r="6946" spans="1:2">
      <c r="A6946" s="32">
        <v>6933</v>
      </c>
      <c r="B6946" s="90">
        <v>8.1180485101360631</v>
      </c>
    </row>
    <row r="6947" spans="1:2">
      <c r="A6947" s="32">
        <v>6934</v>
      </c>
      <c r="B6947" s="90">
        <v>8.5718139082291263</v>
      </c>
    </row>
    <row r="6948" spans="1:2">
      <c r="A6948" s="32">
        <v>6935</v>
      </c>
      <c r="B6948" s="90">
        <v>8.3489458174716766</v>
      </c>
    </row>
    <row r="6949" spans="1:2">
      <c r="A6949" s="32">
        <v>6936</v>
      </c>
      <c r="B6949" s="90">
        <v>8.4569288123253248</v>
      </c>
    </row>
    <row r="6950" spans="1:2">
      <c r="A6950" s="32">
        <v>6937</v>
      </c>
      <c r="B6950" s="90">
        <v>8.1312618987535199</v>
      </c>
    </row>
    <row r="6951" spans="1:2">
      <c r="A6951" s="32">
        <v>6938</v>
      </c>
      <c r="B6951" s="90">
        <v>7.327994318974139</v>
      </c>
    </row>
    <row r="6952" spans="1:2">
      <c r="A6952" s="32">
        <v>6939</v>
      </c>
      <c r="B6952" s="90">
        <v>7.9934034016517783</v>
      </c>
    </row>
    <row r="6953" spans="1:2">
      <c r="A6953" s="32">
        <v>6940</v>
      </c>
      <c r="B6953" s="90">
        <v>7.7346014432422532</v>
      </c>
    </row>
    <row r="6954" spans="1:2">
      <c r="A6954" s="32">
        <v>6941</v>
      </c>
      <c r="B6954" s="90">
        <v>7.2894655630110581</v>
      </c>
    </row>
    <row r="6955" spans="1:2">
      <c r="A6955" s="32">
        <v>6942</v>
      </c>
      <c r="B6955" s="90">
        <v>7.5783037642816522</v>
      </c>
    </row>
    <row r="6956" spans="1:2">
      <c r="A6956" s="32">
        <v>6943</v>
      </c>
      <c r="B6956" s="90">
        <v>8.3236751913313967</v>
      </c>
    </row>
    <row r="6957" spans="1:2">
      <c r="A6957" s="32">
        <v>6944</v>
      </c>
      <c r="B6957" s="90">
        <v>8.5112691231960653</v>
      </c>
    </row>
    <row r="6958" spans="1:2">
      <c r="A6958" s="32">
        <v>6945</v>
      </c>
      <c r="B6958" s="90">
        <v>8.2878967001081332</v>
      </c>
    </row>
    <row r="6959" spans="1:2">
      <c r="A6959" s="32">
        <v>6946</v>
      </c>
      <c r="B6959" s="90">
        <v>9.4017609099819666</v>
      </c>
    </row>
    <row r="6960" spans="1:2">
      <c r="A6960" s="32">
        <v>6947</v>
      </c>
      <c r="B6960" s="90">
        <v>8.3849631566669611</v>
      </c>
    </row>
    <row r="6961" spans="1:2">
      <c r="A6961" s="32">
        <v>6948</v>
      </c>
      <c r="B6961" s="90">
        <v>9.51896677153354</v>
      </c>
    </row>
    <row r="6962" spans="1:2">
      <c r="A6962" s="32">
        <v>6949</v>
      </c>
      <c r="B6962" s="90">
        <v>8.7914096204485208</v>
      </c>
    </row>
    <row r="6963" spans="1:2">
      <c r="A6963" s="32">
        <v>6950</v>
      </c>
      <c r="B6963" s="90">
        <v>7.2888604445191705</v>
      </c>
    </row>
    <row r="6964" spans="1:2">
      <c r="A6964" s="32">
        <v>6951</v>
      </c>
      <c r="B6964" s="90">
        <v>7.6680969384048376</v>
      </c>
    </row>
    <row r="6965" spans="1:2">
      <c r="A6965" s="32">
        <v>6952</v>
      </c>
      <c r="B6965" s="90">
        <v>6.8475126827858217</v>
      </c>
    </row>
    <row r="6966" spans="1:2">
      <c r="A6966" s="32">
        <v>6953</v>
      </c>
      <c r="B6966" s="90">
        <v>8.217754673401382</v>
      </c>
    </row>
    <row r="6967" spans="1:2">
      <c r="A6967" s="32">
        <v>6954</v>
      </c>
      <c r="B6967" s="90">
        <v>7.4715898783413159</v>
      </c>
    </row>
    <row r="6968" spans="1:2">
      <c r="A6968" s="32">
        <v>6955</v>
      </c>
      <c r="B6968" s="90">
        <v>7.8631576320841434</v>
      </c>
    </row>
    <row r="6969" spans="1:2">
      <c r="A6969" s="32">
        <v>6956</v>
      </c>
      <c r="B6969" s="90">
        <v>6.8230224454829331</v>
      </c>
    </row>
    <row r="6970" spans="1:2">
      <c r="A6970" s="32">
        <v>6957</v>
      </c>
      <c r="B6970" s="90">
        <v>7.3057938894218877</v>
      </c>
    </row>
    <row r="6971" spans="1:2">
      <c r="A6971" s="32">
        <v>6958</v>
      </c>
      <c r="B6971" s="90">
        <v>8.024215928568859</v>
      </c>
    </row>
    <row r="6972" spans="1:2">
      <c r="A6972" s="32">
        <v>6959</v>
      </c>
      <c r="B6972" s="90">
        <v>9.4610213670252516</v>
      </c>
    </row>
    <row r="6973" spans="1:2">
      <c r="A6973" s="32">
        <v>6960</v>
      </c>
      <c r="B6973" s="90">
        <v>7.6581672324053738</v>
      </c>
    </row>
    <row r="6974" spans="1:2">
      <c r="A6974" s="32">
        <v>6961</v>
      </c>
      <c r="B6974" s="90">
        <v>7.874791651605034</v>
      </c>
    </row>
    <row r="6975" spans="1:2">
      <c r="A6975" s="32">
        <v>6962</v>
      </c>
      <c r="B6975" s="90">
        <v>10.140353087518335</v>
      </c>
    </row>
    <row r="6976" spans="1:2">
      <c r="A6976" s="32">
        <v>6963</v>
      </c>
      <c r="B6976" s="90">
        <v>7.7580629196879958</v>
      </c>
    </row>
    <row r="6977" spans="1:2">
      <c r="A6977" s="32">
        <v>6964</v>
      </c>
      <c r="B6977" s="90">
        <v>7.2084142499970101</v>
      </c>
    </row>
    <row r="6978" spans="1:2">
      <c r="A6978" s="32">
        <v>6965</v>
      </c>
      <c r="B6978" s="90">
        <v>8.5558079228003194</v>
      </c>
    </row>
    <row r="6979" spans="1:2">
      <c r="A6979" s="32">
        <v>6966</v>
      </c>
      <c r="B6979" s="90">
        <v>8.0438204157629869</v>
      </c>
    </row>
    <row r="6980" spans="1:2">
      <c r="A6980" s="32">
        <v>6967</v>
      </c>
      <c r="B6980" s="90">
        <v>8.8795418999142388</v>
      </c>
    </row>
    <row r="6981" spans="1:2">
      <c r="A6981" s="32">
        <v>6968</v>
      </c>
      <c r="B6981" s="90">
        <v>8.1273744261244278</v>
      </c>
    </row>
    <row r="6982" spans="1:2">
      <c r="A6982" s="32">
        <v>6969</v>
      </c>
      <c r="B6982" s="90">
        <v>7.7177103840201191</v>
      </c>
    </row>
    <row r="6983" spans="1:2">
      <c r="A6983" s="32">
        <v>6970</v>
      </c>
      <c r="B6983" s="90">
        <v>8.8554574989202486</v>
      </c>
    </row>
    <row r="6984" spans="1:2">
      <c r="A6984" s="32">
        <v>6971</v>
      </c>
      <c r="B6984" s="90">
        <v>8.7104551080781984</v>
      </c>
    </row>
    <row r="6985" spans="1:2">
      <c r="A6985" s="32">
        <v>6972</v>
      </c>
      <c r="B6985" s="90">
        <v>8.3030717017679923</v>
      </c>
    </row>
    <row r="6986" spans="1:2">
      <c r="A6986" s="32">
        <v>6973</v>
      </c>
      <c r="B6986" s="90">
        <v>8.0272297460303399</v>
      </c>
    </row>
    <row r="6987" spans="1:2">
      <c r="A6987" s="32">
        <v>6974</v>
      </c>
      <c r="B6987" s="90">
        <v>7.4663211731409858</v>
      </c>
    </row>
    <row r="6988" spans="1:2">
      <c r="A6988" s="32">
        <v>6975</v>
      </c>
      <c r="B6988" s="90">
        <v>8.5370986164276417</v>
      </c>
    </row>
    <row r="6989" spans="1:2">
      <c r="A6989" s="32">
        <v>6976</v>
      </c>
      <c r="B6989" s="90">
        <v>7.385164932634817</v>
      </c>
    </row>
    <row r="6990" spans="1:2">
      <c r="A6990" s="32">
        <v>6977</v>
      </c>
      <c r="B6990" s="90">
        <v>8.5576396337616192</v>
      </c>
    </row>
    <row r="6991" spans="1:2">
      <c r="A6991" s="32">
        <v>6978</v>
      </c>
      <c r="B6991" s="90">
        <v>7.9290607328155529</v>
      </c>
    </row>
    <row r="6992" spans="1:2">
      <c r="A6992" s="32">
        <v>6979</v>
      </c>
      <c r="B6992" s="90">
        <v>7.088795751852575</v>
      </c>
    </row>
    <row r="6993" spans="1:2">
      <c r="A6993" s="32">
        <v>6980</v>
      </c>
      <c r="B6993" s="90">
        <v>8.7421008392106216</v>
      </c>
    </row>
    <row r="6994" spans="1:2">
      <c r="A6994" s="32">
        <v>6981</v>
      </c>
      <c r="B6994" s="90">
        <v>8.2439016516640233</v>
      </c>
    </row>
    <row r="6995" spans="1:2">
      <c r="A6995" s="32">
        <v>6982</v>
      </c>
      <c r="B6995" s="90">
        <v>8.4035819988642313</v>
      </c>
    </row>
    <row r="6996" spans="1:2">
      <c r="A6996" s="32">
        <v>6983</v>
      </c>
      <c r="B6996" s="90">
        <v>8.8720987341055864</v>
      </c>
    </row>
    <row r="6997" spans="1:2">
      <c r="A6997" s="32">
        <v>6984</v>
      </c>
      <c r="B6997" s="90">
        <v>6.9235317712952984</v>
      </c>
    </row>
    <row r="6998" spans="1:2">
      <c r="A6998" s="32">
        <v>6985</v>
      </c>
      <c r="B6998" s="90">
        <v>8.7118776524614567</v>
      </c>
    </row>
    <row r="6999" spans="1:2">
      <c r="A6999" s="32">
        <v>6986</v>
      </c>
      <c r="B6999" s="90">
        <v>8.565471929814537</v>
      </c>
    </row>
    <row r="7000" spans="1:2">
      <c r="A7000" s="32">
        <v>6987</v>
      </c>
      <c r="B7000" s="90">
        <v>8.2567762519866772</v>
      </c>
    </row>
    <row r="7001" spans="1:2">
      <c r="A7001" s="32">
        <v>6988</v>
      </c>
      <c r="B7001" s="90">
        <v>8.9258768169284579</v>
      </c>
    </row>
    <row r="7002" spans="1:2">
      <c r="A7002" s="32">
        <v>6989</v>
      </c>
      <c r="B7002" s="90">
        <v>8.0647965183232486</v>
      </c>
    </row>
    <row r="7003" spans="1:2">
      <c r="A7003" s="32">
        <v>6990</v>
      </c>
      <c r="B7003" s="90">
        <v>8.2603645442034654</v>
      </c>
    </row>
    <row r="7004" spans="1:2">
      <c r="A7004" s="32">
        <v>6991</v>
      </c>
      <c r="B7004" s="90">
        <v>8.2980394027064346</v>
      </c>
    </row>
    <row r="7005" spans="1:2">
      <c r="A7005" s="32">
        <v>6992</v>
      </c>
      <c r="B7005" s="90">
        <v>8.0622991696876429</v>
      </c>
    </row>
    <row r="7006" spans="1:2">
      <c r="A7006" s="32">
        <v>6993</v>
      </c>
      <c r="B7006" s="90">
        <v>7.4516139098059995</v>
      </c>
    </row>
    <row r="7007" spans="1:2">
      <c r="A7007" s="32">
        <v>6994</v>
      </c>
      <c r="B7007" s="90">
        <v>8.4341681909970294</v>
      </c>
    </row>
    <row r="7008" spans="1:2">
      <c r="A7008" s="32">
        <v>6995</v>
      </c>
      <c r="B7008" s="90">
        <v>7.5809293439494381</v>
      </c>
    </row>
    <row r="7009" spans="1:2">
      <c r="A7009" s="32">
        <v>6996</v>
      </c>
      <c r="B7009" s="90">
        <v>7.9484111670084969</v>
      </c>
    </row>
    <row r="7010" spans="1:2">
      <c r="A7010" s="32">
        <v>6997</v>
      </c>
      <c r="B7010" s="90">
        <v>7.379782735243829</v>
      </c>
    </row>
    <row r="7011" spans="1:2">
      <c r="A7011" s="32">
        <v>6998</v>
      </c>
      <c r="B7011" s="90">
        <v>7.289115243651743</v>
      </c>
    </row>
    <row r="7012" spans="1:2">
      <c r="A7012" s="32">
        <v>6999</v>
      </c>
      <c r="B7012" s="90">
        <v>8.9982116313642031</v>
      </c>
    </row>
    <row r="7013" spans="1:2">
      <c r="A7013" s="32">
        <v>7000</v>
      </c>
      <c r="B7013" s="90">
        <v>7.9730591761550658</v>
      </c>
    </row>
    <row r="7014" spans="1:2">
      <c r="A7014" s="32">
        <v>7001</v>
      </c>
      <c r="B7014" s="90">
        <v>7.0746952532937506</v>
      </c>
    </row>
    <row r="7015" spans="1:2">
      <c r="A7015" s="32">
        <v>7002</v>
      </c>
      <c r="B7015" s="90">
        <v>8.511691521479074</v>
      </c>
    </row>
    <row r="7016" spans="1:2">
      <c r="A7016" s="32">
        <v>7003</v>
      </c>
      <c r="B7016" s="90">
        <v>6.9280675520550723</v>
      </c>
    </row>
    <row r="7017" spans="1:2">
      <c r="A7017" s="32">
        <v>7004</v>
      </c>
      <c r="B7017" s="90">
        <v>8.7466671480565044</v>
      </c>
    </row>
    <row r="7018" spans="1:2">
      <c r="A7018" s="32">
        <v>7005</v>
      </c>
      <c r="B7018" s="90">
        <v>7.4330198863196371</v>
      </c>
    </row>
    <row r="7019" spans="1:2">
      <c r="A7019" s="32">
        <v>7006</v>
      </c>
      <c r="B7019" s="90">
        <v>8.2282971477546027</v>
      </c>
    </row>
    <row r="7020" spans="1:2">
      <c r="A7020" s="32">
        <v>7007</v>
      </c>
      <c r="B7020" s="90">
        <v>8.0555252271898894</v>
      </c>
    </row>
    <row r="7021" spans="1:2">
      <c r="A7021" s="32">
        <v>7008</v>
      </c>
      <c r="B7021" s="90">
        <v>7.6158042900469001</v>
      </c>
    </row>
    <row r="7022" spans="1:2">
      <c r="A7022" s="32">
        <v>7009</v>
      </c>
      <c r="B7022" s="90">
        <v>7.2546466409694288</v>
      </c>
    </row>
    <row r="7023" spans="1:2">
      <c r="A7023" s="32">
        <v>7010</v>
      </c>
      <c r="B7023" s="90">
        <v>7.1835247942912543</v>
      </c>
    </row>
    <row r="7024" spans="1:2">
      <c r="A7024" s="32">
        <v>7011</v>
      </c>
      <c r="B7024" s="90">
        <v>8.7095084621806667</v>
      </c>
    </row>
    <row r="7025" spans="1:2">
      <c r="A7025" s="32">
        <v>7012</v>
      </c>
      <c r="B7025" s="90">
        <v>7.8541963759474207</v>
      </c>
    </row>
    <row r="7026" spans="1:2">
      <c r="A7026" s="32">
        <v>7013</v>
      </c>
      <c r="B7026" s="90">
        <v>8.5897728775816908</v>
      </c>
    </row>
    <row r="7027" spans="1:2">
      <c r="A7027" s="32">
        <v>7014</v>
      </c>
      <c r="B7027" s="90">
        <v>9.2147960115862908</v>
      </c>
    </row>
    <row r="7028" spans="1:2">
      <c r="A7028" s="32">
        <v>7015</v>
      </c>
      <c r="B7028" s="90">
        <v>7.6809232884268726</v>
      </c>
    </row>
    <row r="7029" spans="1:2">
      <c r="A7029" s="32">
        <v>7016</v>
      </c>
      <c r="B7029" s="90">
        <v>7.6734893091069525</v>
      </c>
    </row>
    <row r="7030" spans="1:2">
      <c r="A7030" s="32">
        <v>7017</v>
      </c>
      <c r="B7030" s="90">
        <v>9.179965380855986</v>
      </c>
    </row>
    <row r="7031" spans="1:2">
      <c r="A7031" s="32">
        <v>7018</v>
      </c>
      <c r="B7031" s="90">
        <v>7.1806974551601233</v>
      </c>
    </row>
    <row r="7032" spans="1:2">
      <c r="A7032" s="32">
        <v>7019</v>
      </c>
      <c r="B7032" s="90">
        <v>7.4337794754307671</v>
      </c>
    </row>
    <row r="7033" spans="1:2">
      <c r="A7033" s="32">
        <v>7020</v>
      </c>
      <c r="B7033" s="90">
        <v>7.7604263242980851</v>
      </c>
    </row>
    <row r="7034" spans="1:2">
      <c r="A7034" s="32">
        <v>7021</v>
      </c>
      <c r="B7034" s="90">
        <v>6.9567911321649669</v>
      </c>
    </row>
    <row r="7035" spans="1:2">
      <c r="A7035" s="32">
        <v>7022</v>
      </c>
      <c r="B7035" s="90">
        <v>8.8650342035938365</v>
      </c>
    </row>
    <row r="7036" spans="1:2">
      <c r="A7036" s="32">
        <v>7023</v>
      </c>
      <c r="B7036" s="90">
        <v>8.5624293746940285</v>
      </c>
    </row>
    <row r="7037" spans="1:2">
      <c r="A7037" s="32">
        <v>7024</v>
      </c>
      <c r="B7037" s="90">
        <v>8.9012600447977572</v>
      </c>
    </row>
    <row r="7038" spans="1:2">
      <c r="A7038" s="32">
        <v>7025</v>
      </c>
      <c r="B7038" s="90">
        <v>7.9596671484753774</v>
      </c>
    </row>
    <row r="7039" spans="1:2">
      <c r="A7039" s="32">
        <v>7026</v>
      </c>
      <c r="B7039" s="90">
        <v>8.4213577470540635</v>
      </c>
    </row>
    <row r="7040" spans="1:2">
      <c r="A7040" s="32">
        <v>7027</v>
      </c>
      <c r="B7040" s="90">
        <v>7.5761824744177186</v>
      </c>
    </row>
    <row r="7041" spans="1:2">
      <c r="A7041" s="32">
        <v>7028</v>
      </c>
      <c r="B7041" s="90">
        <v>7.3093948712405581</v>
      </c>
    </row>
    <row r="7042" spans="1:2">
      <c r="A7042" s="32">
        <v>7029</v>
      </c>
      <c r="B7042" s="90">
        <v>8.5742790988080078</v>
      </c>
    </row>
    <row r="7043" spans="1:2">
      <c r="A7043" s="32">
        <v>7030</v>
      </c>
      <c r="B7043" s="90">
        <v>8.6125347489417194</v>
      </c>
    </row>
    <row r="7044" spans="1:2">
      <c r="A7044" s="32">
        <v>7031</v>
      </c>
      <c r="B7044" s="90">
        <v>7.8223003145467471</v>
      </c>
    </row>
    <row r="7045" spans="1:2">
      <c r="A7045" s="32">
        <v>7032</v>
      </c>
      <c r="B7045" s="90">
        <v>9.0959953124694746</v>
      </c>
    </row>
    <row r="7046" spans="1:2">
      <c r="A7046" s="32">
        <v>7033</v>
      </c>
      <c r="B7046" s="90">
        <v>9.6918121796999444</v>
      </c>
    </row>
    <row r="7047" spans="1:2">
      <c r="A7047" s="32">
        <v>7034</v>
      </c>
      <c r="B7047" s="90">
        <v>8.1141891658513412</v>
      </c>
    </row>
    <row r="7048" spans="1:2">
      <c r="A7048" s="32">
        <v>7035</v>
      </c>
      <c r="B7048" s="90">
        <v>6.8413324068462442</v>
      </c>
    </row>
    <row r="7049" spans="1:2">
      <c r="A7049" s="32">
        <v>7036</v>
      </c>
      <c r="B7049" s="90">
        <v>7.0783023884677805</v>
      </c>
    </row>
    <row r="7050" spans="1:2">
      <c r="A7050" s="32">
        <v>7037</v>
      </c>
      <c r="B7050" s="90">
        <v>8.6563264502157224</v>
      </c>
    </row>
    <row r="7051" spans="1:2">
      <c r="A7051" s="32">
        <v>7038</v>
      </c>
      <c r="B7051" s="90">
        <v>8.262538221070109</v>
      </c>
    </row>
    <row r="7052" spans="1:2">
      <c r="A7052" s="32">
        <v>7039</v>
      </c>
      <c r="B7052" s="90">
        <v>8.6191320258449853</v>
      </c>
    </row>
    <row r="7053" spans="1:2">
      <c r="A7053" s="32">
        <v>7040</v>
      </c>
      <c r="B7053" s="90">
        <v>7.3330547978331362</v>
      </c>
    </row>
    <row r="7054" spans="1:2">
      <c r="A7054" s="32">
        <v>7041</v>
      </c>
      <c r="B7054" s="90">
        <v>7.5871725181100977</v>
      </c>
    </row>
    <row r="7055" spans="1:2">
      <c r="A7055" s="32">
        <v>7042</v>
      </c>
      <c r="B7055" s="90">
        <v>6.8927212984431039</v>
      </c>
    </row>
    <row r="7056" spans="1:2">
      <c r="A7056" s="32">
        <v>7043</v>
      </c>
      <c r="B7056" s="90">
        <v>8.8744315017397941</v>
      </c>
    </row>
    <row r="7057" spans="1:2">
      <c r="A7057" s="32">
        <v>7044</v>
      </c>
      <c r="B7057" s="90">
        <v>7.4072780961257019</v>
      </c>
    </row>
    <row r="7058" spans="1:2">
      <c r="A7058" s="32">
        <v>7045</v>
      </c>
      <c r="B7058" s="90">
        <v>6.803602899019185</v>
      </c>
    </row>
    <row r="7059" spans="1:2">
      <c r="A7059" s="32">
        <v>7046</v>
      </c>
      <c r="B7059" s="90">
        <v>8.3908393611556331</v>
      </c>
    </row>
    <row r="7060" spans="1:2">
      <c r="A7060" s="32">
        <v>7047</v>
      </c>
      <c r="B7060" s="90">
        <v>10.046627902409634</v>
      </c>
    </row>
    <row r="7061" spans="1:2">
      <c r="A7061" s="32">
        <v>7048</v>
      </c>
      <c r="B7061" s="90">
        <v>8.8728785777901038</v>
      </c>
    </row>
    <row r="7062" spans="1:2">
      <c r="A7062" s="32">
        <v>7049</v>
      </c>
      <c r="B7062" s="90">
        <v>8.1137974224442182</v>
      </c>
    </row>
    <row r="7063" spans="1:2">
      <c r="A7063" s="32">
        <v>7050</v>
      </c>
      <c r="B7063" s="90">
        <v>9.0082675217842052</v>
      </c>
    </row>
    <row r="7064" spans="1:2">
      <c r="A7064" s="32">
        <v>7051</v>
      </c>
      <c r="B7064" s="90">
        <v>9.7557437737506145</v>
      </c>
    </row>
    <row r="7065" spans="1:2">
      <c r="A7065" s="32">
        <v>7052</v>
      </c>
      <c r="B7065" s="90">
        <v>8.1956776009175982</v>
      </c>
    </row>
    <row r="7066" spans="1:2">
      <c r="A7066" s="32">
        <v>7053</v>
      </c>
      <c r="B7066" s="90">
        <v>8.8000847925892511</v>
      </c>
    </row>
    <row r="7067" spans="1:2">
      <c r="A7067" s="32">
        <v>7054</v>
      </c>
      <c r="B7067" s="90">
        <v>8.201745782116749</v>
      </c>
    </row>
    <row r="7068" spans="1:2">
      <c r="A7068" s="32">
        <v>7055</v>
      </c>
      <c r="B7068" s="90">
        <v>9.2209474593549849</v>
      </c>
    </row>
    <row r="7069" spans="1:2">
      <c r="A7069" s="32">
        <v>7056</v>
      </c>
      <c r="B7069" s="90">
        <v>8.0087039831112996</v>
      </c>
    </row>
    <row r="7070" spans="1:2">
      <c r="A7070" s="32">
        <v>7057</v>
      </c>
      <c r="B7070" s="90">
        <v>6.7567654045469911</v>
      </c>
    </row>
    <row r="7071" spans="1:2">
      <c r="A7071" s="32">
        <v>7058</v>
      </c>
      <c r="B7071" s="90">
        <v>8.6177005513763021</v>
      </c>
    </row>
    <row r="7072" spans="1:2">
      <c r="A7072" s="32">
        <v>7059</v>
      </c>
      <c r="B7072" s="90">
        <v>7.5323607081875679</v>
      </c>
    </row>
    <row r="7073" spans="1:2">
      <c r="A7073" s="32">
        <v>7060</v>
      </c>
      <c r="B7073" s="90">
        <v>8.2086445452369539</v>
      </c>
    </row>
    <row r="7074" spans="1:2">
      <c r="A7074" s="32">
        <v>7061</v>
      </c>
      <c r="B7074" s="90">
        <v>8.1620774931617373</v>
      </c>
    </row>
    <row r="7075" spans="1:2">
      <c r="A7075" s="32">
        <v>7062</v>
      </c>
      <c r="B7075" s="90">
        <v>7.4207964429150426</v>
      </c>
    </row>
    <row r="7076" spans="1:2">
      <c r="A7076" s="32">
        <v>7063</v>
      </c>
      <c r="B7076" s="90">
        <v>6.9809226432766147</v>
      </c>
    </row>
    <row r="7077" spans="1:2">
      <c r="A7077" s="32">
        <v>7064</v>
      </c>
      <c r="B7077" s="90">
        <v>7.5493947871830951</v>
      </c>
    </row>
    <row r="7078" spans="1:2">
      <c r="A7078" s="32">
        <v>7065</v>
      </c>
      <c r="B7078" s="90">
        <v>7.5356696644248506</v>
      </c>
    </row>
    <row r="7079" spans="1:2">
      <c r="A7079" s="32">
        <v>7066</v>
      </c>
      <c r="B7079" s="90">
        <v>7.2711757421136038</v>
      </c>
    </row>
    <row r="7080" spans="1:2">
      <c r="A7080" s="32">
        <v>7067</v>
      </c>
      <c r="B7080" s="90">
        <v>7.6290939860890319</v>
      </c>
    </row>
    <row r="7081" spans="1:2">
      <c r="A7081" s="32">
        <v>7068</v>
      </c>
      <c r="B7081" s="90">
        <v>7.6527618279682024</v>
      </c>
    </row>
    <row r="7082" spans="1:2">
      <c r="A7082" s="32">
        <v>7069</v>
      </c>
      <c r="B7082" s="90">
        <v>7.6039592939924603</v>
      </c>
    </row>
    <row r="7083" spans="1:2">
      <c r="A7083" s="32">
        <v>7070</v>
      </c>
      <c r="B7083" s="90">
        <v>7.4312122572484336</v>
      </c>
    </row>
    <row r="7084" spans="1:2">
      <c r="A7084" s="32">
        <v>7071</v>
      </c>
      <c r="B7084" s="90">
        <v>9.1175637383569494</v>
      </c>
    </row>
    <row r="7085" spans="1:2">
      <c r="A7085" s="32">
        <v>7072</v>
      </c>
      <c r="B7085" s="90">
        <v>8.4940829902826938</v>
      </c>
    </row>
    <row r="7086" spans="1:2">
      <c r="A7086" s="32">
        <v>7073</v>
      </c>
      <c r="B7086" s="90">
        <v>9.2891617401267386</v>
      </c>
    </row>
    <row r="7087" spans="1:2">
      <c r="A7087" s="32">
        <v>7074</v>
      </c>
      <c r="B7087" s="90">
        <v>8.306303736519979</v>
      </c>
    </row>
    <row r="7088" spans="1:2">
      <c r="A7088" s="32">
        <v>7075</v>
      </c>
      <c r="B7088" s="90">
        <v>7.7844050615438602</v>
      </c>
    </row>
    <row r="7089" spans="1:2">
      <c r="A7089" s="32">
        <v>7076</v>
      </c>
      <c r="B7089" s="90">
        <v>7.4390820236438149</v>
      </c>
    </row>
    <row r="7090" spans="1:2">
      <c r="A7090" s="32">
        <v>7077</v>
      </c>
      <c r="B7090" s="90">
        <v>9.4945976024678203</v>
      </c>
    </row>
    <row r="7091" spans="1:2">
      <c r="A7091" s="32">
        <v>7078</v>
      </c>
      <c r="B7091" s="90">
        <v>7.6694983707464965</v>
      </c>
    </row>
    <row r="7092" spans="1:2">
      <c r="A7092" s="32">
        <v>7079</v>
      </c>
      <c r="B7092" s="90">
        <v>8.6515884755332184</v>
      </c>
    </row>
    <row r="7093" spans="1:2">
      <c r="A7093" s="32">
        <v>7080</v>
      </c>
      <c r="B7093" s="90">
        <v>8.2639264253108884</v>
      </c>
    </row>
    <row r="7094" spans="1:2">
      <c r="A7094" s="32">
        <v>7081</v>
      </c>
      <c r="B7094" s="90">
        <v>7.7365616662993109</v>
      </c>
    </row>
    <row r="7095" spans="1:2">
      <c r="A7095" s="32">
        <v>7082</v>
      </c>
      <c r="B7095" s="90">
        <v>9.094832998041575</v>
      </c>
    </row>
    <row r="7096" spans="1:2">
      <c r="A7096" s="32">
        <v>7083</v>
      </c>
      <c r="B7096" s="90">
        <v>8.6023319783755774</v>
      </c>
    </row>
    <row r="7097" spans="1:2">
      <c r="A7097" s="32">
        <v>7084</v>
      </c>
      <c r="B7097" s="90">
        <v>8.8670926806740447</v>
      </c>
    </row>
    <row r="7098" spans="1:2">
      <c r="A7098" s="32">
        <v>7085</v>
      </c>
      <c r="B7098" s="90">
        <v>7.7533549648753013</v>
      </c>
    </row>
    <row r="7099" spans="1:2">
      <c r="A7099" s="32">
        <v>7086</v>
      </c>
      <c r="B7099" s="90">
        <v>8.7697074245115498</v>
      </c>
    </row>
    <row r="7100" spans="1:2">
      <c r="A7100" s="32">
        <v>7087</v>
      </c>
      <c r="B7100" s="90">
        <v>8.3954157997772469</v>
      </c>
    </row>
    <row r="7101" spans="1:2">
      <c r="A7101" s="32">
        <v>7088</v>
      </c>
      <c r="B7101" s="90">
        <v>7.4614455896439313</v>
      </c>
    </row>
    <row r="7102" spans="1:2">
      <c r="A7102" s="32">
        <v>7089</v>
      </c>
      <c r="B7102" s="90">
        <v>9.0069603910529885</v>
      </c>
    </row>
    <row r="7103" spans="1:2">
      <c r="A7103" s="32">
        <v>7090</v>
      </c>
      <c r="B7103" s="90">
        <v>7.4715584728557207</v>
      </c>
    </row>
    <row r="7104" spans="1:2">
      <c r="A7104" s="32">
        <v>7091</v>
      </c>
      <c r="B7104" s="90">
        <v>7.9232077030932011</v>
      </c>
    </row>
    <row r="7105" spans="1:2">
      <c r="A7105" s="32">
        <v>7092</v>
      </c>
      <c r="B7105" s="90">
        <v>7.5112408679469009</v>
      </c>
    </row>
    <row r="7106" spans="1:2">
      <c r="A7106" s="32">
        <v>7093</v>
      </c>
      <c r="B7106" s="90">
        <v>7.005287873482807</v>
      </c>
    </row>
    <row r="7107" spans="1:2">
      <c r="A7107" s="32">
        <v>7094</v>
      </c>
      <c r="B7107" s="90">
        <v>8.0751421161583714</v>
      </c>
    </row>
    <row r="7108" spans="1:2">
      <c r="A7108" s="32">
        <v>7095</v>
      </c>
      <c r="B7108" s="90">
        <v>8.6504965692095031</v>
      </c>
    </row>
    <row r="7109" spans="1:2">
      <c r="A7109" s="32">
        <v>7096</v>
      </c>
      <c r="B7109" s="90">
        <v>7.5125977939518878</v>
      </c>
    </row>
    <row r="7110" spans="1:2">
      <c r="A7110" s="32">
        <v>7097</v>
      </c>
      <c r="B7110" s="90">
        <v>8.3118037074405997</v>
      </c>
    </row>
    <row r="7111" spans="1:2">
      <c r="A7111" s="32">
        <v>7098</v>
      </c>
      <c r="B7111" s="90">
        <v>8.8269504582701135</v>
      </c>
    </row>
    <row r="7112" spans="1:2">
      <c r="A7112" s="32">
        <v>7099</v>
      </c>
      <c r="B7112" s="90">
        <v>7.6799141907116475</v>
      </c>
    </row>
    <row r="7113" spans="1:2">
      <c r="A7113" s="32">
        <v>7100</v>
      </c>
      <c r="B7113" s="90">
        <v>9.0365576779776777</v>
      </c>
    </row>
    <row r="7114" spans="1:2">
      <c r="A7114" s="32">
        <v>7101</v>
      </c>
      <c r="B7114" s="90">
        <v>8.2268124620812433</v>
      </c>
    </row>
    <row r="7115" spans="1:2">
      <c r="A7115" s="32">
        <v>7102</v>
      </c>
      <c r="B7115" s="90">
        <v>9.569530388208312</v>
      </c>
    </row>
    <row r="7116" spans="1:2">
      <c r="A7116" s="32">
        <v>7103</v>
      </c>
      <c r="B7116" s="90">
        <v>8.6085774845121446</v>
      </c>
    </row>
    <row r="7117" spans="1:2">
      <c r="A7117" s="32">
        <v>7104</v>
      </c>
      <c r="B7117" s="90">
        <v>8.3694279225953228</v>
      </c>
    </row>
    <row r="7118" spans="1:2">
      <c r="A7118" s="32">
        <v>7105</v>
      </c>
      <c r="B7118" s="90">
        <v>8.060378229157827</v>
      </c>
    </row>
    <row r="7119" spans="1:2">
      <c r="A7119" s="32">
        <v>7106</v>
      </c>
      <c r="B7119" s="90">
        <v>8.4608620928400438</v>
      </c>
    </row>
    <row r="7120" spans="1:2">
      <c r="A7120" s="32">
        <v>7107</v>
      </c>
      <c r="B7120" s="90">
        <v>7.7631694382040326</v>
      </c>
    </row>
    <row r="7121" spans="1:2">
      <c r="A7121" s="32">
        <v>7108</v>
      </c>
      <c r="B7121" s="90">
        <v>8.578278301796102</v>
      </c>
    </row>
    <row r="7122" spans="1:2">
      <c r="A7122" s="32">
        <v>7109</v>
      </c>
      <c r="B7122" s="90">
        <v>9.0011769448333059</v>
      </c>
    </row>
    <row r="7123" spans="1:2">
      <c r="A7123" s="32">
        <v>7110</v>
      </c>
      <c r="B7123" s="90">
        <v>7.3845615783217404</v>
      </c>
    </row>
    <row r="7124" spans="1:2">
      <c r="A7124" s="32">
        <v>7111</v>
      </c>
      <c r="B7124" s="90">
        <v>9.7202913658308923</v>
      </c>
    </row>
    <row r="7125" spans="1:2">
      <c r="A7125" s="32">
        <v>7112</v>
      </c>
      <c r="B7125" s="90">
        <v>8.4765564571823067</v>
      </c>
    </row>
    <row r="7126" spans="1:2">
      <c r="A7126" s="32">
        <v>7113</v>
      </c>
      <c r="B7126" s="90">
        <v>7.6980987718708116</v>
      </c>
    </row>
    <row r="7127" spans="1:2">
      <c r="A7127" s="32">
        <v>7114</v>
      </c>
      <c r="B7127" s="90">
        <v>8.2776452429337972</v>
      </c>
    </row>
    <row r="7128" spans="1:2">
      <c r="A7128" s="32">
        <v>7115</v>
      </c>
      <c r="B7128" s="90">
        <v>8.5424882224699434</v>
      </c>
    </row>
    <row r="7129" spans="1:2">
      <c r="A7129" s="32">
        <v>7116</v>
      </c>
      <c r="B7129" s="90">
        <v>8.0604208325534827</v>
      </c>
    </row>
    <row r="7130" spans="1:2">
      <c r="A7130" s="32">
        <v>7117</v>
      </c>
      <c r="B7130" s="90">
        <v>8.3260151007384025</v>
      </c>
    </row>
    <row r="7131" spans="1:2">
      <c r="A7131" s="32">
        <v>7118</v>
      </c>
      <c r="B7131" s="90">
        <v>8.3923748663800311</v>
      </c>
    </row>
    <row r="7132" spans="1:2">
      <c r="A7132" s="32">
        <v>7119</v>
      </c>
      <c r="B7132" s="90">
        <v>8.4835734424697904</v>
      </c>
    </row>
    <row r="7133" spans="1:2">
      <c r="A7133" s="32">
        <v>7120</v>
      </c>
      <c r="B7133" s="90">
        <v>7.2466710002487238</v>
      </c>
    </row>
    <row r="7134" spans="1:2">
      <c r="A7134" s="32">
        <v>7121</v>
      </c>
      <c r="B7134" s="90">
        <v>8.3945556427765382</v>
      </c>
    </row>
    <row r="7135" spans="1:2">
      <c r="A7135" s="32">
        <v>7122</v>
      </c>
      <c r="B7135" s="90">
        <v>8.9131793960844856</v>
      </c>
    </row>
    <row r="7136" spans="1:2">
      <c r="A7136" s="32">
        <v>7123</v>
      </c>
      <c r="B7136" s="90">
        <v>7.8727468977201607</v>
      </c>
    </row>
    <row r="7137" spans="1:2">
      <c r="A7137" s="32">
        <v>7124</v>
      </c>
      <c r="B7137" s="90">
        <v>9.0472114192079029</v>
      </c>
    </row>
    <row r="7138" spans="1:2">
      <c r="A7138" s="32">
        <v>7125</v>
      </c>
      <c r="B7138" s="90">
        <v>8.9443466735101129</v>
      </c>
    </row>
    <row r="7139" spans="1:2">
      <c r="A7139" s="32">
        <v>7126</v>
      </c>
      <c r="B7139" s="90">
        <v>8.4305117748185658</v>
      </c>
    </row>
    <row r="7140" spans="1:2">
      <c r="A7140" s="32">
        <v>7127</v>
      </c>
      <c r="B7140" s="90">
        <v>7.3143863635887936</v>
      </c>
    </row>
    <row r="7141" spans="1:2">
      <c r="A7141" s="32">
        <v>7128</v>
      </c>
      <c r="B7141" s="90">
        <v>7.7121090862747135</v>
      </c>
    </row>
    <row r="7142" spans="1:2">
      <c r="A7142" s="32">
        <v>7129</v>
      </c>
      <c r="B7142" s="90">
        <v>7.0993778618009253</v>
      </c>
    </row>
    <row r="7143" spans="1:2">
      <c r="A7143" s="32">
        <v>7130</v>
      </c>
      <c r="B7143" s="90">
        <v>7.9503660588943985</v>
      </c>
    </row>
    <row r="7144" spans="1:2">
      <c r="A7144" s="32">
        <v>7131</v>
      </c>
      <c r="B7144" s="90">
        <v>8.2368963202454779</v>
      </c>
    </row>
    <row r="7145" spans="1:2">
      <c r="A7145" s="32">
        <v>7132</v>
      </c>
      <c r="B7145" s="90">
        <v>8.8169813917494686</v>
      </c>
    </row>
    <row r="7146" spans="1:2">
      <c r="A7146" s="32">
        <v>7133</v>
      </c>
      <c r="B7146" s="90">
        <v>7.6579319479031653</v>
      </c>
    </row>
    <row r="7147" spans="1:2">
      <c r="A7147" s="32">
        <v>7134</v>
      </c>
      <c r="B7147" s="90">
        <v>8.3750761264212841</v>
      </c>
    </row>
    <row r="7148" spans="1:2">
      <c r="A7148" s="32">
        <v>7135</v>
      </c>
      <c r="B7148" s="90">
        <v>8.4019271049042441</v>
      </c>
    </row>
    <row r="7149" spans="1:2">
      <c r="A7149" s="32">
        <v>7136</v>
      </c>
      <c r="B7149" s="90">
        <v>8.3054282180123131</v>
      </c>
    </row>
    <row r="7150" spans="1:2">
      <c r="A7150" s="32">
        <v>7137</v>
      </c>
      <c r="B7150" s="90">
        <v>7.2390878739970947</v>
      </c>
    </row>
    <row r="7151" spans="1:2">
      <c r="A7151" s="32">
        <v>7138</v>
      </c>
      <c r="B7151" s="90">
        <v>8.1251142374164882</v>
      </c>
    </row>
    <row r="7152" spans="1:2">
      <c r="A7152" s="32">
        <v>7139</v>
      </c>
      <c r="B7152" s="90">
        <v>6.8298120361854497</v>
      </c>
    </row>
    <row r="7153" spans="1:2">
      <c r="A7153" s="32">
        <v>7140</v>
      </c>
      <c r="B7153" s="90">
        <v>9.9116665094119547</v>
      </c>
    </row>
    <row r="7154" spans="1:2">
      <c r="A7154" s="32">
        <v>7141</v>
      </c>
      <c r="B7154" s="90">
        <v>8.0295788711673666</v>
      </c>
    </row>
    <row r="7155" spans="1:2">
      <c r="A7155" s="32">
        <v>7142</v>
      </c>
      <c r="B7155" s="90">
        <v>7.9929907700885412</v>
      </c>
    </row>
    <row r="7156" spans="1:2">
      <c r="A7156" s="32">
        <v>7143</v>
      </c>
      <c r="B7156" s="90">
        <v>7.3050913515603613</v>
      </c>
    </row>
    <row r="7157" spans="1:2">
      <c r="A7157" s="32">
        <v>7144</v>
      </c>
      <c r="B7157" s="90">
        <v>8.6682751564934097</v>
      </c>
    </row>
    <row r="7158" spans="1:2">
      <c r="A7158" s="32">
        <v>7145</v>
      </c>
      <c r="B7158" s="90">
        <v>7.7861793976458831</v>
      </c>
    </row>
    <row r="7159" spans="1:2">
      <c r="A7159" s="32">
        <v>7146</v>
      </c>
      <c r="B7159" s="90">
        <v>8.2186912127462026</v>
      </c>
    </row>
    <row r="7160" spans="1:2">
      <c r="A7160" s="32">
        <v>7147</v>
      </c>
      <c r="B7160" s="90">
        <v>8.6576165701015295</v>
      </c>
    </row>
    <row r="7161" spans="1:2">
      <c r="A7161" s="32">
        <v>7148</v>
      </c>
      <c r="B7161" s="90">
        <v>7.1001770986659061</v>
      </c>
    </row>
    <row r="7162" spans="1:2">
      <c r="A7162" s="32">
        <v>7149</v>
      </c>
      <c r="B7162" s="90">
        <v>8.39615205213458</v>
      </c>
    </row>
    <row r="7163" spans="1:2">
      <c r="A7163" s="32">
        <v>7150</v>
      </c>
      <c r="B7163" s="90">
        <v>7.7150414443055144</v>
      </c>
    </row>
    <row r="7164" spans="1:2">
      <c r="A7164" s="32">
        <v>7151</v>
      </c>
      <c r="B7164" s="90">
        <v>9.1610572596134343</v>
      </c>
    </row>
    <row r="7165" spans="1:2">
      <c r="A7165" s="32">
        <v>7152</v>
      </c>
      <c r="B7165" s="90">
        <v>11.263885259519036</v>
      </c>
    </row>
    <row r="7166" spans="1:2">
      <c r="A7166" s="32">
        <v>7153</v>
      </c>
      <c r="B7166" s="90">
        <v>7.7235755483057469</v>
      </c>
    </row>
    <row r="7167" spans="1:2">
      <c r="A7167" s="32">
        <v>7154</v>
      </c>
      <c r="B7167" s="90">
        <v>7.3691020396257363</v>
      </c>
    </row>
    <row r="7168" spans="1:2">
      <c r="A7168" s="32">
        <v>7155</v>
      </c>
      <c r="B7168" s="90">
        <v>7.700466663745976</v>
      </c>
    </row>
    <row r="7169" spans="1:2">
      <c r="A7169" s="32">
        <v>7156</v>
      </c>
      <c r="B7169" s="90">
        <v>7.9067637597995013</v>
      </c>
    </row>
    <row r="7170" spans="1:2">
      <c r="A7170" s="32">
        <v>7157</v>
      </c>
      <c r="B7170" s="90">
        <v>9.4164752419996578</v>
      </c>
    </row>
    <row r="7171" spans="1:2">
      <c r="A7171" s="32">
        <v>7158</v>
      </c>
      <c r="B7171" s="90">
        <v>8.5684689128227394</v>
      </c>
    </row>
    <row r="7172" spans="1:2">
      <c r="A7172" s="32">
        <v>7159</v>
      </c>
      <c r="B7172" s="90">
        <v>8.1878478774560506</v>
      </c>
    </row>
    <row r="7173" spans="1:2">
      <c r="A7173" s="32">
        <v>7160</v>
      </c>
      <c r="B7173" s="90">
        <v>7.6686503774820176</v>
      </c>
    </row>
    <row r="7174" spans="1:2">
      <c r="A7174" s="32">
        <v>7161</v>
      </c>
      <c r="B7174" s="90">
        <v>8.6889360674518539</v>
      </c>
    </row>
    <row r="7175" spans="1:2">
      <c r="A7175" s="32">
        <v>7162</v>
      </c>
      <c r="B7175" s="90">
        <v>8.1292884823592484</v>
      </c>
    </row>
    <row r="7176" spans="1:2">
      <c r="A7176" s="32">
        <v>7163</v>
      </c>
      <c r="B7176" s="90">
        <v>8.3456622806797398</v>
      </c>
    </row>
    <row r="7177" spans="1:2">
      <c r="A7177" s="32">
        <v>7164</v>
      </c>
      <c r="B7177" s="90">
        <v>8.2018828195317557</v>
      </c>
    </row>
    <row r="7178" spans="1:2">
      <c r="A7178" s="32">
        <v>7165</v>
      </c>
      <c r="B7178" s="90">
        <v>7.7249328615204425</v>
      </c>
    </row>
    <row r="7179" spans="1:2">
      <c r="A7179" s="32">
        <v>7166</v>
      </c>
      <c r="B7179" s="90">
        <v>8.39352293357598</v>
      </c>
    </row>
    <row r="7180" spans="1:2">
      <c r="A7180" s="32">
        <v>7167</v>
      </c>
      <c r="B7180" s="90">
        <v>7.7707707331908464</v>
      </c>
    </row>
    <row r="7181" spans="1:2">
      <c r="A7181" s="32">
        <v>7168</v>
      </c>
      <c r="B7181" s="90">
        <v>7.7162746222492506</v>
      </c>
    </row>
    <row r="7182" spans="1:2">
      <c r="A7182" s="32">
        <v>7169</v>
      </c>
      <c r="B7182" s="90">
        <v>8.7522488839672512</v>
      </c>
    </row>
    <row r="7183" spans="1:2">
      <c r="A7183" s="32">
        <v>7170</v>
      </c>
      <c r="B7183" s="90">
        <v>7.2820399568670231</v>
      </c>
    </row>
    <row r="7184" spans="1:2">
      <c r="A7184" s="32">
        <v>7171</v>
      </c>
      <c r="B7184" s="90">
        <v>8.2904594851561342</v>
      </c>
    </row>
    <row r="7185" spans="1:2">
      <c r="A7185" s="32">
        <v>7172</v>
      </c>
      <c r="B7185" s="90">
        <v>8.9106296554562245</v>
      </c>
    </row>
    <row r="7186" spans="1:2">
      <c r="A7186" s="32">
        <v>7173</v>
      </c>
      <c r="B7186" s="90">
        <v>7.8593361537483633</v>
      </c>
    </row>
    <row r="7187" spans="1:2">
      <c r="A7187" s="32">
        <v>7174</v>
      </c>
      <c r="B7187" s="90">
        <v>7.5340020082966834</v>
      </c>
    </row>
    <row r="7188" spans="1:2">
      <c r="A7188" s="32">
        <v>7175</v>
      </c>
      <c r="B7188" s="90">
        <v>8.573964172839899</v>
      </c>
    </row>
    <row r="7189" spans="1:2">
      <c r="A7189" s="32">
        <v>7176</v>
      </c>
      <c r="B7189" s="90">
        <v>8.9237093152598117</v>
      </c>
    </row>
    <row r="7190" spans="1:2">
      <c r="A7190" s="32">
        <v>7177</v>
      </c>
      <c r="B7190" s="90">
        <v>6.994730659355592</v>
      </c>
    </row>
    <row r="7191" spans="1:2">
      <c r="A7191" s="32">
        <v>7178</v>
      </c>
      <c r="B7191" s="90">
        <v>8.8460991630483985</v>
      </c>
    </row>
    <row r="7192" spans="1:2">
      <c r="A7192" s="32">
        <v>7179</v>
      </c>
      <c r="B7192" s="90">
        <v>8.6861956170437828</v>
      </c>
    </row>
    <row r="7193" spans="1:2">
      <c r="A7193" s="32">
        <v>7180</v>
      </c>
      <c r="B7193" s="90">
        <v>7.8876696963103194</v>
      </c>
    </row>
    <row r="7194" spans="1:2">
      <c r="A7194" s="32">
        <v>7181</v>
      </c>
      <c r="B7194" s="90">
        <v>8.6548032994891582</v>
      </c>
    </row>
    <row r="7195" spans="1:2">
      <c r="A7195" s="32">
        <v>7182</v>
      </c>
      <c r="B7195" s="90">
        <v>9.3883609269480583</v>
      </c>
    </row>
    <row r="7196" spans="1:2">
      <c r="A7196" s="32">
        <v>7183</v>
      </c>
      <c r="B7196" s="90">
        <v>7.7236890876561528</v>
      </c>
    </row>
    <row r="7197" spans="1:2">
      <c r="A7197" s="32">
        <v>7184</v>
      </c>
      <c r="B7197" s="90">
        <v>7.7484508796520375</v>
      </c>
    </row>
    <row r="7198" spans="1:2">
      <c r="A7198" s="32">
        <v>7185</v>
      </c>
      <c r="B7198" s="90">
        <v>8.495682639806299</v>
      </c>
    </row>
    <row r="7199" spans="1:2">
      <c r="A7199" s="32">
        <v>7186</v>
      </c>
      <c r="B7199" s="90">
        <v>8.1510595679038911</v>
      </c>
    </row>
    <row r="7200" spans="1:2">
      <c r="A7200" s="32">
        <v>7187</v>
      </c>
      <c r="B7200" s="90">
        <v>8.4484538050982412</v>
      </c>
    </row>
    <row r="7201" spans="1:2">
      <c r="A7201" s="32">
        <v>7188</v>
      </c>
      <c r="B7201" s="90">
        <v>7.7948042607928638</v>
      </c>
    </row>
    <row r="7202" spans="1:2">
      <c r="A7202" s="32">
        <v>7189</v>
      </c>
      <c r="B7202" s="90">
        <v>8.1754513630717742</v>
      </c>
    </row>
    <row r="7203" spans="1:2">
      <c r="A7203" s="32">
        <v>7190</v>
      </c>
      <c r="B7203" s="90">
        <v>7.9919224200055252</v>
      </c>
    </row>
    <row r="7204" spans="1:2">
      <c r="A7204" s="32">
        <v>7191</v>
      </c>
      <c r="B7204" s="90">
        <v>7.2437990179027087</v>
      </c>
    </row>
    <row r="7205" spans="1:2">
      <c r="A7205" s="32">
        <v>7192</v>
      </c>
      <c r="B7205" s="90">
        <v>8.8115836921282007</v>
      </c>
    </row>
    <row r="7206" spans="1:2">
      <c r="A7206" s="32">
        <v>7193</v>
      </c>
      <c r="B7206" s="90">
        <v>7.9936959543054984</v>
      </c>
    </row>
    <row r="7207" spans="1:2">
      <c r="A7207" s="32">
        <v>7194</v>
      </c>
      <c r="B7207" s="90">
        <v>8.0702072876863262</v>
      </c>
    </row>
    <row r="7208" spans="1:2">
      <c r="A7208" s="32">
        <v>7195</v>
      </c>
      <c r="B7208" s="90">
        <v>7.9506281824800435</v>
      </c>
    </row>
    <row r="7209" spans="1:2">
      <c r="A7209" s="32">
        <v>7196</v>
      </c>
      <c r="B7209" s="90">
        <v>7.9743644236370717</v>
      </c>
    </row>
    <row r="7210" spans="1:2">
      <c r="A7210" s="32">
        <v>7197</v>
      </c>
      <c r="B7210" s="90">
        <v>8.4907243383326403</v>
      </c>
    </row>
    <row r="7211" spans="1:2">
      <c r="A7211" s="32">
        <v>7198</v>
      </c>
      <c r="B7211" s="90">
        <v>9.0893396018795993</v>
      </c>
    </row>
    <row r="7212" spans="1:2">
      <c r="A7212" s="32">
        <v>7199</v>
      </c>
      <c r="B7212" s="90">
        <v>7.2796539959790323</v>
      </c>
    </row>
    <row r="7213" spans="1:2">
      <c r="A7213" s="32">
        <v>7200</v>
      </c>
      <c r="B7213" s="90">
        <v>9.4873912401719291</v>
      </c>
    </row>
    <row r="7214" spans="1:2">
      <c r="A7214" s="32">
        <v>7201</v>
      </c>
      <c r="B7214" s="90">
        <v>7.7125138760225429</v>
      </c>
    </row>
    <row r="7215" spans="1:2">
      <c r="A7215" s="32">
        <v>7202</v>
      </c>
      <c r="B7215" s="90">
        <v>9.3615974774005508</v>
      </c>
    </row>
    <row r="7216" spans="1:2">
      <c r="A7216" s="32">
        <v>7203</v>
      </c>
      <c r="B7216" s="90">
        <v>7.6416318002908339</v>
      </c>
    </row>
    <row r="7217" spans="1:2">
      <c r="A7217" s="32">
        <v>7204</v>
      </c>
      <c r="B7217" s="90">
        <v>8.2038206701157428</v>
      </c>
    </row>
    <row r="7218" spans="1:2">
      <c r="A7218" s="32">
        <v>7205</v>
      </c>
      <c r="B7218" s="90">
        <v>8.8472345065416214</v>
      </c>
    </row>
    <row r="7219" spans="1:2">
      <c r="A7219" s="32">
        <v>7206</v>
      </c>
      <c r="B7219" s="90">
        <v>8.5352648287947943</v>
      </c>
    </row>
    <row r="7220" spans="1:2">
      <c r="A7220" s="32">
        <v>7207</v>
      </c>
      <c r="B7220" s="90">
        <v>8.3870493011307214</v>
      </c>
    </row>
    <row r="7221" spans="1:2">
      <c r="A7221" s="32">
        <v>7208</v>
      </c>
      <c r="B7221" s="90">
        <v>7.5587328302720307</v>
      </c>
    </row>
    <row r="7222" spans="1:2">
      <c r="A7222" s="32">
        <v>7209</v>
      </c>
      <c r="B7222" s="90">
        <v>8.2487159357964437</v>
      </c>
    </row>
    <row r="7223" spans="1:2">
      <c r="A7223" s="32">
        <v>7210</v>
      </c>
      <c r="B7223" s="90">
        <v>8.0790703230807637</v>
      </c>
    </row>
    <row r="7224" spans="1:2">
      <c r="A7224" s="32">
        <v>7211</v>
      </c>
      <c r="B7224" s="90">
        <v>7.4492845570519588</v>
      </c>
    </row>
    <row r="7225" spans="1:2">
      <c r="A7225" s="32">
        <v>7212</v>
      </c>
      <c r="B7225" s="90">
        <v>8.4764803255306678</v>
      </c>
    </row>
    <row r="7226" spans="1:2">
      <c r="A7226" s="32">
        <v>7213</v>
      </c>
      <c r="B7226" s="90">
        <v>8.9411948958873761</v>
      </c>
    </row>
    <row r="7227" spans="1:2">
      <c r="A7227" s="32">
        <v>7214</v>
      </c>
      <c r="B7227" s="90">
        <v>8.0178502604628896</v>
      </c>
    </row>
    <row r="7228" spans="1:2">
      <c r="A7228" s="32">
        <v>7215</v>
      </c>
      <c r="B7228" s="90">
        <v>9.1838037923628484</v>
      </c>
    </row>
    <row r="7229" spans="1:2">
      <c r="A7229" s="32">
        <v>7216</v>
      </c>
      <c r="B7229" s="90">
        <v>8.2486248828624582</v>
      </c>
    </row>
    <row r="7230" spans="1:2">
      <c r="A7230" s="32">
        <v>7217</v>
      </c>
      <c r="B7230" s="90">
        <v>7.6947544767730722</v>
      </c>
    </row>
    <row r="7231" spans="1:2">
      <c r="A7231" s="32">
        <v>7218</v>
      </c>
      <c r="B7231" s="90">
        <v>8.8199862075104498</v>
      </c>
    </row>
    <row r="7232" spans="1:2">
      <c r="A7232" s="32">
        <v>7219</v>
      </c>
      <c r="B7232" s="90">
        <v>8.6851407460839916</v>
      </c>
    </row>
    <row r="7233" spans="1:2">
      <c r="A7233" s="32">
        <v>7220</v>
      </c>
      <c r="B7233" s="90">
        <v>8.5240699268151996</v>
      </c>
    </row>
    <row r="7234" spans="1:2">
      <c r="A7234" s="32">
        <v>7221</v>
      </c>
      <c r="B7234" s="90">
        <v>9.2425211042890663</v>
      </c>
    </row>
    <row r="7235" spans="1:2">
      <c r="A7235" s="32">
        <v>7222</v>
      </c>
      <c r="B7235" s="90">
        <v>8.9792116540233149</v>
      </c>
    </row>
    <row r="7236" spans="1:2">
      <c r="A7236" s="32">
        <v>7223</v>
      </c>
      <c r="B7236" s="90">
        <v>8.3838754905311941</v>
      </c>
    </row>
    <row r="7237" spans="1:2">
      <c r="A7237" s="32">
        <v>7224</v>
      </c>
      <c r="B7237" s="90">
        <v>8.3024741360620506</v>
      </c>
    </row>
    <row r="7238" spans="1:2">
      <c r="A7238" s="32">
        <v>7225</v>
      </c>
      <c r="B7238" s="90">
        <v>8.3856747338215154</v>
      </c>
    </row>
    <row r="7239" spans="1:2">
      <c r="A7239" s="32">
        <v>7226</v>
      </c>
      <c r="B7239" s="90">
        <v>7.1428145790553632</v>
      </c>
    </row>
    <row r="7240" spans="1:2">
      <c r="A7240" s="32">
        <v>7227</v>
      </c>
      <c r="B7240" s="90">
        <v>8.7722989153811231</v>
      </c>
    </row>
    <row r="7241" spans="1:2">
      <c r="A7241" s="32">
        <v>7228</v>
      </c>
      <c r="B7241" s="90">
        <v>7.9537906852554947</v>
      </c>
    </row>
    <row r="7242" spans="1:2">
      <c r="A7242" s="32">
        <v>7229</v>
      </c>
      <c r="B7242" s="90">
        <v>9.1392989006437855</v>
      </c>
    </row>
    <row r="7243" spans="1:2">
      <c r="A7243" s="32">
        <v>7230</v>
      </c>
      <c r="B7243" s="90">
        <v>7.2999836150905422</v>
      </c>
    </row>
    <row r="7244" spans="1:2">
      <c r="A7244" s="32">
        <v>7231</v>
      </c>
      <c r="B7244" s="90">
        <v>8.5480561043377534</v>
      </c>
    </row>
    <row r="7245" spans="1:2">
      <c r="A7245" s="32">
        <v>7232</v>
      </c>
      <c r="B7245" s="90">
        <v>7.4253511291193774</v>
      </c>
    </row>
    <row r="7246" spans="1:2">
      <c r="A7246" s="32">
        <v>7233</v>
      </c>
      <c r="B7246" s="90">
        <v>8.9022632631326086</v>
      </c>
    </row>
    <row r="7247" spans="1:2">
      <c r="A7247" s="32">
        <v>7234</v>
      </c>
      <c r="B7247" s="90">
        <v>7.7540844828328455</v>
      </c>
    </row>
    <row r="7248" spans="1:2">
      <c r="A7248" s="32">
        <v>7235</v>
      </c>
      <c r="B7248" s="90">
        <v>7.101906792637033</v>
      </c>
    </row>
    <row r="7249" spans="1:2">
      <c r="A7249" s="32">
        <v>7236</v>
      </c>
      <c r="B7249" s="90">
        <v>7.0735082661939366</v>
      </c>
    </row>
    <row r="7250" spans="1:2">
      <c r="A7250" s="32">
        <v>7237</v>
      </c>
      <c r="B7250" s="90">
        <v>8.6728205396458549</v>
      </c>
    </row>
    <row r="7251" spans="1:2">
      <c r="A7251" s="32">
        <v>7238</v>
      </c>
      <c r="B7251" s="90">
        <v>8.0260783632640482</v>
      </c>
    </row>
    <row r="7252" spans="1:2">
      <c r="A7252" s="32">
        <v>7239</v>
      </c>
      <c r="B7252" s="90">
        <v>8.0229593170565643</v>
      </c>
    </row>
    <row r="7253" spans="1:2">
      <c r="A7253" s="32">
        <v>7240</v>
      </c>
      <c r="B7253" s="90">
        <v>7.2830390165855787</v>
      </c>
    </row>
    <row r="7254" spans="1:2">
      <c r="A7254" s="32">
        <v>7241</v>
      </c>
      <c r="B7254" s="90">
        <v>8.3258569367734747</v>
      </c>
    </row>
    <row r="7255" spans="1:2">
      <c r="A7255" s="32">
        <v>7242</v>
      </c>
      <c r="B7255" s="90">
        <v>9.15417271694146</v>
      </c>
    </row>
    <row r="7256" spans="1:2">
      <c r="A7256" s="32">
        <v>7243</v>
      </c>
      <c r="B7256" s="90">
        <v>6.8966658826492431</v>
      </c>
    </row>
    <row r="7257" spans="1:2">
      <c r="A7257" s="32">
        <v>7244</v>
      </c>
      <c r="B7257" s="90">
        <v>7.8675965589481667</v>
      </c>
    </row>
    <row r="7258" spans="1:2">
      <c r="A7258" s="32">
        <v>7245</v>
      </c>
      <c r="B7258" s="90">
        <v>8.160916232730612</v>
      </c>
    </row>
    <row r="7259" spans="1:2">
      <c r="A7259" s="32">
        <v>7246</v>
      </c>
      <c r="B7259" s="90">
        <v>8.928002097693188</v>
      </c>
    </row>
    <row r="7260" spans="1:2">
      <c r="A7260" s="32">
        <v>7247</v>
      </c>
      <c r="B7260" s="90">
        <v>8.0409077253241303</v>
      </c>
    </row>
    <row r="7261" spans="1:2">
      <c r="A7261" s="32">
        <v>7248</v>
      </c>
      <c r="B7261" s="90">
        <v>8.2238805458622046</v>
      </c>
    </row>
    <row r="7262" spans="1:2">
      <c r="A7262" s="32">
        <v>7249</v>
      </c>
      <c r="B7262" s="90">
        <v>6.8055325430684128</v>
      </c>
    </row>
    <row r="7263" spans="1:2">
      <c r="A7263" s="32">
        <v>7250</v>
      </c>
      <c r="B7263" s="90">
        <v>8.3130026760716866</v>
      </c>
    </row>
    <row r="7264" spans="1:2">
      <c r="A7264" s="32">
        <v>7251</v>
      </c>
      <c r="B7264" s="90">
        <v>8.141551818867347</v>
      </c>
    </row>
    <row r="7265" spans="1:2">
      <c r="A7265" s="32">
        <v>7252</v>
      </c>
      <c r="B7265" s="90">
        <v>7.2768883166613021</v>
      </c>
    </row>
    <row r="7266" spans="1:2">
      <c r="A7266" s="32">
        <v>7253</v>
      </c>
      <c r="B7266" s="90">
        <v>7.6928563398093992</v>
      </c>
    </row>
    <row r="7267" spans="1:2">
      <c r="A7267" s="32">
        <v>7254</v>
      </c>
      <c r="B7267" s="90">
        <v>9.8796396683032981</v>
      </c>
    </row>
    <row r="7268" spans="1:2">
      <c r="A7268" s="32">
        <v>7255</v>
      </c>
      <c r="B7268" s="90">
        <v>8.1789995497670507</v>
      </c>
    </row>
    <row r="7269" spans="1:2">
      <c r="A7269" s="32">
        <v>7256</v>
      </c>
      <c r="B7269" s="90">
        <v>7.2546736794360935</v>
      </c>
    </row>
    <row r="7270" spans="1:2">
      <c r="A7270" s="32">
        <v>7257</v>
      </c>
      <c r="B7270" s="90">
        <v>7.4758818116091081</v>
      </c>
    </row>
    <row r="7271" spans="1:2">
      <c r="A7271" s="32">
        <v>7258</v>
      </c>
      <c r="B7271" s="90">
        <v>7.4042381701930786</v>
      </c>
    </row>
    <row r="7272" spans="1:2">
      <c r="A7272" s="32">
        <v>7259</v>
      </c>
      <c r="B7272" s="90">
        <v>8.8049985669823716</v>
      </c>
    </row>
    <row r="7273" spans="1:2">
      <c r="A7273" s="32">
        <v>7260</v>
      </c>
      <c r="B7273" s="90">
        <v>8.0263263151283937</v>
      </c>
    </row>
    <row r="7274" spans="1:2">
      <c r="A7274" s="32">
        <v>7261</v>
      </c>
      <c r="B7274" s="90">
        <v>8.5200113542220759</v>
      </c>
    </row>
    <row r="7275" spans="1:2">
      <c r="A7275" s="32">
        <v>7262</v>
      </c>
      <c r="B7275" s="90">
        <v>9.3216069957471657</v>
      </c>
    </row>
    <row r="7276" spans="1:2">
      <c r="A7276" s="32">
        <v>7263</v>
      </c>
      <c r="B7276" s="90">
        <v>8.5252479311514833</v>
      </c>
    </row>
    <row r="7277" spans="1:2">
      <c r="A7277" s="32">
        <v>7264</v>
      </c>
      <c r="B7277" s="90">
        <v>9.1216918109219201</v>
      </c>
    </row>
    <row r="7278" spans="1:2">
      <c r="A7278" s="32">
        <v>7265</v>
      </c>
      <c r="B7278" s="90">
        <v>9.6857525105028657</v>
      </c>
    </row>
    <row r="7279" spans="1:2">
      <c r="A7279" s="32">
        <v>7266</v>
      </c>
      <c r="B7279" s="90">
        <v>8.8964309997076167</v>
      </c>
    </row>
    <row r="7280" spans="1:2">
      <c r="A7280" s="32">
        <v>7267</v>
      </c>
      <c r="B7280" s="90">
        <v>7.7216741064392167</v>
      </c>
    </row>
    <row r="7281" spans="1:2">
      <c r="A7281" s="32">
        <v>7268</v>
      </c>
      <c r="B7281" s="90">
        <v>7.6064431350295543</v>
      </c>
    </row>
    <row r="7282" spans="1:2">
      <c r="A7282" s="32">
        <v>7269</v>
      </c>
      <c r="B7282" s="90">
        <v>8.1760884088731309</v>
      </c>
    </row>
    <row r="7283" spans="1:2">
      <c r="A7283" s="32">
        <v>7270</v>
      </c>
      <c r="B7283" s="90">
        <v>7.9955312846977682</v>
      </c>
    </row>
    <row r="7284" spans="1:2">
      <c r="A7284" s="32">
        <v>7271</v>
      </c>
      <c r="B7284" s="90">
        <v>8.8126048047739918</v>
      </c>
    </row>
    <row r="7285" spans="1:2">
      <c r="A7285" s="32">
        <v>7272</v>
      </c>
      <c r="B7285" s="90">
        <v>9.3861840517077688</v>
      </c>
    </row>
    <row r="7286" spans="1:2">
      <c r="A7286" s="32">
        <v>7273</v>
      </c>
      <c r="B7286" s="90">
        <v>8.323411414525804</v>
      </c>
    </row>
    <row r="7287" spans="1:2">
      <c r="A7287" s="32">
        <v>7274</v>
      </c>
      <c r="B7287" s="90">
        <v>8.5051500452008142</v>
      </c>
    </row>
    <row r="7288" spans="1:2">
      <c r="A7288" s="32">
        <v>7275</v>
      </c>
      <c r="B7288" s="90">
        <v>8.8809752004410019</v>
      </c>
    </row>
    <row r="7289" spans="1:2">
      <c r="A7289" s="32">
        <v>7276</v>
      </c>
      <c r="B7289" s="90">
        <v>7.3931060462503098</v>
      </c>
    </row>
    <row r="7290" spans="1:2">
      <c r="A7290" s="32">
        <v>7277</v>
      </c>
      <c r="B7290" s="90">
        <v>8.7377417135291999</v>
      </c>
    </row>
    <row r="7291" spans="1:2">
      <c r="A7291" s="32">
        <v>7278</v>
      </c>
      <c r="B7291" s="90">
        <v>9.7506230037353561</v>
      </c>
    </row>
    <row r="7292" spans="1:2">
      <c r="A7292" s="32">
        <v>7279</v>
      </c>
      <c r="B7292" s="90">
        <v>9.2700904444953309</v>
      </c>
    </row>
    <row r="7293" spans="1:2">
      <c r="A7293" s="32">
        <v>7280</v>
      </c>
      <c r="B7293" s="90">
        <v>7.2309311433424082</v>
      </c>
    </row>
    <row r="7294" spans="1:2">
      <c r="A7294" s="32">
        <v>7281</v>
      </c>
      <c r="B7294" s="90">
        <v>7.3903369785526527</v>
      </c>
    </row>
    <row r="7295" spans="1:2">
      <c r="A7295" s="32">
        <v>7282</v>
      </c>
      <c r="B7295" s="90">
        <v>7.1987051548086187</v>
      </c>
    </row>
    <row r="7296" spans="1:2">
      <c r="A7296" s="32">
        <v>7283</v>
      </c>
      <c r="B7296" s="90">
        <v>7.3697915591298795</v>
      </c>
    </row>
    <row r="7297" spans="1:2">
      <c r="A7297" s="32">
        <v>7284</v>
      </c>
      <c r="B7297" s="90">
        <v>7.8999215832312926</v>
      </c>
    </row>
    <row r="7298" spans="1:2">
      <c r="A7298" s="32">
        <v>7285</v>
      </c>
      <c r="B7298" s="90">
        <v>8.5314493940042659</v>
      </c>
    </row>
    <row r="7299" spans="1:2">
      <c r="A7299" s="32">
        <v>7286</v>
      </c>
      <c r="B7299" s="90">
        <v>8.5959967363028884</v>
      </c>
    </row>
    <row r="7300" spans="1:2">
      <c r="A7300" s="32">
        <v>7287</v>
      </c>
      <c r="B7300" s="90">
        <v>8.5799623298809085</v>
      </c>
    </row>
    <row r="7301" spans="1:2">
      <c r="A7301" s="32">
        <v>7288</v>
      </c>
      <c r="B7301" s="90">
        <v>7.9777985780114289</v>
      </c>
    </row>
    <row r="7302" spans="1:2">
      <c r="A7302" s="32">
        <v>7289</v>
      </c>
      <c r="B7302" s="90">
        <v>8.7868318464078286</v>
      </c>
    </row>
    <row r="7303" spans="1:2">
      <c r="A7303" s="32">
        <v>7290</v>
      </c>
      <c r="B7303" s="90">
        <v>8.0277621560981807</v>
      </c>
    </row>
    <row r="7304" spans="1:2">
      <c r="A7304" s="32">
        <v>7291</v>
      </c>
      <c r="B7304" s="90">
        <v>7.0856149200651712</v>
      </c>
    </row>
    <row r="7305" spans="1:2">
      <c r="A7305" s="32">
        <v>7292</v>
      </c>
      <c r="B7305" s="90">
        <v>8.2476584436649407</v>
      </c>
    </row>
    <row r="7306" spans="1:2">
      <c r="A7306" s="32">
        <v>7293</v>
      </c>
      <c r="B7306" s="90">
        <v>8.9282397602757424</v>
      </c>
    </row>
    <row r="7307" spans="1:2">
      <c r="A7307" s="32">
        <v>7294</v>
      </c>
      <c r="B7307" s="90">
        <v>8.0759994731529297</v>
      </c>
    </row>
    <row r="7308" spans="1:2">
      <c r="A7308" s="32">
        <v>7295</v>
      </c>
      <c r="B7308" s="90">
        <v>8.7156147900179839</v>
      </c>
    </row>
    <row r="7309" spans="1:2">
      <c r="A7309" s="32">
        <v>7296</v>
      </c>
      <c r="B7309" s="90">
        <v>7.7678443244043605</v>
      </c>
    </row>
    <row r="7310" spans="1:2">
      <c r="A7310" s="32">
        <v>7297</v>
      </c>
      <c r="B7310" s="90">
        <v>8.2341560936596512</v>
      </c>
    </row>
    <row r="7311" spans="1:2">
      <c r="A7311" s="32">
        <v>7298</v>
      </c>
      <c r="B7311" s="90">
        <v>8.0338190581342133</v>
      </c>
    </row>
    <row r="7312" spans="1:2">
      <c r="A7312" s="32">
        <v>7299</v>
      </c>
      <c r="B7312" s="90">
        <v>8.4799426770215867</v>
      </c>
    </row>
    <row r="7313" spans="1:2">
      <c r="A7313" s="32">
        <v>7300</v>
      </c>
      <c r="B7313" s="90">
        <v>7.2939227640708104</v>
      </c>
    </row>
    <row r="7314" spans="1:2">
      <c r="A7314" s="32">
        <v>7301</v>
      </c>
      <c r="B7314" s="90">
        <v>7.7754108160930304</v>
      </c>
    </row>
    <row r="7315" spans="1:2">
      <c r="A7315" s="32">
        <v>7302</v>
      </c>
      <c r="B7315" s="90">
        <v>7.8136903434890197</v>
      </c>
    </row>
    <row r="7316" spans="1:2">
      <c r="A7316" s="32">
        <v>7303</v>
      </c>
      <c r="B7316" s="90">
        <v>9.1512564677574701</v>
      </c>
    </row>
    <row r="7317" spans="1:2">
      <c r="A7317" s="32">
        <v>7304</v>
      </c>
      <c r="B7317" s="90">
        <v>7.9674170740491332</v>
      </c>
    </row>
    <row r="7318" spans="1:2">
      <c r="A7318" s="32">
        <v>7305</v>
      </c>
      <c r="B7318" s="90">
        <v>8.1969713125411534</v>
      </c>
    </row>
    <row r="7319" spans="1:2">
      <c r="A7319" s="32">
        <v>7306</v>
      </c>
      <c r="B7319" s="90">
        <v>7.81364066662917</v>
      </c>
    </row>
    <row r="7320" spans="1:2">
      <c r="A7320" s="32">
        <v>7307</v>
      </c>
      <c r="B7320" s="90">
        <v>8.2069103037118722</v>
      </c>
    </row>
    <row r="7321" spans="1:2">
      <c r="A7321" s="32">
        <v>7308</v>
      </c>
      <c r="B7321" s="90">
        <v>8.0359512532550355</v>
      </c>
    </row>
    <row r="7322" spans="1:2">
      <c r="A7322" s="32">
        <v>7309</v>
      </c>
      <c r="B7322" s="90">
        <v>7.9140790640986118</v>
      </c>
    </row>
    <row r="7323" spans="1:2">
      <c r="A7323" s="32">
        <v>7310</v>
      </c>
      <c r="B7323" s="90">
        <v>6.6801391011184545</v>
      </c>
    </row>
    <row r="7324" spans="1:2">
      <c r="A7324" s="32">
        <v>7311</v>
      </c>
      <c r="B7324" s="90">
        <v>8.350584893415629</v>
      </c>
    </row>
    <row r="7325" spans="1:2">
      <c r="A7325" s="32">
        <v>7312</v>
      </c>
      <c r="B7325" s="90">
        <v>8.2745813558598531</v>
      </c>
    </row>
    <row r="7326" spans="1:2">
      <c r="A7326" s="32">
        <v>7313</v>
      </c>
      <c r="B7326" s="90">
        <v>9.406042458305679</v>
      </c>
    </row>
    <row r="7327" spans="1:2">
      <c r="A7327" s="32">
        <v>7314</v>
      </c>
      <c r="B7327" s="90">
        <v>7.4239781043301045</v>
      </c>
    </row>
    <row r="7328" spans="1:2">
      <c r="A7328" s="32">
        <v>7315</v>
      </c>
      <c r="B7328" s="90">
        <v>9.9562996167188178</v>
      </c>
    </row>
    <row r="7329" spans="1:2">
      <c r="A7329" s="32">
        <v>7316</v>
      </c>
      <c r="B7329" s="90">
        <v>8.4875802937860314</v>
      </c>
    </row>
    <row r="7330" spans="1:2">
      <c r="A7330" s="32">
        <v>7317</v>
      </c>
      <c r="B7330" s="90">
        <v>8.5121693429632046</v>
      </c>
    </row>
    <row r="7331" spans="1:2">
      <c r="A7331" s="32">
        <v>7318</v>
      </c>
      <c r="B7331" s="90">
        <v>7.7680710596526099</v>
      </c>
    </row>
    <row r="7332" spans="1:2">
      <c r="A7332" s="32">
        <v>7319</v>
      </c>
      <c r="B7332" s="90">
        <v>8.5816569687885735</v>
      </c>
    </row>
    <row r="7333" spans="1:2">
      <c r="A7333" s="32">
        <v>7320</v>
      </c>
      <c r="B7333" s="90">
        <v>8.7272429925301083</v>
      </c>
    </row>
    <row r="7334" spans="1:2">
      <c r="A7334" s="32">
        <v>7321</v>
      </c>
      <c r="B7334" s="90">
        <v>7.4543679872778084</v>
      </c>
    </row>
    <row r="7335" spans="1:2">
      <c r="A7335" s="32">
        <v>7322</v>
      </c>
      <c r="B7335" s="90">
        <v>8.0571576477622404</v>
      </c>
    </row>
    <row r="7336" spans="1:2">
      <c r="A7336" s="32">
        <v>7323</v>
      </c>
      <c r="B7336" s="90">
        <v>7.7652889179961564</v>
      </c>
    </row>
    <row r="7337" spans="1:2">
      <c r="A7337" s="32">
        <v>7324</v>
      </c>
      <c r="B7337" s="90">
        <v>7.4942620846748369</v>
      </c>
    </row>
    <row r="7338" spans="1:2">
      <c r="A7338" s="32">
        <v>7325</v>
      </c>
      <c r="B7338" s="90">
        <v>7.8701896707399968</v>
      </c>
    </row>
    <row r="7339" spans="1:2">
      <c r="A7339" s="32">
        <v>7326</v>
      </c>
      <c r="B7339" s="90">
        <v>8.3702816710451735</v>
      </c>
    </row>
    <row r="7340" spans="1:2">
      <c r="A7340" s="32">
        <v>7327</v>
      </c>
      <c r="B7340" s="90">
        <v>8.5404911475607577</v>
      </c>
    </row>
    <row r="7341" spans="1:2">
      <c r="A7341" s="32">
        <v>7328</v>
      </c>
      <c r="B7341" s="90">
        <v>7.6890965605418664</v>
      </c>
    </row>
    <row r="7342" spans="1:2">
      <c r="A7342" s="32">
        <v>7329</v>
      </c>
      <c r="B7342" s="90">
        <v>8.5325025142308615</v>
      </c>
    </row>
    <row r="7343" spans="1:2">
      <c r="A7343" s="32">
        <v>7330</v>
      </c>
      <c r="B7343" s="90">
        <v>8.0890152842325431</v>
      </c>
    </row>
    <row r="7344" spans="1:2">
      <c r="A7344" s="32">
        <v>7331</v>
      </c>
      <c r="B7344" s="90">
        <v>7.6621666555167609</v>
      </c>
    </row>
    <row r="7345" spans="1:2">
      <c r="A7345" s="32">
        <v>7332</v>
      </c>
      <c r="B7345" s="90">
        <v>7.4236339029184819</v>
      </c>
    </row>
    <row r="7346" spans="1:2">
      <c r="A7346" s="32">
        <v>7333</v>
      </c>
      <c r="B7346" s="90">
        <v>9.0219598685811881</v>
      </c>
    </row>
    <row r="7347" spans="1:2">
      <c r="A7347" s="32">
        <v>7334</v>
      </c>
      <c r="B7347" s="90">
        <v>7.3815430483974893</v>
      </c>
    </row>
    <row r="7348" spans="1:2">
      <c r="A7348" s="32">
        <v>7335</v>
      </c>
      <c r="B7348" s="90">
        <v>8.9865158266116794</v>
      </c>
    </row>
    <row r="7349" spans="1:2">
      <c r="A7349" s="32">
        <v>7336</v>
      </c>
      <c r="B7349" s="90">
        <v>8.0216981840799413</v>
      </c>
    </row>
    <row r="7350" spans="1:2">
      <c r="A7350" s="32">
        <v>7337</v>
      </c>
      <c r="B7350" s="90">
        <v>7.791171734522754</v>
      </c>
    </row>
    <row r="7351" spans="1:2">
      <c r="A7351" s="32">
        <v>7338</v>
      </c>
      <c r="B7351" s="90">
        <v>8.6895328721020828</v>
      </c>
    </row>
    <row r="7352" spans="1:2">
      <c r="A7352" s="32">
        <v>7339</v>
      </c>
      <c r="B7352" s="90">
        <v>8.5361675607549721</v>
      </c>
    </row>
    <row r="7353" spans="1:2">
      <c r="A7353" s="32">
        <v>7340</v>
      </c>
      <c r="B7353" s="90">
        <v>7.9852420604784928</v>
      </c>
    </row>
    <row r="7354" spans="1:2">
      <c r="A7354" s="32">
        <v>7341</v>
      </c>
      <c r="B7354" s="90">
        <v>7.5677056544848558</v>
      </c>
    </row>
    <row r="7355" spans="1:2">
      <c r="A7355" s="32">
        <v>7342</v>
      </c>
      <c r="B7355" s="90">
        <v>9.1461820281749269</v>
      </c>
    </row>
    <row r="7356" spans="1:2">
      <c r="A7356" s="32">
        <v>7343</v>
      </c>
      <c r="B7356" s="90">
        <v>8.1695230806833266</v>
      </c>
    </row>
    <row r="7357" spans="1:2">
      <c r="A7357" s="32">
        <v>7344</v>
      </c>
      <c r="B7357" s="90">
        <v>9.6872085535262222</v>
      </c>
    </row>
    <row r="7358" spans="1:2">
      <c r="A7358" s="32">
        <v>7345</v>
      </c>
      <c r="B7358" s="90">
        <v>7.5931789683021513</v>
      </c>
    </row>
    <row r="7359" spans="1:2">
      <c r="A7359" s="32">
        <v>7346</v>
      </c>
      <c r="B7359" s="90">
        <v>7.8997458433329122</v>
      </c>
    </row>
    <row r="7360" spans="1:2">
      <c r="A7360" s="32">
        <v>7347</v>
      </c>
      <c r="B7360" s="90">
        <v>6.3461072918713235</v>
      </c>
    </row>
    <row r="7361" spans="1:2">
      <c r="A7361" s="32">
        <v>7348</v>
      </c>
      <c r="B7361" s="90">
        <v>9.2566820909182628</v>
      </c>
    </row>
    <row r="7362" spans="1:2">
      <c r="A7362" s="32">
        <v>7349</v>
      </c>
      <c r="B7362" s="90">
        <v>9.5727997110304184</v>
      </c>
    </row>
    <row r="7363" spans="1:2">
      <c r="A7363" s="32">
        <v>7350</v>
      </c>
      <c r="B7363" s="90">
        <v>7.6294390178995029</v>
      </c>
    </row>
    <row r="7364" spans="1:2">
      <c r="A7364" s="32">
        <v>7351</v>
      </c>
      <c r="B7364" s="90">
        <v>7.722318635732659</v>
      </c>
    </row>
    <row r="7365" spans="1:2">
      <c r="A7365" s="32">
        <v>7352</v>
      </c>
      <c r="B7365" s="90">
        <v>8.247556341156848</v>
      </c>
    </row>
    <row r="7366" spans="1:2">
      <c r="A7366" s="32">
        <v>7353</v>
      </c>
      <c r="B7366" s="90">
        <v>7.3679613048310975</v>
      </c>
    </row>
    <row r="7367" spans="1:2">
      <c r="A7367" s="32">
        <v>7354</v>
      </c>
      <c r="B7367" s="90">
        <v>8.1911090095598418</v>
      </c>
    </row>
    <row r="7368" spans="1:2">
      <c r="A7368" s="32">
        <v>7355</v>
      </c>
      <c r="B7368" s="90">
        <v>7.0596929511928748</v>
      </c>
    </row>
    <row r="7369" spans="1:2">
      <c r="A7369" s="32">
        <v>7356</v>
      </c>
      <c r="B7369" s="90">
        <v>7.9849008529597105</v>
      </c>
    </row>
    <row r="7370" spans="1:2">
      <c r="A7370" s="32">
        <v>7357</v>
      </c>
      <c r="B7370" s="90">
        <v>8.9262853236351525</v>
      </c>
    </row>
    <row r="7371" spans="1:2">
      <c r="A7371" s="32">
        <v>7358</v>
      </c>
      <c r="B7371" s="90">
        <v>8.0210012042401058</v>
      </c>
    </row>
    <row r="7372" spans="1:2">
      <c r="A7372" s="32">
        <v>7359</v>
      </c>
      <c r="B7372" s="90">
        <v>8.4705486359390427</v>
      </c>
    </row>
    <row r="7373" spans="1:2">
      <c r="A7373" s="32">
        <v>7360</v>
      </c>
      <c r="B7373" s="90">
        <v>7.523555591751049</v>
      </c>
    </row>
    <row r="7374" spans="1:2">
      <c r="A7374" s="32">
        <v>7361</v>
      </c>
      <c r="B7374" s="90">
        <v>8.3264839204301371</v>
      </c>
    </row>
    <row r="7375" spans="1:2">
      <c r="A7375" s="32">
        <v>7362</v>
      </c>
      <c r="B7375" s="90">
        <v>8.3021887571915514</v>
      </c>
    </row>
    <row r="7376" spans="1:2">
      <c r="A7376" s="32">
        <v>7363</v>
      </c>
      <c r="B7376" s="90">
        <v>8.1190253730879949</v>
      </c>
    </row>
    <row r="7377" spans="1:2">
      <c r="A7377" s="32">
        <v>7364</v>
      </c>
      <c r="B7377" s="90">
        <v>8.1980966468407175</v>
      </c>
    </row>
    <row r="7378" spans="1:2">
      <c r="A7378" s="32">
        <v>7365</v>
      </c>
      <c r="B7378" s="90">
        <v>8.7918052091031544</v>
      </c>
    </row>
    <row r="7379" spans="1:2">
      <c r="A7379" s="32">
        <v>7366</v>
      </c>
      <c r="B7379" s="90">
        <v>9.4780913649486305</v>
      </c>
    </row>
    <row r="7380" spans="1:2">
      <c r="A7380" s="32">
        <v>7367</v>
      </c>
      <c r="B7380" s="90">
        <v>7.6329990539027177</v>
      </c>
    </row>
    <row r="7381" spans="1:2">
      <c r="A7381" s="32">
        <v>7368</v>
      </c>
      <c r="B7381" s="90">
        <v>8.5799963374922132</v>
      </c>
    </row>
    <row r="7382" spans="1:2">
      <c r="A7382" s="32">
        <v>7369</v>
      </c>
      <c r="B7382" s="90">
        <v>9.3705473148100999</v>
      </c>
    </row>
    <row r="7383" spans="1:2">
      <c r="A7383" s="32">
        <v>7370</v>
      </c>
      <c r="B7383" s="90">
        <v>7.8256538658709891</v>
      </c>
    </row>
    <row r="7384" spans="1:2">
      <c r="A7384" s="32">
        <v>7371</v>
      </c>
      <c r="B7384" s="90">
        <v>8.7948304058074154</v>
      </c>
    </row>
    <row r="7385" spans="1:2">
      <c r="A7385" s="32">
        <v>7372</v>
      </c>
      <c r="B7385" s="90">
        <v>7.8268287113248531</v>
      </c>
    </row>
    <row r="7386" spans="1:2">
      <c r="A7386" s="32">
        <v>7373</v>
      </c>
      <c r="B7386" s="90">
        <v>8.5196271916491089</v>
      </c>
    </row>
    <row r="7387" spans="1:2">
      <c r="A7387" s="32">
        <v>7374</v>
      </c>
      <c r="B7387" s="90">
        <v>8.4075793894120938</v>
      </c>
    </row>
    <row r="7388" spans="1:2">
      <c r="A7388" s="32">
        <v>7375</v>
      </c>
      <c r="B7388" s="90">
        <v>7.6765226963748301</v>
      </c>
    </row>
    <row r="7389" spans="1:2">
      <c r="A7389" s="32">
        <v>7376</v>
      </c>
      <c r="B7389" s="90">
        <v>9.1005128329263059</v>
      </c>
    </row>
    <row r="7390" spans="1:2">
      <c r="A7390" s="32">
        <v>7377</v>
      </c>
      <c r="B7390" s="90">
        <v>7.9207752243449612</v>
      </c>
    </row>
    <row r="7391" spans="1:2">
      <c r="A7391" s="32">
        <v>7378</v>
      </c>
      <c r="B7391" s="90">
        <v>8.1639235024431986</v>
      </c>
    </row>
    <row r="7392" spans="1:2">
      <c r="A7392" s="32">
        <v>7379</v>
      </c>
      <c r="B7392" s="90">
        <v>7.4324782553359405</v>
      </c>
    </row>
    <row r="7393" spans="1:2">
      <c r="A7393" s="32">
        <v>7380</v>
      </c>
      <c r="B7393" s="90">
        <v>7.1649358619740386</v>
      </c>
    </row>
    <row r="7394" spans="1:2">
      <c r="A7394" s="32">
        <v>7381</v>
      </c>
      <c r="B7394" s="90">
        <v>8.2800481621010675</v>
      </c>
    </row>
    <row r="7395" spans="1:2">
      <c r="A7395" s="32">
        <v>7382</v>
      </c>
      <c r="B7395" s="90">
        <v>7.9042228561049068</v>
      </c>
    </row>
    <row r="7396" spans="1:2">
      <c r="A7396" s="32">
        <v>7383</v>
      </c>
      <c r="B7396" s="90">
        <v>8.5816507324793108</v>
      </c>
    </row>
    <row r="7397" spans="1:2">
      <c r="A7397" s="32">
        <v>7384</v>
      </c>
      <c r="B7397" s="90">
        <v>7.872598926684371</v>
      </c>
    </row>
    <row r="7398" spans="1:2">
      <c r="A7398" s="32">
        <v>7385</v>
      </c>
      <c r="B7398" s="90">
        <v>7.3930930603517444</v>
      </c>
    </row>
    <row r="7399" spans="1:2">
      <c r="A7399" s="32">
        <v>7386</v>
      </c>
      <c r="B7399" s="90">
        <v>7.756703611718228</v>
      </c>
    </row>
    <row r="7400" spans="1:2">
      <c r="A7400" s="32">
        <v>7387</v>
      </c>
      <c r="B7400" s="90">
        <v>8.8203523051047927</v>
      </c>
    </row>
    <row r="7401" spans="1:2">
      <c r="A7401" s="32">
        <v>7388</v>
      </c>
      <c r="B7401" s="90">
        <v>7.3969418888108329</v>
      </c>
    </row>
    <row r="7402" spans="1:2">
      <c r="A7402" s="32">
        <v>7389</v>
      </c>
      <c r="B7402" s="90">
        <v>7.2274505202272881</v>
      </c>
    </row>
    <row r="7403" spans="1:2">
      <c r="A7403" s="32">
        <v>7390</v>
      </c>
      <c r="B7403" s="90">
        <v>8.0603231691956889</v>
      </c>
    </row>
    <row r="7404" spans="1:2">
      <c r="A7404" s="32">
        <v>7391</v>
      </c>
      <c r="B7404" s="90">
        <v>7.9670198543424871</v>
      </c>
    </row>
    <row r="7405" spans="1:2">
      <c r="A7405" s="32">
        <v>7392</v>
      </c>
      <c r="B7405" s="90">
        <v>8.2942574453621134</v>
      </c>
    </row>
    <row r="7406" spans="1:2">
      <c r="A7406" s="32">
        <v>7393</v>
      </c>
      <c r="B7406" s="90">
        <v>8.1550716049481036</v>
      </c>
    </row>
    <row r="7407" spans="1:2">
      <c r="A7407" s="32">
        <v>7394</v>
      </c>
      <c r="B7407" s="90">
        <v>7.3639884099613138</v>
      </c>
    </row>
    <row r="7408" spans="1:2">
      <c r="A7408" s="32">
        <v>7395</v>
      </c>
      <c r="B7408" s="90">
        <v>7.7953804560833984</v>
      </c>
    </row>
    <row r="7409" spans="1:2">
      <c r="A7409" s="32">
        <v>7396</v>
      </c>
      <c r="B7409" s="90">
        <v>9.3673587782538554</v>
      </c>
    </row>
    <row r="7410" spans="1:2">
      <c r="A7410" s="32">
        <v>7397</v>
      </c>
      <c r="B7410" s="90">
        <v>7.6834641052559638</v>
      </c>
    </row>
    <row r="7411" spans="1:2">
      <c r="A7411" s="32">
        <v>7398</v>
      </c>
      <c r="B7411" s="90">
        <v>7.9529260391735663</v>
      </c>
    </row>
    <row r="7412" spans="1:2">
      <c r="A7412" s="32">
        <v>7399</v>
      </c>
      <c r="B7412" s="90">
        <v>7.8769430340027098</v>
      </c>
    </row>
    <row r="7413" spans="1:2">
      <c r="A7413" s="32">
        <v>7400</v>
      </c>
      <c r="B7413" s="90">
        <v>8.3272682669244542</v>
      </c>
    </row>
    <row r="7414" spans="1:2">
      <c r="A7414" s="32">
        <v>7401</v>
      </c>
      <c r="B7414" s="90">
        <v>9.6059031575585756</v>
      </c>
    </row>
    <row r="7415" spans="1:2">
      <c r="A7415" s="32">
        <v>7402</v>
      </c>
      <c r="B7415" s="90">
        <v>9.3757700345932022</v>
      </c>
    </row>
    <row r="7416" spans="1:2">
      <c r="A7416" s="32">
        <v>7403</v>
      </c>
      <c r="B7416" s="90">
        <v>8.0293140462096915</v>
      </c>
    </row>
    <row r="7417" spans="1:2">
      <c r="A7417" s="32">
        <v>7404</v>
      </c>
      <c r="B7417" s="90">
        <v>9.0662388489446872</v>
      </c>
    </row>
    <row r="7418" spans="1:2">
      <c r="A7418" s="32">
        <v>7405</v>
      </c>
      <c r="B7418" s="90">
        <v>6.8748225938961935</v>
      </c>
    </row>
    <row r="7419" spans="1:2">
      <c r="A7419" s="32">
        <v>7406</v>
      </c>
      <c r="B7419" s="90">
        <v>8.7773173397240427</v>
      </c>
    </row>
    <row r="7420" spans="1:2">
      <c r="A7420" s="32">
        <v>7407</v>
      </c>
      <c r="B7420" s="90">
        <v>8.4262199826660336</v>
      </c>
    </row>
    <row r="7421" spans="1:2">
      <c r="A7421" s="32">
        <v>7408</v>
      </c>
      <c r="B7421" s="90">
        <v>9.5604814764441972</v>
      </c>
    </row>
    <row r="7422" spans="1:2">
      <c r="A7422" s="32">
        <v>7409</v>
      </c>
      <c r="B7422" s="90">
        <v>8.6043851755821308</v>
      </c>
    </row>
    <row r="7423" spans="1:2">
      <c r="A7423" s="32">
        <v>7410</v>
      </c>
      <c r="B7423" s="90">
        <v>7.5937342315668159</v>
      </c>
    </row>
    <row r="7424" spans="1:2">
      <c r="A7424" s="32">
        <v>7411</v>
      </c>
      <c r="B7424" s="90">
        <v>9.1753561218167619</v>
      </c>
    </row>
    <row r="7425" spans="1:2">
      <c r="A7425" s="32">
        <v>7412</v>
      </c>
      <c r="B7425" s="90">
        <v>7.9624255929862322</v>
      </c>
    </row>
    <row r="7426" spans="1:2">
      <c r="A7426" s="32">
        <v>7413</v>
      </c>
      <c r="B7426" s="90">
        <v>9.6235555743504211</v>
      </c>
    </row>
    <row r="7427" spans="1:2">
      <c r="A7427" s="32">
        <v>7414</v>
      </c>
      <c r="B7427" s="90">
        <v>9.0115967038827751</v>
      </c>
    </row>
    <row r="7428" spans="1:2">
      <c r="A7428" s="32">
        <v>7415</v>
      </c>
      <c r="B7428" s="90">
        <v>8.8680030889706813</v>
      </c>
    </row>
    <row r="7429" spans="1:2">
      <c r="A7429" s="32">
        <v>7416</v>
      </c>
      <c r="B7429" s="90">
        <v>8.0133456851272165</v>
      </c>
    </row>
    <row r="7430" spans="1:2">
      <c r="A7430" s="32">
        <v>7417</v>
      </c>
      <c r="B7430" s="90">
        <v>9.8598794328784525</v>
      </c>
    </row>
    <row r="7431" spans="1:2">
      <c r="A7431" s="32">
        <v>7418</v>
      </c>
      <c r="B7431" s="90">
        <v>8.1461031942939321</v>
      </c>
    </row>
    <row r="7432" spans="1:2">
      <c r="A7432" s="32">
        <v>7419</v>
      </c>
      <c r="B7432" s="90">
        <v>7.8745532758948951</v>
      </c>
    </row>
    <row r="7433" spans="1:2">
      <c r="A7433" s="32">
        <v>7420</v>
      </c>
      <c r="B7433" s="90">
        <v>7.7626451226724846</v>
      </c>
    </row>
    <row r="7434" spans="1:2">
      <c r="A7434" s="32">
        <v>7421</v>
      </c>
      <c r="B7434" s="90">
        <v>8.0457936996471702</v>
      </c>
    </row>
    <row r="7435" spans="1:2">
      <c r="A7435" s="32">
        <v>7422</v>
      </c>
      <c r="B7435" s="90">
        <v>8.1540505357818578</v>
      </c>
    </row>
    <row r="7436" spans="1:2">
      <c r="A7436" s="32">
        <v>7423</v>
      </c>
      <c r="B7436" s="90">
        <v>8.4399426850276047</v>
      </c>
    </row>
    <row r="7437" spans="1:2">
      <c r="A7437" s="32">
        <v>7424</v>
      </c>
      <c r="B7437" s="90">
        <v>8.8675378511103009</v>
      </c>
    </row>
    <row r="7438" spans="1:2">
      <c r="A7438" s="32">
        <v>7425</v>
      </c>
      <c r="B7438" s="90">
        <v>6.1588565831345843</v>
      </c>
    </row>
    <row r="7439" spans="1:2">
      <c r="A7439" s="32">
        <v>7426</v>
      </c>
      <c r="B7439" s="90">
        <v>8.0875481993495999</v>
      </c>
    </row>
    <row r="7440" spans="1:2">
      <c r="A7440" s="32">
        <v>7427</v>
      </c>
      <c r="B7440" s="90">
        <v>7.6523380858782559</v>
      </c>
    </row>
    <row r="7441" spans="1:2">
      <c r="A7441" s="32">
        <v>7428</v>
      </c>
      <c r="B7441" s="90">
        <v>8.2510141558081855</v>
      </c>
    </row>
    <row r="7442" spans="1:2">
      <c r="A7442" s="32">
        <v>7429</v>
      </c>
      <c r="B7442" s="90">
        <v>7.4680392688783668</v>
      </c>
    </row>
    <row r="7443" spans="1:2">
      <c r="A7443" s="32">
        <v>7430</v>
      </c>
      <c r="B7443" s="90">
        <v>7.8299011812988919</v>
      </c>
    </row>
    <row r="7444" spans="1:2">
      <c r="A7444" s="32">
        <v>7431</v>
      </c>
      <c r="B7444" s="90">
        <v>9.0771086479718956</v>
      </c>
    </row>
    <row r="7445" spans="1:2">
      <c r="A7445" s="32">
        <v>7432</v>
      </c>
      <c r="B7445" s="90">
        <v>7.633866661792335</v>
      </c>
    </row>
    <row r="7446" spans="1:2">
      <c r="A7446" s="32">
        <v>7433</v>
      </c>
      <c r="B7446" s="90">
        <v>9.0729932156378954</v>
      </c>
    </row>
    <row r="7447" spans="1:2">
      <c r="A7447" s="32">
        <v>7434</v>
      </c>
      <c r="B7447" s="90">
        <v>9.1426209977295478</v>
      </c>
    </row>
    <row r="7448" spans="1:2">
      <c r="A7448" s="32">
        <v>7435</v>
      </c>
      <c r="B7448" s="90">
        <v>8.3665761887138927</v>
      </c>
    </row>
    <row r="7449" spans="1:2">
      <c r="A7449" s="32">
        <v>7436</v>
      </c>
      <c r="B7449" s="90">
        <v>8.0847749523360015</v>
      </c>
    </row>
    <row r="7450" spans="1:2">
      <c r="A7450" s="32">
        <v>7437</v>
      </c>
      <c r="B7450" s="90">
        <v>7.4733290402951118</v>
      </c>
    </row>
    <row r="7451" spans="1:2">
      <c r="A7451" s="32">
        <v>7438</v>
      </c>
      <c r="B7451" s="90">
        <v>8.271760503585007</v>
      </c>
    </row>
    <row r="7452" spans="1:2">
      <c r="A7452" s="32">
        <v>7439</v>
      </c>
      <c r="B7452" s="90">
        <v>7.6286666045664377</v>
      </c>
    </row>
    <row r="7453" spans="1:2">
      <c r="A7453" s="32">
        <v>7440</v>
      </c>
      <c r="B7453" s="90">
        <v>8.3939312454238237</v>
      </c>
    </row>
    <row r="7454" spans="1:2">
      <c r="A7454" s="32">
        <v>7441</v>
      </c>
      <c r="B7454" s="90">
        <v>7.5761070869507634</v>
      </c>
    </row>
    <row r="7455" spans="1:2">
      <c r="A7455" s="32">
        <v>7442</v>
      </c>
      <c r="B7455" s="90">
        <v>8.0972148751018143</v>
      </c>
    </row>
    <row r="7456" spans="1:2">
      <c r="A7456" s="32">
        <v>7443</v>
      </c>
      <c r="B7456" s="90">
        <v>8.8067753293814928</v>
      </c>
    </row>
    <row r="7457" spans="1:2">
      <c r="A7457" s="32">
        <v>7444</v>
      </c>
      <c r="B7457" s="90">
        <v>6.5802178289700155</v>
      </c>
    </row>
    <row r="7458" spans="1:2">
      <c r="A7458" s="32">
        <v>7445</v>
      </c>
      <c r="B7458" s="90">
        <v>7.9525776393813903</v>
      </c>
    </row>
    <row r="7459" spans="1:2">
      <c r="A7459" s="32">
        <v>7446</v>
      </c>
      <c r="B7459" s="90">
        <v>7.8813721519903073</v>
      </c>
    </row>
    <row r="7460" spans="1:2">
      <c r="A7460" s="32">
        <v>7447</v>
      </c>
      <c r="B7460" s="90">
        <v>7.3408742755302887</v>
      </c>
    </row>
    <row r="7461" spans="1:2">
      <c r="A7461" s="32">
        <v>7448</v>
      </c>
      <c r="B7461" s="90">
        <v>7.9594065979933246</v>
      </c>
    </row>
    <row r="7462" spans="1:2">
      <c r="A7462" s="32">
        <v>7449</v>
      </c>
      <c r="B7462" s="90">
        <v>7.3922464306867015</v>
      </c>
    </row>
    <row r="7463" spans="1:2">
      <c r="A7463" s="32">
        <v>7450</v>
      </c>
      <c r="B7463" s="90">
        <v>8.4411744790076586</v>
      </c>
    </row>
    <row r="7464" spans="1:2">
      <c r="A7464" s="32">
        <v>7451</v>
      </c>
      <c r="B7464" s="90">
        <v>8.1000812622676293</v>
      </c>
    </row>
    <row r="7465" spans="1:2">
      <c r="A7465" s="32">
        <v>7452</v>
      </c>
      <c r="B7465" s="90">
        <v>8.0442488203113687</v>
      </c>
    </row>
    <row r="7466" spans="1:2">
      <c r="A7466" s="32">
        <v>7453</v>
      </c>
      <c r="B7466" s="90">
        <v>7.1112989777832905</v>
      </c>
    </row>
    <row r="7467" spans="1:2">
      <c r="A7467" s="32">
        <v>7454</v>
      </c>
      <c r="B7467" s="90">
        <v>7.3076532817633071</v>
      </c>
    </row>
    <row r="7468" spans="1:2">
      <c r="A7468" s="32">
        <v>7455</v>
      </c>
      <c r="B7468" s="90">
        <v>8.4184800328904785</v>
      </c>
    </row>
    <row r="7469" spans="1:2">
      <c r="A7469" s="32">
        <v>7456</v>
      </c>
      <c r="B7469" s="90">
        <v>7.6314018611857684</v>
      </c>
    </row>
    <row r="7470" spans="1:2">
      <c r="A7470" s="32">
        <v>7457</v>
      </c>
      <c r="B7470" s="90">
        <v>9.7156059988696075</v>
      </c>
    </row>
    <row r="7471" spans="1:2">
      <c r="A7471" s="32">
        <v>7458</v>
      </c>
      <c r="B7471" s="90">
        <v>8.4243500460310461</v>
      </c>
    </row>
    <row r="7472" spans="1:2">
      <c r="A7472" s="32">
        <v>7459</v>
      </c>
      <c r="B7472" s="90">
        <v>8.7990629593183822</v>
      </c>
    </row>
    <row r="7473" spans="1:2">
      <c r="A7473" s="32">
        <v>7460</v>
      </c>
      <c r="B7473" s="90">
        <v>7.6012475278484644</v>
      </c>
    </row>
    <row r="7474" spans="1:2">
      <c r="A7474" s="32">
        <v>7461</v>
      </c>
      <c r="B7474" s="90">
        <v>8.3287618859411214</v>
      </c>
    </row>
    <row r="7475" spans="1:2">
      <c r="A7475" s="32">
        <v>7462</v>
      </c>
      <c r="B7475" s="90">
        <v>7.9758099666490079</v>
      </c>
    </row>
    <row r="7476" spans="1:2">
      <c r="A7476" s="32">
        <v>7463</v>
      </c>
      <c r="B7476" s="90">
        <v>8.5962419882684493</v>
      </c>
    </row>
    <row r="7477" spans="1:2">
      <c r="A7477" s="32">
        <v>7464</v>
      </c>
      <c r="B7477" s="90">
        <v>7.4569202556181429</v>
      </c>
    </row>
    <row r="7478" spans="1:2">
      <c r="A7478" s="32">
        <v>7465</v>
      </c>
      <c r="B7478" s="90">
        <v>7.8552945191774119</v>
      </c>
    </row>
    <row r="7479" spans="1:2">
      <c r="A7479" s="32">
        <v>7466</v>
      </c>
      <c r="B7479" s="90">
        <v>8.3883326924479107</v>
      </c>
    </row>
    <row r="7480" spans="1:2">
      <c r="A7480" s="32">
        <v>7467</v>
      </c>
      <c r="B7480" s="90">
        <v>8.6240833496494194</v>
      </c>
    </row>
    <row r="7481" spans="1:2">
      <c r="A7481" s="32">
        <v>7468</v>
      </c>
      <c r="B7481" s="90">
        <v>8.0259130488356938</v>
      </c>
    </row>
    <row r="7482" spans="1:2">
      <c r="A7482" s="32">
        <v>7469</v>
      </c>
      <c r="B7482" s="90">
        <v>8.2158373684418766</v>
      </c>
    </row>
    <row r="7483" spans="1:2">
      <c r="A7483" s="32">
        <v>7470</v>
      </c>
      <c r="B7483" s="90">
        <v>8.0379280126756907</v>
      </c>
    </row>
    <row r="7484" spans="1:2">
      <c r="A7484" s="32">
        <v>7471</v>
      </c>
      <c r="B7484" s="90">
        <v>7.8160017935347259</v>
      </c>
    </row>
    <row r="7485" spans="1:2">
      <c r="A7485" s="32">
        <v>7472</v>
      </c>
      <c r="B7485" s="90">
        <v>9.4625925561882571</v>
      </c>
    </row>
    <row r="7486" spans="1:2">
      <c r="A7486" s="32">
        <v>7473</v>
      </c>
      <c r="B7486" s="90">
        <v>7.2612410497145348</v>
      </c>
    </row>
    <row r="7487" spans="1:2">
      <c r="A7487" s="32">
        <v>7474</v>
      </c>
      <c r="B7487" s="90">
        <v>8.7271420526855614</v>
      </c>
    </row>
    <row r="7488" spans="1:2">
      <c r="A7488" s="32">
        <v>7475</v>
      </c>
      <c r="B7488" s="90">
        <v>7.6628030120455239</v>
      </c>
    </row>
    <row r="7489" spans="1:2">
      <c r="A7489" s="32">
        <v>7476</v>
      </c>
      <c r="B7489" s="90">
        <v>8.1352494762766216</v>
      </c>
    </row>
    <row r="7490" spans="1:2">
      <c r="A7490" s="32">
        <v>7477</v>
      </c>
      <c r="B7490" s="90">
        <v>7.9681401700335845</v>
      </c>
    </row>
    <row r="7491" spans="1:2">
      <c r="A7491" s="32">
        <v>7478</v>
      </c>
      <c r="B7491" s="90">
        <v>9.3377757033041782</v>
      </c>
    </row>
    <row r="7492" spans="1:2">
      <c r="A7492" s="32">
        <v>7479</v>
      </c>
      <c r="B7492" s="90">
        <v>8.5954409641498586</v>
      </c>
    </row>
    <row r="7493" spans="1:2">
      <c r="A7493" s="32">
        <v>7480</v>
      </c>
      <c r="B7493" s="90">
        <v>7.8244475088551297</v>
      </c>
    </row>
    <row r="7494" spans="1:2">
      <c r="A7494" s="32">
        <v>7481</v>
      </c>
      <c r="B7494" s="90">
        <v>6.5732557257458168</v>
      </c>
    </row>
    <row r="7495" spans="1:2">
      <c r="A7495" s="32">
        <v>7482</v>
      </c>
      <c r="B7495" s="90">
        <v>6.5920966072099647</v>
      </c>
    </row>
    <row r="7496" spans="1:2">
      <c r="A7496" s="32">
        <v>7483</v>
      </c>
      <c r="B7496" s="90">
        <v>8.0286544840829404</v>
      </c>
    </row>
    <row r="7497" spans="1:2">
      <c r="A7497" s="32">
        <v>7484</v>
      </c>
      <c r="B7497" s="90">
        <v>7.6389962168338625</v>
      </c>
    </row>
    <row r="7498" spans="1:2">
      <c r="A7498" s="32">
        <v>7485</v>
      </c>
      <c r="B7498" s="90">
        <v>10.006551482790529</v>
      </c>
    </row>
    <row r="7499" spans="1:2">
      <c r="A7499" s="32">
        <v>7486</v>
      </c>
      <c r="B7499" s="90">
        <v>9.6828484052592074</v>
      </c>
    </row>
    <row r="7500" spans="1:2">
      <c r="A7500" s="32">
        <v>7487</v>
      </c>
      <c r="B7500" s="90">
        <v>8.0514568568543172</v>
      </c>
    </row>
    <row r="7501" spans="1:2">
      <c r="A7501" s="32">
        <v>7488</v>
      </c>
      <c r="B7501" s="90">
        <v>8.7827783214620112</v>
      </c>
    </row>
    <row r="7502" spans="1:2">
      <c r="A7502" s="32">
        <v>7489</v>
      </c>
      <c r="B7502" s="90">
        <v>7.5853808420728068</v>
      </c>
    </row>
    <row r="7503" spans="1:2">
      <c r="A7503" s="32">
        <v>7490</v>
      </c>
      <c r="B7503" s="90">
        <v>7.926100822845533</v>
      </c>
    </row>
    <row r="7504" spans="1:2">
      <c r="A7504" s="32">
        <v>7491</v>
      </c>
      <c r="B7504" s="90">
        <v>7.8959377523231273</v>
      </c>
    </row>
    <row r="7505" spans="1:2">
      <c r="A7505" s="32">
        <v>7492</v>
      </c>
      <c r="B7505" s="90">
        <v>9.1798257515011308</v>
      </c>
    </row>
    <row r="7506" spans="1:2">
      <c r="A7506" s="32">
        <v>7493</v>
      </c>
      <c r="B7506" s="90">
        <v>7.5119989549029116</v>
      </c>
    </row>
    <row r="7507" spans="1:2">
      <c r="A7507" s="32">
        <v>7494</v>
      </c>
      <c r="B7507" s="90">
        <v>6.8427726904745372</v>
      </c>
    </row>
    <row r="7508" spans="1:2">
      <c r="A7508" s="32">
        <v>7495</v>
      </c>
      <c r="B7508" s="90">
        <v>7.2440767656508687</v>
      </c>
    </row>
    <row r="7509" spans="1:2">
      <c r="A7509" s="32">
        <v>7496</v>
      </c>
      <c r="B7509" s="90">
        <v>8.5531899779353697</v>
      </c>
    </row>
    <row r="7510" spans="1:2">
      <c r="A7510" s="32">
        <v>7497</v>
      </c>
      <c r="B7510" s="90">
        <v>7.7839573182379569</v>
      </c>
    </row>
    <row r="7511" spans="1:2">
      <c r="A7511" s="32">
        <v>7498</v>
      </c>
      <c r="B7511" s="90">
        <v>8.1292708248904297</v>
      </c>
    </row>
    <row r="7512" spans="1:2">
      <c r="A7512" s="32">
        <v>7499</v>
      </c>
      <c r="B7512" s="90">
        <v>8.4069839925424006</v>
      </c>
    </row>
    <row r="7513" spans="1:2">
      <c r="A7513" s="32">
        <v>7500</v>
      </c>
      <c r="B7513" s="90">
        <v>9.7341863989480331</v>
      </c>
    </row>
    <row r="7514" spans="1:2">
      <c r="A7514" s="32">
        <v>7501</v>
      </c>
      <c r="B7514" s="90">
        <v>7.186012664568076</v>
      </c>
    </row>
    <row r="7515" spans="1:2">
      <c r="A7515" s="32">
        <v>7502</v>
      </c>
      <c r="B7515" s="90">
        <v>8.2906871382070584</v>
      </c>
    </row>
    <row r="7516" spans="1:2">
      <c r="A7516" s="32">
        <v>7503</v>
      </c>
      <c r="B7516" s="90">
        <v>8.4280569517583945</v>
      </c>
    </row>
    <row r="7517" spans="1:2">
      <c r="A7517" s="32">
        <v>7504</v>
      </c>
      <c r="B7517" s="90">
        <v>8.4741772592199265</v>
      </c>
    </row>
    <row r="7518" spans="1:2">
      <c r="A7518" s="32">
        <v>7505</v>
      </c>
      <c r="B7518" s="90">
        <v>9.1737868694534672</v>
      </c>
    </row>
    <row r="7519" spans="1:2">
      <c r="A7519" s="32">
        <v>7506</v>
      </c>
      <c r="B7519" s="90">
        <v>8.0965101762910372</v>
      </c>
    </row>
    <row r="7520" spans="1:2">
      <c r="A7520" s="32">
        <v>7507</v>
      </c>
      <c r="B7520" s="90">
        <v>8.0183111484223346</v>
      </c>
    </row>
    <row r="7521" spans="1:2">
      <c r="A7521" s="32">
        <v>7508</v>
      </c>
      <c r="B7521" s="90">
        <v>7.8940155165510992</v>
      </c>
    </row>
    <row r="7522" spans="1:2">
      <c r="A7522" s="32">
        <v>7509</v>
      </c>
      <c r="B7522" s="90">
        <v>7.9509993478912211</v>
      </c>
    </row>
    <row r="7523" spans="1:2">
      <c r="A7523" s="32">
        <v>7510</v>
      </c>
      <c r="B7523" s="90">
        <v>7.3663596900819348</v>
      </c>
    </row>
    <row r="7524" spans="1:2">
      <c r="A7524" s="32">
        <v>7511</v>
      </c>
      <c r="B7524" s="90">
        <v>8.5998114217579822</v>
      </c>
    </row>
    <row r="7525" spans="1:2">
      <c r="A7525" s="32">
        <v>7512</v>
      </c>
      <c r="B7525" s="90">
        <v>9.617574174536113</v>
      </c>
    </row>
    <row r="7526" spans="1:2">
      <c r="A7526" s="32">
        <v>7513</v>
      </c>
      <c r="B7526" s="90">
        <v>8.5815462539220775</v>
      </c>
    </row>
    <row r="7527" spans="1:2">
      <c r="A7527" s="32">
        <v>7514</v>
      </c>
      <c r="B7527" s="90">
        <v>8.1647569096108104</v>
      </c>
    </row>
    <row r="7528" spans="1:2">
      <c r="A7528" s="32">
        <v>7515</v>
      </c>
      <c r="B7528" s="90">
        <v>8.4828449438319957</v>
      </c>
    </row>
    <row r="7529" spans="1:2">
      <c r="A7529" s="32">
        <v>7516</v>
      </c>
      <c r="B7529" s="90">
        <v>8.2836569488272964</v>
      </c>
    </row>
    <row r="7530" spans="1:2">
      <c r="A7530" s="32">
        <v>7517</v>
      </c>
      <c r="B7530" s="90">
        <v>8.2695287205456189</v>
      </c>
    </row>
    <row r="7531" spans="1:2">
      <c r="A7531" s="32">
        <v>7518</v>
      </c>
      <c r="B7531" s="90">
        <v>9.1929865495161653</v>
      </c>
    </row>
    <row r="7532" spans="1:2">
      <c r="A7532" s="32">
        <v>7519</v>
      </c>
      <c r="B7532" s="90">
        <v>7.839771737507311</v>
      </c>
    </row>
    <row r="7533" spans="1:2">
      <c r="A7533" s="32">
        <v>7520</v>
      </c>
      <c r="B7533" s="90">
        <v>8.754926759360524</v>
      </c>
    </row>
    <row r="7534" spans="1:2">
      <c r="A7534" s="32">
        <v>7521</v>
      </c>
      <c r="B7534" s="90">
        <v>8.3893109353471331</v>
      </c>
    </row>
    <row r="7535" spans="1:2">
      <c r="A7535" s="32">
        <v>7522</v>
      </c>
      <c r="B7535" s="90">
        <v>8.2546156784400004</v>
      </c>
    </row>
    <row r="7536" spans="1:2">
      <c r="A7536" s="32">
        <v>7523</v>
      </c>
      <c r="B7536" s="90">
        <v>8.1851910626053446</v>
      </c>
    </row>
    <row r="7537" spans="1:2">
      <c r="A7537" s="32">
        <v>7524</v>
      </c>
      <c r="B7537" s="90">
        <v>7.903119651124781</v>
      </c>
    </row>
    <row r="7538" spans="1:2">
      <c r="A7538" s="32">
        <v>7525</v>
      </c>
      <c r="B7538" s="90">
        <v>7.7689664368140052</v>
      </c>
    </row>
    <row r="7539" spans="1:2">
      <c r="A7539" s="32">
        <v>7526</v>
      </c>
      <c r="B7539" s="90">
        <v>8.6790644827289789</v>
      </c>
    </row>
    <row r="7540" spans="1:2">
      <c r="A7540" s="32">
        <v>7527</v>
      </c>
      <c r="B7540" s="90">
        <v>7.4856039304796056</v>
      </c>
    </row>
    <row r="7541" spans="1:2">
      <c r="A7541" s="32">
        <v>7528</v>
      </c>
      <c r="B7541" s="90">
        <v>9.5880614251127305</v>
      </c>
    </row>
    <row r="7542" spans="1:2">
      <c r="A7542" s="32">
        <v>7529</v>
      </c>
      <c r="B7542" s="90">
        <v>8.0708536007492739</v>
      </c>
    </row>
    <row r="7543" spans="1:2">
      <c r="A7543" s="32">
        <v>7530</v>
      </c>
      <c r="B7543" s="90">
        <v>8.1911319832166303</v>
      </c>
    </row>
    <row r="7544" spans="1:2">
      <c r="A7544" s="32">
        <v>7531</v>
      </c>
      <c r="B7544" s="90">
        <v>8.1999936990228033</v>
      </c>
    </row>
    <row r="7545" spans="1:2">
      <c r="A7545" s="32">
        <v>7532</v>
      </c>
      <c r="B7545" s="90">
        <v>8.365844302232933</v>
      </c>
    </row>
    <row r="7546" spans="1:2">
      <c r="A7546" s="32">
        <v>7533</v>
      </c>
      <c r="B7546" s="90">
        <v>7.4708649008206969</v>
      </c>
    </row>
    <row r="7547" spans="1:2">
      <c r="A7547" s="32">
        <v>7534</v>
      </c>
      <c r="B7547" s="90">
        <v>7.9519354695871041</v>
      </c>
    </row>
    <row r="7548" spans="1:2">
      <c r="A7548" s="32">
        <v>7535</v>
      </c>
      <c r="B7548" s="90">
        <v>8.6069053037833498</v>
      </c>
    </row>
    <row r="7549" spans="1:2">
      <c r="A7549" s="32">
        <v>7536</v>
      </c>
      <c r="B7549" s="90">
        <v>7.8098421211387965</v>
      </c>
    </row>
    <row r="7550" spans="1:2">
      <c r="A7550" s="32">
        <v>7537</v>
      </c>
      <c r="B7550" s="90">
        <v>8.2789366460871907</v>
      </c>
    </row>
    <row r="7551" spans="1:2">
      <c r="A7551" s="32">
        <v>7538</v>
      </c>
      <c r="B7551" s="90">
        <v>7.6963755028622716</v>
      </c>
    </row>
    <row r="7552" spans="1:2">
      <c r="A7552" s="32">
        <v>7539</v>
      </c>
      <c r="B7552" s="90">
        <v>7.4266751657187795</v>
      </c>
    </row>
    <row r="7553" spans="1:2">
      <c r="A7553" s="32">
        <v>7540</v>
      </c>
      <c r="B7553" s="90">
        <v>8.4063126827774983</v>
      </c>
    </row>
    <row r="7554" spans="1:2">
      <c r="A7554" s="32">
        <v>7541</v>
      </c>
      <c r="B7554" s="90">
        <v>8.1106300890892431</v>
      </c>
    </row>
    <row r="7555" spans="1:2">
      <c r="A7555" s="32">
        <v>7542</v>
      </c>
      <c r="B7555" s="90">
        <v>7.7443172964531746</v>
      </c>
    </row>
    <row r="7556" spans="1:2">
      <c r="A7556" s="32">
        <v>7543</v>
      </c>
      <c r="B7556" s="90">
        <v>8.0831392627927432</v>
      </c>
    </row>
    <row r="7557" spans="1:2">
      <c r="A7557" s="32">
        <v>7544</v>
      </c>
      <c r="B7557" s="90">
        <v>8.8275331193777635</v>
      </c>
    </row>
    <row r="7558" spans="1:2">
      <c r="A7558" s="32">
        <v>7545</v>
      </c>
      <c r="B7558" s="90">
        <v>8.0402362235070353</v>
      </c>
    </row>
    <row r="7559" spans="1:2">
      <c r="A7559" s="32">
        <v>7546</v>
      </c>
      <c r="B7559" s="90">
        <v>8.0798425960153839</v>
      </c>
    </row>
    <row r="7560" spans="1:2">
      <c r="A7560" s="32">
        <v>7547</v>
      </c>
      <c r="B7560" s="90">
        <v>7.7431477266413289</v>
      </c>
    </row>
    <row r="7561" spans="1:2">
      <c r="A7561" s="32">
        <v>7548</v>
      </c>
      <c r="B7561" s="90">
        <v>7.3751352514087349</v>
      </c>
    </row>
    <row r="7562" spans="1:2">
      <c r="A7562" s="32">
        <v>7549</v>
      </c>
      <c r="B7562" s="90">
        <v>7.81144887274111</v>
      </c>
    </row>
    <row r="7563" spans="1:2">
      <c r="A7563" s="32">
        <v>7550</v>
      </c>
      <c r="B7563" s="90">
        <v>7.3349504495843894</v>
      </c>
    </row>
    <row r="7564" spans="1:2">
      <c r="A7564" s="32">
        <v>7551</v>
      </c>
      <c r="B7564" s="90">
        <v>7.5903844736833381</v>
      </c>
    </row>
    <row r="7565" spans="1:2">
      <c r="A7565" s="32">
        <v>7552</v>
      </c>
      <c r="B7565" s="90">
        <v>7.220837356075358</v>
      </c>
    </row>
    <row r="7566" spans="1:2">
      <c r="A7566" s="32">
        <v>7553</v>
      </c>
      <c r="B7566" s="90">
        <v>8.2423404180629962</v>
      </c>
    </row>
    <row r="7567" spans="1:2">
      <c r="A7567" s="32">
        <v>7554</v>
      </c>
      <c r="B7567" s="90">
        <v>8.0858401969999196</v>
      </c>
    </row>
    <row r="7568" spans="1:2">
      <c r="A7568" s="32">
        <v>7555</v>
      </c>
      <c r="B7568" s="90">
        <v>7.972995885115755</v>
      </c>
    </row>
    <row r="7569" spans="1:2">
      <c r="A7569" s="32">
        <v>7556</v>
      </c>
      <c r="B7569" s="90">
        <v>8.318902505366438</v>
      </c>
    </row>
    <row r="7570" spans="1:2">
      <c r="A7570" s="32">
        <v>7557</v>
      </c>
      <c r="B7570" s="90">
        <v>7.8753359491658141</v>
      </c>
    </row>
    <row r="7571" spans="1:2">
      <c r="A7571" s="32">
        <v>7558</v>
      </c>
      <c r="B7571" s="90">
        <v>7.5727222627242297</v>
      </c>
    </row>
    <row r="7572" spans="1:2">
      <c r="A7572" s="32">
        <v>7559</v>
      </c>
      <c r="B7572" s="90">
        <v>8.8074708073004757</v>
      </c>
    </row>
    <row r="7573" spans="1:2">
      <c r="A7573" s="32">
        <v>7560</v>
      </c>
      <c r="B7573" s="90">
        <v>8.1703759768448414</v>
      </c>
    </row>
    <row r="7574" spans="1:2">
      <c r="A7574" s="32">
        <v>7561</v>
      </c>
      <c r="B7574" s="90">
        <v>7.8680453079482993</v>
      </c>
    </row>
    <row r="7575" spans="1:2">
      <c r="A7575" s="32">
        <v>7562</v>
      </c>
      <c r="B7575" s="90">
        <v>7.2018337730340516</v>
      </c>
    </row>
    <row r="7576" spans="1:2">
      <c r="A7576" s="32">
        <v>7563</v>
      </c>
      <c r="B7576" s="90">
        <v>8.2786879504958844</v>
      </c>
    </row>
    <row r="7577" spans="1:2">
      <c r="A7577" s="32">
        <v>7564</v>
      </c>
      <c r="B7577" s="90">
        <v>7.899400429746616</v>
      </c>
    </row>
    <row r="7578" spans="1:2">
      <c r="A7578" s="32">
        <v>7565</v>
      </c>
      <c r="B7578" s="90">
        <v>9.0883572268381556</v>
      </c>
    </row>
    <row r="7579" spans="1:2">
      <c r="A7579" s="32">
        <v>7566</v>
      </c>
      <c r="B7579" s="90">
        <v>8.0343199027824816</v>
      </c>
    </row>
    <row r="7580" spans="1:2">
      <c r="A7580" s="32">
        <v>7567</v>
      </c>
      <c r="B7580" s="90">
        <v>7.9036175368272721</v>
      </c>
    </row>
    <row r="7581" spans="1:2">
      <c r="A7581" s="32">
        <v>7568</v>
      </c>
      <c r="B7581" s="90">
        <v>8.9658311942178592</v>
      </c>
    </row>
    <row r="7582" spans="1:2">
      <c r="A7582" s="32">
        <v>7569</v>
      </c>
      <c r="B7582" s="90">
        <v>7.6835273264216548</v>
      </c>
    </row>
    <row r="7583" spans="1:2">
      <c r="A7583" s="32">
        <v>7570</v>
      </c>
      <c r="B7583" s="90">
        <v>8.860446535111576</v>
      </c>
    </row>
    <row r="7584" spans="1:2">
      <c r="A7584" s="32">
        <v>7571</v>
      </c>
      <c r="B7584" s="90">
        <v>7.9203398958763502</v>
      </c>
    </row>
    <row r="7585" spans="1:2">
      <c r="A7585" s="32">
        <v>7572</v>
      </c>
      <c r="B7585" s="90">
        <v>9.4623951415662173</v>
      </c>
    </row>
    <row r="7586" spans="1:2">
      <c r="A7586" s="32">
        <v>7573</v>
      </c>
      <c r="B7586" s="90">
        <v>7.9076222781433048</v>
      </c>
    </row>
    <row r="7587" spans="1:2">
      <c r="A7587" s="32">
        <v>7574</v>
      </c>
      <c r="B7587" s="90">
        <v>8.5843064411249941</v>
      </c>
    </row>
    <row r="7588" spans="1:2">
      <c r="A7588" s="32">
        <v>7575</v>
      </c>
      <c r="B7588" s="90">
        <v>7.4742158198773057</v>
      </c>
    </row>
    <row r="7589" spans="1:2">
      <c r="A7589" s="32">
        <v>7576</v>
      </c>
      <c r="B7589" s="90">
        <v>7.6575912529625416</v>
      </c>
    </row>
    <row r="7590" spans="1:2">
      <c r="A7590" s="32">
        <v>7577</v>
      </c>
      <c r="B7590" s="90">
        <v>7.5836631669057066</v>
      </c>
    </row>
    <row r="7591" spans="1:2">
      <c r="A7591" s="32">
        <v>7578</v>
      </c>
      <c r="B7591" s="90">
        <v>7.9845592530990475</v>
      </c>
    </row>
    <row r="7592" spans="1:2">
      <c r="A7592" s="32">
        <v>7579</v>
      </c>
      <c r="B7592" s="90">
        <v>7.5719604045293893</v>
      </c>
    </row>
    <row r="7593" spans="1:2">
      <c r="A7593" s="32">
        <v>7580</v>
      </c>
      <c r="B7593" s="90">
        <v>9.1017602927109422</v>
      </c>
    </row>
    <row r="7594" spans="1:2">
      <c r="A7594" s="32">
        <v>7581</v>
      </c>
      <c r="B7594" s="90">
        <v>10.174883509641923</v>
      </c>
    </row>
    <row r="7595" spans="1:2">
      <c r="A7595" s="32">
        <v>7582</v>
      </c>
      <c r="B7595" s="90">
        <v>8.2892287180617181</v>
      </c>
    </row>
    <row r="7596" spans="1:2">
      <c r="A7596" s="32">
        <v>7583</v>
      </c>
      <c r="B7596" s="90">
        <v>6.9614217693540255</v>
      </c>
    </row>
    <row r="7597" spans="1:2">
      <c r="A7597" s="32">
        <v>7584</v>
      </c>
      <c r="B7597" s="90">
        <v>7.7204147385067579</v>
      </c>
    </row>
    <row r="7598" spans="1:2">
      <c r="A7598" s="32">
        <v>7585</v>
      </c>
      <c r="B7598" s="90">
        <v>8.461488690283602</v>
      </c>
    </row>
    <row r="7599" spans="1:2">
      <c r="A7599" s="32">
        <v>7586</v>
      </c>
      <c r="B7599" s="90">
        <v>7.6075628459833711</v>
      </c>
    </row>
    <row r="7600" spans="1:2">
      <c r="A7600" s="32">
        <v>7587</v>
      </c>
      <c r="B7600" s="90">
        <v>7.7897565610180077</v>
      </c>
    </row>
    <row r="7601" spans="1:2">
      <c r="A7601" s="32">
        <v>7588</v>
      </c>
      <c r="B7601" s="90">
        <v>8.1623488366276327</v>
      </c>
    </row>
    <row r="7602" spans="1:2">
      <c r="A7602" s="32">
        <v>7589</v>
      </c>
      <c r="B7602" s="90">
        <v>10.131383569640057</v>
      </c>
    </row>
    <row r="7603" spans="1:2">
      <c r="A7603" s="32">
        <v>7590</v>
      </c>
      <c r="B7603" s="90">
        <v>7.6421381636887995</v>
      </c>
    </row>
    <row r="7604" spans="1:2">
      <c r="A7604" s="32">
        <v>7591</v>
      </c>
      <c r="B7604" s="90">
        <v>8.1265177159868554</v>
      </c>
    </row>
    <row r="7605" spans="1:2">
      <c r="A7605" s="32">
        <v>7592</v>
      </c>
      <c r="B7605" s="90">
        <v>8.009413709227502</v>
      </c>
    </row>
    <row r="7606" spans="1:2">
      <c r="A7606" s="32">
        <v>7593</v>
      </c>
      <c r="B7606" s="90">
        <v>8.1680071775015364</v>
      </c>
    </row>
    <row r="7607" spans="1:2">
      <c r="A7607" s="32">
        <v>7594</v>
      </c>
      <c r="B7607" s="90">
        <v>9.4540809572840807</v>
      </c>
    </row>
    <row r="7608" spans="1:2">
      <c r="A7608" s="32">
        <v>7595</v>
      </c>
      <c r="B7608" s="90">
        <v>7.4492847347427364</v>
      </c>
    </row>
    <row r="7609" spans="1:2">
      <c r="A7609" s="32">
        <v>7596</v>
      </c>
      <c r="B7609" s="90">
        <v>9.3060996819451116</v>
      </c>
    </row>
    <row r="7610" spans="1:2">
      <c r="A7610" s="32">
        <v>7597</v>
      </c>
      <c r="B7610" s="90">
        <v>10.10188458228747</v>
      </c>
    </row>
    <row r="7611" spans="1:2">
      <c r="A7611" s="32">
        <v>7598</v>
      </c>
      <c r="B7611" s="90">
        <v>7.9798998387414644</v>
      </c>
    </row>
    <row r="7612" spans="1:2">
      <c r="A7612" s="32">
        <v>7599</v>
      </c>
      <c r="B7612" s="90">
        <v>9.7063861767204695</v>
      </c>
    </row>
    <row r="7613" spans="1:2">
      <c r="A7613" s="32">
        <v>7600</v>
      </c>
      <c r="B7613" s="90">
        <v>7.7809402901312543</v>
      </c>
    </row>
    <row r="7614" spans="1:2">
      <c r="A7614" s="32">
        <v>7601</v>
      </c>
      <c r="B7614" s="90">
        <v>7.1747151881525193</v>
      </c>
    </row>
    <row r="7615" spans="1:2">
      <c r="A7615" s="32">
        <v>7602</v>
      </c>
      <c r="B7615" s="90">
        <v>8.3366310584166623</v>
      </c>
    </row>
    <row r="7616" spans="1:2">
      <c r="A7616" s="32">
        <v>7603</v>
      </c>
      <c r="B7616" s="90">
        <v>7.5408116997221049</v>
      </c>
    </row>
    <row r="7617" spans="1:2">
      <c r="A7617" s="32">
        <v>7604</v>
      </c>
      <c r="B7617" s="90">
        <v>8.6606749232575098</v>
      </c>
    </row>
    <row r="7618" spans="1:2">
      <c r="A7618" s="32">
        <v>7605</v>
      </c>
      <c r="B7618" s="90">
        <v>8.5078946061898701</v>
      </c>
    </row>
    <row r="7619" spans="1:2">
      <c r="A7619" s="32">
        <v>7606</v>
      </c>
      <c r="B7619" s="90">
        <v>7.9582038600934162</v>
      </c>
    </row>
    <row r="7620" spans="1:2">
      <c r="A7620" s="32">
        <v>7607</v>
      </c>
      <c r="B7620" s="90">
        <v>8.6227697820005105</v>
      </c>
    </row>
    <row r="7621" spans="1:2">
      <c r="A7621" s="32">
        <v>7608</v>
      </c>
      <c r="B7621" s="90">
        <v>7.2641603867491034</v>
      </c>
    </row>
    <row r="7622" spans="1:2">
      <c r="A7622" s="32">
        <v>7609</v>
      </c>
      <c r="B7622" s="90">
        <v>7.5791153073610111</v>
      </c>
    </row>
    <row r="7623" spans="1:2">
      <c r="A7623" s="32">
        <v>7610</v>
      </c>
      <c r="B7623" s="90">
        <v>7.2377480429358867</v>
      </c>
    </row>
    <row r="7624" spans="1:2">
      <c r="A7624" s="32">
        <v>7611</v>
      </c>
      <c r="B7624" s="90">
        <v>7.4582061484952202</v>
      </c>
    </row>
    <row r="7625" spans="1:2">
      <c r="A7625" s="32">
        <v>7612</v>
      </c>
      <c r="B7625" s="90">
        <v>8.2550428373619429</v>
      </c>
    </row>
    <row r="7626" spans="1:2">
      <c r="A7626" s="32">
        <v>7613</v>
      </c>
      <c r="B7626" s="90">
        <v>7.7873189100480369</v>
      </c>
    </row>
    <row r="7627" spans="1:2">
      <c r="A7627" s="32">
        <v>7614</v>
      </c>
      <c r="B7627" s="90">
        <v>7.6087802186871416</v>
      </c>
    </row>
    <row r="7628" spans="1:2">
      <c r="A7628" s="32">
        <v>7615</v>
      </c>
      <c r="B7628" s="90">
        <v>7.9250362399735153</v>
      </c>
    </row>
    <row r="7629" spans="1:2">
      <c r="A7629" s="32">
        <v>7616</v>
      </c>
      <c r="B7629" s="90">
        <v>8.8152073389644574</v>
      </c>
    </row>
    <row r="7630" spans="1:2">
      <c r="A7630" s="32">
        <v>7617</v>
      </c>
      <c r="B7630" s="90">
        <v>8.4982213440452821</v>
      </c>
    </row>
    <row r="7631" spans="1:2">
      <c r="A7631" s="32">
        <v>7618</v>
      </c>
      <c r="B7631" s="90">
        <v>6.2562027238067532</v>
      </c>
    </row>
    <row r="7632" spans="1:2">
      <c r="A7632" s="32">
        <v>7619</v>
      </c>
      <c r="B7632" s="90">
        <v>8.1461844504959036</v>
      </c>
    </row>
    <row r="7633" spans="1:2">
      <c r="A7633" s="32">
        <v>7620</v>
      </c>
      <c r="B7633" s="90">
        <v>7.6982029704668404</v>
      </c>
    </row>
    <row r="7634" spans="1:2">
      <c r="A7634" s="32">
        <v>7621</v>
      </c>
      <c r="B7634" s="90">
        <v>8.4515586855937528</v>
      </c>
    </row>
    <row r="7635" spans="1:2">
      <c r="A7635" s="32">
        <v>7622</v>
      </c>
      <c r="B7635" s="90">
        <v>7.6090713685970846</v>
      </c>
    </row>
    <row r="7636" spans="1:2">
      <c r="A7636" s="32">
        <v>7623</v>
      </c>
      <c r="B7636" s="90">
        <v>8.5567453396241095</v>
      </c>
    </row>
    <row r="7637" spans="1:2">
      <c r="A7637" s="32">
        <v>7624</v>
      </c>
      <c r="B7637" s="90">
        <v>8.5965926717084482</v>
      </c>
    </row>
    <row r="7638" spans="1:2">
      <c r="A7638" s="32">
        <v>7625</v>
      </c>
      <c r="B7638" s="90">
        <v>7.2387808687985196</v>
      </c>
    </row>
    <row r="7639" spans="1:2">
      <c r="A7639" s="32">
        <v>7626</v>
      </c>
      <c r="B7639" s="90">
        <v>8.0212330224749309</v>
      </c>
    </row>
    <row r="7640" spans="1:2">
      <c r="A7640" s="32">
        <v>7627</v>
      </c>
      <c r="B7640" s="90">
        <v>8.2596715857367684</v>
      </c>
    </row>
    <row r="7641" spans="1:2">
      <c r="A7641" s="32">
        <v>7628</v>
      </c>
      <c r="B7641" s="90">
        <v>8.1442662949966618</v>
      </c>
    </row>
    <row r="7642" spans="1:2">
      <c r="A7642" s="32">
        <v>7629</v>
      </c>
      <c r="B7642" s="90">
        <v>7.3812480191412524</v>
      </c>
    </row>
    <row r="7643" spans="1:2">
      <c r="A7643" s="32">
        <v>7630</v>
      </c>
      <c r="B7643" s="90">
        <v>8.5581832266506019</v>
      </c>
    </row>
    <row r="7644" spans="1:2">
      <c r="A7644" s="32">
        <v>7631</v>
      </c>
      <c r="B7644" s="90">
        <v>9.2271072213281364</v>
      </c>
    </row>
    <row r="7645" spans="1:2">
      <c r="A7645" s="32">
        <v>7632</v>
      </c>
      <c r="B7645" s="90">
        <v>8.4054856160912994</v>
      </c>
    </row>
    <row r="7646" spans="1:2">
      <c r="A7646" s="32">
        <v>7633</v>
      </c>
      <c r="B7646" s="90">
        <v>9.3099991433909075</v>
      </c>
    </row>
    <row r="7647" spans="1:2">
      <c r="A7647" s="32">
        <v>7634</v>
      </c>
      <c r="B7647" s="90">
        <v>8.1316940423776547</v>
      </c>
    </row>
    <row r="7648" spans="1:2">
      <c r="A7648" s="32">
        <v>7635</v>
      </c>
      <c r="B7648" s="90">
        <v>7.9341131444955657</v>
      </c>
    </row>
    <row r="7649" spans="1:2">
      <c r="A7649" s="32">
        <v>7636</v>
      </c>
      <c r="B7649" s="90">
        <v>6.9239038181940975</v>
      </c>
    </row>
    <row r="7650" spans="1:2">
      <c r="A7650" s="32">
        <v>7637</v>
      </c>
      <c r="B7650" s="90">
        <v>8.4392669331380379</v>
      </c>
    </row>
    <row r="7651" spans="1:2">
      <c r="A7651" s="32">
        <v>7638</v>
      </c>
      <c r="B7651" s="90">
        <v>7.5587933037083008</v>
      </c>
    </row>
    <row r="7652" spans="1:2">
      <c r="A7652" s="32">
        <v>7639</v>
      </c>
      <c r="B7652" s="90">
        <v>7.2486821462476954</v>
      </c>
    </row>
    <row r="7653" spans="1:2">
      <c r="A7653" s="32">
        <v>7640</v>
      </c>
      <c r="B7653" s="90">
        <v>7.6345389411417894</v>
      </c>
    </row>
    <row r="7654" spans="1:2">
      <c r="A7654" s="32">
        <v>7641</v>
      </c>
      <c r="B7654" s="90">
        <v>6.7593205349442886</v>
      </c>
    </row>
    <row r="7655" spans="1:2">
      <c r="A7655" s="32">
        <v>7642</v>
      </c>
      <c r="B7655" s="90">
        <v>8.195249792306015</v>
      </c>
    </row>
    <row r="7656" spans="1:2">
      <c r="A7656" s="32">
        <v>7643</v>
      </c>
      <c r="B7656" s="90">
        <v>7.9634789318755796</v>
      </c>
    </row>
    <row r="7657" spans="1:2">
      <c r="A7657" s="32">
        <v>7644</v>
      </c>
      <c r="B7657" s="90">
        <v>7.3076120154842634</v>
      </c>
    </row>
    <row r="7658" spans="1:2">
      <c r="A7658" s="32">
        <v>7645</v>
      </c>
      <c r="B7658" s="90">
        <v>8.7766422254186018</v>
      </c>
    </row>
    <row r="7659" spans="1:2">
      <c r="A7659" s="32">
        <v>7646</v>
      </c>
      <c r="B7659" s="90">
        <v>9.0875775850290168</v>
      </c>
    </row>
    <row r="7660" spans="1:2">
      <c r="A7660" s="32">
        <v>7647</v>
      </c>
      <c r="B7660" s="90">
        <v>7.7353767054683242</v>
      </c>
    </row>
    <row r="7661" spans="1:2">
      <c r="A7661" s="32">
        <v>7648</v>
      </c>
      <c r="B7661" s="90">
        <v>7.2646769844655967</v>
      </c>
    </row>
    <row r="7662" spans="1:2">
      <c r="A7662" s="32">
        <v>7649</v>
      </c>
      <c r="B7662" s="90">
        <v>8.2763849849316653</v>
      </c>
    </row>
    <row r="7663" spans="1:2">
      <c r="A7663" s="32">
        <v>7650</v>
      </c>
      <c r="B7663" s="90">
        <v>8.1644298942851012</v>
      </c>
    </row>
    <row r="7664" spans="1:2">
      <c r="A7664" s="32">
        <v>7651</v>
      </c>
      <c r="B7664" s="90">
        <v>7.127885969043442</v>
      </c>
    </row>
    <row r="7665" spans="1:2">
      <c r="A7665" s="32">
        <v>7652</v>
      </c>
      <c r="B7665" s="90">
        <v>7.0610698571726065</v>
      </c>
    </row>
    <row r="7666" spans="1:2">
      <c r="A7666" s="32">
        <v>7653</v>
      </c>
      <c r="B7666" s="90">
        <v>7.7777633193905871</v>
      </c>
    </row>
    <row r="7667" spans="1:2">
      <c r="A7667" s="32">
        <v>7654</v>
      </c>
      <c r="B7667" s="90">
        <v>8.4201192829492602</v>
      </c>
    </row>
    <row r="7668" spans="1:2">
      <c r="A7668" s="32">
        <v>7655</v>
      </c>
      <c r="B7668" s="90">
        <v>7.534905940632755</v>
      </c>
    </row>
    <row r="7669" spans="1:2">
      <c r="A7669" s="32">
        <v>7656</v>
      </c>
      <c r="B7669" s="90">
        <v>7.643663936871028</v>
      </c>
    </row>
    <row r="7670" spans="1:2">
      <c r="A7670" s="32">
        <v>7657</v>
      </c>
      <c r="B7670" s="90">
        <v>8.4517440603408218</v>
      </c>
    </row>
    <row r="7671" spans="1:2">
      <c r="A7671" s="32">
        <v>7658</v>
      </c>
      <c r="B7671" s="90">
        <v>7.7799456321211844</v>
      </c>
    </row>
    <row r="7672" spans="1:2">
      <c r="A7672" s="32">
        <v>7659</v>
      </c>
      <c r="B7672" s="90">
        <v>8.2810032430099163</v>
      </c>
    </row>
    <row r="7673" spans="1:2">
      <c r="A7673" s="32">
        <v>7660</v>
      </c>
      <c r="B7673" s="90">
        <v>8.2212789555156682</v>
      </c>
    </row>
    <row r="7674" spans="1:2">
      <c r="A7674" s="32">
        <v>7661</v>
      </c>
      <c r="B7674" s="90">
        <v>8.4427687037568173</v>
      </c>
    </row>
    <row r="7675" spans="1:2">
      <c r="A7675" s="32">
        <v>7662</v>
      </c>
      <c r="B7675" s="90">
        <v>8.165943531925004</v>
      </c>
    </row>
    <row r="7676" spans="1:2">
      <c r="A7676" s="32">
        <v>7663</v>
      </c>
      <c r="B7676" s="90">
        <v>8.776333714228679</v>
      </c>
    </row>
    <row r="7677" spans="1:2">
      <c r="A7677" s="32">
        <v>7664</v>
      </c>
      <c r="B7677" s="90">
        <v>8.0400382468181775</v>
      </c>
    </row>
    <row r="7678" spans="1:2">
      <c r="A7678" s="32">
        <v>7665</v>
      </c>
      <c r="B7678" s="90">
        <v>7.3823321829916511</v>
      </c>
    </row>
    <row r="7679" spans="1:2">
      <c r="A7679" s="32">
        <v>7666</v>
      </c>
      <c r="B7679" s="90">
        <v>8.3929168736399404</v>
      </c>
    </row>
    <row r="7680" spans="1:2">
      <c r="A7680" s="32">
        <v>7667</v>
      </c>
      <c r="B7680" s="90">
        <v>9.1097871348111887</v>
      </c>
    </row>
    <row r="7681" spans="1:2">
      <c r="A7681" s="32">
        <v>7668</v>
      </c>
      <c r="B7681" s="90">
        <v>8.1349216611406341</v>
      </c>
    </row>
    <row r="7682" spans="1:2">
      <c r="A7682" s="32">
        <v>7669</v>
      </c>
      <c r="B7682" s="90">
        <v>9.8508627383340226</v>
      </c>
    </row>
    <row r="7683" spans="1:2">
      <c r="A7683" s="32">
        <v>7670</v>
      </c>
      <c r="B7683" s="90">
        <v>8.1846425927611133</v>
      </c>
    </row>
    <row r="7684" spans="1:2">
      <c r="A7684" s="32">
        <v>7671</v>
      </c>
      <c r="B7684" s="90">
        <v>7.7712307485038039</v>
      </c>
    </row>
    <row r="7685" spans="1:2">
      <c r="A7685" s="32">
        <v>7672</v>
      </c>
      <c r="B7685" s="90">
        <v>7.6787901686400373</v>
      </c>
    </row>
    <row r="7686" spans="1:2">
      <c r="A7686" s="32">
        <v>7673</v>
      </c>
      <c r="B7686" s="90">
        <v>8.3981232129548431</v>
      </c>
    </row>
    <row r="7687" spans="1:2">
      <c r="A7687" s="32">
        <v>7674</v>
      </c>
      <c r="B7687" s="90">
        <v>6.8428016838599559</v>
      </c>
    </row>
    <row r="7688" spans="1:2">
      <c r="A7688" s="32">
        <v>7675</v>
      </c>
      <c r="B7688" s="90">
        <v>7.1909038408965893</v>
      </c>
    </row>
    <row r="7689" spans="1:2">
      <c r="A7689" s="32">
        <v>7676</v>
      </c>
      <c r="B7689" s="90">
        <v>9.5868143158996961</v>
      </c>
    </row>
    <row r="7690" spans="1:2">
      <c r="A7690" s="32">
        <v>7677</v>
      </c>
      <c r="B7690" s="90">
        <v>7.6655089627726216</v>
      </c>
    </row>
    <row r="7691" spans="1:2">
      <c r="A7691" s="32">
        <v>7678</v>
      </c>
      <c r="B7691" s="90">
        <v>8.3643395674316796</v>
      </c>
    </row>
    <row r="7692" spans="1:2">
      <c r="A7692" s="32">
        <v>7679</v>
      </c>
      <c r="B7692" s="90">
        <v>8.1346316591721077</v>
      </c>
    </row>
    <row r="7693" spans="1:2">
      <c r="A7693" s="32">
        <v>7680</v>
      </c>
      <c r="B7693" s="90">
        <v>8.1438649254853832</v>
      </c>
    </row>
    <row r="7694" spans="1:2">
      <c r="A7694" s="32">
        <v>7681</v>
      </c>
      <c r="B7694" s="90">
        <v>9.087951758951144</v>
      </c>
    </row>
    <row r="7695" spans="1:2">
      <c r="A7695" s="32">
        <v>7682</v>
      </c>
      <c r="B7695" s="90">
        <v>7.6598232688004124</v>
      </c>
    </row>
    <row r="7696" spans="1:2">
      <c r="A7696" s="32">
        <v>7683</v>
      </c>
      <c r="B7696" s="90">
        <v>8.5181427182907878</v>
      </c>
    </row>
    <row r="7697" spans="1:2">
      <c r="A7697" s="32">
        <v>7684</v>
      </c>
      <c r="B7697" s="90">
        <v>8.7118618899526243</v>
      </c>
    </row>
    <row r="7698" spans="1:2">
      <c r="A7698" s="32">
        <v>7685</v>
      </c>
      <c r="B7698" s="90">
        <v>9.7951757081607891</v>
      </c>
    </row>
    <row r="7699" spans="1:2">
      <c r="A7699" s="32">
        <v>7686</v>
      </c>
      <c r="B7699" s="90">
        <v>6.5163080028396072</v>
      </c>
    </row>
    <row r="7700" spans="1:2">
      <c r="A7700" s="32">
        <v>7687</v>
      </c>
      <c r="B7700" s="90">
        <v>8.6241328024533743</v>
      </c>
    </row>
    <row r="7701" spans="1:2">
      <c r="A7701" s="32">
        <v>7688</v>
      </c>
      <c r="B7701" s="90">
        <v>9.0503353381080185</v>
      </c>
    </row>
    <row r="7702" spans="1:2">
      <c r="A7702" s="32">
        <v>7689</v>
      </c>
      <c r="B7702" s="90">
        <v>8.6749935620344356</v>
      </c>
    </row>
    <row r="7703" spans="1:2">
      <c r="A7703" s="32">
        <v>7690</v>
      </c>
      <c r="B7703" s="90">
        <v>8.2351549918087645</v>
      </c>
    </row>
    <row r="7704" spans="1:2">
      <c r="A7704" s="32">
        <v>7691</v>
      </c>
      <c r="B7704" s="90">
        <v>7.4121285702072139</v>
      </c>
    </row>
    <row r="7705" spans="1:2">
      <c r="A7705" s="32">
        <v>7692</v>
      </c>
      <c r="B7705" s="90">
        <v>7.3861522450967048</v>
      </c>
    </row>
    <row r="7706" spans="1:2">
      <c r="A7706" s="32">
        <v>7693</v>
      </c>
      <c r="B7706" s="90">
        <v>9.1569413800156525</v>
      </c>
    </row>
    <row r="7707" spans="1:2">
      <c r="A7707" s="32">
        <v>7694</v>
      </c>
      <c r="B7707" s="90">
        <v>7.9142492534313362</v>
      </c>
    </row>
    <row r="7708" spans="1:2">
      <c r="A7708" s="32">
        <v>7695</v>
      </c>
      <c r="B7708" s="90">
        <v>7.589764630731656</v>
      </c>
    </row>
    <row r="7709" spans="1:2">
      <c r="A7709" s="32">
        <v>7696</v>
      </c>
      <c r="B7709" s="90">
        <v>8.1895881296059976</v>
      </c>
    </row>
    <row r="7710" spans="1:2">
      <c r="A7710" s="32">
        <v>7697</v>
      </c>
      <c r="B7710" s="90">
        <v>7.830182459335008</v>
      </c>
    </row>
    <row r="7711" spans="1:2">
      <c r="A7711" s="32">
        <v>7698</v>
      </c>
      <c r="B7711" s="90">
        <v>7.3599527896059973</v>
      </c>
    </row>
    <row r="7712" spans="1:2">
      <c r="A7712" s="32">
        <v>7699</v>
      </c>
      <c r="B7712" s="90">
        <v>9.3192400278120306</v>
      </c>
    </row>
    <row r="7713" spans="1:2">
      <c r="A7713" s="32">
        <v>7700</v>
      </c>
      <c r="B7713" s="90">
        <v>8.1196537513643996</v>
      </c>
    </row>
    <row r="7714" spans="1:2">
      <c r="A7714" s="32">
        <v>7701</v>
      </c>
      <c r="B7714" s="90">
        <v>7.6131743180615175</v>
      </c>
    </row>
    <row r="7715" spans="1:2">
      <c r="A7715" s="32">
        <v>7702</v>
      </c>
      <c r="B7715" s="90">
        <v>7.2867353099749117</v>
      </c>
    </row>
    <row r="7716" spans="1:2">
      <c r="A7716" s="32">
        <v>7703</v>
      </c>
      <c r="B7716" s="90">
        <v>8.7277710668288204</v>
      </c>
    </row>
    <row r="7717" spans="1:2">
      <c r="A7717" s="32">
        <v>7704</v>
      </c>
      <c r="B7717" s="90">
        <v>7.5972014680462339</v>
      </c>
    </row>
    <row r="7718" spans="1:2">
      <c r="A7718" s="32">
        <v>7705</v>
      </c>
      <c r="B7718" s="90">
        <v>8.383396762031385</v>
      </c>
    </row>
    <row r="7719" spans="1:2">
      <c r="A7719" s="32">
        <v>7706</v>
      </c>
      <c r="B7719" s="90">
        <v>7.6006424972000515</v>
      </c>
    </row>
    <row r="7720" spans="1:2">
      <c r="A7720" s="32">
        <v>7707</v>
      </c>
      <c r="B7720" s="90">
        <v>8.2466788868206464</v>
      </c>
    </row>
    <row r="7721" spans="1:2">
      <c r="A7721" s="32">
        <v>7708</v>
      </c>
      <c r="B7721" s="90">
        <v>7.1637888305397404</v>
      </c>
    </row>
    <row r="7722" spans="1:2">
      <c r="A7722" s="32">
        <v>7709</v>
      </c>
      <c r="B7722" s="90">
        <v>7.842639592114752</v>
      </c>
    </row>
    <row r="7723" spans="1:2">
      <c r="A7723" s="32">
        <v>7710</v>
      </c>
      <c r="B7723" s="90">
        <v>7.1690550372855801</v>
      </c>
    </row>
    <row r="7724" spans="1:2">
      <c r="A7724" s="32">
        <v>7711</v>
      </c>
      <c r="B7724" s="90">
        <v>8.9255971670807863</v>
      </c>
    </row>
    <row r="7725" spans="1:2">
      <c r="A7725" s="32">
        <v>7712</v>
      </c>
      <c r="B7725" s="90">
        <v>7.4317275215860743</v>
      </c>
    </row>
    <row r="7726" spans="1:2">
      <c r="A7726" s="32">
        <v>7713</v>
      </c>
      <c r="B7726" s="90">
        <v>8.648827766197364</v>
      </c>
    </row>
    <row r="7727" spans="1:2">
      <c r="A7727" s="32">
        <v>7714</v>
      </c>
      <c r="B7727" s="90">
        <v>8.1637203535987855</v>
      </c>
    </row>
    <row r="7728" spans="1:2">
      <c r="A7728" s="32">
        <v>7715</v>
      </c>
      <c r="B7728" s="90">
        <v>8.9264858212593996</v>
      </c>
    </row>
    <row r="7729" spans="1:2">
      <c r="A7729" s="32">
        <v>7716</v>
      </c>
      <c r="B7729" s="90">
        <v>7.3210840344391199</v>
      </c>
    </row>
    <row r="7730" spans="1:2">
      <c r="A7730" s="32">
        <v>7717</v>
      </c>
      <c r="B7730" s="90">
        <v>7.9059326241009504</v>
      </c>
    </row>
    <row r="7731" spans="1:2">
      <c r="A7731" s="32">
        <v>7718</v>
      </c>
      <c r="B7731" s="90">
        <v>9.720348348731882</v>
      </c>
    </row>
    <row r="7732" spans="1:2">
      <c r="A7732" s="32">
        <v>7719</v>
      </c>
      <c r="B7732" s="90">
        <v>8.1873883399412755</v>
      </c>
    </row>
    <row r="7733" spans="1:2">
      <c r="A7733" s="32">
        <v>7720</v>
      </c>
      <c r="B7733" s="90">
        <v>7.5051296400447169</v>
      </c>
    </row>
    <row r="7734" spans="1:2">
      <c r="A7734" s="32">
        <v>7721</v>
      </c>
      <c r="B7734" s="90">
        <v>7.8236176609049695</v>
      </c>
    </row>
    <row r="7735" spans="1:2">
      <c r="A7735" s="32">
        <v>7722</v>
      </c>
      <c r="B7735" s="90">
        <v>7.849280560221243</v>
      </c>
    </row>
    <row r="7736" spans="1:2">
      <c r="A7736" s="32">
        <v>7723</v>
      </c>
      <c r="B7736" s="90">
        <v>8.5439065654535433</v>
      </c>
    </row>
    <row r="7737" spans="1:2">
      <c r="A7737" s="32">
        <v>7724</v>
      </c>
      <c r="B7737" s="90">
        <v>7.4384449972287205</v>
      </c>
    </row>
    <row r="7738" spans="1:2">
      <c r="A7738" s="32">
        <v>7725</v>
      </c>
      <c r="B7738" s="90">
        <v>9.693276050591642</v>
      </c>
    </row>
    <row r="7739" spans="1:2">
      <c r="A7739" s="32">
        <v>7726</v>
      </c>
      <c r="B7739" s="90">
        <v>7.1115343878390904</v>
      </c>
    </row>
    <row r="7740" spans="1:2">
      <c r="A7740" s="32">
        <v>7727</v>
      </c>
      <c r="B7740" s="90">
        <v>7.4635508531038601</v>
      </c>
    </row>
    <row r="7741" spans="1:2">
      <c r="A7741" s="32">
        <v>7728</v>
      </c>
      <c r="B7741" s="90">
        <v>7.0749700517748311</v>
      </c>
    </row>
    <row r="7742" spans="1:2">
      <c r="A7742" s="32">
        <v>7729</v>
      </c>
      <c r="B7742" s="90">
        <v>7.7557299045977661</v>
      </c>
    </row>
    <row r="7743" spans="1:2">
      <c r="A7743" s="32">
        <v>7730</v>
      </c>
      <c r="B7743" s="90">
        <v>8.2275279563821542</v>
      </c>
    </row>
    <row r="7744" spans="1:2">
      <c r="A7744" s="32">
        <v>7731</v>
      </c>
      <c r="B7744" s="90">
        <v>7.2157779410145384</v>
      </c>
    </row>
    <row r="7745" spans="1:2">
      <c r="A7745" s="32">
        <v>7732</v>
      </c>
      <c r="B7745" s="90">
        <v>8.4464591633927704</v>
      </c>
    </row>
    <row r="7746" spans="1:2">
      <c r="A7746" s="32">
        <v>7733</v>
      </c>
      <c r="B7746" s="90">
        <v>8.7421068136489914</v>
      </c>
    </row>
    <row r="7747" spans="1:2">
      <c r="A7747" s="32">
        <v>7734</v>
      </c>
      <c r="B7747" s="90">
        <v>7.494558577392616</v>
      </c>
    </row>
    <row r="7748" spans="1:2">
      <c r="A7748" s="32">
        <v>7735</v>
      </c>
      <c r="B7748" s="90">
        <v>7.2842943215809361</v>
      </c>
    </row>
    <row r="7749" spans="1:2">
      <c r="A7749" s="32">
        <v>7736</v>
      </c>
      <c r="B7749" s="90">
        <v>6.8836603732728143</v>
      </c>
    </row>
    <row r="7750" spans="1:2">
      <c r="A7750" s="32">
        <v>7737</v>
      </c>
      <c r="B7750" s="90">
        <v>8.2039434280269763</v>
      </c>
    </row>
    <row r="7751" spans="1:2">
      <c r="A7751" s="32">
        <v>7738</v>
      </c>
      <c r="B7751" s="90">
        <v>7.4030468066834425</v>
      </c>
    </row>
    <row r="7752" spans="1:2">
      <c r="A7752" s="32">
        <v>7739</v>
      </c>
      <c r="B7752" s="90">
        <v>8.3256922343065831</v>
      </c>
    </row>
    <row r="7753" spans="1:2">
      <c r="A7753" s="32">
        <v>7740</v>
      </c>
      <c r="B7753" s="90">
        <v>7.8534425695005874</v>
      </c>
    </row>
    <row r="7754" spans="1:2">
      <c r="A7754" s="32">
        <v>7741</v>
      </c>
      <c r="B7754" s="90">
        <v>8.1584690216334188</v>
      </c>
    </row>
    <row r="7755" spans="1:2">
      <c r="A7755" s="32">
        <v>7742</v>
      </c>
      <c r="B7755" s="90">
        <v>9.2323676952568317</v>
      </c>
    </row>
    <row r="7756" spans="1:2">
      <c r="A7756" s="32">
        <v>7743</v>
      </c>
      <c r="B7756" s="90">
        <v>8.0995205776582608</v>
      </c>
    </row>
    <row r="7757" spans="1:2">
      <c r="A7757" s="32">
        <v>7744</v>
      </c>
      <c r="B7757" s="90">
        <v>7.8077829594904227</v>
      </c>
    </row>
    <row r="7758" spans="1:2">
      <c r="A7758" s="32">
        <v>7745</v>
      </c>
      <c r="B7758" s="90">
        <v>7.6145129099580915</v>
      </c>
    </row>
    <row r="7759" spans="1:2">
      <c r="A7759" s="32">
        <v>7746</v>
      </c>
      <c r="B7759" s="90">
        <v>6.9144731434998778</v>
      </c>
    </row>
    <row r="7760" spans="1:2">
      <c r="A7760" s="32">
        <v>7747</v>
      </c>
      <c r="B7760" s="90">
        <v>8.4624190586049046</v>
      </c>
    </row>
    <row r="7761" spans="1:2">
      <c r="A7761" s="32">
        <v>7748</v>
      </c>
      <c r="B7761" s="90">
        <v>8.2204224569262312</v>
      </c>
    </row>
    <row r="7762" spans="1:2">
      <c r="A7762" s="32">
        <v>7749</v>
      </c>
      <c r="B7762" s="90">
        <v>8.0642762164148216</v>
      </c>
    </row>
    <row r="7763" spans="1:2">
      <c r="A7763" s="32">
        <v>7750</v>
      </c>
      <c r="B7763" s="90">
        <v>8.3535166848702076</v>
      </c>
    </row>
    <row r="7764" spans="1:2">
      <c r="A7764" s="32">
        <v>7751</v>
      </c>
      <c r="B7764" s="90">
        <v>8.8638144208704617</v>
      </c>
    </row>
    <row r="7765" spans="1:2">
      <c r="A7765" s="32">
        <v>7752</v>
      </c>
      <c r="B7765" s="90">
        <v>8.3003999930405765</v>
      </c>
    </row>
    <row r="7766" spans="1:2">
      <c r="A7766" s="32">
        <v>7753</v>
      </c>
      <c r="B7766" s="90">
        <v>10.038981919118077</v>
      </c>
    </row>
    <row r="7767" spans="1:2">
      <c r="A7767" s="32">
        <v>7754</v>
      </c>
      <c r="B7767" s="90">
        <v>7.6402481054564948</v>
      </c>
    </row>
    <row r="7768" spans="1:2">
      <c r="A7768" s="32">
        <v>7755</v>
      </c>
      <c r="B7768" s="90">
        <v>8.5892005136960847</v>
      </c>
    </row>
    <row r="7769" spans="1:2">
      <c r="A7769" s="32">
        <v>7756</v>
      </c>
      <c r="B7769" s="90">
        <v>8.3069823841988235</v>
      </c>
    </row>
    <row r="7770" spans="1:2">
      <c r="A7770" s="32">
        <v>7757</v>
      </c>
      <c r="B7770" s="90">
        <v>7.7475331011633637</v>
      </c>
    </row>
    <row r="7771" spans="1:2">
      <c r="A7771" s="32">
        <v>7758</v>
      </c>
      <c r="B7771" s="90">
        <v>9.0588125006599256</v>
      </c>
    </row>
    <row r="7772" spans="1:2">
      <c r="A7772" s="32">
        <v>7759</v>
      </c>
      <c r="B7772" s="90">
        <v>8.9135922997620654</v>
      </c>
    </row>
    <row r="7773" spans="1:2">
      <c r="A7773" s="32">
        <v>7760</v>
      </c>
      <c r="B7773" s="90">
        <v>7.7328728426707327</v>
      </c>
    </row>
    <row r="7774" spans="1:2">
      <c r="A7774" s="32">
        <v>7761</v>
      </c>
      <c r="B7774" s="90">
        <v>7.022452718662783</v>
      </c>
    </row>
    <row r="7775" spans="1:2">
      <c r="A7775" s="32">
        <v>7762</v>
      </c>
      <c r="B7775" s="90">
        <v>7.8605996662948492</v>
      </c>
    </row>
    <row r="7776" spans="1:2">
      <c r="A7776" s="32">
        <v>7763</v>
      </c>
      <c r="B7776" s="90">
        <v>7.1536895767530488</v>
      </c>
    </row>
    <row r="7777" spans="1:2">
      <c r="A7777" s="32">
        <v>7764</v>
      </c>
      <c r="B7777" s="90">
        <v>8.0175862987103947</v>
      </c>
    </row>
    <row r="7778" spans="1:2">
      <c r="A7778" s="32">
        <v>7765</v>
      </c>
      <c r="B7778" s="90">
        <v>8.2011350395398619</v>
      </c>
    </row>
    <row r="7779" spans="1:2">
      <c r="A7779" s="32">
        <v>7766</v>
      </c>
      <c r="B7779" s="90">
        <v>7.1048034281604222</v>
      </c>
    </row>
    <row r="7780" spans="1:2">
      <c r="A7780" s="32">
        <v>7767</v>
      </c>
      <c r="B7780" s="90">
        <v>9.1736091833776374</v>
      </c>
    </row>
    <row r="7781" spans="1:2">
      <c r="A7781" s="32">
        <v>7768</v>
      </c>
      <c r="B7781" s="90">
        <v>8.3749066103853789</v>
      </c>
    </row>
    <row r="7782" spans="1:2">
      <c r="A7782" s="32">
        <v>7769</v>
      </c>
      <c r="B7782" s="90">
        <v>7.3368388566849303</v>
      </c>
    </row>
    <row r="7783" spans="1:2">
      <c r="A7783" s="32">
        <v>7770</v>
      </c>
      <c r="B7783" s="90">
        <v>9.3377864134596642</v>
      </c>
    </row>
    <row r="7784" spans="1:2">
      <c r="A7784" s="32">
        <v>7771</v>
      </c>
      <c r="B7784" s="90">
        <v>6.7899161005772246</v>
      </c>
    </row>
    <row r="7785" spans="1:2">
      <c r="A7785" s="32">
        <v>7772</v>
      </c>
      <c r="B7785" s="90">
        <v>8.643446022726204</v>
      </c>
    </row>
    <row r="7786" spans="1:2">
      <c r="A7786" s="32">
        <v>7773</v>
      </c>
      <c r="B7786" s="90">
        <v>9.0806395810421634</v>
      </c>
    </row>
    <row r="7787" spans="1:2">
      <c r="A7787" s="32">
        <v>7774</v>
      </c>
      <c r="B7787" s="90">
        <v>9.0533196951997077</v>
      </c>
    </row>
    <row r="7788" spans="1:2">
      <c r="A7788" s="32">
        <v>7775</v>
      </c>
      <c r="B7788" s="90">
        <v>8.074633701435177</v>
      </c>
    </row>
    <row r="7789" spans="1:2">
      <c r="A7789" s="32">
        <v>7776</v>
      </c>
      <c r="B7789" s="90">
        <v>6.8043540323393126</v>
      </c>
    </row>
    <row r="7790" spans="1:2">
      <c r="A7790" s="32">
        <v>7777</v>
      </c>
      <c r="B7790" s="90">
        <v>7.0850580333752804</v>
      </c>
    </row>
    <row r="7791" spans="1:2">
      <c r="A7791" s="32">
        <v>7778</v>
      </c>
      <c r="B7791" s="90">
        <v>7.3844268065212786</v>
      </c>
    </row>
    <row r="7792" spans="1:2">
      <c r="A7792" s="32">
        <v>7779</v>
      </c>
      <c r="B7792" s="90">
        <v>8.7545143418141702</v>
      </c>
    </row>
    <row r="7793" spans="1:2">
      <c r="A7793" s="32">
        <v>7780</v>
      </c>
      <c r="B7793" s="90">
        <v>7.9867072810836799</v>
      </c>
    </row>
    <row r="7794" spans="1:2">
      <c r="A7794" s="32">
        <v>7781</v>
      </c>
      <c r="B7794" s="90">
        <v>7.1363970271999451</v>
      </c>
    </row>
    <row r="7795" spans="1:2">
      <c r="A7795" s="32">
        <v>7782</v>
      </c>
      <c r="B7795" s="90">
        <v>7.7779827957810488</v>
      </c>
    </row>
    <row r="7796" spans="1:2">
      <c r="A7796" s="32">
        <v>7783</v>
      </c>
      <c r="B7796" s="90">
        <v>7.2114471189016145</v>
      </c>
    </row>
    <row r="7797" spans="1:2">
      <c r="A7797" s="32">
        <v>7784</v>
      </c>
      <c r="B7797" s="90">
        <v>8.2245250076740426</v>
      </c>
    </row>
    <row r="7798" spans="1:2">
      <c r="A7798" s="32">
        <v>7785</v>
      </c>
      <c r="B7798" s="90">
        <v>8.3294997162879234</v>
      </c>
    </row>
    <row r="7799" spans="1:2">
      <c r="A7799" s="32">
        <v>7786</v>
      </c>
      <c r="B7799" s="90">
        <v>8.3106953425852446</v>
      </c>
    </row>
    <row r="7800" spans="1:2">
      <c r="A7800" s="32">
        <v>7787</v>
      </c>
      <c r="B7800" s="90">
        <v>9.0498247301197967</v>
      </c>
    </row>
    <row r="7801" spans="1:2">
      <c r="A7801" s="32">
        <v>7788</v>
      </c>
      <c r="B7801" s="90">
        <v>8.5746538069218339</v>
      </c>
    </row>
    <row r="7802" spans="1:2">
      <c r="A7802" s="32">
        <v>7789</v>
      </c>
      <c r="B7802" s="90">
        <v>8.217930058139137</v>
      </c>
    </row>
    <row r="7803" spans="1:2">
      <c r="A7803" s="32">
        <v>7790</v>
      </c>
      <c r="B7803" s="90">
        <v>8.1740646268848813</v>
      </c>
    </row>
    <row r="7804" spans="1:2">
      <c r="A7804" s="32">
        <v>7791</v>
      </c>
      <c r="B7804" s="90">
        <v>8.0533738270537043</v>
      </c>
    </row>
    <row r="7805" spans="1:2">
      <c r="A7805" s="32">
        <v>7792</v>
      </c>
      <c r="B7805" s="90">
        <v>8.994307641501841</v>
      </c>
    </row>
    <row r="7806" spans="1:2">
      <c r="A7806" s="32">
        <v>7793</v>
      </c>
      <c r="B7806" s="90">
        <v>8.0517854197282581</v>
      </c>
    </row>
    <row r="7807" spans="1:2">
      <c r="A7807" s="32">
        <v>7794</v>
      </c>
      <c r="B7807" s="90">
        <v>8.6129599993491865</v>
      </c>
    </row>
    <row r="7808" spans="1:2">
      <c r="A7808" s="32">
        <v>7795</v>
      </c>
      <c r="B7808" s="90">
        <v>7.7131589929155604</v>
      </c>
    </row>
    <row r="7809" spans="1:2">
      <c r="A7809" s="32">
        <v>7796</v>
      </c>
      <c r="B7809" s="90">
        <v>7.5543829939528884</v>
      </c>
    </row>
    <row r="7810" spans="1:2">
      <c r="A7810" s="32">
        <v>7797</v>
      </c>
      <c r="B7810" s="90">
        <v>8.6708682078218207</v>
      </c>
    </row>
    <row r="7811" spans="1:2">
      <c r="A7811" s="32">
        <v>7798</v>
      </c>
      <c r="B7811" s="90">
        <v>8.3608821221617831</v>
      </c>
    </row>
    <row r="7812" spans="1:2">
      <c r="A7812" s="32">
        <v>7799</v>
      </c>
      <c r="B7812" s="90">
        <v>8.1183103684000812</v>
      </c>
    </row>
    <row r="7813" spans="1:2">
      <c r="A7813" s="32">
        <v>7800</v>
      </c>
      <c r="B7813" s="90">
        <v>7.3362442820528662</v>
      </c>
    </row>
    <row r="7814" spans="1:2">
      <c r="A7814" s="32">
        <v>7801</v>
      </c>
      <c r="B7814" s="90">
        <v>7.9793195989284342</v>
      </c>
    </row>
    <row r="7815" spans="1:2">
      <c r="A7815" s="32">
        <v>7802</v>
      </c>
      <c r="B7815" s="90">
        <v>8.4532062000803201</v>
      </c>
    </row>
    <row r="7816" spans="1:2">
      <c r="A7816" s="32">
        <v>7803</v>
      </c>
      <c r="B7816" s="90">
        <v>8.8003334897639185</v>
      </c>
    </row>
    <row r="7817" spans="1:2">
      <c r="A7817" s="32">
        <v>7804</v>
      </c>
      <c r="B7817" s="90">
        <v>8.058358905629202</v>
      </c>
    </row>
    <row r="7818" spans="1:2">
      <c r="A7818" s="32">
        <v>7805</v>
      </c>
      <c r="B7818" s="90">
        <v>8.4802748509667882</v>
      </c>
    </row>
    <row r="7819" spans="1:2">
      <c r="A7819" s="32">
        <v>7806</v>
      </c>
      <c r="B7819" s="90">
        <v>8.3347914366749016</v>
      </c>
    </row>
    <row r="7820" spans="1:2">
      <c r="A7820" s="32">
        <v>7807</v>
      </c>
      <c r="B7820" s="90">
        <v>7.2184303826324294</v>
      </c>
    </row>
    <row r="7821" spans="1:2">
      <c r="A7821" s="32">
        <v>7808</v>
      </c>
      <c r="B7821" s="90">
        <v>8.1301803145451377</v>
      </c>
    </row>
    <row r="7822" spans="1:2">
      <c r="A7822" s="32">
        <v>7809</v>
      </c>
      <c r="B7822" s="90">
        <v>7.7306217662619332</v>
      </c>
    </row>
    <row r="7823" spans="1:2">
      <c r="A7823" s="32">
        <v>7810</v>
      </c>
      <c r="B7823" s="90">
        <v>8.205120996345876</v>
      </c>
    </row>
    <row r="7824" spans="1:2">
      <c r="A7824" s="32">
        <v>7811</v>
      </c>
      <c r="B7824" s="90">
        <v>7.4853454082495592</v>
      </c>
    </row>
    <row r="7825" spans="1:2">
      <c r="A7825" s="32">
        <v>7812</v>
      </c>
      <c r="B7825" s="90">
        <v>8.6779735359970083</v>
      </c>
    </row>
    <row r="7826" spans="1:2">
      <c r="A7826" s="32">
        <v>7813</v>
      </c>
      <c r="B7826" s="90">
        <v>8.8898428424641729</v>
      </c>
    </row>
    <row r="7827" spans="1:2">
      <c r="A7827" s="32">
        <v>7814</v>
      </c>
      <c r="B7827" s="90">
        <v>8.1444496009563707</v>
      </c>
    </row>
    <row r="7828" spans="1:2">
      <c r="A7828" s="32">
        <v>7815</v>
      </c>
      <c r="B7828" s="90">
        <v>7.7313357695579468</v>
      </c>
    </row>
    <row r="7829" spans="1:2">
      <c r="A7829" s="32">
        <v>7816</v>
      </c>
      <c r="B7829" s="90">
        <v>8.3619029098853321</v>
      </c>
    </row>
    <row r="7830" spans="1:2">
      <c r="A7830" s="32">
        <v>7817</v>
      </c>
      <c r="B7830" s="90">
        <v>7.5503551622653076</v>
      </c>
    </row>
    <row r="7831" spans="1:2">
      <c r="A7831" s="32">
        <v>7818</v>
      </c>
      <c r="B7831" s="90">
        <v>8.9275184565382038</v>
      </c>
    </row>
    <row r="7832" spans="1:2">
      <c r="A7832" s="32">
        <v>7819</v>
      </c>
      <c r="B7832" s="90">
        <v>8.0556764544337938</v>
      </c>
    </row>
    <row r="7833" spans="1:2">
      <c r="A7833" s="32">
        <v>7820</v>
      </c>
      <c r="B7833" s="90">
        <v>8.2442521860545863</v>
      </c>
    </row>
    <row r="7834" spans="1:2">
      <c r="A7834" s="32">
        <v>7821</v>
      </c>
      <c r="B7834" s="90">
        <v>8.538566176648402</v>
      </c>
    </row>
    <row r="7835" spans="1:2">
      <c r="A7835" s="32">
        <v>7822</v>
      </c>
      <c r="B7835" s="90">
        <v>8.8352752852062331</v>
      </c>
    </row>
    <row r="7836" spans="1:2">
      <c r="A7836" s="32">
        <v>7823</v>
      </c>
      <c r="B7836" s="90">
        <v>8.0179542979212481</v>
      </c>
    </row>
    <row r="7837" spans="1:2">
      <c r="A7837" s="32">
        <v>7824</v>
      </c>
      <c r="B7837" s="90">
        <v>7.6159509639451937</v>
      </c>
    </row>
    <row r="7838" spans="1:2">
      <c r="A7838" s="32">
        <v>7825</v>
      </c>
      <c r="B7838" s="90">
        <v>8.0952193137012909</v>
      </c>
    </row>
    <row r="7839" spans="1:2">
      <c r="A7839" s="32">
        <v>7826</v>
      </c>
      <c r="B7839" s="90">
        <v>8.7648334266863301</v>
      </c>
    </row>
    <row r="7840" spans="1:2">
      <c r="A7840" s="32">
        <v>7827</v>
      </c>
      <c r="B7840" s="90">
        <v>7.6417282789404535</v>
      </c>
    </row>
    <row r="7841" spans="1:2">
      <c r="A7841" s="32">
        <v>7828</v>
      </c>
      <c r="B7841" s="90">
        <v>7.5592396112797591</v>
      </c>
    </row>
    <row r="7842" spans="1:2">
      <c r="A7842" s="32">
        <v>7829</v>
      </c>
      <c r="B7842" s="90">
        <v>7.6740297134516027</v>
      </c>
    </row>
    <row r="7843" spans="1:2">
      <c r="A7843" s="32">
        <v>7830</v>
      </c>
      <c r="B7843" s="90">
        <v>8.2716923498819739</v>
      </c>
    </row>
    <row r="7844" spans="1:2">
      <c r="A7844" s="32">
        <v>7831</v>
      </c>
      <c r="B7844" s="90">
        <v>8.0812694831351735</v>
      </c>
    </row>
    <row r="7845" spans="1:2">
      <c r="A7845" s="32">
        <v>7832</v>
      </c>
      <c r="B7845" s="90">
        <v>9.2268940779214486</v>
      </c>
    </row>
    <row r="7846" spans="1:2">
      <c r="A7846" s="32">
        <v>7833</v>
      </c>
      <c r="B7846" s="90">
        <v>7.5926691429842057</v>
      </c>
    </row>
    <row r="7847" spans="1:2">
      <c r="A7847" s="32">
        <v>7834</v>
      </c>
      <c r="B7847" s="90">
        <v>8.8179769016949265</v>
      </c>
    </row>
    <row r="7848" spans="1:2">
      <c r="A7848" s="32">
        <v>7835</v>
      </c>
      <c r="B7848" s="90">
        <v>7.8989617382182589</v>
      </c>
    </row>
    <row r="7849" spans="1:2">
      <c r="A7849" s="32">
        <v>7836</v>
      </c>
      <c r="B7849" s="90">
        <v>9.7946851660328242</v>
      </c>
    </row>
    <row r="7850" spans="1:2">
      <c r="A7850" s="32">
        <v>7837</v>
      </c>
      <c r="B7850" s="90">
        <v>7.7903868682757373</v>
      </c>
    </row>
    <row r="7851" spans="1:2">
      <c r="A7851" s="32">
        <v>7838</v>
      </c>
      <c r="B7851" s="90">
        <v>8.3931634153038708</v>
      </c>
    </row>
    <row r="7852" spans="1:2">
      <c r="A7852" s="32">
        <v>7839</v>
      </c>
      <c r="B7852" s="90">
        <v>9.0328822196368073</v>
      </c>
    </row>
    <row r="7853" spans="1:2">
      <c r="A7853" s="32">
        <v>7840</v>
      </c>
      <c r="B7853" s="90">
        <v>7.9325895254286918</v>
      </c>
    </row>
    <row r="7854" spans="1:2">
      <c r="A7854" s="32">
        <v>7841</v>
      </c>
      <c r="B7854" s="90">
        <v>10.425922657251608</v>
      </c>
    </row>
    <row r="7855" spans="1:2">
      <c r="A7855" s="32">
        <v>7842</v>
      </c>
      <c r="B7855" s="90">
        <v>8.3208615173094067</v>
      </c>
    </row>
    <row r="7856" spans="1:2">
      <c r="A7856" s="32">
        <v>7843</v>
      </c>
      <c r="B7856" s="90">
        <v>8.572503941748618</v>
      </c>
    </row>
    <row r="7857" spans="1:2">
      <c r="A7857" s="32">
        <v>7844</v>
      </c>
      <c r="B7857" s="90">
        <v>7.8899037116928694</v>
      </c>
    </row>
    <row r="7858" spans="1:2">
      <c r="A7858" s="32">
        <v>7845</v>
      </c>
      <c r="B7858" s="90">
        <v>7.5553386196239938</v>
      </c>
    </row>
    <row r="7859" spans="1:2">
      <c r="A7859" s="32">
        <v>7846</v>
      </c>
      <c r="B7859" s="90">
        <v>7.6271580149108367</v>
      </c>
    </row>
    <row r="7860" spans="1:2">
      <c r="A7860" s="32">
        <v>7847</v>
      </c>
      <c r="B7860" s="90">
        <v>8.2339198428799136</v>
      </c>
    </row>
    <row r="7861" spans="1:2">
      <c r="A7861" s="32">
        <v>7848</v>
      </c>
      <c r="B7861" s="90">
        <v>8.0711040753670709</v>
      </c>
    </row>
    <row r="7862" spans="1:2">
      <c r="A7862" s="32">
        <v>7849</v>
      </c>
      <c r="B7862" s="90">
        <v>8.6657724531834717</v>
      </c>
    </row>
    <row r="7863" spans="1:2">
      <c r="A7863" s="32">
        <v>7850</v>
      </c>
      <c r="B7863" s="90">
        <v>8.5299561984090051</v>
      </c>
    </row>
    <row r="7864" spans="1:2">
      <c r="A7864" s="32">
        <v>7851</v>
      </c>
      <c r="B7864" s="90">
        <v>7.5183792222935564</v>
      </c>
    </row>
    <row r="7865" spans="1:2">
      <c r="A7865" s="32">
        <v>7852</v>
      </c>
      <c r="B7865" s="90">
        <v>8.7781361432843266</v>
      </c>
    </row>
    <row r="7866" spans="1:2">
      <c r="A7866" s="32">
        <v>7853</v>
      </c>
      <c r="B7866" s="90">
        <v>7.8912468720972955</v>
      </c>
    </row>
    <row r="7867" spans="1:2">
      <c r="A7867" s="32">
        <v>7854</v>
      </c>
      <c r="B7867" s="90">
        <v>7.7916979352704514</v>
      </c>
    </row>
    <row r="7868" spans="1:2">
      <c r="A7868" s="32">
        <v>7855</v>
      </c>
      <c r="B7868" s="90">
        <v>8.4899581845239229</v>
      </c>
    </row>
    <row r="7869" spans="1:2">
      <c r="A7869" s="32">
        <v>7856</v>
      </c>
      <c r="B7869" s="90">
        <v>8.1930342016629876</v>
      </c>
    </row>
    <row r="7870" spans="1:2">
      <c r="A7870" s="32">
        <v>7857</v>
      </c>
      <c r="B7870" s="90">
        <v>7.0194115932334817</v>
      </c>
    </row>
    <row r="7871" spans="1:2">
      <c r="A7871" s="32">
        <v>7858</v>
      </c>
      <c r="B7871" s="90">
        <v>7.2725479172789242</v>
      </c>
    </row>
    <row r="7872" spans="1:2">
      <c r="A7872" s="32">
        <v>7859</v>
      </c>
      <c r="B7872" s="90">
        <v>8.0620021067193903</v>
      </c>
    </row>
    <row r="7873" spans="1:2">
      <c r="A7873" s="32">
        <v>7860</v>
      </c>
      <c r="B7873" s="90">
        <v>8.3587646417859922</v>
      </c>
    </row>
    <row r="7874" spans="1:2">
      <c r="A7874" s="32">
        <v>7861</v>
      </c>
      <c r="B7874" s="90">
        <v>7.6367157326701252</v>
      </c>
    </row>
    <row r="7875" spans="1:2">
      <c r="A7875" s="32">
        <v>7862</v>
      </c>
      <c r="B7875" s="90">
        <v>8.4053748690329435</v>
      </c>
    </row>
    <row r="7876" spans="1:2">
      <c r="A7876" s="32">
        <v>7863</v>
      </c>
      <c r="B7876" s="90">
        <v>7.2403371560972856</v>
      </c>
    </row>
    <row r="7877" spans="1:2">
      <c r="A7877" s="32">
        <v>7864</v>
      </c>
      <c r="B7877" s="90">
        <v>8.6176777410834209</v>
      </c>
    </row>
    <row r="7878" spans="1:2">
      <c r="A7878" s="32">
        <v>7865</v>
      </c>
      <c r="B7878" s="90">
        <v>9.1054747517757679</v>
      </c>
    </row>
    <row r="7879" spans="1:2">
      <c r="A7879" s="32">
        <v>7866</v>
      </c>
      <c r="B7879" s="90">
        <v>7.9345489476134823</v>
      </c>
    </row>
    <row r="7880" spans="1:2">
      <c r="A7880" s="32">
        <v>7867</v>
      </c>
      <c r="B7880" s="90">
        <v>8.2509095297684958</v>
      </c>
    </row>
    <row r="7881" spans="1:2">
      <c r="A7881" s="32">
        <v>7868</v>
      </c>
      <c r="B7881" s="90">
        <v>8.9000671374829885</v>
      </c>
    </row>
    <row r="7882" spans="1:2">
      <c r="A7882" s="32">
        <v>7869</v>
      </c>
      <c r="B7882" s="90">
        <v>7.2650647757668807</v>
      </c>
    </row>
    <row r="7883" spans="1:2">
      <c r="A7883" s="32">
        <v>7870</v>
      </c>
      <c r="B7883" s="90">
        <v>8.3395713621010596</v>
      </c>
    </row>
    <row r="7884" spans="1:2">
      <c r="A7884" s="32">
        <v>7871</v>
      </c>
      <c r="B7884" s="90">
        <v>7.4383346595695095</v>
      </c>
    </row>
    <row r="7885" spans="1:2">
      <c r="A7885" s="32">
        <v>7872</v>
      </c>
      <c r="B7885" s="90">
        <v>8.0736309082409505</v>
      </c>
    </row>
    <row r="7886" spans="1:2">
      <c r="A7886" s="32">
        <v>7873</v>
      </c>
      <c r="B7886" s="90">
        <v>8.9002265472885007</v>
      </c>
    </row>
    <row r="7887" spans="1:2">
      <c r="A7887" s="32">
        <v>7874</v>
      </c>
      <c r="B7887" s="90">
        <v>7.1781190076990136</v>
      </c>
    </row>
    <row r="7888" spans="1:2">
      <c r="A7888" s="32">
        <v>7875</v>
      </c>
      <c r="B7888" s="90">
        <v>8.7760106136030807</v>
      </c>
    </row>
    <row r="7889" spans="1:2">
      <c r="A7889" s="32">
        <v>7876</v>
      </c>
      <c r="B7889" s="90">
        <v>8.5755485941885805</v>
      </c>
    </row>
    <row r="7890" spans="1:2">
      <c r="A7890" s="32">
        <v>7877</v>
      </c>
      <c r="B7890" s="90">
        <v>8.0823214528169185</v>
      </c>
    </row>
    <row r="7891" spans="1:2">
      <c r="A7891" s="32">
        <v>7878</v>
      </c>
      <c r="B7891" s="90">
        <v>8.7900814574734696</v>
      </c>
    </row>
    <row r="7892" spans="1:2">
      <c r="A7892" s="32">
        <v>7879</v>
      </c>
      <c r="B7892" s="90">
        <v>8.0440825650479741</v>
      </c>
    </row>
    <row r="7893" spans="1:2">
      <c r="A7893" s="32">
        <v>7880</v>
      </c>
      <c r="B7893" s="90">
        <v>8.3848700015033764</v>
      </c>
    </row>
    <row r="7894" spans="1:2">
      <c r="A7894" s="32">
        <v>7881</v>
      </c>
      <c r="B7894" s="90">
        <v>9.5361494205867654</v>
      </c>
    </row>
    <row r="7895" spans="1:2">
      <c r="A7895" s="32">
        <v>7882</v>
      </c>
      <c r="B7895" s="90">
        <v>7.7464937885679399</v>
      </c>
    </row>
    <row r="7896" spans="1:2">
      <c r="A7896" s="32">
        <v>7883</v>
      </c>
      <c r="B7896" s="90">
        <v>7.3905111511281314</v>
      </c>
    </row>
    <row r="7897" spans="1:2">
      <c r="A7897" s="32">
        <v>7884</v>
      </c>
      <c r="B7897" s="90">
        <v>8.6040523673151448</v>
      </c>
    </row>
    <row r="7898" spans="1:2">
      <c r="A7898" s="32">
        <v>7885</v>
      </c>
      <c r="B7898" s="90">
        <v>8.5417233680986016</v>
      </c>
    </row>
    <row r="7899" spans="1:2">
      <c r="A7899" s="32">
        <v>7886</v>
      </c>
      <c r="B7899" s="90">
        <v>9.307500882319145</v>
      </c>
    </row>
    <row r="7900" spans="1:2">
      <c r="A7900" s="32">
        <v>7887</v>
      </c>
      <c r="B7900" s="90">
        <v>6.4350891238115002</v>
      </c>
    </row>
    <row r="7901" spans="1:2">
      <c r="A7901" s="32">
        <v>7888</v>
      </c>
      <c r="B7901" s="90">
        <v>8.2455824616002502</v>
      </c>
    </row>
    <row r="7902" spans="1:2">
      <c r="A7902" s="32">
        <v>7889</v>
      </c>
      <c r="B7902" s="90">
        <v>7.7906457697578091</v>
      </c>
    </row>
    <row r="7903" spans="1:2">
      <c r="A7903" s="32">
        <v>7890</v>
      </c>
      <c r="B7903" s="90">
        <v>8.4779773768205047</v>
      </c>
    </row>
    <row r="7904" spans="1:2">
      <c r="A7904" s="32">
        <v>7891</v>
      </c>
      <c r="B7904" s="90">
        <v>8.1060347746186547</v>
      </c>
    </row>
    <row r="7905" spans="1:2">
      <c r="A7905" s="32">
        <v>7892</v>
      </c>
      <c r="B7905" s="90">
        <v>7.6330063365401255</v>
      </c>
    </row>
    <row r="7906" spans="1:2">
      <c r="A7906" s="32">
        <v>7893</v>
      </c>
      <c r="B7906" s="90">
        <v>8.0378813590581615</v>
      </c>
    </row>
    <row r="7907" spans="1:2">
      <c r="A7907" s="32">
        <v>7894</v>
      </c>
      <c r="B7907" s="90">
        <v>7.513318987850214</v>
      </c>
    </row>
    <row r="7908" spans="1:2">
      <c r="A7908" s="32">
        <v>7895</v>
      </c>
      <c r="B7908" s="90">
        <v>6.9548065616172057</v>
      </c>
    </row>
    <row r="7909" spans="1:2">
      <c r="A7909" s="32">
        <v>7896</v>
      </c>
      <c r="B7909" s="90">
        <v>6.9204058742727916</v>
      </c>
    </row>
    <row r="7910" spans="1:2">
      <c r="A7910" s="32">
        <v>7897</v>
      </c>
      <c r="B7910" s="90">
        <v>7.7946064097328431</v>
      </c>
    </row>
    <row r="7911" spans="1:2">
      <c r="A7911" s="32">
        <v>7898</v>
      </c>
      <c r="B7911" s="90">
        <v>7.4957478663134891</v>
      </c>
    </row>
    <row r="7912" spans="1:2">
      <c r="A7912" s="32">
        <v>7899</v>
      </c>
      <c r="B7912" s="90">
        <v>8.304647504701018</v>
      </c>
    </row>
    <row r="7913" spans="1:2">
      <c r="A7913" s="32">
        <v>7900</v>
      </c>
      <c r="B7913" s="90">
        <v>7.4154525325195255</v>
      </c>
    </row>
    <row r="7914" spans="1:2">
      <c r="A7914" s="32">
        <v>7901</v>
      </c>
      <c r="B7914" s="90">
        <v>7.9682114220119935</v>
      </c>
    </row>
    <row r="7915" spans="1:2">
      <c r="A7915" s="32">
        <v>7902</v>
      </c>
      <c r="B7915" s="90">
        <v>7.4844340685200761</v>
      </c>
    </row>
    <row r="7916" spans="1:2">
      <c r="A7916" s="32">
        <v>7903</v>
      </c>
      <c r="B7916" s="90">
        <v>8.8363487622202257</v>
      </c>
    </row>
    <row r="7917" spans="1:2">
      <c r="A7917" s="32">
        <v>7904</v>
      </c>
      <c r="B7917" s="90">
        <v>8.0684614633821514</v>
      </c>
    </row>
    <row r="7918" spans="1:2">
      <c r="A7918" s="32">
        <v>7905</v>
      </c>
      <c r="B7918" s="90">
        <v>7.9434815597143427</v>
      </c>
    </row>
    <row r="7919" spans="1:2">
      <c r="A7919" s="32">
        <v>7906</v>
      </c>
      <c r="B7919" s="90">
        <v>6.9774318695833104</v>
      </c>
    </row>
    <row r="7920" spans="1:2">
      <c r="A7920" s="32">
        <v>7907</v>
      </c>
      <c r="B7920" s="90">
        <v>8.2397797035527383</v>
      </c>
    </row>
    <row r="7921" spans="1:2">
      <c r="A7921" s="32">
        <v>7908</v>
      </c>
      <c r="B7921" s="90">
        <v>8.7392113008528316</v>
      </c>
    </row>
    <row r="7922" spans="1:2">
      <c r="A7922" s="32">
        <v>7909</v>
      </c>
      <c r="B7922" s="90">
        <v>7.7264266643140997</v>
      </c>
    </row>
    <row r="7923" spans="1:2">
      <c r="A7923" s="32">
        <v>7910</v>
      </c>
      <c r="B7923" s="90">
        <v>8.0183625573369373</v>
      </c>
    </row>
    <row r="7924" spans="1:2">
      <c r="A7924" s="32">
        <v>7911</v>
      </c>
      <c r="B7924" s="90">
        <v>7.9694865792069347</v>
      </c>
    </row>
    <row r="7925" spans="1:2">
      <c r="A7925" s="32">
        <v>7912</v>
      </c>
      <c r="B7925" s="90">
        <v>7.8031767035625883</v>
      </c>
    </row>
    <row r="7926" spans="1:2">
      <c r="A7926" s="32">
        <v>7913</v>
      </c>
      <c r="B7926" s="90">
        <v>7.6758527544262733</v>
      </c>
    </row>
    <row r="7927" spans="1:2">
      <c r="A7927" s="32">
        <v>7914</v>
      </c>
      <c r="B7927" s="90">
        <v>8.3306812071903433</v>
      </c>
    </row>
    <row r="7928" spans="1:2">
      <c r="A7928" s="32">
        <v>7915</v>
      </c>
      <c r="B7928" s="90">
        <v>8.4678063101474628</v>
      </c>
    </row>
    <row r="7929" spans="1:2">
      <c r="A7929" s="32">
        <v>7916</v>
      </c>
      <c r="B7929" s="90">
        <v>9.735061144956477</v>
      </c>
    </row>
    <row r="7930" spans="1:2">
      <c r="A7930" s="32">
        <v>7917</v>
      </c>
      <c r="B7930" s="90">
        <v>8.1735270732094278</v>
      </c>
    </row>
    <row r="7931" spans="1:2">
      <c r="A7931" s="32">
        <v>7918</v>
      </c>
      <c r="B7931" s="90">
        <v>7.7111281366986351</v>
      </c>
    </row>
    <row r="7932" spans="1:2">
      <c r="A7932" s="32">
        <v>7919</v>
      </c>
      <c r="B7932" s="90">
        <v>8.0977675266311131</v>
      </c>
    </row>
    <row r="7933" spans="1:2">
      <c r="A7933" s="32">
        <v>7920</v>
      </c>
      <c r="B7933" s="90">
        <v>8.8625226184979695</v>
      </c>
    </row>
    <row r="7934" spans="1:2">
      <c r="A7934" s="32">
        <v>7921</v>
      </c>
      <c r="B7934" s="90">
        <v>8.6279999578038584</v>
      </c>
    </row>
    <row r="7935" spans="1:2">
      <c r="A7935" s="32">
        <v>7922</v>
      </c>
      <c r="B7935" s="90">
        <v>7.3033416034146947</v>
      </c>
    </row>
    <row r="7936" spans="1:2">
      <c r="A7936" s="32">
        <v>7923</v>
      </c>
      <c r="B7936" s="90">
        <v>8.2240294084559302</v>
      </c>
    </row>
    <row r="7937" spans="1:2">
      <c r="A7937" s="32">
        <v>7924</v>
      </c>
      <c r="B7937" s="90">
        <v>7.8961581523290896</v>
      </c>
    </row>
    <row r="7938" spans="1:2">
      <c r="A7938" s="32">
        <v>7925</v>
      </c>
      <c r="B7938" s="90">
        <v>7.4710739191062885</v>
      </c>
    </row>
    <row r="7939" spans="1:2">
      <c r="A7939" s="32">
        <v>7926</v>
      </c>
      <c r="B7939" s="90">
        <v>7.8842373140349258</v>
      </c>
    </row>
    <row r="7940" spans="1:2">
      <c r="A7940" s="32">
        <v>7927</v>
      </c>
      <c r="B7940" s="90">
        <v>9.5066281136106863</v>
      </c>
    </row>
    <row r="7941" spans="1:2">
      <c r="A7941" s="32">
        <v>7928</v>
      </c>
      <c r="B7941" s="90">
        <v>7.4872062236955479</v>
      </c>
    </row>
    <row r="7942" spans="1:2">
      <c r="A7942" s="32">
        <v>7929</v>
      </c>
      <c r="B7942" s="90">
        <v>8.8528340516633808</v>
      </c>
    </row>
    <row r="7943" spans="1:2">
      <c r="A7943" s="32">
        <v>7930</v>
      </c>
      <c r="B7943" s="90">
        <v>8.1942602833543976</v>
      </c>
    </row>
    <row r="7944" spans="1:2">
      <c r="A7944" s="32">
        <v>7931</v>
      </c>
      <c r="B7944" s="90">
        <v>7.12595251637266</v>
      </c>
    </row>
    <row r="7945" spans="1:2">
      <c r="A7945" s="32">
        <v>7932</v>
      </c>
      <c r="B7945" s="90">
        <v>8.7528178745070004</v>
      </c>
    </row>
    <row r="7946" spans="1:2">
      <c r="A7946" s="32">
        <v>7933</v>
      </c>
      <c r="B7946" s="90">
        <v>7.1366675549195202</v>
      </c>
    </row>
    <row r="7947" spans="1:2">
      <c r="A7947" s="32">
        <v>7934</v>
      </c>
      <c r="B7947" s="90">
        <v>8.1156608291496468</v>
      </c>
    </row>
    <row r="7948" spans="1:2">
      <c r="A7948" s="32">
        <v>7935</v>
      </c>
      <c r="B7948" s="90">
        <v>8.7716348004863303</v>
      </c>
    </row>
    <row r="7949" spans="1:2">
      <c r="A7949" s="32">
        <v>7936</v>
      </c>
      <c r="B7949" s="90">
        <v>8.7065784788984537</v>
      </c>
    </row>
    <row r="7950" spans="1:2">
      <c r="A7950" s="32">
        <v>7937</v>
      </c>
      <c r="B7950" s="90">
        <v>8.4680499216716711</v>
      </c>
    </row>
    <row r="7951" spans="1:2">
      <c r="A7951" s="32">
        <v>7938</v>
      </c>
      <c r="B7951" s="90">
        <v>8.8474466069461357</v>
      </c>
    </row>
    <row r="7952" spans="1:2">
      <c r="A7952" s="32">
        <v>7939</v>
      </c>
      <c r="B7952" s="90">
        <v>6.3845786414706929</v>
      </c>
    </row>
    <row r="7953" spans="1:2">
      <c r="A7953" s="32">
        <v>7940</v>
      </c>
      <c r="B7953" s="90">
        <v>8.6874306510433392</v>
      </c>
    </row>
    <row r="7954" spans="1:2">
      <c r="A7954" s="32">
        <v>7941</v>
      </c>
      <c r="B7954" s="90">
        <v>7.8370421507258534</v>
      </c>
    </row>
    <row r="7955" spans="1:2">
      <c r="A7955" s="32">
        <v>7942</v>
      </c>
      <c r="B7955" s="90">
        <v>7.8896385694904856</v>
      </c>
    </row>
    <row r="7956" spans="1:2">
      <c r="A7956" s="32">
        <v>7943</v>
      </c>
      <c r="B7956" s="90">
        <v>9.5344633356684056</v>
      </c>
    </row>
    <row r="7957" spans="1:2">
      <c r="A7957" s="32">
        <v>7944</v>
      </c>
      <c r="B7957" s="90">
        <v>8.4158491771773036</v>
      </c>
    </row>
    <row r="7958" spans="1:2">
      <c r="A7958" s="32">
        <v>7945</v>
      </c>
      <c r="B7958" s="90">
        <v>9.5664557988673646</v>
      </c>
    </row>
    <row r="7959" spans="1:2">
      <c r="A7959" s="32">
        <v>7946</v>
      </c>
      <c r="B7959" s="90">
        <v>9.8320914015864673</v>
      </c>
    </row>
    <row r="7960" spans="1:2">
      <c r="A7960" s="32">
        <v>7947</v>
      </c>
      <c r="B7960" s="90">
        <v>8.2724847132214148</v>
      </c>
    </row>
    <row r="7961" spans="1:2">
      <c r="A7961" s="32">
        <v>7948</v>
      </c>
      <c r="B7961" s="90">
        <v>8.1337092827161666</v>
      </c>
    </row>
    <row r="7962" spans="1:2">
      <c r="A7962" s="32">
        <v>7949</v>
      </c>
      <c r="B7962" s="90">
        <v>7.8939617827582547</v>
      </c>
    </row>
    <row r="7963" spans="1:2">
      <c r="A7963" s="32">
        <v>7950</v>
      </c>
      <c r="B7963" s="90">
        <v>8.3880086737049719</v>
      </c>
    </row>
    <row r="7964" spans="1:2">
      <c r="A7964" s="32">
        <v>7951</v>
      </c>
      <c r="B7964" s="90">
        <v>8.0849271956336679</v>
      </c>
    </row>
    <row r="7965" spans="1:2">
      <c r="A7965" s="32">
        <v>7952</v>
      </c>
      <c r="B7965" s="90">
        <v>8.9485842835807397</v>
      </c>
    </row>
    <row r="7966" spans="1:2">
      <c r="A7966" s="32">
        <v>7953</v>
      </c>
      <c r="B7966" s="90">
        <v>8.3071194309929961</v>
      </c>
    </row>
    <row r="7967" spans="1:2">
      <c r="A7967" s="32">
        <v>7954</v>
      </c>
      <c r="B7967" s="90">
        <v>9.1749960613008916</v>
      </c>
    </row>
    <row r="7968" spans="1:2">
      <c r="A7968" s="32">
        <v>7955</v>
      </c>
      <c r="B7968" s="90">
        <v>7.7378142751405399</v>
      </c>
    </row>
    <row r="7969" spans="1:2">
      <c r="A7969" s="32">
        <v>7956</v>
      </c>
      <c r="B7969" s="90">
        <v>8.473292551291367</v>
      </c>
    </row>
    <row r="7970" spans="1:2">
      <c r="A7970" s="32">
        <v>7957</v>
      </c>
      <c r="B7970" s="90">
        <v>7.0508526050895242</v>
      </c>
    </row>
    <row r="7971" spans="1:2">
      <c r="A7971" s="32">
        <v>7958</v>
      </c>
      <c r="B7971" s="90">
        <v>9.0653404341284194</v>
      </c>
    </row>
    <row r="7972" spans="1:2">
      <c r="A7972" s="32">
        <v>7959</v>
      </c>
      <c r="B7972" s="90">
        <v>9.2517437314540238</v>
      </c>
    </row>
    <row r="7973" spans="1:2">
      <c r="A7973" s="32">
        <v>7960</v>
      </c>
      <c r="B7973" s="90">
        <v>7.7041536791239489</v>
      </c>
    </row>
    <row r="7974" spans="1:2">
      <c r="A7974" s="32">
        <v>7961</v>
      </c>
      <c r="B7974" s="90">
        <v>7.7157741612287118</v>
      </c>
    </row>
    <row r="7975" spans="1:2">
      <c r="A7975" s="32">
        <v>7962</v>
      </c>
      <c r="B7975" s="90">
        <v>9.1545256235349424</v>
      </c>
    </row>
    <row r="7976" spans="1:2">
      <c r="A7976" s="32">
        <v>7963</v>
      </c>
      <c r="B7976" s="90">
        <v>8.638338779127757</v>
      </c>
    </row>
    <row r="7977" spans="1:2">
      <c r="A7977" s="32">
        <v>7964</v>
      </c>
      <c r="B7977" s="90">
        <v>7.3743792703526401</v>
      </c>
    </row>
    <row r="7978" spans="1:2">
      <c r="A7978" s="32">
        <v>7965</v>
      </c>
      <c r="B7978" s="90">
        <v>6.8540755733453071</v>
      </c>
    </row>
    <row r="7979" spans="1:2">
      <c r="A7979" s="32">
        <v>7966</v>
      </c>
      <c r="B7979" s="90">
        <v>7.8166305310232218</v>
      </c>
    </row>
    <row r="7980" spans="1:2">
      <c r="A7980" s="32">
        <v>7967</v>
      </c>
      <c r="B7980" s="90">
        <v>8.248640833757678</v>
      </c>
    </row>
    <row r="7981" spans="1:2">
      <c r="A7981" s="32">
        <v>7968</v>
      </c>
      <c r="B7981" s="90">
        <v>7.1951147733919072</v>
      </c>
    </row>
    <row r="7982" spans="1:2">
      <c r="A7982" s="32">
        <v>7969</v>
      </c>
      <c r="B7982" s="90">
        <v>8.292999497061226</v>
      </c>
    </row>
    <row r="7983" spans="1:2">
      <c r="A7983" s="32">
        <v>7970</v>
      </c>
      <c r="B7983" s="90">
        <v>8.4449861700190851</v>
      </c>
    </row>
    <row r="7984" spans="1:2">
      <c r="A7984" s="32">
        <v>7971</v>
      </c>
      <c r="B7984" s="90">
        <v>7.9402910917535241</v>
      </c>
    </row>
    <row r="7985" spans="1:2">
      <c r="A7985" s="32">
        <v>7972</v>
      </c>
      <c r="B7985" s="90">
        <v>7.8139138251377593</v>
      </c>
    </row>
    <row r="7986" spans="1:2">
      <c r="A7986" s="32">
        <v>7973</v>
      </c>
      <c r="B7986" s="90">
        <v>7.80174625328383</v>
      </c>
    </row>
    <row r="7987" spans="1:2">
      <c r="A7987" s="32">
        <v>7974</v>
      </c>
      <c r="B7987" s="90">
        <v>6.9113343684446873</v>
      </c>
    </row>
    <row r="7988" spans="1:2">
      <c r="A7988" s="32">
        <v>7975</v>
      </c>
      <c r="B7988" s="90">
        <v>8.0322399535872169</v>
      </c>
    </row>
    <row r="7989" spans="1:2">
      <c r="A7989" s="32">
        <v>7976</v>
      </c>
      <c r="B7989" s="90">
        <v>7.9549801055120533</v>
      </c>
    </row>
    <row r="7990" spans="1:2">
      <c r="A7990" s="32">
        <v>7977</v>
      </c>
      <c r="B7990" s="90">
        <v>8.8002901418794615</v>
      </c>
    </row>
    <row r="7991" spans="1:2">
      <c r="A7991" s="32">
        <v>7978</v>
      </c>
      <c r="B7991" s="90">
        <v>7.0162813461580793</v>
      </c>
    </row>
    <row r="7992" spans="1:2">
      <c r="A7992" s="32">
        <v>7979</v>
      </c>
      <c r="B7992" s="90">
        <v>7.9381896113254315</v>
      </c>
    </row>
    <row r="7993" spans="1:2">
      <c r="A7993" s="32">
        <v>7980</v>
      </c>
      <c r="B7993" s="90">
        <v>7.745039572922388</v>
      </c>
    </row>
    <row r="7994" spans="1:2">
      <c r="A7994" s="32">
        <v>7981</v>
      </c>
      <c r="B7994" s="90">
        <v>8.3287302232271223</v>
      </c>
    </row>
    <row r="7995" spans="1:2">
      <c r="A7995" s="32">
        <v>7982</v>
      </c>
      <c r="B7995" s="90">
        <v>8.5671251438733602</v>
      </c>
    </row>
    <row r="7996" spans="1:2">
      <c r="A7996" s="32">
        <v>7983</v>
      </c>
      <c r="B7996" s="90">
        <v>7.7181420993481842</v>
      </c>
    </row>
    <row r="7997" spans="1:2">
      <c r="A7997" s="32">
        <v>7984</v>
      </c>
      <c r="B7997" s="90">
        <v>8.3720959393593191</v>
      </c>
    </row>
    <row r="7998" spans="1:2">
      <c r="A7998" s="32">
        <v>7985</v>
      </c>
      <c r="B7998" s="90">
        <v>7.5999598293699897</v>
      </c>
    </row>
    <row r="7999" spans="1:2">
      <c r="A7999" s="32">
        <v>7986</v>
      </c>
      <c r="B7999" s="90">
        <v>9.2011639796123781</v>
      </c>
    </row>
    <row r="8000" spans="1:2">
      <c r="A8000" s="32">
        <v>7987</v>
      </c>
      <c r="B8000" s="90">
        <v>7.3853537204917945</v>
      </c>
    </row>
    <row r="8001" spans="1:2">
      <c r="A8001" s="32">
        <v>7988</v>
      </c>
      <c r="B8001" s="90">
        <v>8.1973579594551396</v>
      </c>
    </row>
    <row r="8002" spans="1:2">
      <c r="A8002" s="32">
        <v>7989</v>
      </c>
      <c r="B8002" s="90">
        <v>8.3714719841115706</v>
      </c>
    </row>
    <row r="8003" spans="1:2">
      <c r="A8003" s="32">
        <v>7990</v>
      </c>
      <c r="B8003" s="90">
        <v>8.4457901255684078</v>
      </c>
    </row>
    <row r="8004" spans="1:2">
      <c r="A8004" s="32">
        <v>7991</v>
      </c>
      <c r="B8004" s="90">
        <v>8.1119324599608245</v>
      </c>
    </row>
    <row r="8005" spans="1:2">
      <c r="A8005" s="32">
        <v>7992</v>
      </c>
      <c r="B8005" s="90">
        <v>8.4058452497198424</v>
      </c>
    </row>
    <row r="8006" spans="1:2">
      <c r="A8006" s="32">
        <v>7993</v>
      </c>
      <c r="B8006" s="90">
        <v>7.7977257894562255</v>
      </c>
    </row>
    <row r="8007" spans="1:2">
      <c r="A8007" s="32">
        <v>7994</v>
      </c>
      <c r="B8007" s="90">
        <v>8.8445752525079087</v>
      </c>
    </row>
    <row r="8008" spans="1:2">
      <c r="A8008" s="32">
        <v>7995</v>
      </c>
      <c r="B8008" s="90">
        <v>7.651913941010891</v>
      </c>
    </row>
    <row r="8009" spans="1:2">
      <c r="A8009" s="32">
        <v>7996</v>
      </c>
      <c r="B8009" s="90">
        <v>8.9062040338278408</v>
      </c>
    </row>
    <row r="8010" spans="1:2">
      <c r="A8010" s="32">
        <v>7997</v>
      </c>
      <c r="B8010" s="90">
        <v>7.9006650684156243</v>
      </c>
    </row>
    <row r="8011" spans="1:2">
      <c r="A8011" s="32">
        <v>7998</v>
      </c>
      <c r="B8011" s="90">
        <v>8.7334156294705494</v>
      </c>
    </row>
    <row r="8012" spans="1:2">
      <c r="A8012" s="32">
        <v>7999</v>
      </c>
      <c r="B8012" s="90">
        <v>8.230499417418347</v>
      </c>
    </row>
    <row r="8013" spans="1:2">
      <c r="A8013" s="32">
        <v>8000</v>
      </c>
      <c r="B8013" s="90">
        <v>8.4597150936928003</v>
      </c>
    </row>
    <row r="8014" spans="1:2">
      <c r="A8014" s="32">
        <v>8001</v>
      </c>
      <c r="B8014" s="90">
        <v>7.7449896531120794</v>
      </c>
    </row>
    <row r="8015" spans="1:2">
      <c r="A8015" s="32">
        <v>8002</v>
      </c>
      <c r="B8015" s="90">
        <v>8.6054111614326452</v>
      </c>
    </row>
    <row r="8016" spans="1:2">
      <c r="A8016" s="32">
        <v>8003</v>
      </c>
      <c r="B8016" s="90">
        <v>7.8588900982318659</v>
      </c>
    </row>
    <row r="8017" spans="1:2">
      <c r="A8017" s="32">
        <v>8004</v>
      </c>
      <c r="B8017" s="90">
        <v>8.6980947964284798</v>
      </c>
    </row>
    <row r="8018" spans="1:2">
      <c r="A8018" s="32">
        <v>8005</v>
      </c>
      <c r="B8018" s="90">
        <v>9.0465509009685121</v>
      </c>
    </row>
    <row r="8019" spans="1:2">
      <c r="A8019" s="32">
        <v>8006</v>
      </c>
      <c r="B8019" s="90">
        <v>8.018653639935458</v>
      </c>
    </row>
    <row r="8020" spans="1:2">
      <c r="A8020" s="32">
        <v>8007</v>
      </c>
      <c r="B8020" s="90">
        <v>7.7729228157778021</v>
      </c>
    </row>
    <row r="8021" spans="1:2">
      <c r="A8021" s="32">
        <v>8008</v>
      </c>
      <c r="B8021" s="90">
        <v>6.9181844931366108</v>
      </c>
    </row>
    <row r="8022" spans="1:2">
      <c r="A8022" s="32">
        <v>8009</v>
      </c>
      <c r="B8022" s="90">
        <v>8.7428966810686877</v>
      </c>
    </row>
    <row r="8023" spans="1:2">
      <c r="A8023" s="32">
        <v>8010</v>
      </c>
      <c r="B8023" s="90">
        <v>8.1117637825164941</v>
      </c>
    </row>
    <row r="8024" spans="1:2">
      <c r="A8024" s="32">
        <v>8011</v>
      </c>
      <c r="B8024" s="90">
        <v>8.3161592224569034</v>
      </c>
    </row>
    <row r="8025" spans="1:2">
      <c r="A8025" s="32">
        <v>8012</v>
      </c>
      <c r="B8025" s="90">
        <v>7.23024529281395</v>
      </c>
    </row>
    <row r="8026" spans="1:2">
      <c r="A8026" s="32">
        <v>8013</v>
      </c>
      <c r="B8026" s="90">
        <v>9.5323805182654997</v>
      </c>
    </row>
    <row r="8027" spans="1:2">
      <c r="A8027" s="32">
        <v>8014</v>
      </c>
      <c r="B8027" s="90">
        <v>7.6356347230038617</v>
      </c>
    </row>
    <row r="8028" spans="1:2">
      <c r="A8028" s="32">
        <v>8015</v>
      </c>
      <c r="B8028" s="90">
        <v>9.2348996655339501</v>
      </c>
    </row>
    <row r="8029" spans="1:2">
      <c r="A8029" s="32">
        <v>8016</v>
      </c>
      <c r="B8029" s="90">
        <v>7.8266062923229125</v>
      </c>
    </row>
    <row r="8030" spans="1:2">
      <c r="A8030" s="32">
        <v>8017</v>
      </c>
      <c r="B8030" s="90">
        <v>8.9907447801157527</v>
      </c>
    </row>
    <row r="8031" spans="1:2">
      <c r="A8031" s="32">
        <v>8018</v>
      </c>
      <c r="B8031" s="90">
        <v>7.0105977984422347</v>
      </c>
    </row>
    <row r="8032" spans="1:2">
      <c r="A8032" s="32">
        <v>8019</v>
      </c>
      <c r="B8032" s="90">
        <v>7.2755802316545175</v>
      </c>
    </row>
    <row r="8033" spans="1:2">
      <c r="A8033" s="32">
        <v>8020</v>
      </c>
      <c r="B8033" s="90">
        <v>6.8182131956981706</v>
      </c>
    </row>
    <row r="8034" spans="1:2">
      <c r="A8034" s="32">
        <v>8021</v>
      </c>
      <c r="B8034" s="90">
        <v>6.8492145343532096</v>
      </c>
    </row>
    <row r="8035" spans="1:2">
      <c r="A8035" s="32">
        <v>8022</v>
      </c>
      <c r="B8035" s="90">
        <v>8.932531255666099</v>
      </c>
    </row>
    <row r="8036" spans="1:2">
      <c r="A8036" s="32">
        <v>8023</v>
      </c>
      <c r="B8036" s="90">
        <v>8.8068546240776815</v>
      </c>
    </row>
    <row r="8037" spans="1:2">
      <c r="A8037" s="32">
        <v>8024</v>
      </c>
      <c r="B8037" s="90">
        <v>8.8905409292925004</v>
      </c>
    </row>
    <row r="8038" spans="1:2">
      <c r="A8038" s="32">
        <v>8025</v>
      </c>
      <c r="B8038" s="90">
        <v>7.2403660611056271</v>
      </c>
    </row>
    <row r="8039" spans="1:2">
      <c r="A8039" s="32">
        <v>8026</v>
      </c>
      <c r="B8039" s="90">
        <v>8.9768373654238882</v>
      </c>
    </row>
    <row r="8040" spans="1:2">
      <c r="A8040" s="32">
        <v>8027</v>
      </c>
      <c r="B8040" s="90">
        <v>7.7102129942281126</v>
      </c>
    </row>
    <row r="8041" spans="1:2">
      <c r="A8041" s="32">
        <v>8028</v>
      </c>
      <c r="B8041" s="90">
        <v>7.4063235131287426</v>
      </c>
    </row>
    <row r="8042" spans="1:2">
      <c r="A8042" s="32">
        <v>8029</v>
      </c>
      <c r="B8042" s="90">
        <v>7.1342561387653234</v>
      </c>
    </row>
    <row r="8043" spans="1:2">
      <c r="A8043" s="32">
        <v>8030</v>
      </c>
      <c r="B8043" s="90">
        <v>7.3760409469804191</v>
      </c>
    </row>
    <row r="8044" spans="1:2">
      <c r="A8044" s="32">
        <v>8031</v>
      </c>
      <c r="B8044" s="90">
        <v>8.5944960739355842</v>
      </c>
    </row>
    <row r="8045" spans="1:2">
      <c r="A8045" s="32">
        <v>8032</v>
      </c>
      <c r="B8045" s="90">
        <v>8.214837760800048</v>
      </c>
    </row>
    <row r="8046" spans="1:2">
      <c r="A8046" s="32">
        <v>8033</v>
      </c>
      <c r="B8046" s="90">
        <v>7.3899478798346294</v>
      </c>
    </row>
    <row r="8047" spans="1:2">
      <c r="A8047" s="32">
        <v>8034</v>
      </c>
      <c r="B8047" s="90">
        <v>7.3024303243267852</v>
      </c>
    </row>
    <row r="8048" spans="1:2">
      <c r="A8048" s="32">
        <v>8035</v>
      </c>
      <c r="B8048" s="90">
        <v>9.2992206805441171</v>
      </c>
    </row>
    <row r="8049" spans="1:2">
      <c r="A8049" s="32">
        <v>8036</v>
      </c>
      <c r="B8049" s="90">
        <v>8.7959214419585976</v>
      </c>
    </row>
    <row r="8050" spans="1:2">
      <c r="A8050" s="32">
        <v>8037</v>
      </c>
      <c r="B8050" s="90">
        <v>7.5492223128612013</v>
      </c>
    </row>
    <row r="8051" spans="1:2">
      <c r="A8051" s="32">
        <v>8038</v>
      </c>
      <c r="B8051" s="90">
        <v>7.5783260986181702</v>
      </c>
    </row>
    <row r="8052" spans="1:2">
      <c r="A8052" s="32">
        <v>8039</v>
      </c>
      <c r="B8052" s="90">
        <v>7.1095923841090318</v>
      </c>
    </row>
    <row r="8053" spans="1:2">
      <c r="A8053" s="32">
        <v>8040</v>
      </c>
      <c r="B8053" s="90">
        <v>9.6938077710171058</v>
      </c>
    </row>
    <row r="8054" spans="1:2">
      <c r="A8054" s="32">
        <v>8041</v>
      </c>
      <c r="B8054" s="90">
        <v>7.6179981679172197</v>
      </c>
    </row>
    <row r="8055" spans="1:2">
      <c r="A8055" s="32">
        <v>8042</v>
      </c>
      <c r="B8055" s="90">
        <v>8.7129159273897336</v>
      </c>
    </row>
    <row r="8056" spans="1:2">
      <c r="A8056" s="32">
        <v>8043</v>
      </c>
      <c r="B8056" s="90">
        <v>6.9647422081331243</v>
      </c>
    </row>
    <row r="8057" spans="1:2">
      <c r="A8057" s="32">
        <v>8044</v>
      </c>
      <c r="B8057" s="90">
        <v>8.7245054516403719</v>
      </c>
    </row>
    <row r="8058" spans="1:2">
      <c r="A8058" s="32">
        <v>8045</v>
      </c>
      <c r="B8058" s="90">
        <v>6.571378358085278</v>
      </c>
    </row>
    <row r="8059" spans="1:2">
      <c r="A8059" s="32">
        <v>8046</v>
      </c>
      <c r="B8059" s="90">
        <v>8.0097508789817837</v>
      </c>
    </row>
    <row r="8060" spans="1:2">
      <c r="A8060" s="32">
        <v>8047</v>
      </c>
      <c r="B8060" s="90">
        <v>8.5697359615481776</v>
      </c>
    </row>
    <row r="8061" spans="1:2">
      <c r="A8061" s="32">
        <v>8048</v>
      </c>
      <c r="B8061" s="90">
        <v>8.7845955492574852</v>
      </c>
    </row>
    <row r="8062" spans="1:2">
      <c r="A8062" s="32">
        <v>8049</v>
      </c>
      <c r="B8062" s="90">
        <v>7.9315713047303662</v>
      </c>
    </row>
    <row r="8063" spans="1:2">
      <c r="A8063" s="32">
        <v>8050</v>
      </c>
      <c r="B8063" s="90">
        <v>8.2249178599095512</v>
      </c>
    </row>
    <row r="8064" spans="1:2">
      <c r="A8064" s="32">
        <v>8051</v>
      </c>
      <c r="B8064" s="90">
        <v>8.3015131269732088</v>
      </c>
    </row>
    <row r="8065" spans="1:2">
      <c r="A8065" s="32">
        <v>8052</v>
      </c>
      <c r="B8065" s="90">
        <v>8.0160443617273263</v>
      </c>
    </row>
    <row r="8066" spans="1:2">
      <c r="A8066" s="32">
        <v>8053</v>
      </c>
      <c r="B8066" s="90">
        <v>7.5212858009090686</v>
      </c>
    </row>
    <row r="8067" spans="1:2">
      <c r="A8067" s="32">
        <v>8054</v>
      </c>
      <c r="B8067" s="90">
        <v>7.784321124890349</v>
      </c>
    </row>
    <row r="8068" spans="1:2">
      <c r="A8068" s="32">
        <v>8055</v>
      </c>
      <c r="B8068" s="90">
        <v>7.0149742642848425</v>
      </c>
    </row>
    <row r="8069" spans="1:2">
      <c r="A8069" s="32">
        <v>8056</v>
      </c>
      <c r="B8069" s="90">
        <v>7.5524089624870694</v>
      </c>
    </row>
    <row r="8070" spans="1:2">
      <c r="A8070" s="32">
        <v>8057</v>
      </c>
      <c r="B8070" s="90">
        <v>9.4341806189630724</v>
      </c>
    </row>
    <row r="8071" spans="1:2">
      <c r="A8071" s="32">
        <v>8058</v>
      </c>
      <c r="B8071" s="90">
        <v>8.6266189074426336</v>
      </c>
    </row>
    <row r="8072" spans="1:2">
      <c r="A8072" s="32">
        <v>8059</v>
      </c>
      <c r="B8072" s="90">
        <v>8.2275721466174012</v>
      </c>
    </row>
    <row r="8073" spans="1:2">
      <c r="A8073" s="32">
        <v>8060</v>
      </c>
      <c r="B8073" s="90">
        <v>7.0152887687228951</v>
      </c>
    </row>
    <row r="8074" spans="1:2">
      <c r="A8074" s="32">
        <v>8061</v>
      </c>
      <c r="B8074" s="90">
        <v>6.9464812240776972</v>
      </c>
    </row>
    <row r="8075" spans="1:2">
      <c r="A8075" s="32">
        <v>8062</v>
      </c>
      <c r="B8075" s="90">
        <v>8.5575836961907719</v>
      </c>
    </row>
    <row r="8076" spans="1:2">
      <c r="A8076" s="32">
        <v>8063</v>
      </c>
      <c r="B8076" s="90">
        <v>8.0542602416789322</v>
      </c>
    </row>
    <row r="8077" spans="1:2">
      <c r="A8077" s="32">
        <v>8064</v>
      </c>
      <c r="B8077" s="90">
        <v>6.6926638558034401</v>
      </c>
    </row>
    <row r="8078" spans="1:2">
      <c r="A8078" s="32">
        <v>8065</v>
      </c>
      <c r="B8078" s="90">
        <v>9.1101510915356911</v>
      </c>
    </row>
    <row r="8079" spans="1:2">
      <c r="A8079" s="32">
        <v>8066</v>
      </c>
      <c r="B8079" s="90">
        <v>8.706656186624798</v>
      </c>
    </row>
    <row r="8080" spans="1:2">
      <c r="A8080" s="32">
        <v>8067</v>
      </c>
      <c r="B8080" s="90">
        <v>7.5986776703832719</v>
      </c>
    </row>
    <row r="8081" spans="1:2">
      <c r="A8081" s="32">
        <v>8068</v>
      </c>
      <c r="B8081" s="90">
        <v>6.7486470319209175</v>
      </c>
    </row>
    <row r="8082" spans="1:2">
      <c r="A8082" s="32">
        <v>8069</v>
      </c>
      <c r="B8082" s="90">
        <v>7.2233191516005366</v>
      </c>
    </row>
    <row r="8083" spans="1:2">
      <c r="A8083" s="32">
        <v>8070</v>
      </c>
      <c r="B8083" s="90">
        <v>7.7262288596722684</v>
      </c>
    </row>
    <row r="8084" spans="1:2">
      <c r="A8084" s="32">
        <v>8071</v>
      </c>
      <c r="B8084" s="90">
        <v>7.9240772212090373</v>
      </c>
    </row>
    <row r="8085" spans="1:2">
      <c r="A8085" s="32">
        <v>8072</v>
      </c>
      <c r="B8085" s="90">
        <v>7.8059563914200325</v>
      </c>
    </row>
    <row r="8086" spans="1:2">
      <c r="A8086" s="32">
        <v>8073</v>
      </c>
      <c r="B8086" s="90">
        <v>7.4098096762883507</v>
      </c>
    </row>
    <row r="8087" spans="1:2">
      <c r="A8087" s="32">
        <v>8074</v>
      </c>
      <c r="B8087" s="90">
        <v>8.3225694807284896</v>
      </c>
    </row>
    <row r="8088" spans="1:2">
      <c r="A8088" s="32">
        <v>8075</v>
      </c>
      <c r="B8088" s="90">
        <v>8.2253927210055657</v>
      </c>
    </row>
    <row r="8089" spans="1:2">
      <c r="A8089" s="32">
        <v>8076</v>
      </c>
      <c r="B8089" s="90">
        <v>7.4163915867442221</v>
      </c>
    </row>
    <row r="8090" spans="1:2">
      <c r="A8090" s="32">
        <v>8077</v>
      </c>
      <c r="B8090" s="90">
        <v>9.5160050589908725</v>
      </c>
    </row>
    <row r="8091" spans="1:2">
      <c r="A8091" s="32">
        <v>8078</v>
      </c>
      <c r="B8091" s="90">
        <v>8.7993326288771367</v>
      </c>
    </row>
    <row r="8092" spans="1:2">
      <c r="A8092" s="32">
        <v>8079</v>
      </c>
      <c r="B8092" s="90">
        <v>8.3026579411601027</v>
      </c>
    </row>
    <row r="8093" spans="1:2">
      <c r="A8093" s="32">
        <v>8080</v>
      </c>
      <c r="B8093" s="90">
        <v>7.6810645832183022</v>
      </c>
    </row>
    <row r="8094" spans="1:2">
      <c r="A8094" s="32">
        <v>8081</v>
      </c>
      <c r="B8094" s="90">
        <v>7.9697830321284373</v>
      </c>
    </row>
    <row r="8095" spans="1:2">
      <c r="A8095" s="32">
        <v>8082</v>
      </c>
      <c r="B8095" s="90">
        <v>7.2551087600125834</v>
      </c>
    </row>
    <row r="8096" spans="1:2">
      <c r="A8096" s="32">
        <v>8083</v>
      </c>
      <c r="B8096" s="90">
        <v>8.0307357151690901</v>
      </c>
    </row>
    <row r="8097" spans="1:2">
      <c r="A8097" s="32">
        <v>8084</v>
      </c>
      <c r="B8097" s="90">
        <v>8.5281336152901357</v>
      </c>
    </row>
    <row r="8098" spans="1:2">
      <c r="A8098" s="32">
        <v>8085</v>
      </c>
      <c r="B8098" s="90">
        <v>7.4079414215807038</v>
      </c>
    </row>
    <row r="8099" spans="1:2">
      <c r="A8099" s="32">
        <v>8086</v>
      </c>
      <c r="B8099" s="90">
        <v>8.7367620305432254</v>
      </c>
    </row>
    <row r="8100" spans="1:2">
      <c r="A8100" s="32">
        <v>8087</v>
      </c>
      <c r="B8100" s="90">
        <v>8.586416139043866</v>
      </c>
    </row>
    <row r="8101" spans="1:2">
      <c r="A8101" s="32">
        <v>8088</v>
      </c>
      <c r="B8101" s="90">
        <v>7.2805700565358062</v>
      </c>
    </row>
    <row r="8102" spans="1:2">
      <c r="A8102" s="32">
        <v>8089</v>
      </c>
      <c r="B8102" s="90">
        <v>8.4119578749592403</v>
      </c>
    </row>
    <row r="8103" spans="1:2">
      <c r="A8103" s="32">
        <v>8090</v>
      </c>
      <c r="B8103" s="90">
        <v>7.543844501289791</v>
      </c>
    </row>
    <row r="8104" spans="1:2">
      <c r="A8104" s="32">
        <v>8091</v>
      </c>
      <c r="B8104" s="90">
        <v>8.0618739319197132</v>
      </c>
    </row>
    <row r="8105" spans="1:2">
      <c r="A8105" s="32">
        <v>8092</v>
      </c>
      <c r="B8105" s="90">
        <v>7.0557266996673107</v>
      </c>
    </row>
    <row r="8106" spans="1:2">
      <c r="A8106" s="32">
        <v>8093</v>
      </c>
      <c r="B8106" s="90">
        <v>8.4124846696863695</v>
      </c>
    </row>
    <row r="8107" spans="1:2">
      <c r="A8107" s="32">
        <v>8094</v>
      </c>
      <c r="B8107" s="90">
        <v>8.04487253676505</v>
      </c>
    </row>
    <row r="8108" spans="1:2">
      <c r="A8108" s="32">
        <v>8095</v>
      </c>
      <c r="B8108" s="90">
        <v>7.0978255316581942</v>
      </c>
    </row>
    <row r="8109" spans="1:2">
      <c r="A8109" s="32">
        <v>8096</v>
      </c>
      <c r="B8109" s="90">
        <v>8.3311322469859537</v>
      </c>
    </row>
    <row r="8110" spans="1:2">
      <c r="A8110" s="32">
        <v>8097</v>
      </c>
      <c r="B8110" s="90">
        <v>8.5829549128642348</v>
      </c>
    </row>
    <row r="8111" spans="1:2">
      <c r="A8111" s="32">
        <v>8098</v>
      </c>
      <c r="B8111" s="90">
        <v>8.0513254275927792</v>
      </c>
    </row>
    <row r="8112" spans="1:2">
      <c r="A8112" s="32">
        <v>8099</v>
      </c>
      <c r="B8112" s="90">
        <v>7.8385314423687724</v>
      </c>
    </row>
    <row r="8113" spans="1:2">
      <c r="A8113" s="32">
        <v>8100</v>
      </c>
      <c r="B8113" s="90">
        <v>8.1637450643316178</v>
      </c>
    </row>
    <row r="8114" spans="1:2">
      <c r="A8114" s="32">
        <v>8101</v>
      </c>
      <c r="B8114" s="90">
        <v>8.0161550507934969</v>
      </c>
    </row>
    <row r="8115" spans="1:2">
      <c r="A8115" s="32">
        <v>8102</v>
      </c>
      <c r="B8115" s="90">
        <v>7.4347955039824045</v>
      </c>
    </row>
    <row r="8116" spans="1:2">
      <c r="A8116" s="32">
        <v>8103</v>
      </c>
      <c r="B8116" s="90">
        <v>8.7011036699363267</v>
      </c>
    </row>
    <row r="8117" spans="1:2">
      <c r="A8117" s="32">
        <v>8104</v>
      </c>
      <c r="B8117" s="90">
        <v>7.8132974094694685</v>
      </c>
    </row>
    <row r="8118" spans="1:2">
      <c r="A8118" s="32">
        <v>8105</v>
      </c>
      <c r="B8118" s="90">
        <v>7.2104574195751647</v>
      </c>
    </row>
    <row r="8119" spans="1:2">
      <c r="A8119" s="32">
        <v>8106</v>
      </c>
      <c r="B8119" s="90">
        <v>8.8091601125960288</v>
      </c>
    </row>
    <row r="8120" spans="1:2">
      <c r="A8120" s="32">
        <v>8107</v>
      </c>
      <c r="B8120" s="90">
        <v>7.481184484547037</v>
      </c>
    </row>
    <row r="8121" spans="1:2">
      <c r="A8121" s="32">
        <v>8108</v>
      </c>
      <c r="B8121" s="90">
        <v>8.5371569888387349</v>
      </c>
    </row>
    <row r="8122" spans="1:2">
      <c r="A8122" s="32">
        <v>8109</v>
      </c>
      <c r="B8122" s="90">
        <v>8.3431185117593962</v>
      </c>
    </row>
    <row r="8123" spans="1:2">
      <c r="A8123" s="32">
        <v>8110</v>
      </c>
      <c r="B8123" s="90">
        <v>8.8220594659078078</v>
      </c>
    </row>
    <row r="8124" spans="1:2">
      <c r="A8124" s="32">
        <v>8111</v>
      </c>
      <c r="B8124" s="90">
        <v>8.2810586907709833</v>
      </c>
    </row>
    <row r="8125" spans="1:2">
      <c r="A8125" s="32">
        <v>8112</v>
      </c>
      <c r="B8125" s="90">
        <v>9.4589901186579048</v>
      </c>
    </row>
    <row r="8126" spans="1:2">
      <c r="A8126" s="32">
        <v>8113</v>
      </c>
      <c r="B8126" s="90">
        <v>7.8442651930311023</v>
      </c>
    </row>
    <row r="8127" spans="1:2">
      <c r="A8127" s="32">
        <v>8114</v>
      </c>
      <c r="B8127" s="90">
        <v>8.108515221984808</v>
      </c>
    </row>
    <row r="8128" spans="1:2">
      <c r="A8128" s="32">
        <v>8115</v>
      </c>
      <c r="B8128" s="90">
        <v>7.9364150582115531</v>
      </c>
    </row>
    <row r="8129" spans="1:2">
      <c r="A8129" s="32">
        <v>8116</v>
      </c>
      <c r="B8129" s="90">
        <v>7.7548764933998955</v>
      </c>
    </row>
    <row r="8130" spans="1:2">
      <c r="A8130" s="32">
        <v>8117</v>
      </c>
      <c r="B8130" s="90">
        <v>7.4491065024654075</v>
      </c>
    </row>
    <row r="8131" spans="1:2">
      <c r="A8131" s="32">
        <v>8118</v>
      </c>
      <c r="B8131" s="90">
        <v>8.0941798330359962</v>
      </c>
    </row>
    <row r="8132" spans="1:2">
      <c r="A8132" s="32">
        <v>8119</v>
      </c>
      <c r="B8132" s="90">
        <v>7.629792995450722</v>
      </c>
    </row>
    <row r="8133" spans="1:2">
      <c r="A8133" s="32">
        <v>8120</v>
      </c>
      <c r="B8133" s="90">
        <v>7.920126891999467</v>
      </c>
    </row>
    <row r="8134" spans="1:2">
      <c r="A8134" s="32">
        <v>8121</v>
      </c>
      <c r="B8134" s="90">
        <v>8.220255346048468</v>
      </c>
    </row>
    <row r="8135" spans="1:2">
      <c r="A8135" s="32">
        <v>8122</v>
      </c>
      <c r="B8135" s="90">
        <v>8.4250477431984212</v>
      </c>
    </row>
    <row r="8136" spans="1:2">
      <c r="A8136" s="32">
        <v>8123</v>
      </c>
      <c r="B8136" s="90">
        <v>7.94804612164367</v>
      </c>
    </row>
    <row r="8137" spans="1:2">
      <c r="A8137" s="32">
        <v>8124</v>
      </c>
      <c r="B8137" s="90">
        <v>8.7274383048273663</v>
      </c>
    </row>
    <row r="8138" spans="1:2">
      <c r="A8138" s="32">
        <v>8125</v>
      </c>
      <c r="B8138" s="90">
        <v>7.5846909575747281</v>
      </c>
    </row>
    <row r="8139" spans="1:2">
      <c r="A8139" s="32">
        <v>8126</v>
      </c>
      <c r="B8139" s="90">
        <v>7.6111127473623466</v>
      </c>
    </row>
    <row r="8140" spans="1:2">
      <c r="A8140" s="32">
        <v>8127</v>
      </c>
      <c r="B8140" s="90">
        <v>9.7355679133564994</v>
      </c>
    </row>
    <row r="8141" spans="1:2">
      <c r="A8141" s="32">
        <v>8128</v>
      </c>
      <c r="B8141" s="90">
        <v>8.0154081700789881</v>
      </c>
    </row>
    <row r="8142" spans="1:2">
      <c r="A8142" s="32">
        <v>8129</v>
      </c>
      <c r="B8142" s="90">
        <v>7.6963717213043665</v>
      </c>
    </row>
    <row r="8143" spans="1:2">
      <c r="A8143" s="32">
        <v>8130</v>
      </c>
      <c r="B8143" s="90">
        <v>7.7400905715147141</v>
      </c>
    </row>
    <row r="8144" spans="1:2">
      <c r="A8144" s="32">
        <v>8131</v>
      </c>
      <c r="B8144" s="90">
        <v>8.7130956589234003</v>
      </c>
    </row>
    <row r="8145" spans="1:2">
      <c r="A8145" s="32">
        <v>8132</v>
      </c>
      <c r="B8145" s="90">
        <v>9.1348786094076111</v>
      </c>
    </row>
    <row r="8146" spans="1:2">
      <c r="A8146" s="32">
        <v>8133</v>
      </c>
      <c r="B8146" s="90">
        <v>7.687484649657784</v>
      </c>
    </row>
    <row r="8147" spans="1:2">
      <c r="A8147" s="32">
        <v>8134</v>
      </c>
      <c r="B8147" s="90">
        <v>9.0686164600632715</v>
      </c>
    </row>
    <row r="8148" spans="1:2">
      <c r="A8148" s="32">
        <v>8135</v>
      </c>
      <c r="B8148" s="90">
        <v>7.759181083894755</v>
      </c>
    </row>
    <row r="8149" spans="1:2">
      <c r="A8149" s="32">
        <v>8136</v>
      </c>
      <c r="B8149" s="90">
        <v>7.7460575245866901</v>
      </c>
    </row>
    <row r="8150" spans="1:2">
      <c r="A8150" s="32">
        <v>8137</v>
      </c>
      <c r="B8150" s="90">
        <v>8.5119413847843095</v>
      </c>
    </row>
    <row r="8151" spans="1:2">
      <c r="A8151" s="32">
        <v>8138</v>
      </c>
      <c r="B8151" s="90">
        <v>8.6479121355597481</v>
      </c>
    </row>
    <row r="8152" spans="1:2">
      <c r="A8152" s="32">
        <v>8139</v>
      </c>
      <c r="B8152" s="90">
        <v>9.7807407579514116</v>
      </c>
    </row>
    <row r="8153" spans="1:2">
      <c r="A8153" s="32">
        <v>8140</v>
      </c>
      <c r="B8153" s="90">
        <v>7.002157650388015</v>
      </c>
    </row>
    <row r="8154" spans="1:2">
      <c r="A8154" s="32">
        <v>8141</v>
      </c>
      <c r="B8154" s="90">
        <v>7.7244527058440529</v>
      </c>
    </row>
    <row r="8155" spans="1:2">
      <c r="A8155" s="32">
        <v>8142</v>
      </c>
      <c r="B8155" s="90">
        <v>8.6484591335652929</v>
      </c>
    </row>
    <row r="8156" spans="1:2">
      <c r="A8156" s="32">
        <v>8143</v>
      </c>
      <c r="B8156" s="90">
        <v>8.4032599739311422</v>
      </c>
    </row>
    <row r="8157" spans="1:2">
      <c r="A8157" s="32">
        <v>8144</v>
      </c>
      <c r="B8157" s="90">
        <v>8.3842634901872533</v>
      </c>
    </row>
    <row r="8158" spans="1:2">
      <c r="A8158" s="32">
        <v>8145</v>
      </c>
      <c r="B8158" s="90">
        <v>8.9112719738959392</v>
      </c>
    </row>
    <row r="8159" spans="1:2">
      <c r="A8159" s="32">
        <v>8146</v>
      </c>
      <c r="B8159" s="90">
        <v>7.5973346999517783</v>
      </c>
    </row>
    <row r="8160" spans="1:2">
      <c r="A8160" s="32">
        <v>8147</v>
      </c>
      <c r="B8160" s="90">
        <v>8.0178269015395518</v>
      </c>
    </row>
    <row r="8161" spans="1:2">
      <c r="A8161" s="32">
        <v>8148</v>
      </c>
      <c r="B8161" s="90">
        <v>7.9290346081173242</v>
      </c>
    </row>
    <row r="8162" spans="1:2">
      <c r="A8162" s="32">
        <v>8149</v>
      </c>
      <c r="B8162" s="90">
        <v>7.2864451024879537</v>
      </c>
    </row>
    <row r="8163" spans="1:2">
      <c r="A8163" s="32">
        <v>8150</v>
      </c>
      <c r="B8163" s="90">
        <v>8.1525975341973442</v>
      </c>
    </row>
    <row r="8164" spans="1:2">
      <c r="A8164" s="32">
        <v>8151</v>
      </c>
      <c r="B8164" s="90">
        <v>7.1000343599962621</v>
      </c>
    </row>
    <row r="8165" spans="1:2">
      <c r="A8165" s="32">
        <v>8152</v>
      </c>
      <c r="B8165" s="90">
        <v>8.5485215792942029</v>
      </c>
    </row>
    <row r="8166" spans="1:2">
      <c r="A8166" s="32">
        <v>8153</v>
      </c>
      <c r="B8166" s="90">
        <v>7.0993031847737615</v>
      </c>
    </row>
    <row r="8167" spans="1:2">
      <c r="A8167" s="32">
        <v>8154</v>
      </c>
      <c r="B8167" s="90">
        <v>8.1850397272955195</v>
      </c>
    </row>
    <row r="8168" spans="1:2">
      <c r="A8168" s="32">
        <v>8155</v>
      </c>
      <c r="B8168" s="90">
        <v>8.5237994727772044</v>
      </c>
    </row>
    <row r="8169" spans="1:2">
      <c r="A8169" s="32">
        <v>8156</v>
      </c>
      <c r="B8169" s="90">
        <v>8.5803967343431662</v>
      </c>
    </row>
    <row r="8170" spans="1:2">
      <c r="A8170" s="32">
        <v>8157</v>
      </c>
      <c r="B8170" s="90">
        <v>7.2173391038872712</v>
      </c>
    </row>
    <row r="8171" spans="1:2">
      <c r="A8171" s="32">
        <v>8158</v>
      </c>
      <c r="B8171" s="90">
        <v>9.8087852075621687</v>
      </c>
    </row>
    <row r="8172" spans="1:2">
      <c r="A8172" s="32">
        <v>8159</v>
      </c>
      <c r="B8172" s="90">
        <v>8.5104530216080718</v>
      </c>
    </row>
    <row r="8173" spans="1:2">
      <c r="A8173" s="32">
        <v>8160</v>
      </c>
      <c r="B8173" s="90">
        <v>7.2248461842064309</v>
      </c>
    </row>
    <row r="8174" spans="1:2">
      <c r="A8174" s="32">
        <v>8161</v>
      </c>
      <c r="B8174" s="90">
        <v>9.8730837131477998</v>
      </c>
    </row>
    <row r="8175" spans="1:2">
      <c r="A8175" s="32">
        <v>8162</v>
      </c>
      <c r="B8175" s="90">
        <v>9.0386996541479583</v>
      </c>
    </row>
    <row r="8176" spans="1:2">
      <c r="A8176" s="32">
        <v>8163</v>
      </c>
      <c r="B8176" s="90">
        <v>8.0269185564297025</v>
      </c>
    </row>
    <row r="8177" spans="1:2">
      <c r="A8177" s="32">
        <v>8164</v>
      </c>
      <c r="B8177" s="90">
        <v>8.0090756487861103</v>
      </c>
    </row>
    <row r="8178" spans="1:2">
      <c r="A8178" s="32">
        <v>8165</v>
      </c>
      <c r="B8178" s="90">
        <v>7.6560196190143577</v>
      </c>
    </row>
    <row r="8179" spans="1:2">
      <c r="A8179" s="32">
        <v>8166</v>
      </c>
      <c r="B8179" s="90">
        <v>8.8169121736473777</v>
      </c>
    </row>
    <row r="8180" spans="1:2">
      <c r="A8180" s="32">
        <v>8167</v>
      </c>
      <c r="B8180" s="90">
        <v>7.662546144301623</v>
      </c>
    </row>
    <row r="8181" spans="1:2">
      <c r="A8181" s="32">
        <v>8168</v>
      </c>
      <c r="B8181" s="90">
        <v>7.5833140789402353</v>
      </c>
    </row>
    <row r="8182" spans="1:2">
      <c r="A8182" s="32">
        <v>8169</v>
      </c>
      <c r="B8182" s="90">
        <v>7.697625642556611</v>
      </c>
    </row>
    <row r="8183" spans="1:2">
      <c r="A8183" s="32">
        <v>8170</v>
      </c>
      <c r="B8183" s="90">
        <v>7.5371708834114655</v>
      </c>
    </row>
    <row r="8184" spans="1:2">
      <c r="A8184" s="32">
        <v>8171</v>
      </c>
      <c r="B8184" s="90">
        <v>9.8421069646004238</v>
      </c>
    </row>
    <row r="8185" spans="1:2">
      <c r="A8185" s="32">
        <v>8172</v>
      </c>
      <c r="B8185" s="90">
        <v>7.9578647231081794</v>
      </c>
    </row>
    <row r="8186" spans="1:2">
      <c r="A8186" s="32">
        <v>8173</v>
      </c>
      <c r="B8186" s="90">
        <v>6.7976350815270203</v>
      </c>
    </row>
    <row r="8187" spans="1:2">
      <c r="A8187" s="32">
        <v>8174</v>
      </c>
      <c r="B8187" s="90">
        <v>9.0461724313457221</v>
      </c>
    </row>
    <row r="8188" spans="1:2">
      <c r="A8188" s="32">
        <v>8175</v>
      </c>
      <c r="B8188" s="90">
        <v>8.1579380546609439</v>
      </c>
    </row>
    <row r="8189" spans="1:2">
      <c r="A8189" s="32">
        <v>8176</v>
      </c>
      <c r="B8189" s="90">
        <v>7.5791810067696233</v>
      </c>
    </row>
    <row r="8190" spans="1:2">
      <c r="A8190" s="32">
        <v>8177</v>
      </c>
      <c r="B8190" s="90">
        <v>7.9758205240095972</v>
      </c>
    </row>
    <row r="8191" spans="1:2">
      <c r="A8191" s="32">
        <v>8178</v>
      </c>
      <c r="B8191" s="90">
        <v>8.5321418534977678</v>
      </c>
    </row>
    <row r="8192" spans="1:2">
      <c r="A8192" s="32">
        <v>8179</v>
      </c>
      <c r="B8192" s="90">
        <v>8.2093467458325637</v>
      </c>
    </row>
    <row r="8193" spans="1:2">
      <c r="A8193" s="32">
        <v>8180</v>
      </c>
      <c r="B8193" s="90">
        <v>8.6340437503289227</v>
      </c>
    </row>
    <row r="8194" spans="1:2">
      <c r="A8194" s="32">
        <v>8181</v>
      </c>
      <c r="B8194" s="90">
        <v>7.9810061989881635</v>
      </c>
    </row>
    <row r="8195" spans="1:2">
      <c r="A8195" s="32">
        <v>8182</v>
      </c>
      <c r="B8195" s="90">
        <v>7.540335196576061</v>
      </c>
    </row>
    <row r="8196" spans="1:2">
      <c r="A8196" s="32">
        <v>8183</v>
      </c>
      <c r="B8196" s="90">
        <v>7.8015161240370112</v>
      </c>
    </row>
    <row r="8197" spans="1:2">
      <c r="A8197" s="32">
        <v>8184</v>
      </c>
      <c r="B8197" s="90">
        <v>7.686051668896817</v>
      </c>
    </row>
    <row r="8198" spans="1:2">
      <c r="A8198" s="32">
        <v>8185</v>
      </c>
      <c r="B8198" s="90">
        <v>8.0872108191961551</v>
      </c>
    </row>
    <row r="8199" spans="1:2">
      <c r="A8199" s="32">
        <v>8186</v>
      </c>
      <c r="B8199" s="90">
        <v>7.3705765004753694</v>
      </c>
    </row>
    <row r="8200" spans="1:2">
      <c r="A8200" s="32">
        <v>8187</v>
      </c>
      <c r="B8200" s="90">
        <v>7.5149482508594803</v>
      </c>
    </row>
    <row r="8201" spans="1:2">
      <c r="A8201" s="32">
        <v>8188</v>
      </c>
      <c r="B8201" s="90">
        <v>8.8325440422305643</v>
      </c>
    </row>
    <row r="8202" spans="1:2">
      <c r="A8202" s="32">
        <v>8189</v>
      </c>
      <c r="B8202" s="90">
        <v>7.5737756740314035</v>
      </c>
    </row>
    <row r="8203" spans="1:2">
      <c r="A8203" s="32">
        <v>8190</v>
      </c>
      <c r="B8203" s="90">
        <v>8.5996266191857149</v>
      </c>
    </row>
    <row r="8204" spans="1:2">
      <c r="A8204" s="32">
        <v>8191</v>
      </c>
      <c r="B8204" s="90">
        <v>7.9518816565001353</v>
      </c>
    </row>
    <row r="8205" spans="1:2">
      <c r="A8205" s="32">
        <v>8192</v>
      </c>
      <c r="B8205" s="90">
        <v>8.8453905513078031</v>
      </c>
    </row>
    <row r="8206" spans="1:2">
      <c r="A8206" s="32">
        <v>8193</v>
      </c>
      <c r="B8206" s="90">
        <v>8.2253349741923643</v>
      </c>
    </row>
    <row r="8207" spans="1:2">
      <c r="A8207" s="32">
        <v>8194</v>
      </c>
      <c r="B8207" s="90">
        <v>8.0637790510940661</v>
      </c>
    </row>
    <row r="8208" spans="1:2">
      <c r="A8208" s="32">
        <v>8195</v>
      </c>
      <c r="B8208" s="90">
        <v>7.4562300121517531</v>
      </c>
    </row>
    <row r="8209" spans="1:2">
      <c r="A8209" s="32">
        <v>8196</v>
      </c>
      <c r="B8209" s="90">
        <v>8.4054575646459302</v>
      </c>
    </row>
    <row r="8210" spans="1:2">
      <c r="A8210" s="32">
        <v>8197</v>
      </c>
      <c r="B8210" s="90">
        <v>9.0091392707281077</v>
      </c>
    </row>
    <row r="8211" spans="1:2">
      <c r="A8211" s="32">
        <v>8198</v>
      </c>
      <c r="B8211" s="90">
        <v>9.6563428441085968</v>
      </c>
    </row>
    <row r="8212" spans="1:2">
      <c r="A8212" s="32">
        <v>8199</v>
      </c>
      <c r="B8212" s="90">
        <v>9.2442447526758631</v>
      </c>
    </row>
    <row r="8213" spans="1:2">
      <c r="A8213" s="32">
        <v>8200</v>
      </c>
      <c r="B8213" s="90">
        <v>8.3068136035932056</v>
      </c>
    </row>
    <row r="8214" spans="1:2">
      <c r="A8214" s="32">
        <v>8201</v>
      </c>
      <c r="B8214" s="90">
        <v>8.5031649586214346</v>
      </c>
    </row>
    <row r="8215" spans="1:2">
      <c r="A8215" s="32">
        <v>8202</v>
      </c>
      <c r="B8215" s="90">
        <v>7.3396388307326506</v>
      </c>
    </row>
    <row r="8216" spans="1:2">
      <c r="A8216" s="32">
        <v>8203</v>
      </c>
      <c r="B8216" s="90">
        <v>9.7325044335800506</v>
      </c>
    </row>
    <row r="8217" spans="1:2">
      <c r="A8217" s="32">
        <v>8204</v>
      </c>
      <c r="B8217" s="90">
        <v>8.9753154704913936</v>
      </c>
    </row>
    <row r="8218" spans="1:2">
      <c r="A8218" s="32">
        <v>8205</v>
      </c>
      <c r="B8218" s="90">
        <v>6.731890678275799</v>
      </c>
    </row>
    <row r="8219" spans="1:2">
      <c r="A8219" s="32">
        <v>8206</v>
      </c>
      <c r="B8219" s="90">
        <v>7.3622878413958404</v>
      </c>
    </row>
    <row r="8220" spans="1:2">
      <c r="A8220" s="32">
        <v>8207</v>
      </c>
      <c r="B8220" s="90">
        <v>8.5719033097920985</v>
      </c>
    </row>
    <row r="8221" spans="1:2">
      <c r="A8221" s="32">
        <v>8208</v>
      </c>
      <c r="B8221" s="90">
        <v>7.6837218873407043</v>
      </c>
    </row>
    <row r="8222" spans="1:2">
      <c r="A8222" s="32">
        <v>8209</v>
      </c>
      <c r="B8222" s="90">
        <v>7.0971460370358592</v>
      </c>
    </row>
    <row r="8223" spans="1:2">
      <c r="A8223" s="32">
        <v>8210</v>
      </c>
      <c r="B8223" s="90">
        <v>8.6826033603206216</v>
      </c>
    </row>
    <row r="8224" spans="1:2">
      <c r="A8224" s="32">
        <v>8211</v>
      </c>
      <c r="B8224" s="90">
        <v>8.2375219972527773</v>
      </c>
    </row>
    <row r="8225" spans="1:2">
      <c r="A8225" s="32">
        <v>8212</v>
      </c>
      <c r="B8225" s="90">
        <v>8.3514322690320704</v>
      </c>
    </row>
    <row r="8226" spans="1:2">
      <c r="A8226" s="32">
        <v>8213</v>
      </c>
      <c r="B8226" s="90">
        <v>7.3620447865813947</v>
      </c>
    </row>
    <row r="8227" spans="1:2">
      <c r="A8227" s="32">
        <v>8214</v>
      </c>
      <c r="B8227" s="90">
        <v>6.3466133413576369</v>
      </c>
    </row>
    <row r="8228" spans="1:2">
      <c r="A8228" s="32">
        <v>8215</v>
      </c>
      <c r="B8228" s="90">
        <v>8.4719681697120368</v>
      </c>
    </row>
    <row r="8229" spans="1:2">
      <c r="A8229" s="32">
        <v>8216</v>
      </c>
      <c r="B8229" s="90">
        <v>7.4396142787729298</v>
      </c>
    </row>
    <row r="8230" spans="1:2">
      <c r="A8230" s="32">
        <v>8217</v>
      </c>
      <c r="B8230" s="90">
        <v>7.3384856394122773</v>
      </c>
    </row>
    <row r="8231" spans="1:2">
      <c r="A8231" s="32">
        <v>8218</v>
      </c>
      <c r="B8231" s="90">
        <v>8.3015266874420153</v>
      </c>
    </row>
    <row r="8232" spans="1:2">
      <c r="A8232" s="32">
        <v>8219</v>
      </c>
      <c r="B8232" s="90">
        <v>7.9854416780653565</v>
      </c>
    </row>
    <row r="8233" spans="1:2">
      <c r="A8233" s="32">
        <v>8220</v>
      </c>
      <c r="B8233" s="90">
        <v>8.4783871196269232</v>
      </c>
    </row>
    <row r="8234" spans="1:2">
      <c r="A8234" s="32">
        <v>8221</v>
      </c>
      <c r="B8234" s="90">
        <v>8.4658930344106782</v>
      </c>
    </row>
    <row r="8235" spans="1:2">
      <c r="A8235" s="32">
        <v>8222</v>
      </c>
      <c r="B8235" s="90">
        <v>9.2886233193887655</v>
      </c>
    </row>
    <row r="8236" spans="1:2">
      <c r="A8236" s="32">
        <v>8223</v>
      </c>
      <c r="B8236" s="90">
        <v>6.9030167550183563</v>
      </c>
    </row>
    <row r="8237" spans="1:2">
      <c r="A8237" s="32">
        <v>8224</v>
      </c>
      <c r="B8237" s="90">
        <v>6.1317261132272129</v>
      </c>
    </row>
    <row r="8238" spans="1:2">
      <c r="A8238" s="32">
        <v>8225</v>
      </c>
      <c r="B8238" s="90">
        <v>7.7976174507077873</v>
      </c>
    </row>
    <row r="8239" spans="1:2">
      <c r="A8239" s="32">
        <v>8226</v>
      </c>
      <c r="B8239" s="90">
        <v>8.4064875210871115</v>
      </c>
    </row>
    <row r="8240" spans="1:2">
      <c r="A8240" s="32">
        <v>8227</v>
      </c>
      <c r="B8240" s="90">
        <v>8.0134762316833488</v>
      </c>
    </row>
    <row r="8241" spans="1:2">
      <c r="A8241" s="32">
        <v>8228</v>
      </c>
      <c r="B8241" s="90">
        <v>7.4971890959037415</v>
      </c>
    </row>
    <row r="8242" spans="1:2">
      <c r="A8242" s="32">
        <v>8229</v>
      </c>
      <c r="B8242" s="90">
        <v>8.4251972876235985</v>
      </c>
    </row>
    <row r="8243" spans="1:2">
      <c r="A8243" s="32">
        <v>8230</v>
      </c>
      <c r="B8243" s="90">
        <v>7.9923505841490234</v>
      </c>
    </row>
    <row r="8244" spans="1:2">
      <c r="A8244" s="32">
        <v>8231</v>
      </c>
      <c r="B8244" s="90">
        <v>7.3835908374319281</v>
      </c>
    </row>
    <row r="8245" spans="1:2">
      <c r="A8245" s="32">
        <v>8232</v>
      </c>
      <c r="B8245" s="90">
        <v>7.3738346441768758</v>
      </c>
    </row>
    <row r="8246" spans="1:2">
      <c r="A8246" s="32">
        <v>8233</v>
      </c>
      <c r="B8246" s="90">
        <v>7.4195504144929538</v>
      </c>
    </row>
    <row r="8247" spans="1:2">
      <c r="A8247" s="32">
        <v>8234</v>
      </c>
      <c r="B8247" s="90">
        <v>7.8428076898763912</v>
      </c>
    </row>
    <row r="8248" spans="1:2">
      <c r="A8248" s="32">
        <v>8235</v>
      </c>
      <c r="B8248" s="90">
        <v>9.2465193821202991</v>
      </c>
    </row>
    <row r="8249" spans="1:2">
      <c r="A8249" s="32">
        <v>8236</v>
      </c>
      <c r="B8249" s="90">
        <v>7.189405840905879</v>
      </c>
    </row>
    <row r="8250" spans="1:2">
      <c r="A8250" s="32">
        <v>8237</v>
      </c>
      <c r="B8250" s="90">
        <v>8.5931806255646972</v>
      </c>
    </row>
    <row r="8251" spans="1:2">
      <c r="A8251" s="32">
        <v>8238</v>
      </c>
      <c r="B8251" s="90">
        <v>8.5506714857840489</v>
      </c>
    </row>
    <row r="8252" spans="1:2">
      <c r="A8252" s="32">
        <v>8239</v>
      </c>
      <c r="B8252" s="90">
        <v>8.6712072949226418</v>
      </c>
    </row>
    <row r="8253" spans="1:2">
      <c r="A8253" s="32">
        <v>8240</v>
      </c>
      <c r="B8253" s="90">
        <v>8.1676348933498453</v>
      </c>
    </row>
    <row r="8254" spans="1:2">
      <c r="A8254" s="32">
        <v>8241</v>
      </c>
      <c r="B8254" s="90">
        <v>8.6157046131768844</v>
      </c>
    </row>
    <row r="8255" spans="1:2">
      <c r="A8255" s="32">
        <v>8242</v>
      </c>
      <c r="B8255" s="90">
        <v>8.9494126342604812</v>
      </c>
    </row>
    <row r="8256" spans="1:2">
      <c r="A8256" s="32">
        <v>8243</v>
      </c>
      <c r="B8256" s="90">
        <v>8.7326643446830872</v>
      </c>
    </row>
    <row r="8257" spans="1:2">
      <c r="A8257" s="32">
        <v>8244</v>
      </c>
      <c r="B8257" s="90">
        <v>7.8285766724362782</v>
      </c>
    </row>
    <row r="8258" spans="1:2">
      <c r="A8258" s="32">
        <v>8245</v>
      </c>
      <c r="B8258" s="90">
        <v>8.40749472929636</v>
      </c>
    </row>
    <row r="8259" spans="1:2">
      <c r="A8259" s="32">
        <v>8246</v>
      </c>
      <c r="B8259" s="90">
        <v>7.2340705356742463</v>
      </c>
    </row>
    <row r="8260" spans="1:2">
      <c r="A8260" s="32">
        <v>8247</v>
      </c>
      <c r="B8260" s="90">
        <v>7.7523951472573662</v>
      </c>
    </row>
    <row r="8261" spans="1:2">
      <c r="A8261" s="32">
        <v>8248</v>
      </c>
      <c r="B8261" s="90">
        <v>9.0730373138371494</v>
      </c>
    </row>
    <row r="8262" spans="1:2">
      <c r="A8262" s="32">
        <v>8249</v>
      </c>
      <c r="B8262" s="90">
        <v>8.2813965653899757</v>
      </c>
    </row>
    <row r="8263" spans="1:2">
      <c r="A8263" s="32">
        <v>8250</v>
      </c>
      <c r="B8263" s="90">
        <v>7.8686622785870455</v>
      </c>
    </row>
    <row r="8264" spans="1:2">
      <c r="A8264" s="32">
        <v>8251</v>
      </c>
      <c r="B8264" s="90">
        <v>9.1827529671941814</v>
      </c>
    </row>
    <row r="8265" spans="1:2">
      <c r="A8265" s="32">
        <v>8252</v>
      </c>
      <c r="B8265" s="90">
        <v>8.8281881726790985</v>
      </c>
    </row>
    <row r="8266" spans="1:2">
      <c r="A8266" s="32">
        <v>8253</v>
      </c>
      <c r="B8266" s="90">
        <v>8.1717509653723859</v>
      </c>
    </row>
    <row r="8267" spans="1:2">
      <c r="A8267" s="32">
        <v>8254</v>
      </c>
      <c r="B8267" s="90">
        <v>7.71940680336981</v>
      </c>
    </row>
    <row r="8268" spans="1:2">
      <c r="A8268" s="32">
        <v>8255</v>
      </c>
      <c r="B8268" s="90">
        <v>7.7976553404034457</v>
      </c>
    </row>
    <row r="8269" spans="1:2">
      <c r="A8269" s="32">
        <v>8256</v>
      </c>
      <c r="B8269" s="90">
        <v>9.513727063325172</v>
      </c>
    </row>
    <row r="8270" spans="1:2">
      <c r="A8270" s="32">
        <v>8257</v>
      </c>
      <c r="B8270" s="90">
        <v>7.6592769232506459</v>
      </c>
    </row>
    <row r="8271" spans="1:2">
      <c r="A8271" s="32">
        <v>8258</v>
      </c>
      <c r="B8271" s="90">
        <v>7.9713766263327397</v>
      </c>
    </row>
    <row r="8272" spans="1:2">
      <c r="A8272" s="32">
        <v>8259</v>
      </c>
      <c r="B8272" s="90">
        <v>8.4067750740000555</v>
      </c>
    </row>
    <row r="8273" spans="1:2">
      <c r="A8273" s="32">
        <v>8260</v>
      </c>
      <c r="B8273" s="90">
        <v>7.9763339218023255</v>
      </c>
    </row>
    <row r="8274" spans="1:2">
      <c r="A8274" s="32">
        <v>8261</v>
      </c>
      <c r="B8274" s="90">
        <v>7.6023596735582313</v>
      </c>
    </row>
    <row r="8275" spans="1:2">
      <c r="A8275" s="32">
        <v>8262</v>
      </c>
      <c r="B8275" s="90">
        <v>8.149975897350938</v>
      </c>
    </row>
    <row r="8276" spans="1:2">
      <c r="A8276" s="32">
        <v>8263</v>
      </c>
      <c r="B8276" s="90">
        <v>7.1322873147628956</v>
      </c>
    </row>
    <row r="8277" spans="1:2">
      <c r="A8277" s="32">
        <v>8264</v>
      </c>
      <c r="B8277" s="90">
        <v>7.5765865808743431</v>
      </c>
    </row>
    <row r="8278" spans="1:2">
      <c r="A8278" s="32">
        <v>8265</v>
      </c>
      <c r="B8278" s="90">
        <v>8.1739463222786544</v>
      </c>
    </row>
    <row r="8279" spans="1:2">
      <c r="A8279" s="32">
        <v>8266</v>
      </c>
      <c r="B8279" s="90">
        <v>6.9676451106693449</v>
      </c>
    </row>
    <row r="8280" spans="1:2">
      <c r="A8280" s="32">
        <v>8267</v>
      </c>
      <c r="B8280" s="90">
        <v>8.0966652682720071</v>
      </c>
    </row>
    <row r="8281" spans="1:2">
      <c r="A8281" s="32">
        <v>8268</v>
      </c>
      <c r="B8281" s="90">
        <v>7.9035378767841635</v>
      </c>
    </row>
    <row r="8282" spans="1:2">
      <c r="A8282" s="32">
        <v>8269</v>
      </c>
      <c r="B8282" s="90">
        <v>9.3344582609066968</v>
      </c>
    </row>
    <row r="8283" spans="1:2">
      <c r="A8283" s="32">
        <v>8270</v>
      </c>
      <c r="B8283" s="90">
        <v>7.7221204280205793</v>
      </c>
    </row>
    <row r="8284" spans="1:2">
      <c r="A8284" s="32">
        <v>8271</v>
      </c>
      <c r="B8284" s="90">
        <v>7.407751786346906</v>
      </c>
    </row>
    <row r="8285" spans="1:2">
      <c r="A8285" s="32">
        <v>8272</v>
      </c>
      <c r="B8285" s="90">
        <v>9.0749919147433822</v>
      </c>
    </row>
    <row r="8286" spans="1:2">
      <c r="A8286" s="32">
        <v>8273</v>
      </c>
      <c r="B8286" s="90">
        <v>7.5380412036730906</v>
      </c>
    </row>
    <row r="8287" spans="1:2">
      <c r="A8287" s="32">
        <v>8274</v>
      </c>
      <c r="B8287" s="90">
        <v>8.5319227616483246</v>
      </c>
    </row>
    <row r="8288" spans="1:2">
      <c r="A8288" s="32">
        <v>8275</v>
      </c>
      <c r="B8288" s="90">
        <v>7.1094793445389515</v>
      </c>
    </row>
    <row r="8289" spans="1:2">
      <c r="A8289" s="32">
        <v>8276</v>
      </c>
      <c r="B8289" s="90">
        <v>8.232935188256814</v>
      </c>
    </row>
    <row r="8290" spans="1:2">
      <c r="A8290" s="32">
        <v>8277</v>
      </c>
      <c r="B8290" s="90">
        <v>6.6986189868478672</v>
      </c>
    </row>
    <row r="8291" spans="1:2">
      <c r="A8291" s="32">
        <v>8278</v>
      </c>
      <c r="B8291" s="90">
        <v>7.8590420194322634</v>
      </c>
    </row>
    <row r="8292" spans="1:2">
      <c r="A8292" s="32">
        <v>8279</v>
      </c>
      <c r="B8292" s="90">
        <v>7.9753274907006046</v>
      </c>
    </row>
    <row r="8293" spans="1:2">
      <c r="A8293" s="32">
        <v>8280</v>
      </c>
      <c r="B8293" s="90">
        <v>8.1564219603290269</v>
      </c>
    </row>
    <row r="8294" spans="1:2">
      <c r="A8294" s="32">
        <v>8281</v>
      </c>
      <c r="B8294" s="90">
        <v>7.4708953225918844</v>
      </c>
    </row>
    <row r="8295" spans="1:2">
      <c r="A8295" s="32">
        <v>8282</v>
      </c>
      <c r="B8295" s="90">
        <v>7.1292561365645186</v>
      </c>
    </row>
    <row r="8296" spans="1:2">
      <c r="A8296" s="32">
        <v>8283</v>
      </c>
      <c r="B8296" s="90">
        <v>7.62377002726498</v>
      </c>
    </row>
    <row r="8297" spans="1:2">
      <c r="A8297" s="32">
        <v>8284</v>
      </c>
      <c r="B8297" s="90">
        <v>7.32983780581133</v>
      </c>
    </row>
    <row r="8298" spans="1:2">
      <c r="A8298" s="32">
        <v>8285</v>
      </c>
      <c r="B8298" s="90">
        <v>7.1638744930885316</v>
      </c>
    </row>
    <row r="8299" spans="1:2">
      <c r="A8299" s="32">
        <v>8286</v>
      </c>
      <c r="B8299" s="90">
        <v>9.0682684493256716</v>
      </c>
    </row>
    <row r="8300" spans="1:2">
      <c r="A8300" s="32">
        <v>8287</v>
      </c>
      <c r="B8300" s="90">
        <v>8.2093219687767203</v>
      </c>
    </row>
    <row r="8301" spans="1:2">
      <c r="A8301" s="32">
        <v>8288</v>
      </c>
      <c r="B8301" s="90">
        <v>8.4700371997090809</v>
      </c>
    </row>
    <row r="8302" spans="1:2">
      <c r="A8302" s="32">
        <v>8289</v>
      </c>
      <c r="B8302" s="90">
        <v>8.1129063286159884</v>
      </c>
    </row>
    <row r="8303" spans="1:2">
      <c r="A8303" s="32">
        <v>8290</v>
      </c>
      <c r="B8303" s="90">
        <v>8.5771433591583275</v>
      </c>
    </row>
    <row r="8304" spans="1:2">
      <c r="A8304" s="32">
        <v>8291</v>
      </c>
      <c r="B8304" s="90">
        <v>7.8468152885622251</v>
      </c>
    </row>
    <row r="8305" spans="1:2">
      <c r="A8305" s="32">
        <v>8292</v>
      </c>
      <c r="B8305" s="90">
        <v>8.5452020771931121</v>
      </c>
    </row>
    <row r="8306" spans="1:2">
      <c r="A8306" s="32">
        <v>8293</v>
      </c>
      <c r="B8306" s="90">
        <v>9.0944921040048623</v>
      </c>
    </row>
    <row r="8307" spans="1:2">
      <c r="A8307" s="32">
        <v>8294</v>
      </c>
      <c r="B8307" s="90">
        <v>7.850180362265446</v>
      </c>
    </row>
    <row r="8308" spans="1:2">
      <c r="A8308" s="32">
        <v>8295</v>
      </c>
      <c r="B8308" s="90">
        <v>8.7473904346330595</v>
      </c>
    </row>
    <row r="8309" spans="1:2">
      <c r="A8309" s="32">
        <v>8296</v>
      </c>
      <c r="B8309" s="90">
        <v>7.0892607662914466</v>
      </c>
    </row>
    <row r="8310" spans="1:2">
      <c r="A8310" s="32">
        <v>8297</v>
      </c>
      <c r="B8310" s="90">
        <v>7.295701776216271</v>
      </c>
    </row>
    <row r="8311" spans="1:2">
      <c r="A8311" s="32">
        <v>8298</v>
      </c>
      <c r="B8311" s="90">
        <v>7.9578923331534295</v>
      </c>
    </row>
    <row r="8312" spans="1:2">
      <c r="A8312" s="32">
        <v>8299</v>
      </c>
      <c r="B8312" s="90">
        <v>8.103161295563531</v>
      </c>
    </row>
    <row r="8313" spans="1:2">
      <c r="A8313" s="32">
        <v>8300</v>
      </c>
      <c r="B8313" s="90">
        <v>8.4515713278525535</v>
      </c>
    </row>
    <row r="8314" spans="1:2">
      <c r="A8314" s="32">
        <v>8301</v>
      </c>
      <c r="B8314" s="90">
        <v>8.6645037706998576</v>
      </c>
    </row>
    <row r="8315" spans="1:2">
      <c r="A8315" s="32">
        <v>8302</v>
      </c>
      <c r="B8315" s="90">
        <v>7.3167496613156784</v>
      </c>
    </row>
    <row r="8316" spans="1:2">
      <c r="A8316" s="32">
        <v>8303</v>
      </c>
      <c r="B8316" s="90">
        <v>8.103649968619683</v>
      </c>
    </row>
    <row r="8317" spans="1:2">
      <c r="A8317" s="32">
        <v>8304</v>
      </c>
      <c r="B8317" s="90">
        <v>8.7293741989699374</v>
      </c>
    </row>
    <row r="8318" spans="1:2">
      <c r="A8318" s="32">
        <v>8305</v>
      </c>
      <c r="B8318" s="90">
        <v>7.2419577378125632</v>
      </c>
    </row>
    <row r="8319" spans="1:2">
      <c r="A8319" s="32">
        <v>8306</v>
      </c>
      <c r="B8319" s="90">
        <v>8.4988207763106818</v>
      </c>
    </row>
    <row r="8320" spans="1:2">
      <c r="A8320" s="32">
        <v>8307</v>
      </c>
      <c r="B8320" s="90">
        <v>7.042041654063472</v>
      </c>
    </row>
    <row r="8321" spans="1:2">
      <c r="A8321" s="32">
        <v>8308</v>
      </c>
      <c r="B8321" s="90">
        <v>8.2647367264852196</v>
      </c>
    </row>
    <row r="8322" spans="1:2">
      <c r="A8322" s="32">
        <v>8309</v>
      </c>
      <c r="B8322" s="90">
        <v>8.5541012041166304</v>
      </c>
    </row>
    <row r="8323" spans="1:2">
      <c r="A8323" s="32">
        <v>8310</v>
      </c>
      <c r="B8323" s="90">
        <v>8.0284325636390044</v>
      </c>
    </row>
    <row r="8324" spans="1:2">
      <c r="A8324" s="32">
        <v>8311</v>
      </c>
      <c r="B8324" s="90">
        <v>8.2986549718467373</v>
      </c>
    </row>
    <row r="8325" spans="1:2">
      <c r="A8325" s="32">
        <v>8312</v>
      </c>
      <c r="B8325" s="90">
        <v>8.1844704306957059</v>
      </c>
    </row>
    <row r="8326" spans="1:2">
      <c r="A8326" s="32">
        <v>8313</v>
      </c>
      <c r="B8326" s="90">
        <v>7.7917619843437507</v>
      </c>
    </row>
    <row r="8327" spans="1:2">
      <c r="A8327" s="32">
        <v>8314</v>
      </c>
      <c r="B8327" s="90">
        <v>8.4567428410546253</v>
      </c>
    </row>
    <row r="8328" spans="1:2">
      <c r="A8328" s="32">
        <v>8315</v>
      </c>
      <c r="B8328" s="90">
        <v>8.1452734073360773</v>
      </c>
    </row>
    <row r="8329" spans="1:2">
      <c r="A8329" s="32">
        <v>8316</v>
      </c>
      <c r="B8329" s="90">
        <v>7.4070313184671033</v>
      </c>
    </row>
    <row r="8330" spans="1:2">
      <c r="A8330" s="32">
        <v>8317</v>
      </c>
      <c r="B8330" s="90">
        <v>8.792761382050676</v>
      </c>
    </row>
    <row r="8331" spans="1:2">
      <c r="A8331" s="32">
        <v>8318</v>
      </c>
      <c r="B8331" s="90">
        <v>8.4648353124315374</v>
      </c>
    </row>
    <row r="8332" spans="1:2">
      <c r="A8332" s="32">
        <v>8319</v>
      </c>
      <c r="B8332" s="90">
        <v>8.2037675879214813</v>
      </c>
    </row>
    <row r="8333" spans="1:2">
      <c r="A8333" s="32">
        <v>8320</v>
      </c>
      <c r="B8333" s="90">
        <v>7.8798704894116494</v>
      </c>
    </row>
    <row r="8334" spans="1:2">
      <c r="A8334" s="32">
        <v>8321</v>
      </c>
      <c r="B8334" s="90">
        <v>8.8553506538666955</v>
      </c>
    </row>
    <row r="8335" spans="1:2">
      <c r="A8335" s="32">
        <v>8322</v>
      </c>
      <c r="B8335" s="90">
        <v>7.7635131654090559</v>
      </c>
    </row>
    <row r="8336" spans="1:2">
      <c r="A8336" s="32">
        <v>8323</v>
      </c>
      <c r="B8336" s="90">
        <v>7.6077064293397338</v>
      </c>
    </row>
    <row r="8337" spans="1:2">
      <c r="A8337" s="32">
        <v>8324</v>
      </c>
      <c r="B8337" s="90">
        <v>8.7785863040731513</v>
      </c>
    </row>
    <row r="8338" spans="1:2">
      <c r="A8338" s="32">
        <v>8325</v>
      </c>
      <c r="B8338" s="90">
        <v>7.8854903948251582</v>
      </c>
    </row>
    <row r="8339" spans="1:2">
      <c r="A8339" s="32">
        <v>8326</v>
      </c>
      <c r="B8339" s="90">
        <v>7.3360296298287739</v>
      </c>
    </row>
    <row r="8340" spans="1:2">
      <c r="A8340" s="32">
        <v>8327</v>
      </c>
      <c r="B8340" s="90">
        <v>9.117533611771762</v>
      </c>
    </row>
    <row r="8341" spans="1:2">
      <c r="A8341" s="32">
        <v>8328</v>
      </c>
      <c r="B8341" s="90">
        <v>7.422032403033346</v>
      </c>
    </row>
    <row r="8342" spans="1:2">
      <c r="A8342" s="32">
        <v>8329</v>
      </c>
      <c r="B8342" s="90">
        <v>7.0689478125430547</v>
      </c>
    </row>
    <row r="8343" spans="1:2">
      <c r="A8343" s="32">
        <v>8330</v>
      </c>
      <c r="B8343" s="90">
        <v>7.9111563211001865</v>
      </c>
    </row>
    <row r="8344" spans="1:2">
      <c r="A8344" s="32">
        <v>8331</v>
      </c>
      <c r="B8344" s="90">
        <v>7.9951110194698263</v>
      </c>
    </row>
    <row r="8345" spans="1:2">
      <c r="A8345" s="32">
        <v>8332</v>
      </c>
      <c r="B8345" s="90">
        <v>7.3703196716944213</v>
      </c>
    </row>
    <row r="8346" spans="1:2">
      <c r="A8346" s="32">
        <v>8333</v>
      </c>
      <c r="B8346" s="90">
        <v>8.1756363078122742</v>
      </c>
    </row>
    <row r="8347" spans="1:2">
      <c r="A8347" s="32">
        <v>8334</v>
      </c>
      <c r="B8347" s="90">
        <v>8.6633921356995334</v>
      </c>
    </row>
    <row r="8348" spans="1:2">
      <c r="A8348" s="32">
        <v>8335</v>
      </c>
      <c r="B8348" s="90">
        <v>8.1517171028276501</v>
      </c>
    </row>
    <row r="8349" spans="1:2">
      <c r="A8349" s="32">
        <v>8336</v>
      </c>
      <c r="B8349" s="90">
        <v>8.7580188193751258</v>
      </c>
    </row>
    <row r="8350" spans="1:2">
      <c r="A8350" s="32">
        <v>8337</v>
      </c>
      <c r="B8350" s="90">
        <v>7.3854443699272636</v>
      </c>
    </row>
    <row r="8351" spans="1:2">
      <c r="A8351" s="32">
        <v>8338</v>
      </c>
      <c r="B8351" s="90">
        <v>9.1893865687860874</v>
      </c>
    </row>
    <row r="8352" spans="1:2">
      <c r="A8352" s="32">
        <v>8339</v>
      </c>
      <c r="B8352" s="90">
        <v>8.3840256385655625</v>
      </c>
    </row>
    <row r="8353" spans="1:2">
      <c r="A8353" s="32">
        <v>8340</v>
      </c>
      <c r="B8353" s="90">
        <v>7.61643079138336</v>
      </c>
    </row>
    <row r="8354" spans="1:2">
      <c r="A8354" s="32">
        <v>8341</v>
      </c>
      <c r="B8354" s="90">
        <v>7.0106012582822457</v>
      </c>
    </row>
    <row r="8355" spans="1:2">
      <c r="A8355" s="32">
        <v>8342</v>
      </c>
      <c r="B8355" s="90">
        <v>8.5106642492693894</v>
      </c>
    </row>
    <row r="8356" spans="1:2">
      <c r="A8356" s="32">
        <v>8343</v>
      </c>
      <c r="B8356" s="90">
        <v>8.2237204627001894</v>
      </c>
    </row>
    <row r="8357" spans="1:2">
      <c r="A8357" s="32">
        <v>8344</v>
      </c>
      <c r="B8357" s="90">
        <v>7.3270818518623102</v>
      </c>
    </row>
    <row r="8358" spans="1:2">
      <c r="A8358" s="32">
        <v>8345</v>
      </c>
      <c r="B8358" s="90">
        <v>6.9162194040871929</v>
      </c>
    </row>
    <row r="8359" spans="1:2">
      <c r="A8359" s="32">
        <v>8346</v>
      </c>
      <c r="B8359" s="90">
        <v>7.5305805147906426</v>
      </c>
    </row>
    <row r="8360" spans="1:2">
      <c r="A8360" s="32">
        <v>8347</v>
      </c>
      <c r="B8360" s="90">
        <v>8.4403189944637464</v>
      </c>
    </row>
    <row r="8361" spans="1:2">
      <c r="A8361" s="32">
        <v>8348</v>
      </c>
      <c r="B8361" s="90">
        <v>7.1354850738811857</v>
      </c>
    </row>
    <row r="8362" spans="1:2">
      <c r="A8362" s="32">
        <v>8349</v>
      </c>
      <c r="B8362" s="90">
        <v>8.2516987545756475</v>
      </c>
    </row>
    <row r="8363" spans="1:2">
      <c r="A8363" s="32">
        <v>8350</v>
      </c>
      <c r="B8363" s="90">
        <v>9.0958408365894172</v>
      </c>
    </row>
    <row r="8364" spans="1:2">
      <c r="A8364" s="32">
        <v>8351</v>
      </c>
      <c r="B8364" s="90">
        <v>8.3248954439879359</v>
      </c>
    </row>
    <row r="8365" spans="1:2">
      <c r="A8365" s="32">
        <v>8352</v>
      </c>
      <c r="B8365" s="90">
        <v>8.6300239624926274</v>
      </c>
    </row>
    <row r="8366" spans="1:2">
      <c r="A8366" s="32">
        <v>8353</v>
      </c>
      <c r="B8366" s="90">
        <v>8.6868216937656726</v>
      </c>
    </row>
    <row r="8367" spans="1:2">
      <c r="A8367" s="32">
        <v>8354</v>
      </c>
      <c r="B8367" s="90">
        <v>8.7420142717554636</v>
      </c>
    </row>
    <row r="8368" spans="1:2">
      <c r="A8368" s="32">
        <v>8355</v>
      </c>
      <c r="B8368" s="90">
        <v>8.8889164159949168</v>
      </c>
    </row>
    <row r="8369" spans="1:2">
      <c r="A8369" s="32">
        <v>8356</v>
      </c>
      <c r="B8369" s="90">
        <v>8.3755922878347793</v>
      </c>
    </row>
    <row r="8370" spans="1:2">
      <c r="A8370" s="32">
        <v>8357</v>
      </c>
      <c r="B8370" s="90">
        <v>7.6095048932339022</v>
      </c>
    </row>
    <row r="8371" spans="1:2">
      <c r="A8371" s="32">
        <v>8358</v>
      </c>
      <c r="B8371" s="90">
        <v>8.1610769750885126</v>
      </c>
    </row>
    <row r="8372" spans="1:2">
      <c r="A8372" s="32">
        <v>8359</v>
      </c>
      <c r="B8372" s="90">
        <v>7.1667835537723947</v>
      </c>
    </row>
    <row r="8373" spans="1:2">
      <c r="A8373" s="32">
        <v>8360</v>
      </c>
      <c r="B8373" s="90">
        <v>6.9140101383337891</v>
      </c>
    </row>
    <row r="8374" spans="1:2">
      <c r="A8374" s="32">
        <v>8361</v>
      </c>
      <c r="B8374" s="90">
        <v>8.6855593285425066</v>
      </c>
    </row>
    <row r="8375" spans="1:2">
      <c r="A8375" s="32">
        <v>8362</v>
      </c>
      <c r="B8375" s="90">
        <v>7.3265454544461299</v>
      </c>
    </row>
    <row r="8376" spans="1:2">
      <c r="A8376" s="32">
        <v>8363</v>
      </c>
      <c r="B8376" s="90">
        <v>7.9568557621161116</v>
      </c>
    </row>
    <row r="8377" spans="1:2">
      <c r="A8377" s="32">
        <v>8364</v>
      </c>
      <c r="B8377" s="90">
        <v>7.8533454877283937</v>
      </c>
    </row>
    <row r="8378" spans="1:2">
      <c r="A8378" s="32">
        <v>8365</v>
      </c>
      <c r="B8378" s="90">
        <v>10.124522466479725</v>
      </c>
    </row>
    <row r="8379" spans="1:2">
      <c r="A8379" s="32">
        <v>8366</v>
      </c>
      <c r="B8379" s="90">
        <v>7.2579702226760991</v>
      </c>
    </row>
    <row r="8380" spans="1:2">
      <c r="A8380" s="32">
        <v>8367</v>
      </c>
      <c r="B8380" s="90">
        <v>7.9920369785619405</v>
      </c>
    </row>
    <row r="8381" spans="1:2">
      <c r="A8381" s="32">
        <v>8368</v>
      </c>
      <c r="B8381" s="90">
        <v>8.9504969067191418</v>
      </c>
    </row>
    <row r="8382" spans="1:2">
      <c r="A8382" s="32">
        <v>8369</v>
      </c>
      <c r="B8382" s="90">
        <v>8.6491812676353756</v>
      </c>
    </row>
    <row r="8383" spans="1:2">
      <c r="A8383" s="32">
        <v>8370</v>
      </c>
      <c r="B8383" s="90">
        <v>8.6945082816184787</v>
      </c>
    </row>
    <row r="8384" spans="1:2">
      <c r="A8384" s="32">
        <v>8371</v>
      </c>
      <c r="B8384" s="90">
        <v>9.3405114102368945</v>
      </c>
    </row>
    <row r="8385" spans="1:2">
      <c r="A8385" s="32">
        <v>8372</v>
      </c>
      <c r="B8385" s="90">
        <v>8.4909246473843911</v>
      </c>
    </row>
    <row r="8386" spans="1:2">
      <c r="A8386" s="32">
        <v>8373</v>
      </c>
      <c r="B8386" s="90">
        <v>9.7479033842535809</v>
      </c>
    </row>
    <row r="8387" spans="1:2">
      <c r="A8387" s="32">
        <v>8374</v>
      </c>
      <c r="B8387" s="90">
        <v>8.320677535760078</v>
      </c>
    </row>
    <row r="8388" spans="1:2">
      <c r="A8388" s="32">
        <v>8375</v>
      </c>
      <c r="B8388" s="90">
        <v>8.3165939059883129</v>
      </c>
    </row>
    <row r="8389" spans="1:2">
      <c r="A8389" s="32">
        <v>8376</v>
      </c>
      <c r="B8389" s="90">
        <v>7.4432028224150129</v>
      </c>
    </row>
    <row r="8390" spans="1:2">
      <c r="A8390" s="32">
        <v>8377</v>
      </c>
      <c r="B8390" s="90">
        <v>8.360020564588817</v>
      </c>
    </row>
    <row r="8391" spans="1:2">
      <c r="A8391" s="32">
        <v>8378</v>
      </c>
      <c r="B8391" s="90">
        <v>8.4530823210275319</v>
      </c>
    </row>
    <row r="8392" spans="1:2">
      <c r="A8392" s="32">
        <v>8379</v>
      </c>
      <c r="B8392" s="90">
        <v>8.0759110892163992</v>
      </c>
    </row>
    <row r="8393" spans="1:2">
      <c r="A8393" s="32">
        <v>8380</v>
      </c>
      <c r="B8393" s="90">
        <v>7.4322201108909054</v>
      </c>
    </row>
    <row r="8394" spans="1:2">
      <c r="A8394" s="32">
        <v>8381</v>
      </c>
      <c r="B8394" s="90">
        <v>8.9014676985403955</v>
      </c>
    </row>
    <row r="8395" spans="1:2">
      <c r="A8395" s="32">
        <v>8382</v>
      </c>
      <c r="B8395" s="90">
        <v>8.0901483447392142</v>
      </c>
    </row>
    <row r="8396" spans="1:2">
      <c r="A8396" s="32">
        <v>8383</v>
      </c>
      <c r="B8396" s="90">
        <v>9.1522837790624862</v>
      </c>
    </row>
    <row r="8397" spans="1:2">
      <c r="A8397" s="32">
        <v>8384</v>
      </c>
      <c r="B8397" s="90">
        <v>6.7145962569859368</v>
      </c>
    </row>
    <row r="8398" spans="1:2">
      <c r="A8398" s="32">
        <v>8385</v>
      </c>
      <c r="B8398" s="90">
        <v>8.7007512580646171</v>
      </c>
    </row>
    <row r="8399" spans="1:2">
      <c r="A8399" s="32">
        <v>8386</v>
      </c>
      <c r="B8399" s="90">
        <v>8.4914853591104045</v>
      </c>
    </row>
    <row r="8400" spans="1:2">
      <c r="A8400" s="32">
        <v>8387</v>
      </c>
      <c r="B8400" s="90">
        <v>7.6795858316031085</v>
      </c>
    </row>
    <row r="8401" spans="1:2">
      <c r="A8401" s="32">
        <v>8388</v>
      </c>
      <c r="B8401" s="90">
        <v>7.6308041552979171</v>
      </c>
    </row>
    <row r="8402" spans="1:2">
      <c r="A8402" s="32">
        <v>8389</v>
      </c>
      <c r="B8402" s="90">
        <v>7.5204918115032928</v>
      </c>
    </row>
    <row r="8403" spans="1:2">
      <c r="A8403" s="32">
        <v>8390</v>
      </c>
      <c r="B8403" s="90">
        <v>8.0891388638669621</v>
      </c>
    </row>
    <row r="8404" spans="1:2">
      <c r="A8404" s="32">
        <v>8391</v>
      </c>
      <c r="B8404" s="90">
        <v>8.8501190585297689</v>
      </c>
    </row>
    <row r="8405" spans="1:2">
      <c r="A8405" s="32">
        <v>8392</v>
      </c>
      <c r="B8405" s="90">
        <v>7.6906175652658213</v>
      </c>
    </row>
    <row r="8406" spans="1:2">
      <c r="A8406" s="32">
        <v>8393</v>
      </c>
      <c r="B8406" s="90">
        <v>8.1029879806842189</v>
      </c>
    </row>
    <row r="8407" spans="1:2">
      <c r="A8407" s="32">
        <v>8394</v>
      </c>
      <c r="B8407" s="90">
        <v>9.3292967688870068</v>
      </c>
    </row>
    <row r="8408" spans="1:2">
      <c r="A8408" s="32">
        <v>8395</v>
      </c>
      <c r="B8408" s="90">
        <v>8.7060676985603536</v>
      </c>
    </row>
    <row r="8409" spans="1:2">
      <c r="A8409" s="32">
        <v>8396</v>
      </c>
      <c r="B8409" s="90">
        <v>7.7927464582677519</v>
      </c>
    </row>
    <row r="8410" spans="1:2">
      <c r="A8410" s="32">
        <v>8397</v>
      </c>
      <c r="B8410" s="90">
        <v>7.1179921368433021</v>
      </c>
    </row>
    <row r="8411" spans="1:2">
      <c r="A8411" s="32">
        <v>8398</v>
      </c>
      <c r="B8411" s="90">
        <v>7.9815357614010702</v>
      </c>
    </row>
    <row r="8412" spans="1:2">
      <c r="A8412" s="32">
        <v>8399</v>
      </c>
      <c r="B8412" s="90">
        <v>7.4190495122835562</v>
      </c>
    </row>
    <row r="8413" spans="1:2">
      <c r="A8413" s="32">
        <v>8400</v>
      </c>
      <c r="B8413" s="90">
        <v>8.3767898129726746</v>
      </c>
    </row>
    <row r="8414" spans="1:2">
      <c r="A8414" s="32">
        <v>8401</v>
      </c>
      <c r="B8414" s="90">
        <v>8.5120739939325993</v>
      </c>
    </row>
    <row r="8415" spans="1:2">
      <c r="A8415" s="32">
        <v>8402</v>
      </c>
      <c r="B8415" s="90">
        <v>8.1795504479025318</v>
      </c>
    </row>
    <row r="8416" spans="1:2">
      <c r="A8416" s="32">
        <v>8403</v>
      </c>
      <c r="B8416" s="90">
        <v>7.5950148864839973</v>
      </c>
    </row>
    <row r="8417" spans="1:2">
      <c r="A8417" s="32">
        <v>8404</v>
      </c>
      <c r="B8417" s="90">
        <v>7.3822115459625595</v>
      </c>
    </row>
    <row r="8418" spans="1:2">
      <c r="A8418" s="32">
        <v>8405</v>
      </c>
      <c r="B8418" s="90">
        <v>7.6332546191944175</v>
      </c>
    </row>
    <row r="8419" spans="1:2">
      <c r="A8419" s="32">
        <v>8406</v>
      </c>
      <c r="B8419" s="90">
        <v>7.6187248283183271</v>
      </c>
    </row>
    <row r="8420" spans="1:2">
      <c r="A8420" s="32">
        <v>8407</v>
      </c>
      <c r="B8420" s="90">
        <v>8.3184887600238007</v>
      </c>
    </row>
    <row r="8421" spans="1:2">
      <c r="A8421" s="32">
        <v>8408</v>
      </c>
      <c r="B8421" s="90">
        <v>8.4095375780078037</v>
      </c>
    </row>
    <row r="8422" spans="1:2">
      <c r="A8422" s="32">
        <v>8409</v>
      </c>
      <c r="B8422" s="90">
        <v>6.7714165830103568</v>
      </c>
    </row>
    <row r="8423" spans="1:2">
      <c r="A8423" s="32">
        <v>8410</v>
      </c>
      <c r="B8423" s="90">
        <v>7.8203789747802084</v>
      </c>
    </row>
    <row r="8424" spans="1:2">
      <c r="A8424" s="32">
        <v>8411</v>
      </c>
      <c r="B8424" s="90">
        <v>7.9881681808736094</v>
      </c>
    </row>
    <row r="8425" spans="1:2">
      <c r="A8425" s="32">
        <v>8412</v>
      </c>
      <c r="B8425" s="90">
        <v>7.3246626442621201</v>
      </c>
    </row>
    <row r="8426" spans="1:2">
      <c r="A8426" s="32">
        <v>8413</v>
      </c>
      <c r="B8426" s="90">
        <v>7.4885152128438701</v>
      </c>
    </row>
    <row r="8427" spans="1:2">
      <c r="A8427" s="32">
        <v>8414</v>
      </c>
      <c r="B8427" s="90">
        <v>6.895457912444078</v>
      </c>
    </row>
    <row r="8428" spans="1:2">
      <c r="A8428" s="32">
        <v>8415</v>
      </c>
      <c r="B8428" s="90">
        <v>8.0430330569252906</v>
      </c>
    </row>
    <row r="8429" spans="1:2">
      <c r="A8429" s="32">
        <v>8416</v>
      </c>
      <c r="B8429" s="90">
        <v>8.0264100671953091</v>
      </c>
    </row>
    <row r="8430" spans="1:2">
      <c r="A8430" s="32">
        <v>8417</v>
      </c>
      <c r="B8430" s="90">
        <v>7.9466127200046088</v>
      </c>
    </row>
    <row r="8431" spans="1:2">
      <c r="A8431" s="32">
        <v>8418</v>
      </c>
      <c r="B8431" s="90">
        <v>7.8783434096471039</v>
      </c>
    </row>
    <row r="8432" spans="1:2">
      <c r="A8432" s="32">
        <v>8419</v>
      </c>
      <c r="B8432" s="90">
        <v>7.371297431805333</v>
      </c>
    </row>
    <row r="8433" spans="1:2">
      <c r="A8433" s="32">
        <v>8420</v>
      </c>
      <c r="B8433" s="90">
        <v>7.7510339236864096</v>
      </c>
    </row>
    <row r="8434" spans="1:2">
      <c r="A8434" s="32">
        <v>8421</v>
      </c>
      <c r="B8434" s="90">
        <v>7.4224633201663144</v>
      </c>
    </row>
    <row r="8435" spans="1:2">
      <c r="A8435" s="32">
        <v>8422</v>
      </c>
      <c r="B8435" s="90">
        <v>7.857627059287835</v>
      </c>
    </row>
    <row r="8436" spans="1:2">
      <c r="A8436" s="32">
        <v>8423</v>
      </c>
      <c r="B8436" s="90">
        <v>7.590683037765019</v>
      </c>
    </row>
    <row r="8437" spans="1:2">
      <c r="A8437" s="32">
        <v>8424</v>
      </c>
      <c r="B8437" s="90">
        <v>6.8404030033813035</v>
      </c>
    </row>
    <row r="8438" spans="1:2">
      <c r="A8438" s="32">
        <v>8425</v>
      </c>
      <c r="B8438" s="90">
        <v>8.639776188846799</v>
      </c>
    </row>
    <row r="8439" spans="1:2">
      <c r="A8439" s="32">
        <v>8426</v>
      </c>
      <c r="B8439" s="90">
        <v>8.6865512453165401</v>
      </c>
    </row>
    <row r="8440" spans="1:2">
      <c r="A8440" s="32">
        <v>8427</v>
      </c>
      <c r="B8440" s="90">
        <v>8.4286893696717069</v>
      </c>
    </row>
    <row r="8441" spans="1:2">
      <c r="A8441" s="32">
        <v>8428</v>
      </c>
      <c r="B8441" s="90">
        <v>8.6145943740922046</v>
      </c>
    </row>
    <row r="8442" spans="1:2">
      <c r="A8442" s="32">
        <v>8429</v>
      </c>
      <c r="B8442" s="90">
        <v>9.4242005751178866</v>
      </c>
    </row>
    <row r="8443" spans="1:2">
      <c r="A8443" s="32">
        <v>8430</v>
      </c>
      <c r="B8443" s="90">
        <v>8.7539096599941235</v>
      </c>
    </row>
    <row r="8444" spans="1:2">
      <c r="A8444" s="32">
        <v>8431</v>
      </c>
      <c r="B8444" s="90">
        <v>7.8512067078341321</v>
      </c>
    </row>
    <row r="8445" spans="1:2">
      <c r="A8445" s="32">
        <v>8432</v>
      </c>
      <c r="B8445" s="90">
        <v>9.0801726230625022</v>
      </c>
    </row>
    <row r="8446" spans="1:2">
      <c r="A8446" s="32">
        <v>8433</v>
      </c>
      <c r="B8446" s="90">
        <v>7.611548845437194</v>
      </c>
    </row>
    <row r="8447" spans="1:2">
      <c r="A8447" s="32">
        <v>8434</v>
      </c>
      <c r="B8447" s="90">
        <v>7.4660604694865631</v>
      </c>
    </row>
    <row r="8448" spans="1:2">
      <c r="A8448" s="32">
        <v>8435</v>
      </c>
      <c r="B8448" s="90">
        <v>7.0635421629638051</v>
      </c>
    </row>
    <row r="8449" spans="1:2">
      <c r="A8449" s="32">
        <v>8436</v>
      </c>
      <c r="B8449" s="90">
        <v>8.4339810131049209</v>
      </c>
    </row>
    <row r="8450" spans="1:2">
      <c r="A8450" s="32">
        <v>8437</v>
      </c>
      <c r="B8450" s="90">
        <v>8.3686613882469256</v>
      </c>
    </row>
    <row r="8451" spans="1:2">
      <c r="A8451" s="32">
        <v>8438</v>
      </c>
      <c r="B8451" s="90">
        <v>8.0521549136143609</v>
      </c>
    </row>
    <row r="8452" spans="1:2">
      <c r="A8452" s="32">
        <v>8439</v>
      </c>
      <c r="B8452" s="90">
        <v>7.6052673197555425</v>
      </c>
    </row>
    <row r="8453" spans="1:2">
      <c r="A8453" s="32">
        <v>8440</v>
      </c>
      <c r="B8453" s="90">
        <v>8.5737303164963254</v>
      </c>
    </row>
    <row r="8454" spans="1:2">
      <c r="A8454" s="32">
        <v>8441</v>
      </c>
      <c r="B8454" s="90">
        <v>8.7812452042303413</v>
      </c>
    </row>
    <row r="8455" spans="1:2">
      <c r="A8455" s="32">
        <v>8442</v>
      </c>
      <c r="B8455" s="90">
        <v>9.1123257979072037</v>
      </c>
    </row>
    <row r="8456" spans="1:2">
      <c r="A8456" s="32">
        <v>8443</v>
      </c>
      <c r="B8456" s="90">
        <v>8.6803220474228286</v>
      </c>
    </row>
    <row r="8457" spans="1:2">
      <c r="A8457" s="32">
        <v>8444</v>
      </c>
      <c r="B8457" s="90">
        <v>8.6365183400815173</v>
      </c>
    </row>
    <row r="8458" spans="1:2">
      <c r="A8458" s="32">
        <v>8445</v>
      </c>
      <c r="B8458" s="90">
        <v>7.5681631627958783</v>
      </c>
    </row>
    <row r="8459" spans="1:2">
      <c r="A8459" s="32">
        <v>8446</v>
      </c>
      <c r="B8459" s="90">
        <v>8.9133032585962795</v>
      </c>
    </row>
    <row r="8460" spans="1:2">
      <c r="A8460" s="32">
        <v>8447</v>
      </c>
      <c r="B8460" s="90">
        <v>9.0927415340560618</v>
      </c>
    </row>
    <row r="8461" spans="1:2">
      <c r="A8461" s="32">
        <v>8448</v>
      </c>
      <c r="B8461" s="90">
        <v>8.345714404310943</v>
      </c>
    </row>
    <row r="8462" spans="1:2">
      <c r="A8462" s="32">
        <v>8449</v>
      </c>
      <c r="B8462" s="90">
        <v>8.6550082610314139</v>
      </c>
    </row>
    <row r="8463" spans="1:2">
      <c r="A8463" s="32">
        <v>8450</v>
      </c>
      <c r="B8463" s="90">
        <v>7.6718845652890995</v>
      </c>
    </row>
    <row r="8464" spans="1:2">
      <c r="A8464" s="32">
        <v>8451</v>
      </c>
      <c r="B8464" s="90">
        <v>8.4016873801084024</v>
      </c>
    </row>
    <row r="8465" spans="1:2">
      <c r="A8465" s="32">
        <v>8452</v>
      </c>
      <c r="B8465" s="90">
        <v>7.2139787162395779</v>
      </c>
    </row>
    <row r="8466" spans="1:2">
      <c r="A8466" s="32">
        <v>8453</v>
      </c>
      <c r="B8466" s="90">
        <v>8.7376697647112795</v>
      </c>
    </row>
    <row r="8467" spans="1:2">
      <c r="A8467" s="32">
        <v>8454</v>
      </c>
      <c r="B8467" s="90">
        <v>9.7539650386969594</v>
      </c>
    </row>
    <row r="8468" spans="1:2">
      <c r="A8468" s="32">
        <v>8455</v>
      </c>
      <c r="B8468" s="90">
        <v>9.1851373233522899</v>
      </c>
    </row>
    <row r="8469" spans="1:2">
      <c r="A8469" s="32">
        <v>8456</v>
      </c>
      <c r="B8469" s="90">
        <v>7.9103364519803305</v>
      </c>
    </row>
    <row r="8470" spans="1:2">
      <c r="A8470" s="32">
        <v>8457</v>
      </c>
      <c r="B8470" s="90">
        <v>8.5034631373994678</v>
      </c>
    </row>
    <row r="8471" spans="1:2">
      <c r="A8471" s="32">
        <v>8458</v>
      </c>
      <c r="B8471" s="90">
        <v>7.5836456561561363</v>
      </c>
    </row>
    <row r="8472" spans="1:2">
      <c r="A8472" s="32">
        <v>8459</v>
      </c>
      <c r="B8472" s="90">
        <v>7.618919832249075</v>
      </c>
    </row>
    <row r="8473" spans="1:2">
      <c r="A8473" s="32">
        <v>8460</v>
      </c>
      <c r="B8473" s="90">
        <v>7.9825801607000226</v>
      </c>
    </row>
    <row r="8474" spans="1:2">
      <c r="A8474" s="32">
        <v>8461</v>
      </c>
      <c r="B8474" s="90">
        <v>6.9118750671198859</v>
      </c>
    </row>
    <row r="8475" spans="1:2">
      <c r="A8475" s="32">
        <v>8462</v>
      </c>
      <c r="B8475" s="90">
        <v>7.5147828248235582</v>
      </c>
    </row>
    <row r="8476" spans="1:2">
      <c r="A8476" s="32">
        <v>8463</v>
      </c>
      <c r="B8476" s="90">
        <v>7.954927383900765</v>
      </c>
    </row>
    <row r="8477" spans="1:2">
      <c r="A8477" s="32">
        <v>8464</v>
      </c>
      <c r="B8477" s="90">
        <v>7.1482743193956129</v>
      </c>
    </row>
    <row r="8478" spans="1:2">
      <c r="A8478" s="32">
        <v>8465</v>
      </c>
      <c r="B8478" s="90">
        <v>8.1935078989366623</v>
      </c>
    </row>
    <row r="8479" spans="1:2">
      <c r="A8479" s="32">
        <v>8466</v>
      </c>
      <c r="B8479" s="90">
        <v>8.5236215912151962</v>
      </c>
    </row>
    <row r="8480" spans="1:2">
      <c r="A8480" s="32">
        <v>8467</v>
      </c>
      <c r="B8480" s="90">
        <v>7.559701798685392</v>
      </c>
    </row>
    <row r="8481" spans="1:2">
      <c r="A8481" s="32">
        <v>8468</v>
      </c>
      <c r="B8481" s="90">
        <v>7.4819321763200008</v>
      </c>
    </row>
    <row r="8482" spans="1:2">
      <c r="A8482" s="32">
        <v>8469</v>
      </c>
      <c r="B8482" s="90">
        <v>9.1192551627502354</v>
      </c>
    </row>
    <row r="8483" spans="1:2">
      <c r="A8483" s="32">
        <v>8470</v>
      </c>
      <c r="B8483" s="90">
        <v>7.4415270588313449</v>
      </c>
    </row>
    <row r="8484" spans="1:2">
      <c r="A8484" s="32">
        <v>8471</v>
      </c>
      <c r="B8484" s="90">
        <v>8.0340585696036317</v>
      </c>
    </row>
    <row r="8485" spans="1:2">
      <c r="A8485" s="32">
        <v>8472</v>
      </c>
      <c r="B8485" s="90">
        <v>7.3562788710581088</v>
      </c>
    </row>
    <row r="8486" spans="1:2">
      <c r="A8486" s="32">
        <v>8473</v>
      </c>
      <c r="B8486" s="90">
        <v>9.4414411569003445</v>
      </c>
    </row>
    <row r="8487" spans="1:2">
      <c r="A8487" s="32">
        <v>8474</v>
      </c>
      <c r="B8487" s="90">
        <v>8.1935765356339427</v>
      </c>
    </row>
    <row r="8488" spans="1:2">
      <c r="A8488" s="32">
        <v>8475</v>
      </c>
      <c r="B8488" s="90">
        <v>7.693216108083389</v>
      </c>
    </row>
    <row r="8489" spans="1:2">
      <c r="A8489" s="32">
        <v>8476</v>
      </c>
      <c r="B8489" s="90">
        <v>7.8897013745697961</v>
      </c>
    </row>
    <row r="8490" spans="1:2">
      <c r="A8490" s="32">
        <v>8477</v>
      </c>
      <c r="B8490" s="90">
        <v>7.3177054513117996</v>
      </c>
    </row>
    <row r="8491" spans="1:2">
      <c r="A8491" s="32">
        <v>8478</v>
      </c>
      <c r="B8491" s="90">
        <v>8.7743873178743463</v>
      </c>
    </row>
    <row r="8492" spans="1:2">
      <c r="A8492" s="32">
        <v>8479</v>
      </c>
      <c r="B8492" s="90">
        <v>8.4128392854709233</v>
      </c>
    </row>
    <row r="8493" spans="1:2">
      <c r="A8493" s="32">
        <v>8480</v>
      </c>
      <c r="B8493" s="90">
        <v>8.0359827819853038</v>
      </c>
    </row>
    <row r="8494" spans="1:2">
      <c r="A8494" s="32">
        <v>8481</v>
      </c>
      <c r="B8494" s="90">
        <v>8.5263334209004888</v>
      </c>
    </row>
    <row r="8495" spans="1:2">
      <c r="A8495" s="32">
        <v>8482</v>
      </c>
      <c r="B8495" s="90">
        <v>8.2743869872004634</v>
      </c>
    </row>
    <row r="8496" spans="1:2">
      <c r="A8496" s="32">
        <v>8483</v>
      </c>
      <c r="B8496" s="90">
        <v>7.5601890250169825</v>
      </c>
    </row>
    <row r="8497" spans="1:2">
      <c r="A8497" s="32">
        <v>8484</v>
      </c>
      <c r="B8497" s="90">
        <v>7.5089828923832425</v>
      </c>
    </row>
    <row r="8498" spans="1:2">
      <c r="A8498" s="32">
        <v>8485</v>
      </c>
      <c r="B8498" s="90">
        <v>9.7121611958429028</v>
      </c>
    </row>
    <row r="8499" spans="1:2">
      <c r="A8499" s="32">
        <v>8486</v>
      </c>
      <c r="B8499" s="90">
        <v>8.4821300882104023</v>
      </c>
    </row>
    <row r="8500" spans="1:2">
      <c r="A8500" s="32">
        <v>8487</v>
      </c>
      <c r="B8500" s="90">
        <v>7.4060496604580948</v>
      </c>
    </row>
    <row r="8501" spans="1:2">
      <c r="A8501" s="32">
        <v>8488</v>
      </c>
      <c r="B8501" s="90">
        <v>7.5247794538507105</v>
      </c>
    </row>
    <row r="8502" spans="1:2">
      <c r="A8502" s="32">
        <v>8489</v>
      </c>
      <c r="B8502" s="90">
        <v>9.8237120815032934</v>
      </c>
    </row>
    <row r="8503" spans="1:2">
      <c r="A8503" s="32">
        <v>8490</v>
      </c>
      <c r="B8503" s="90">
        <v>8.1891959201048987</v>
      </c>
    </row>
    <row r="8504" spans="1:2">
      <c r="A8504" s="32">
        <v>8491</v>
      </c>
      <c r="B8504" s="90">
        <v>8.4385381491090481</v>
      </c>
    </row>
    <row r="8505" spans="1:2">
      <c r="A8505" s="32">
        <v>8492</v>
      </c>
      <c r="B8505" s="90">
        <v>8.2096215080422699</v>
      </c>
    </row>
    <row r="8506" spans="1:2">
      <c r="A8506" s="32">
        <v>8493</v>
      </c>
      <c r="B8506" s="90">
        <v>8.1976132147821907</v>
      </c>
    </row>
    <row r="8507" spans="1:2">
      <c r="A8507" s="32">
        <v>8494</v>
      </c>
      <c r="B8507" s="90">
        <v>8.6151363223476807</v>
      </c>
    </row>
    <row r="8508" spans="1:2">
      <c r="A8508" s="32">
        <v>8495</v>
      </c>
      <c r="B8508" s="90">
        <v>7.5380127519992186</v>
      </c>
    </row>
    <row r="8509" spans="1:2">
      <c r="A8509" s="32">
        <v>8496</v>
      </c>
      <c r="B8509" s="90">
        <v>8.3830312187654119</v>
      </c>
    </row>
    <row r="8510" spans="1:2">
      <c r="A8510" s="32">
        <v>8497</v>
      </c>
      <c r="B8510" s="90">
        <v>7.6998383111795068</v>
      </c>
    </row>
    <row r="8511" spans="1:2">
      <c r="A8511" s="32">
        <v>8498</v>
      </c>
      <c r="B8511" s="90">
        <v>6.9809617090072331</v>
      </c>
    </row>
    <row r="8512" spans="1:2">
      <c r="A8512" s="32">
        <v>8499</v>
      </c>
      <c r="B8512" s="90">
        <v>7.679542972418183</v>
      </c>
    </row>
    <row r="8513" spans="1:2">
      <c r="A8513" s="32">
        <v>8500</v>
      </c>
      <c r="B8513" s="90">
        <v>7.9627418450852971</v>
      </c>
    </row>
    <row r="8514" spans="1:2">
      <c r="A8514" s="32">
        <v>8501</v>
      </c>
      <c r="B8514" s="90">
        <v>7.969126276218228</v>
      </c>
    </row>
    <row r="8515" spans="1:2">
      <c r="A8515" s="32">
        <v>8502</v>
      </c>
      <c r="B8515" s="90">
        <v>7.6273301751803206</v>
      </c>
    </row>
    <row r="8516" spans="1:2">
      <c r="A8516" s="32">
        <v>8503</v>
      </c>
      <c r="B8516" s="90">
        <v>7.7511233467800933</v>
      </c>
    </row>
    <row r="8517" spans="1:2">
      <c r="A8517" s="32">
        <v>8504</v>
      </c>
      <c r="B8517" s="90">
        <v>7.8037582901592817</v>
      </c>
    </row>
    <row r="8518" spans="1:2">
      <c r="A8518" s="32">
        <v>8505</v>
      </c>
      <c r="B8518" s="90">
        <v>8.7028562408253478</v>
      </c>
    </row>
    <row r="8519" spans="1:2">
      <c r="A8519" s="32">
        <v>8506</v>
      </c>
      <c r="B8519" s="90">
        <v>8.9389630152086923</v>
      </c>
    </row>
    <row r="8520" spans="1:2">
      <c r="A8520" s="32">
        <v>8507</v>
      </c>
      <c r="B8520" s="90">
        <v>6.9866860103362072</v>
      </c>
    </row>
    <row r="8521" spans="1:2">
      <c r="A8521" s="32">
        <v>8508</v>
      </c>
      <c r="B8521" s="90">
        <v>8.42809715606586</v>
      </c>
    </row>
    <row r="8522" spans="1:2">
      <c r="A8522" s="32">
        <v>8509</v>
      </c>
      <c r="B8522" s="90">
        <v>7.7832163813292334</v>
      </c>
    </row>
    <row r="8523" spans="1:2">
      <c r="A8523" s="32">
        <v>8510</v>
      </c>
      <c r="B8523" s="90">
        <v>8.007825428573522</v>
      </c>
    </row>
    <row r="8524" spans="1:2">
      <c r="A8524" s="32">
        <v>8511</v>
      </c>
      <c r="B8524" s="90">
        <v>8.5147664352681183</v>
      </c>
    </row>
    <row r="8525" spans="1:2">
      <c r="A8525" s="32">
        <v>8512</v>
      </c>
      <c r="B8525" s="90">
        <v>8.1557641844320408</v>
      </c>
    </row>
    <row r="8526" spans="1:2">
      <c r="A8526" s="32">
        <v>8513</v>
      </c>
      <c r="B8526" s="90">
        <v>7.8908731330025326</v>
      </c>
    </row>
    <row r="8527" spans="1:2">
      <c r="A8527" s="32">
        <v>8514</v>
      </c>
      <c r="B8527" s="90">
        <v>9.4568629573048693</v>
      </c>
    </row>
    <row r="8528" spans="1:2">
      <c r="A8528" s="32">
        <v>8515</v>
      </c>
      <c r="B8528" s="90">
        <v>8.4212624801498244</v>
      </c>
    </row>
    <row r="8529" spans="1:2">
      <c r="A8529" s="32">
        <v>8516</v>
      </c>
      <c r="B8529" s="90">
        <v>7.6624482739818154</v>
      </c>
    </row>
    <row r="8530" spans="1:2">
      <c r="A8530" s="32">
        <v>8517</v>
      </c>
      <c r="B8530" s="90">
        <v>9.0135955067269524</v>
      </c>
    </row>
    <row r="8531" spans="1:2">
      <c r="A8531" s="32">
        <v>8518</v>
      </c>
      <c r="B8531" s="90">
        <v>7.3318630907894855</v>
      </c>
    </row>
    <row r="8532" spans="1:2">
      <c r="A8532" s="32">
        <v>8519</v>
      </c>
      <c r="B8532" s="90">
        <v>8.3731395052425537</v>
      </c>
    </row>
    <row r="8533" spans="1:2">
      <c r="A8533" s="32">
        <v>8520</v>
      </c>
      <c r="B8533" s="90">
        <v>8.7491534571144758</v>
      </c>
    </row>
    <row r="8534" spans="1:2">
      <c r="A8534" s="32">
        <v>8521</v>
      </c>
      <c r="B8534" s="90">
        <v>7.8693382839179451</v>
      </c>
    </row>
    <row r="8535" spans="1:2">
      <c r="A8535" s="32">
        <v>8522</v>
      </c>
      <c r="B8535" s="90">
        <v>8.5073532150360442</v>
      </c>
    </row>
    <row r="8536" spans="1:2">
      <c r="A8536" s="32">
        <v>8523</v>
      </c>
      <c r="B8536" s="90">
        <v>8.0013877608509922</v>
      </c>
    </row>
    <row r="8537" spans="1:2">
      <c r="A8537" s="32">
        <v>8524</v>
      </c>
      <c r="B8537" s="90">
        <v>7.5714027342802579</v>
      </c>
    </row>
    <row r="8538" spans="1:2">
      <c r="A8538" s="32">
        <v>8525</v>
      </c>
      <c r="B8538" s="90">
        <v>7.3883814152272853</v>
      </c>
    </row>
    <row r="8539" spans="1:2">
      <c r="A8539" s="32">
        <v>8526</v>
      </c>
      <c r="B8539" s="90">
        <v>7.7640280289928256</v>
      </c>
    </row>
    <row r="8540" spans="1:2">
      <c r="A8540" s="32">
        <v>8527</v>
      </c>
      <c r="B8540" s="90">
        <v>7.8095380137795347</v>
      </c>
    </row>
    <row r="8541" spans="1:2">
      <c r="A8541" s="32">
        <v>8528</v>
      </c>
      <c r="B8541" s="90">
        <v>9.2393756053502827</v>
      </c>
    </row>
    <row r="8542" spans="1:2">
      <c r="A8542" s="32">
        <v>8529</v>
      </c>
      <c r="B8542" s="90">
        <v>8.6068042882082079</v>
      </c>
    </row>
    <row r="8543" spans="1:2">
      <c r="A8543" s="32">
        <v>8530</v>
      </c>
      <c r="B8543" s="90">
        <v>8.0420861624278928</v>
      </c>
    </row>
    <row r="8544" spans="1:2">
      <c r="A8544" s="32">
        <v>8531</v>
      </c>
      <c r="B8544" s="90">
        <v>8.6887787488247064</v>
      </c>
    </row>
    <row r="8545" spans="1:2">
      <c r="A8545" s="32">
        <v>8532</v>
      </c>
      <c r="B8545" s="90">
        <v>7.6367062925439564</v>
      </c>
    </row>
    <row r="8546" spans="1:2">
      <c r="A8546" s="32">
        <v>8533</v>
      </c>
      <c r="B8546" s="90">
        <v>7.6412843186130415</v>
      </c>
    </row>
    <row r="8547" spans="1:2">
      <c r="A8547" s="32">
        <v>8534</v>
      </c>
      <c r="B8547" s="90">
        <v>9.0468095078818109</v>
      </c>
    </row>
    <row r="8548" spans="1:2">
      <c r="A8548" s="32">
        <v>8535</v>
      </c>
      <c r="B8548" s="90">
        <v>8.2434386384688274</v>
      </c>
    </row>
    <row r="8549" spans="1:2">
      <c r="A8549" s="32">
        <v>8536</v>
      </c>
      <c r="B8549" s="90">
        <v>7.5066281894895486</v>
      </c>
    </row>
    <row r="8550" spans="1:2">
      <c r="A8550" s="32">
        <v>8537</v>
      </c>
      <c r="B8550" s="90">
        <v>7.6437489513278729</v>
      </c>
    </row>
    <row r="8551" spans="1:2">
      <c r="A8551" s="32">
        <v>8538</v>
      </c>
      <c r="B8551" s="90">
        <v>8.2517026493509089</v>
      </c>
    </row>
    <row r="8552" spans="1:2">
      <c r="A8552" s="32">
        <v>8539</v>
      </c>
      <c r="B8552" s="90">
        <v>8.5768976739788041</v>
      </c>
    </row>
    <row r="8553" spans="1:2">
      <c r="A8553" s="32">
        <v>8540</v>
      </c>
      <c r="B8553" s="90">
        <v>8.1297842274478782</v>
      </c>
    </row>
    <row r="8554" spans="1:2">
      <c r="A8554" s="32">
        <v>8541</v>
      </c>
      <c r="B8554" s="90">
        <v>8.7553535095142614</v>
      </c>
    </row>
    <row r="8555" spans="1:2">
      <c r="A8555" s="32">
        <v>8542</v>
      </c>
      <c r="B8555" s="90">
        <v>8.9587124384634365</v>
      </c>
    </row>
    <row r="8556" spans="1:2">
      <c r="A8556" s="32">
        <v>8543</v>
      </c>
      <c r="B8556" s="90">
        <v>7.8426701749392</v>
      </c>
    </row>
    <row r="8557" spans="1:2">
      <c r="A8557" s="32">
        <v>8544</v>
      </c>
      <c r="B8557" s="90">
        <v>8.0943631454427205</v>
      </c>
    </row>
    <row r="8558" spans="1:2">
      <c r="A8558" s="32">
        <v>8545</v>
      </c>
      <c r="B8558" s="90">
        <v>8.2631550279848156</v>
      </c>
    </row>
    <row r="8559" spans="1:2">
      <c r="A8559" s="32">
        <v>8546</v>
      </c>
      <c r="B8559" s="90">
        <v>8.9824490563839099</v>
      </c>
    </row>
    <row r="8560" spans="1:2">
      <c r="A8560" s="32">
        <v>8547</v>
      </c>
      <c r="B8560" s="90">
        <v>7.9451633320207131</v>
      </c>
    </row>
    <row r="8561" spans="1:2">
      <c r="A8561" s="32">
        <v>8548</v>
      </c>
      <c r="B8561" s="90">
        <v>8.1966650464486417</v>
      </c>
    </row>
    <row r="8562" spans="1:2">
      <c r="A8562" s="32">
        <v>8549</v>
      </c>
      <c r="B8562" s="90">
        <v>8.6104836440443329</v>
      </c>
    </row>
    <row r="8563" spans="1:2">
      <c r="A8563" s="32">
        <v>8550</v>
      </c>
      <c r="B8563" s="90">
        <v>8.8702271856526753</v>
      </c>
    </row>
    <row r="8564" spans="1:2">
      <c r="A8564" s="32">
        <v>8551</v>
      </c>
      <c r="B8564" s="90">
        <v>8.1702651353445042</v>
      </c>
    </row>
    <row r="8565" spans="1:2">
      <c r="A8565" s="32">
        <v>8552</v>
      </c>
      <c r="B8565" s="90">
        <v>9.2325962888440749</v>
      </c>
    </row>
    <row r="8566" spans="1:2">
      <c r="A8566" s="32">
        <v>8553</v>
      </c>
      <c r="B8566" s="90">
        <v>9.7107142678700367</v>
      </c>
    </row>
    <row r="8567" spans="1:2">
      <c r="A8567" s="32">
        <v>8554</v>
      </c>
      <c r="B8567" s="90">
        <v>8.0022405363152647</v>
      </c>
    </row>
    <row r="8568" spans="1:2">
      <c r="A8568" s="32">
        <v>8555</v>
      </c>
      <c r="B8568" s="90">
        <v>9.7334463742263626</v>
      </c>
    </row>
    <row r="8569" spans="1:2">
      <c r="A8569" s="32">
        <v>8556</v>
      </c>
      <c r="B8569" s="90">
        <v>8.8452113446606582</v>
      </c>
    </row>
    <row r="8570" spans="1:2">
      <c r="A8570" s="32">
        <v>8557</v>
      </c>
      <c r="B8570" s="90">
        <v>7.8663289520955795</v>
      </c>
    </row>
    <row r="8571" spans="1:2">
      <c r="A8571" s="32">
        <v>8558</v>
      </c>
      <c r="B8571" s="90">
        <v>8.7232291416940413</v>
      </c>
    </row>
    <row r="8572" spans="1:2">
      <c r="A8572" s="32">
        <v>8559</v>
      </c>
      <c r="B8572" s="90">
        <v>8.5228628334926277</v>
      </c>
    </row>
    <row r="8573" spans="1:2">
      <c r="A8573" s="32">
        <v>8560</v>
      </c>
      <c r="B8573" s="90">
        <v>7.4616229332187416</v>
      </c>
    </row>
    <row r="8574" spans="1:2">
      <c r="A8574" s="32">
        <v>8561</v>
      </c>
      <c r="B8574" s="90">
        <v>7.0099414847515495</v>
      </c>
    </row>
    <row r="8575" spans="1:2">
      <c r="A8575" s="32">
        <v>8562</v>
      </c>
      <c r="B8575" s="90">
        <v>8.3985513002597632</v>
      </c>
    </row>
    <row r="8576" spans="1:2">
      <c r="A8576" s="32">
        <v>8563</v>
      </c>
      <c r="B8576" s="90">
        <v>7.205412664829324</v>
      </c>
    </row>
    <row r="8577" spans="1:2">
      <c r="A8577" s="32">
        <v>8564</v>
      </c>
      <c r="B8577" s="90">
        <v>7.6787011383314008</v>
      </c>
    </row>
    <row r="8578" spans="1:2">
      <c r="A8578" s="32">
        <v>8565</v>
      </c>
      <c r="B8578" s="90">
        <v>8.365271035726991</v>
      </c>
    </row>
    <row r="8579" spans="1:2">
      <c r="A8579" s="32">
        <v>8566</v>
      </c>
      <c r="B8579" s="90">
        <v>7.2822101900233189</v>
      </c>
    </row>
    <row r="8580" spans="1:2">
      <c r="A8580" s="32">
        <v>8567</v>
      </c>
      <c r="B8580" s="90">
        <v>7.8927551382431922</v>
      </c>
    </row>
    <row r="8581" spans="1:2">
      <c r="A8581" s="32">
        <v>8568</v>
      </c>
      <c r="B8581" s="90">
        <v>6.8035336409619873</v>
      </c>
    </row>
    <row r="8582" spans="1:2">
      <c r="A8582" s="32">
        <v>8569</v>
      </c>
      <c r="B8582" s="90">
        <v>10.443245656278302</v>
      </c>
    </row>
    <row r="8583" spans="1:2">
      <c r="A8583" s="32">
        <v>8570</v>
      </c>
      <c r="B8583" s="90">
        <v>9.9342274276040747</v>
      </c>
    </row>
    <row r="8584" spans="1:2">
      <c r="A8584" s="32">
        <v>8571</v>
      </c>
      <c r="B8584" s="90">
        <v>8.2675455205796826</v>
      </c>
    </row>
    <row r="8585" spans="1:2">
      <c r="A8585" s="32">
        <v>8572</v>
      </c>
      <c r="B8585" s="90">
        <v>8.1876074868181714</v>
      </c>
    </row>
    <row r="8586" spans="1:2">
      <c r="A8586" s="32">
        <v>8573</v>
      </c>
      <c r="B8586" s="90">
        <v>8.0513970635870944</v>
      </c>
    </row>
    <row r="8587" spans="1:2">
      <c r="A8587" s="32">
        <v>8574</v>
      </c>
      <c r="B8587" s="90">
        <v>7.5273830137702964</v>
      </c>
    </row>
    <row r="8588" spans="1:2">
      <c r="A8588" s="32">
        <v>8575</v>
      </c>
      <c r="B8588" s="90">
        <v>8.3659674548981133</v>
      </c>
    </row>
    <row r="8589" spans="1:2">
      <c r="A8589" s="32">
        <v>8576</v>
      </c>
      <c r="B8589" s="90">
        <v>8.6449719298840186</v>
      </c>
    </row>
    <row r="8590" spans="1:2">
      <c r="A8590" s="32">
        <v>8577</v>
      </c>
      <c r="B8590" s="90">
        <v>8.3823400753247004</v>
      </c>
    </row>
    <row r="8591" spans="1:2">
      <c r="A8591" s="32">
        <v>8578</v>
      </c>
      <c r="B8591" s="90">
        <v>7.4674995333034264</v>
      </c>
    </row>
    <row r="8592" spans="1:2">
      <c r="A8592" s="32">
        <v>8579</v>
      </c>
      <c r="B8592" s="90">
        <v>7.324533653687558</v>
      </c>
    </row>
    <row r="8593" spans="1:2">
      <c r="A8593" s="32">
        <v>8580</v>
      </c>
      <c r="B8593" s="90">
        <v>7.8800027811618385</v>
      </c>
    </row>
    <row r="8594" spans="1:2">
      <c r="A8594" s="32">
        <v>8581</v>
      </c>
      <c r="B8594" s="90">
        <v>8.2166622546974342</v>
      </c>
    </row>
    <row r="8595" spans="1:2">
      <c r="A8595" s="32">
        <v>8582</v>
      </c>
      <c r="B8595" s="90">
        <v>9.4779538982168798</v>
      </c>
    </row>
    <row r="8596" spans="1:2">
      <c r="A8596" s="32">
        <v>8583</v>
      </c>
      <c r="B8596" s="90">
        <v>8.2661538377691599</v>
      </c>
    </row>
    <row r="8597" spans="1:2">
      <c r="A8597" s="32">
        <v>8584</v>
      </c>
      <c r="B8597" s="90">
        <v>8.0777743626327165</v>
      </c>
    </row>
    <row r="8598" spans="1:2">
      <c r="A8598" s="32">
        <v>8585</v>
      </c>
      <c r="B8598" s="90">
        <v>8.2302939540321827</v>
      </c>
    </row>
    <row r="8599" spans="1:2">
      <c r="A8599" s="32">
        <v>8586</v>
      </c>
      <c r="B8599" s="90">
        <v>7.3548184875157823</v>
      </c>
    </row>
    <row r="8600" spans="1:2">
      <c r="A8600" s="32">
        <v>8587</v>
      </c>
      <c r="B8600" s="90">
        <v>8.4831485924679892</v>
      </c>
    </row>
    <row r="8601" spans="1:2">
      <c r="A8601" s="32">
        <v>8588</v>
      </c>
      <c r="B8601" s="90">
        <v>8.8599919064353507</v>
      </c>
    </row>
    <row r="8602" spans="1:2">
      <c r="A8602" s="32">
        <v>8589</v>
      </c>
      <c r="B8602" s="90">
        <v>7.6477163575874298</v>
      </c>
    </row>
    <row r="8603" spans="1:2">
      <c r="A8603" s="32">
        <v>8590</v>
      </c>
      <c r="B8603" s="90">
        <v>9.0771184202594579</v>
      </c>
    </row>
    <row r="8604" spans="1:2">
      <c r="A8604" s="32">
        <v>8591</v>
      </c>
      <c r="B8604" s="90">
        <v>7.0211435259851465</v>
      </c>
    </row>
    <row r="8605" spans="1:2">
      <c r="A8605" s="32">
        <v>8592</v>
      </c>
      <c r="B8605" s="90">
        <v>8.4640485709644278</v>
      </c>
    </row>
    <row r="8606" spans="1:2">
      <c r="A8606" s="32">
        <v>8593</v>
      </c>
      <c r="B8606" s="90">
        <v>8.0079198675778329</v>
      </c>
    </row>
    <row r="8607" spans="1:2">
      <c r="A8607" s="32">
        <v>8594</v>
      </c>
      <c r="B8607" s="90">
        <v>6.7221130104729099</v>
      </c>
    </row>
    <row r="8608" spans="1:2">
      <c r="A8608" s="32">
        <v>8595</v>
      </c>
      <c r="B8608" s="90">
        <v>7.044072963161546</v>
      </c>
    </row>
    <row r="8609" spans="1:2">
      <c r="A8609" s="32">
        <v>8596</v>
      </c>
      <c r="B8609" s="90">
        <v>9.1638526372364932</v>
      </c>
    </row>
    <row r="8610" spans="1:2">
      <c r="A8610" s="32">
        <v>8597</v>
      </c>
      <c r="B8610" s="90">
        <v>8.8673418286869126</v>
      </c>
    </row>
    <row r="8611" spans="1:2">
      <c r="A8611" s="32">
        <v>8598</v>
      </c>
      <c r="B8611" s="90">
        <v>8.4372128561535842</v>
      </c>
    </row>
    <row r="8612" spans="1:2">
      <c r="A8612" s="32">
        <v>8599</v>
      </c>
      <c r="B8612" s="90">
        <v>8.1729220766832267</v>
      </c>
    </row>
    <row r="8613" spans="1:2">
      <c r="A8613" s="32">
        <v>8600</v>
      </c>
      <c r="B8613" s="90">
        <v>7.0065632764382118</v>
      </c>
    </row>
    <row r="8614" spans="1:2">
      <c r="A8614" s="32">
        <v>8601</v>
      </c>
      <c r="B8614" s="90">
        <v>8.0024698214742305</v>
      </c>
    </row>
    <row r="8615" spans="1:2">
      <c r="A8615" s="32">
        <v>8602</v>
      </c>
      <c r="B8615" s="90">
        <v>7.6129340392865767</v>
      </c>
    </row>
    <row r="8616" spans="1:2">
      <c r="A8616" s="32">
        <v>8603</v>
      </c>
      <c r="B8616" s="90">
        <v>8.8341880920269737</v>
      </c>
    </row>
    <row r="8617" spans="1:2">
      <c r="A8617" s="32">
        <v>8604</v>
      </c>
      <c r="B8617" s="90">
        <v>8.3240356037926233</v>
      </c>
    </row>
    <row r="8618" spans="1:2">
      <c r="A8618" s="32">
        <v>8605</v>
      </c>
      <c r="B8618" s="90">
        <v>7.9325190796405867</v>
      </c>
    </row>
    <row r="8619" spans="1:2">
      <c r="A8619" s="32">
        <v>8606</v>
      </c>
      <c r="B8619" s="90">
        <v>9.4999305149671489</v>
      </c>
    </row>
    <row r="8620" spans="1:2">
      <c r="A8620" s="32">
        <v>8607</v>
      </c>
      <c r="B8620" s="90">
        <v>7.892590596960992</v>
      </c>
    </row>
    <row r="8621" spans="1:2">
      <c r="A8621" s="32">
        <v>8608</v>
      </c>
      <c r="B8621" s="90">
        <v>6.9601781825979367</v>
      </c>
    </row>
    <row r="8622" spans="1:2">
      <c r="A8622" s="32">
        <v>8609</v>
      </c>
      <c r="B8622" s="90">
        <v>8.2447471168106716</v>
      </c>
    </row>
    <row r="8623" spans="1:2">
      <c r="A8623" s="32">
        <v>8610</v>
      </c>
      <c r="B8623" s="90">
        <v>6.7834537476864769</v>
      </c>
    </row>
    <row r="8624" spans="1:2">
      <c r="A8624" s="32">
        <v>8611</v>
      </c>
      <c r="B8624" s="90">
        <v>8.4372766420960232</v>
      </c>
    </row>
    <row r="8625" spans="1:2">
      <c r="A8625" s="32">
        <v>8612</v>
      </c>
      <c r="B8625" s="90">
        <v>7.598312551148835</v>
      </c>
    </row>
    <row r="8626" spans="1:2">
      <c r="A8626" s="32">
        <v>8613</v>
      </c>
      <c r="B8626" s="90">
        <v>8.9353440535602022</v>
      </c>
    </row>
    <row r="8627" spans="1:2">
      <c r="A8627" s="32">
        <v>8614</v>
      </c>
      <c r="B8627" s="90">
        <v>8.3186411520056218</v>
      </c>
    </row>
    <row r="8628" spans="1:2">
      <c r="A8628" s="32">
        <v>8615</v>
      </c>
      <c r="B8628" s="90">
        <v>8.6842070378405012</v>
      </c>
    </row>
    <row r="8629" spans="1:2">
      <c r="A8629" s="32">
        <v>8616</v>
      </c>
      <c r="B8629" s="90">
        <v>9.0278173237957908</v>
      </c>
    </row>
    <row r="8630" spans="1:2">
      <c r="A8630" s="32">
        <v>8617</v>
      </c>
      <c r="B8630" s="90">
        <v>8.9906435332768488</v>
      </c>
    </row>
    <row r="8631" spans="1:2">
      <c r="A8631" s="32">
        <v>8618</v>
      </c>
      <c r="B8631" s="90">
        <v>8.0776459158100202</v>
      </c>
    </row>
    <row r="8632" spans="1:2">
      <c r="A8632" s="32">
        <v>8619</v>
      </c>
      <c r="B8632" s="90">
        <v>8.8638192297064755</v>
      </c>
    </row>
    <row r="8633" spans="1:2">
      <c r="A8633" s="32">
        <v>8620</v>
      </c>
      <c r="B8633" s="90">
        <v>8.1923445053537076</v>
      </c>
    </row>
    <row r="8634" spans="1:2">
      <c r="A8634" s="32">
        <v>8621</v>
      </c>
      <c r="B8634" s="90">
        <v>7.0040281689820754</v>
      </c>
    </row>
    <row r="8635" spans="1:2">
      <c r="A8635" s="32">
        <v>8622</v>
      </c>
      <c r="B8635" s="90">
        <v>8.3690818768935848</v>
      </c>
    </row>
    <row r="8636" spans="1:2">
      <c r="A8636" s="32">
        <v>8623</v>
      </c>
      <c r="B8636" s="90">
        <v>8.433083555237106</v>
      </c>
    </row>
    <row r="8637" spans="1:2">
      <c r="A8637" s="32">
        <v>8624</v>
      </c>
      <c r="B8637" s="90">
        <v>8.1378636991475357</v>
      </c>
    </row>
    <row r="8638" spans="1:2">
      <c r="A8638" s="32">
        <v>8625</v>
      </c>
      <c r="B8638" s="90">
        <v>8.4147820819671697</v>
      </c>
    </row>
    <row r="8639" spans="1:2">
      <c r="A8639" s="32">
        <v>8626</v>
      </c>
      <c r="B8639" s="90">
        <v>7.4408368733070649</v>
      </c>
    </row>
    <row r="8640" spans="1:2">
      <c r="A8640" s="32">
        <v>8627</v>
      </c>
      <c r="B8640" s="90">
        <v>7.5465994456714167</v>
      </c>
    </row>
    <row r="8641" spans="1:2">
      <c r="A8641" s="32">
        <v>8628</v>
      </c>
      <c r="B8641" s="90">
        <v>8.4032277792183674</v>
      </c>
    </row>
    <row r="8642" spans="1:2">
      <c r="A8642" s="32">
        <v>8629</v>
      </c>
      <c r="B8642" s="90">
        <v>8.4265951411211315</v>
      </c>
    </row>
    <row r="8643" spans="1:2">
      <c r="A8643" s="32">
        <v>8630</v>
      </c>
      <c r="B8643" s="90">
        <v>7.9091275598206314</v>
      </c>
    </row>
    <row r="8644" spans="1:2">
      <c r="A8644" s="32">
        <v>8631</v>
      </c>
      <c r="B8644" s="90">
        <v>9.4376536712573564</v>
      </c>
    </row>
    <row r="8645" spans="1:2">
      <c r="A8645" s="32">
        <v>8632</v>
      </c>
      <c r="B8645" s="90">
        <v>7.8621829177474334</v>
      </c>
    </row>
    <row r="8646" spans="1:2">
      <c r="A8646" s="32">
        <v>8633</v>
      </c>
      <c r="B8646" s="90">
        <v>6.6999878899277734</v>
      </c>
    </row>
    <row r="8647" spans="1:2">
      <c r="A8647" s="32">
        <v>8634</v>
      </c>
      <c r="B8647" s="90">
        <v>8.2982252831575352</v>
      </c>
    </row>
    <row r="8648" spans="1:2">
      <c r="A8648" s="32">
        <v>8635</v>
      </c>
      <c r="B8648" s="90">
        <v>8.4747121245070325</v>
      </c>
    </row>
    <row r="8649" spans="1:2">
      <c r="A8649" s="32">
        <v>8636</v>
      </c>
      <c r="B8649" s="90">
        <v>8.4671697181120908</v>
      </c>
    </row>
    <row r="8650" spans="1:2">
      <c r="A8650" s="32">
        <v>8637</v>
      </c>
      <c r="B8650" s="90">
        <v>6.4991658211872583</v>
      </c>
    </row>
    <row r="8651" spans="1:2">
      <c r="A8651" s="32">
        <v>8638</v>
      </c>
      <c r="B8651" s="90">
        <v>7.4345994083787534</v>
      </c>
    </row>
    <row r="8652" spans="1:2">
      <c r="A8652" s="32">
        <v>8639</v>
      </c>
      <c r="B8652" s="90">
        <v>8.4810682655402374</v>
      </c>
    </row>
    <row r="8653" spans="1:2">
      <c r="A8653" s="32">
        <v>8640</v>
      </c>
      <c r="B8653" s="90">
        <v>7.5389581932049028</v>
      </c>
    </row>
    <row r="8654" spans="1:2">
      <c r="A8654" s="32">
        <v>8641</v>
      </c>
      <c r="B8654" s="90">
        <v>7.394589909787987</v>
      </c>
    </row>
    <row r="8655" spans="1:2">
      <c r="A8655" s="32">
        <v>8642</v>
      </c>
      <c r="B8655" s="90">
        <v>7.7419142890349839</v>
      </c>
    </row>
    <row r="8656" spans="1:2">
      <c r="A8656" s="32">
        <v>8643</v>
      </c>
      <c r="B8656" s="90">
        <v>8.5803669489305694</v>
      </c>
    </row>
    <row r="8657" spans="1:2">
      <c r="A8657" s="32">
        <v>8644</v>
      </c>
      <c r="B8657" s="90">
        <v>8.3089573761426934</v>
      </c>
    </row>
    <row r="8658" spans="1:2">
      <c r="A8658" s="32">
        <v>8645</v>
      </c>
      <c r="B8658" s="90">
        <v>8.1152798831309525</v>
      </c>
    </row>
    <row r="8659" spans="1:2">
      <c r="A8659" s="32">
        <v>8646</v>
      </c>
      <c r="B8659" s="90">
        <v>7.2957726204076048</v>
      </c>
    </row>
    <row r="8660" spans="1:2">
      <c r="A8660" s="32">
        <v>8647</v>
      </c>
      <c r="B8660" s="90">
        <v>9.7963006130915549</v>
      </c>
    </row>
    <row r="8661" spans="1:2">
      <c r="A8661" s="32">
        <v>8648</v>
      </c>
      <c r="B8661" s="90">
        <v>8.4115860303798904</v>
      </c>
    </row>
    <row r="8662" spans="1:2">
      <c r="A8662" s="32">
        <v>8649</v>
      </c>
      <c r="B8662" s="90">
        <v>8.5281429175201406</v>
      </c>
    </row>
    <row r="8663" spans="1:2">
      <c r="A8663" s="32">
        <v>8650</v>
      </c>
      <c r="B8663" s="90">
        <v>8.3542293030371848</v>
      </c>
    </row>
    <row r="8664" spans="1:2">
      <c r="A8664" s="32">
        <v>8651</v>
      </c>
      <c r="B8664" s="90">
        <v>8.2595408294315913</v>
      </c>
    </row>
    <row r="8665" spans="1:2">
      <c r="A8665" s="32">
        <v>8652</v>
      </c>
      <c r="B8665" s="90">
        <v>8.0004284749540915</v>
      </c>
    </row>
    <row r="8666" spans="1:2">
      <c r="A8666" s="32">
        <v>8653</v>
      </c>
      <c r="B8666" s="90">
        <v>7.1904547015437634</v>
      </c>
    </row>
    <row r="8667" spans="1:2">
      <c r="A8667" s="32">
        <v>8654</v>
      </c>
      <c r="B8667" s="90">
        <v>8.1380972577527597</v>
      </c>
    </row>
    <row r="8668" spans="1:2">
      <c r="A8668" s="32">
        <v>8655</v>
      </c>
      <c r="B8668" s="90">
        <v>7.0909999333108686</v>
      </c>
    </row>
    <row r="8669" spans="1:2">
      <c r="A8669" s="32">
        <v>8656</v>
      </c>
      <c r="B8669" s="90">
        <v>7.6426640372585233</v>
      </c>
    </row>
    <row r="8670" spans="1:2">
      <c r="A8670" s="32">
        <v>8657</v>
      </c>
      <c r="B8670" s="90">
        <v>8.3292333664030522</v>
      </c>
    </row>
    <row r="8671" spans="1:2">
      <c r="A8671" s="32">
        <v>8658</v>
      </c>
      <c r="B8671" s="90">
        <v>7.7544228558437762</v>
      </c>
    </row>
    <row r="8672" spans="1:2">
      <c r="A8672" s="32">
        <v>8659</v>
      </c>
      <c r="B8672" s="90">
        <v>8.3778338607307994</v>
      </c>
    </row>
    <row r="8673" spans="1:2">
      <c r="A8673" s="32">
        <v>8660</v>
      </c>
      <c r="B8673" s="90">
        <v>9.5053452364803057</v>
      </c>
    </row>
    <row r="8674" spans="1:2">
      <c r="A8674" s="32">
        <v>8661</v>
      </c>
      <c r="B8674" s="90">
        <v>9.0924406629897412</v>
      </c>
    </row>
    <row r="8675" spans="1:2">
      <c r="A8675" s="32">
        <v>8662</v>
      </c>
      <c r="B8675" s="90">
        <v>6.8747943428523985</v>
      </c>
    </row>
    <row r="8676" spans="1:2">
      <c r="A8676" s="32">
        <v>8663</v>
      </c>
      <c r="B8676" s="90">
        <v>6.5657593865780539</v>
      </c>
    </row>
    <row r="8677" spans="1:2">
      <c r="A8677" s="32">
        <v>8664</v>
      </c>
      <c r="B8677" s="90">
        <v>7.7664068737716354</v>
      </c>
    </row>
    <row r="8678" spans="1:2">
      <c r="A8678" s="32">
        <v>8665</v>
      </c>
      <c r="B8678" s="90">
        <v>8.4689142577319085</v>
      </c>
    </row>
    <row r="8679" spans="1:2">
      <c r="A8679" s="32">
        <v>8666</v>
      </c>
      <c r="B8679" s="90">
        <v>7.9890810552957525</v>
      </c>
    </row>
    <row r="8680" spans="1:2">
      <c r="A8680" s="32">
        <v>8667</v>
      </c>
      <c r="B8680" s="90">
        <v>8.3045263342661801</v>
      </c>
    </row>
    <row r="8681" spans="1:2">
      <c r="A8681" s="32">
        <v>8668</v>
      </c>
      <c r="B8681" s="90">
        <v>7.8320017710907068</v>
      </c>
    </row>
    <row r="8682" spans="1:2">
      <c r="A8682" s="32">
        <v>8669</v>
      </c>
      <c r="B8682" s="90">
        <v>8.4947134795949832</v>
      </c>
    </row>
    <row r="8683" spans="1:2">
      <c r="A8683" s="32">
        <v>8670</v>
      </c>
      <c r="B8683" s="90">
        <v>7.6900536783811155</v>
      </c>
    </row>
    <row r="8684" spans="1:2">
      <c r="A8684" s="32">
        <v>8671</v>
      </c>
      <c r="B8684" s="90">
        <v>8.4644949261303353</v>
      </c>
    </row>
    <row r="8685" spans="1:2">
      <c r="A8685" s="32">
        <v>8672</v>
      </c>
      <c r="B8685" s="90">
        <v>8.4145178442405424</v>
      </c>
    </row>
    <row r="8686" spans="1:2">
      <c r="A8686" s="32">
        <v>8673</v>
      </c>
      <c r="B8686" s="90">
        <v>7.7923115224596984</v>
      </c>
    </row>
    <row r="8687" spans="1:2">
      <c r="A8687" s="32">
        <v>8674</v>
      </c>
      <c r="B8687" s="90">
        <v>7.3637367526584114</v>
      </c>
    </row>
    <row r="8688" spans="1:2">
      <c r="A8688" s="32">
        <v>8675</v>
      </c>
      <c r="B8688" s="90">
        <v>7.7535033754732172</v>
      </c>
    </row>
    <row r="8689" spans="1:2">
      <c r="A8689" s="32">
        <v>8676</v>
      </c>
      <c r="B8689" s="90">
        <v>7.5520789986438475</v>
      </c>
    </row>
    <row r="8690" spans="1:2">
      <c r="A8690" s="32">
        <v>8677</v>
      </c>
      <c r="B8690" s="90">
        <v>8.132211920010171</v>
      </c>
    </row>
    <row r="8691" spans="1:2">
      <c r="A8691" s="32">
        <v>8678</v>
      </c>
      <c r="B8691" s="90">
        <v>7.5317251708620034</v>
      </c>
    </row>
    <row r="8692" spans="1:2">
      <c r="A8692" s="32">
        <v>8679</v>
      </c>
      <c r="B8692" s="90">
        <v>8.2413127173488245</v>
      </c>
    </row>
    <row r="8693" spans="1:2">
      <c r="A8693" s="32">
        <v>8680</v>
      </c>
      <c r="B8693" s="90">
        <v>9.3514827575488884</v>
      </c>
    </row>
    <row r="8694" spans="1:2">
      <c r="A8694" s="32">
        <v>8681</v>
      </c>
      <c r="B8694" s="90">
        <v>7.8065548394911861</v>
      </c>
    </row>
    <row r="8695" spans="1:2">
      <c r="A8695" s="32">
        <v>8682</v>
      </c>
      <c r="B8695" s="90">
        <v>7.8754139702906638</v>
      </c>
    </row>
    <row r="8696" spans="1:2">
      <c r="A8696" s="32">
        <v>8683</v>
      </c>
      <c r="B8696" s="90">
        <v>7.389796205250569</v>
      </c>
    </row>
    <row r="8697" spans="1:2">
      <c r="A8697" s="32">
        <v>8684</v>
      </c>
      <c r="B8697" s="90">
        <v>8.0364422504560391</v>
      </c>
    </row>
    <row r="8698" spans="1:2">
      <c r="A8698" s="32">
        <v>8685</v>
      </c>
      <c r="B8698" s="90">
        <v>8.2847212684542448</v>
      </c>
    </row>
    <row r="8699" spans="1:2">
      <c r="A8699" s="32">
        <v>8686</v>
      </c>
      <c r="B8699" s="90">
        <v>8.2264800981254425</v>
      </c>
    </row>
    <row r="8700" spans="1:2">
      <c r="A8700" s="32">
        <v>8687</v>
      </c>
      <c r="B8700" s="90">
        <v>7.6479773805320361</v>
      </c>
    </row>
    <row r="8701" spans="1:2">
      <c r="A8701" s="32">
        <v>8688</v>
      </c>
      <c r="B8701" s="90">
        <v>6.7613681295491119</v>
      </c>
    </row>
    <row r="8702" spans="1:2">
      <c r="A8702" s="32">
        <v>8689</v>
      </c>
      <c r="B8702" s="90">
        <v>9.1586815713947161</v>
      </c>
    </row>
    <row r="8703" spans="1:2">
      <c r="A8703" s="32">
        <v>8690</v>
      </c>
      <c r="B8703" s="90">
        <v>8.7704253705170245</v>
      </c>
    </row>
    <row r="8704" spans="1:2">
      <c r="A8704" s="32">
        <v>8691</v>
      </c>
      <c r="B8704" s="90">
        <v>8.2432172984496059</v>
      </c>
    </row>
    <row r="8705" spans="1:2">
      <c r="A8705" s="32">
        <v>8692</v>
      </c>
      <c r="B8705" s="90">
        <v>7.7981582548331545</v>
      </c>
    </row>
    <row r="8706" spans="1:2">
      <c r="A8706" s="32">
        <v>8693</v>
      </c>
      <c r="B8706" s="90">
        <v>8.8964011713448059</v>
      </c>
    </row>
    <row r="8707" spans="1:2">
      <c r="A8707" s="32">
        <v>8694</v>
      </c>
      <c r="B8707" s="90">
        <v>7.5200249578277667</v>
      </c>
    </row>
    <row r="8708" spans="1:2">
      <c r="A8708" s="32">
        <v>8695</v>
      </c>
      <c r="B8708" s="90">
        <v>8.5358139302749017</v>
      </c>
    </row>
    <row r="8709" spans="1:2">
      <c r="A8709" s="32">
        <v>8696</v>
      </c>
      <c r="B8709" s="90">
        <v>7.3557979152321176</v>
      </c>
    </row>
    <row r="8710" spans="1:2">
      <c r="A8710" s="32">
        <v>8697</v>
      </c>
      <c r="B8710" s="90">
        <v>7.884123576400655</v>
      </c>
    </row>
    <row r="8711" spans="1:2">
      <c r="A8711" s="32">
        <v>8698</v>
      </c>
      <c r="B8711" s="90">
        <v>8.6213857320321008</v>
      </c>
    </row>
    <row r="8712" spans="1:2">
      <c r="A8712" s="32">
        <v>8699</v>
      </c>
      <c r="B8712" s="90">
        <v>7.4300553757226204</v>
      </c>
    </row>
    <row r="8713" spans="1:2">
      <c r="A8713" s="32">
        <v>8700</v>
      </c>
      <c r="B8713" s="90">
        <v>8.7440457430757057</v>
      </c>
    </row>
    <row r="8714" spans="1:2">
      <c r="A8714" s="32">
        <v>8701</v>
      </c>
      <c r="B8714" s="90">
        <v>8.3190199809337511</v>
      </c>
    </row>
    <row r="8715" spans="1:2">
      <c r="A8715" s="32">
        <v>8702</v>
      </c>
      <c r="B8715" s="90">
        <v>8.1452931293750268</v>
      </c>
    </row>
    <row r="8716" spans="1:2">
      <c r="A8716" s="32">
        <v>8703</v>
      </c>
      <c r="B8716" s="90">
        <v>7.371166906080532</v>
      </c>
    </row>
    <row r="8717" spans="1:2">
      <c r="A8717" s="32">
        <v>8704</v>
      </c>
      <c r="B8717" s="90">
        <v>8.2681546846057898</v>
      </c>
    </row>
    <row r="8718" spans="1:2">
      <c r="A8718" s="32">
        <v>8705</v>
      </c>
      <c r="B8718" s="90">
        <v>7.6121428812864869</v>
      </c>
    </row>
    <row r="8719" spans="1:2">
      <c r="A8719" s="32">
        <v>8706</v>
      </c>
      <c r="B8719" s="90">
        <v>8.60222661233915</v>
      </c>
    </row>
    <row r="8720" spans="1:2">
      <c r="A8720" s="32">
        <v>8707</v>
      </c>
      <c r="B8720" s="90">
        <v>8.5502524613323967</v>
      </c>
    </row>
    <row r="8721" spans="1:2">
      <c r="A8721" s="32">
        <v>8708</v>
      </c>
      <c r="B8721" s="90">
        <v>7.6751255104208846</v>
      </c>
    </row>
    <row r="8722" spans="1:2">
      <c r="A8722" s="32">
        <v>8709</v>
      </c>
      <c r="B8722" s="90">
        <v>7.2601811993772403</v>
      </c>
    </row>
    <row r="8723" spans="1:2">
      <c r="A8723" s="32">
        <v>8710</v>
      </c>
      <c r="B8723" s="90">
        <v>7.4865831835128178</v>
      </c>
    </row>
    <row r="8724" spans="1:2">
      <c r="A8724" s="32">
        <v>8711</v>
      </c>
      <c r="B8724" s="90">
        <v>8.2094340805579549</v>
      </c>
    </row>
    <row r="8725" spans="1:2">
      <c r="A8725" s="32">
        <v>8712</v>
      </c>
      <c r="B8725" s="90">
        <v>8.0674537314779755</v>
      </c>
    </row>
    <row r="8726" spans="1:2">
      <c r="A8726" s="32">
        <v>8713</v>
      </c>
      <c r="B8726" s="90">
        <v>8.6525924995841521</v>
      </c>
    </row>
    <row r="8727" spans="1:2">
      <c r="A8727" s="32">
        <v>8714</v>
      </c>
      <c r="B8727" s="90">
        <v>8.3475081420019119</v>
      </c>
    </row>
    <row r="8728" spans="1:2">
      <c r="A8728" s="32">
        <v>8715</v>
      </c>
      <c r="B8728" s="90">
        <v>7.8823697400118951</v>
      </c>
    </row>
    <row r="8729" spans="1:2">
      <c r="A8729" s="32">
        <v>8716</v>
      </c>
      <c r="B8729" s="90">
        <v>8.3241621020113588</v>
      </c>
    </row>
    <row r="8730" spans="1:2">
      <c r="A8730" s="32">
        <v>8717</v>
      </c>
      <c r="B8730" s="90">
        <v>6.9656184165495443</v>
      </c>
    </row>
    <row r="8731" spans="1:2">
      <c r="A8731" s="32">
        <v>8718</v>
      </c>
      <c r="B8731" s="90">
        <v>8.4557063559571777</v>
      </c>
    </row>
    <row r="8732" spans="1:2">
      <c r="A8732" s="32">
        <v>8719</v>
      </c>
      <c r="B8732" s="90">
        <v>8.3252461973141276</v>
      </c>
    </row>
    <row r="8733" spans="1:2">
      <c r="A8733" s="32">
        <v>8720</v>
      </c>
      <c r="B8733" s="90">
        <v>7.7773326390940394</v>
      </c>
    </row>
    <row r="8734" spans="1:2">
      <c r="A8734" s="32">
        <v>8721</v>
      </c>
      <c r="B8734" s="90">
        <v>8.3681954279120188</v>
      </c>
    </row>
    <row r="8735" spans="1:2">
      <c r="A8735" s="32">
        <v>8722</v>
      </c>
      <c r="B8735" s="90">
        <v>9.2881549549802056</v>
      </c>
    </row>
    <row r="8736" spans="1:2">
      <c r="A8736" s="32">
        <v>8723</v>
      </c>
      <c r="B8736" s="90">
        <v>8.4619907436159494</v>
      </c>
    </row>
    <row r="8737" spans="1:2">
      <c r="A8737" s="32">
        <v>8724</v>
      </c>
      <c r="B8737" s="90">
        <v>8.2272605405279986</v>
      </c>
    </row>
    <row r="8738" spans="1:2">
      <c r="A8738" s="32">
        <v>8725</v>
      </c>
      <c r="B8738" s="90">
        <v>7.886756985046258</v>
      </c>
    </row>
    <row r="8739" spans="1:2">
      <c r="A8739" s="32">
        <v>8726</v>
      </c>
      <c r="B8739" s="90">
        <v>7.73864142992546</v>
      </c>
    </row>
    <row r="8740" spans="1:2">
      <c r="A8740" s="32">
        <v>8727</v>
      </c>
      <c r="B8740" s="90">
        <v>10.1344545614864</v>
      </c>
    </row>
    <row r="8741" spans="1:2">
      <c r="A8741" s="32">
        <v>8728</v>
      </c>
      <c r="B8741" s="90">
        <v>8.9176099301615999</v>
      </c>
    </row>
    <row r="8742" spans="1:2">
      <c r="A8742" s="32">
        <v>8729</v>
      </c>
      <c r="B8742" s="90">
        <v>7.9408185099677082</v>
      </c>
    </row>
    <row r="8743" spans="1:2">
      <c r="A8743" s="32">
        <v>8730</v>
      </c>
      <c r="B8743" s="90">
        <v>9.1549006568814573</v>
      </c>
    </row>
    <row r="8744" spans="1:2">
      <c r="A8744" s="32">
        <v>8731</v>
      </c>
      <c r="B8744" s="90">
        <v>8.6028184502046621</v>
      </c>
    </row>
    <row r="8745" spans="1:2">
      <c r="A8745" s="32">
        <v>8732</v>
      </c>
      <c r="B8745" s="90">
        <v>8.3306966837357876</v>
      </c>
    </row>
    <row r="8746" spans="1:2">
      <c r="A8746" s="32">
        <v>8733</v>
      </c>
      <c r="B8746" s="90">
        <v>8.4971941252271783</v>
      </c>
    </row>
    <row r="8747" spans="1:2">
      <c r="A8747" s="32">
        <v>8734</v>
      </c>
      <c r="B8747" s="90">
        <v>8.1630528421812265</v>
      </c>
    </row>
    <row r="8748" spans="1:2">
      <c r="A8748" s="32">
        <v>8735</v>
      </c>
      <c r="B8748" s="90">
        <v>7.6353951455349414</v>
      </c>
    </row>
    <row r="8749" spans="1:2">
      <c r="A8749" s="32">
        <v>8736</v>
      </c>
      <c r="B8749" s="90">
        <v>8.88875753903862</v>
      </c>
    </row>
    <row r="8750" spans="1:2">
      <c r="A8750" s="32">
        <v>8737</v>
      </c>
      <c r="B8750" s="90">
        <v>9.1327781112649902</v>
      </c>
    </row>
    <row r="8751" spans="1:2">
      <c r="A8751" s="32">
        <v>8738</v>
      </c>
      <c r="B8751" s="90">
        <v>8.6362965232617981</v>
      </c>
    </row>
    <row r="8752" spans="1:2">
      <c r="A8752" s="32">
        <v>8739</v>
      </c>
      <c r="B8752" s="90">
        <v>8.4530906964390535</v>
      </c>
    </row>
    <row r="8753" spans="1:2">
      <c r="A8753" s="32">
        <v>8740</v>
      </c>
      <c r="B8753" s="90">
        <v>6.745452580483521</v>
      </c>
    </row>
    <row r="8754" spans="1:2">
      <c r="A8754" s="32">
        <v>8741</v>
      </c>
      <c r="B8754" s="90">
        <v>7.7036838339874834</v>
      </c>
    </row>
    <row r="8755" spans="1:2">
      <c r="A8755" s="32">
        <v>8742</v>
      </c>
      <c r="B8755" s="90">
        <v>8.5666468766092994</v>
      </c>
    </row>
    <row r="8756" spans="1:2">
      <c r="A8756" s="32">
        <v>8743</v>
      </c>
      <c r="B8756" s="90">
        <v>7.9595582735453609</v>
      </c>
    </row>
    <row r="8757" spans="1:2">
      <c r="A8757" s="32">
        <v>8744</v>
      </c>
      <c r="B8757" s="90">
        <v>7.512189057102777</v>
      </c>
    </row>
    <row r="8758" spans="1:2">
      <c r="A8758" s="32">
        <v>8745</v>
      </c>
      <c r="B8758" s="90">
        <v>8.122102059519781</v>
      </c>
    </row>
    <row r="8759" spans="1:2">
      <c r="A8759" s="32">
        <v>8746</v>
      </c>
      <c r="B8759" s="90">
        <v>9.1017820020957494</v>
      </c>
    </row>
    <row r="8760" spans="1:2">
      <c r="A8760" s="32">
        <v>8747</v>
      </c>
      <c r="B8760" s="90">
        <v>8.2457020547025621</v>
      </c>
    </row>
    <row r="8761" spans="1:2">
      <c r="A8761" s="32">
        <v>8748</v>
      </c>
      <c r="B8761" s="90">
        <v>8.007191752330721</v>
      </c>
    </row>
    <row r="8762" spans="1:2">
      <c r="A8762" s="32">
        <v>8749</v>
      </c>
      <c r="B8762" s="90">
        <v>8.3045832245678106</v>
      </c>
    </row>
    <row r="8763" spans="1:2">
      <c r="A8763" s="32">
        <v>8750</v>
      </c>
      <c r="B8763" s="90">
        <v>8.6797743949836956</v>
      </c>
    </row>
    <row r="8764" spans="1:2">
      <c r="A8764" s="32">
        <v>8751</v>
      </c>
      <c r="B8764" s="90">
        <v>8.7345984127621623</v>
      </c>
    </row>
    <row r="8765" spans="1:2">
      <c r="A8765" s="32">
        <v>8752</v>
      </c>
      <c r="B8765" s="90">
        <v>7.7645230062542216</v>
      </c>
    </row>
    <row r="8766" spans="1:2">
      <c r="A8766" s="32">
        <v>8753</v>
      </c>
      <c r="B8766" s="90">
        <v>8.5652745934809129</v>
      </c>
    </row>
    <row r="8767" spans="1:2">
      <c r="A8767" s="32">
        <v>8754</v>
      </c>
      <c r="B8767" s="90">
        <v>8.5764539763661958</v>
      </c>
    </row>
    <row r="8768" spans="1:2">
      <c r="A8768" s="32">
        <v>8755</v>
      </c>
      <c r="B8768" s="90">
        <v>7.5365356617934074</v>
      </c>
    </row>
    <row r="8769" spans="1:2">
      <c r="A8769" s="32">
        <v>8756</v>
      </c>
      <c r="B8769" s="90">
        <v>8.1135359448872322</v>
      </c>
    </row>
    <row r="8770" spans="1:2">
      <c r="A8770" s="32">
        <v>8757</v>
      </c>
      <c r="B8770" s="90">
        <v>7.9117865093150668</v>
      </c>
    </row>
    <row r="8771" spans="1:2">
      <c r="A8771" s="32">
        <v>8758</v>
      </c>
      <c r="B8771" s="90">
        <v>7.8968692204994708</v>
      </c>
    </row>
    <row r="8772" spans="1:2">
      <c r="A8772" s="32">
        <v>8759</v>
      </c>
      <c r="B8772" s="90">
        <v>8.9766972804147827</v>
      </c>
    </row>
    <row r="8773" spans="1:2">
      <c r="A8773" s="32">
        <v>8760</v>
      </c>
      <c r="B8773" s="90">
        <v>9.0733212684723181</v>
      </c>
    </row>
    <row r="8774" spans="1:2">
      <c r="A8774" s="32">
        <v>8761</v>
      </c>
      <c r="B8774" s="90">
        <v>7.8198044616808957</v>
      </c>
    </row>
    <row r="8775" spans="1:2">
      <c r="A8775" s="32">
        <v>8762</v>
      </c>
      <c r="B8775" s="90">
        <v>8.5881876545203379</v>
      </c>
    </row>
    <row r="8776" spans="1:2">
      <c r="A8776" s="32">
        <v>8763</v>
      </c>
      <c r="B8776" s="90">
        <v>8.2665956756112156</v>
      </c>
    </row>
    <row r="8777" spans="1:2">
      <c r="A8777" s="32">
        <v>8764</v>
      </c>
      <c r="B8777" s="90">
        <v>8.2026145821875343</v>
      </c>
    </row>
    <row r="8778" spans="1:2">
      <c r="A8778" s="32">
        <v>8765</v>
      </c>
      <c r="B8778" s="90">
        <v>7.7909592803998411</v>
      </c>
    </row>
    <row r="8779" spans="1:2">
      <c r="A8779" s="32">
        <v>8766</v>
      </c>
      <c r="B8779" s="90">
        <v>8.2935553145339771</v>
      </c>
    </row>
    <row r="8780" spans="1:2">
      <c r="A8780" s="32">
        <v>8767</v>
      </c>
      <c r="B8780" s="90">
        <v>6.9697272541682898</v>
      </c>
    </row>
    <row r="8781" spans="1:2">
      <c r="A8781" s="32">
        <v>8768</v>
      </c>
      <c r="B8781" s="90">
        <v>7.8108415034534797</v>
      </c>
    </row>
    <row r="8782" spans="1:2">
      <c r="A8782" s="32">
        <v>8769</v>
      </c>
      <c r="B8782" s="90">
        <v>7.9759110925349068</v>
      </c>
    </row>
    <row r="8783" spans="1:2">
      <c r="A8783" s="32">
        <v>8770</v>
      </c>
      <c r="B8783" s="90">
        <v>8.1128707051489073</v>
      </c>
    </row>
    <row r="8784" spans="1:2">
      <c r="A8784" s="32">
        <v>8771</v>
      </c>
      <c r="B8784" s="90">
        <v>7.2827923693125634</v>
      </c>
    </row>
    <row r="8785" spans="1:2">
      <c r="A8785" s="32">
        <v>8772</v>
      </c>
      <c r="B8785" s="90">
        <v>8.0176832902502593</v>
      </c>
    </row>
    <row r="8786" spans="1:2">
      <c r="A8786" s="32">
        <v>8773</v>
      </c>
      <c r="B8786" s="90">
        <v>8.650620609647989</v>
      </c>
    </row>
    <row r="8787" spans="1:2">
      <c r="A8787" s="32">
        <v>8774</v>
      </c>
      <c r="B8787" s="90">
        <v>8.4114354494859338</v>
      </c>
    </row>
    <row r="8788" spans="1:2">
      <c r="A8788" s="32">
        <v>8775</v>
      </c>
      <c r="B8788" s="90">
        <v>8.3817652901392155</v>
      </c>
    </row>
    <row r="8789" spans="1:2">
      <c r="A8789" s="32">
        <v>8776</v>
      </c>
      <c r="B8789" s="90">
        <v>7.7796199985396637</v>
      </c>
    </row>
    <row r="8790" spans="1:2">
      <c r="A8790" s="32">
        <v>8777</v>
      </c>
      <c r="B8790" s="90">
        <v>7.8504435522990201</v>
      </c>
    </row>
    <row r="8791" spans="1:2">
      <c r="A8791" s="32">
        <v>8778</v>
      </c>
      <c r="B8791" s="90">
        <v>7.8417432274396512</v>
      </c>
    </row>
    <row r="8792" spans="1:2">
      <c r="A8792" s="32">
        <v>8779</v>
      </c>
      <c r="B8792" s="90">
        <v>6.9668394758238836</v>
      </c>
    </row>
    <row r="8793" spans="1:2">
      <c r="A8793" s="32">
        <v>8780</v>
      </c>
      <c r="B8793" s="90">
        <v>8.7472021269651989</v>
      </c>
    </row>
    <row r="8794" spans="1:2">
      <c r="A8794" s="32">
        <v>8781</v>
      </c>
      <c r="B8794" s="90">
        <v>7.9531060121100365</v>
      </c>
    </row>
    <row r="8795" spans="1:2">
      <c r="A8795" s="32">
        <v>8782</v>
      </c>
      <c r="B8795" s="90">
        <v>7.8688267007336092</v>
      </c>
    </row>
    <row r="8796" spans="1:2">
      <c r="A8796" s="32">
        <v>8783</v>
      </c>
      <c r="B8796" s="90">
        <v>8.6920174366181779</v>
      </c>
    </row>
    <row r="8797" spans="1:2">
      <c r="A8797" s="32">
        <v>8784</v>
      </c>
      <c r="B8797" s="90">
        <v>8.2127887833870137</v>
      </c>
    </row>
    <row r="8798" spans="1:2">
      <c r="A8798" s="32">
        <v>8785</v>
      </c>
      <c r="B8798" s="90">
        <v>7.4194984370676957</v>
      </c>
    </row>
    <row r="8799" spans="1:2">
      <c r="A8799" s="32">
        <v>8786</v>
      </c>
      <c r="B8799" s="90">
        <v>7.6275644401809499</v>
      </c>
    </row>
    <row r="8800" spans="1:2">
      <c r="A8800" s="32">
        <v>8787</v>
      </c>
      <c r="B8800" s="90">
        <v>7.3640868790511114</v>
      </c>
    </row>
    <row r="8801" spans="1:2">
      <c r="A8801" s="32">
        <v>8788</v>
      </c>
      <c r="B8801" s="90">
        <v>7.9245430537479393</v>
      </c>
    </row>
    <row r="8802" spans="1:2">
      <c r="A8802" s="32">
        <v>8789</v>
      </c>
      <c r="B8802" s="90">
        <v>8.6585764440932422</v>
      </c>
    </row>
    <row r="8803" spans="1:2">
      <c r="A8803" s="32">
        <v>8790</v>
      </c>
      <c r="B8803" s="90">
        <v>7.5862132173942562</v>
      </c>
    </row>
    <row r="8804" spans="1:2">
      <c r="A8804" s="32">
        <v>8791</v>
      </c>
      <c r="B8804" s="90">
        <v>8.473559345496934</v>
      </c>
    </row>
    <row r="8805" spans="1:2">
      <c r="A8805" s="32">
        <v>8792</v>
      </c>
      <c r="B8805" s="90">
        <v>8.6479341930164662</v>
      </c>
    </row>
    <row r="8806" spans="1:2">
      <c r="A8806" s="32">
        <v>8793</v>
      </c>
      <c r="B8806" s="90">
        <v>7.9011781296740242</v>
      </c>
    </row>
    <row r="8807" spans="1:2">
      <c r="A8807" s="32">
        <v>8794</v>
      </c>
      <c r="B8807" s="90">
        <v>7.7110357844078026</v>
      </c>
    </row>
    <row r="8808" spans="1:2">
      <c r="A8808" s="32">
        <v>8795</v>
      </c>
      <c r="B8808" s="90">
        <v>9.8215709051129547</v>
      </c>
    </row>
    <row r="8809" spans="1:2">
      <c r="A8809" s="32">
        <v>8796</v>
      </c>
      <c r="B8809" s="90">
        <v>8.97909077169097</v>
      </c>
    </row>
    <row r="8810" spans="1:2">
      <c r="A8810" s="32">
        <v>8797</v>
      </c>
      <c r="B8810" s="90">
        <v>8.5323358879685092</v>
      </c>
    </row>
    <row r="8811" spans="1:2">
      <c r="A8811" s="32">
        <v>8798</v>
      </c>
      <c r="B8811" s="90">
        <v>8.1756898438592707</v>
      </c>
    </row>
    <row r="8812" spans="1:2">
      <c r="A8812" s="32">
        <v>8799</v>
      </c>
      <c r="B8812" s="90">
        <v>10.243029402527426</v>
      </c>
    </row>
    <row r="8813" spans="1:2">
      <c r="A8813" s="32">
        <v>8800</v>
      </c>
      <c r="B8813" s="90">
        <v>7.7458116382295437</v>
      </c>
    </row>
    <row r="8814" spans="1:2">
      <c r="A8814" s="32">
        <v>8801</v>
      </c>
      <c r="B8814" s="90">
        <v>8.7410719407566866</v>
      </c>
    </row>
    <row r="8815" spans="1:2">
      <c r="A8815" s="32">
        <v>8802</v>
      </c>
      <c r="B8815" s="90">
        <v>8.5825345233377366</v>
      </c>
    </row>
    <row r="8816" spans="1:2">
      <c r="A8816" s="32">
        <v>8803</v>
      </c>
      <c r="B8816" s="90">
        <v>7.8992113709561176</v>
      </c>
    </row>
    <row r="8817" spans="1:2">
      <c r="A8817" s="32">
        <v>8804</v>
      </c>
      <c r="B8817" s="90">
        <v>7.2422593979886178</v>
      </c>
    </row>
    <row r="8818" spans="1:2">
      <c r="A8818" s="32">
        <v>8805</v>
      </c>
      <c r="B8818" s="90">
        <v>9.659281086184059</v>
      </c>
    </row>
    <row r="8819" spans="1:2">
      <c r="A8819" s="32">
        <v>8806</v>
      </c>
      <c r="B8819" s="90">
        <v>8.7215108027568089</v>
      </c>
    </row>
    <row r="8820" spans="1:2">
      <c r="A8820" s="32">
        <v>8807</v>
      </c>
      <c r="B8820" s="90">
        <v>7.8083287782649942</v>
      </c>
    </row>
    <row r="8821" spans="1:2">
      <c r="A8821" s="32">
        <v>8808</v>
      </c>
      <c r="B8821" s="90">
        <v>7.7088778914305909</v>
      </c>
    </row>
    <row r="8822" spans="1:2">
      <c r="A8822" s="32">
        <v>8809</v>
      </c>
      <c r="B8822" s="90">
        <v>7.918665431319301</v>
      </c>
    </row>
    <row r="8823" spans="1:2">
      <c r="A8823" s="32">
        <v>8810</v>
      </c>
      <c r="B8823" s="90">
        <v>7.8083093823561898</v>
      </c>
    </row>
    <row r="8824" spans="1:2">
      <c r="A8824" s="32">
        <v>8811</v>
      </c>
      <c r="B8824" s="90">
        <v>7.8707523627757201</v>
      </c>
    </row>
    <row r="8825" spans="1:2">
      <c r="A8825" s="32">
        <v>8812</v>
      </c>
      <c r="B8825" s="90">
        <v>8.522133084871454</v>
      </c>
    </row>
    <row r="8826" spans="1:2">
      <c r="A8826" s="32">
        <v>8813</v>
      </c>
      <c r="B8826" s="90">
        <v>8.3297607285697399</v>
      </c>
    </row>
    <row r="8827" spans="1:2">
      <c r="A8827" s="32">
        <v>8814</v>
      </c>
      <c r="B8827" s="90">
        <v>7.8689351688266012</v>
      </c>
    </row>
    <row r="8828" spans="1:2">
      <c r="A8828" s="32">
        <v>8815</v>
      </c>
      <c r="B8828" s="90">
        <v>9.1459942011013773</v>
      </c>
    </row>
    <row r="8829" spans="1:2">
      <c r="A8829" s="32">
        <v>8816</v>
      </c>
      <c r="B8829" s="90">
        <v>7.4599823505532656</v>
      </c>
    </row>
    <row r="8830" spans="1:2">
      <c r="A8830" s="32">
        <v>8817</v>
      </c>
      <c r="B8830" s="90">
        <v>8.0590038560718593</v>
      </c>
    </row>
    <row r="8831" spans="1:2">
      <c r="A8831" s="32">
        <v>8818</v>
      </c>
      <c r="B8831" s="90">
        <v>8.1574805472000858</v>
      </c>
    </row>
    <row r="8832" spans="1:2">
      <c r="A8832" s="32">
        <v>8819</v>
      </c>
      <c r="B8832" s="90">
        <v>8.0140848195714778</v>
      </c>
    </row>
    <row r="8833" spans="1:2">
      <c r="A8833" s="32">
        <v>8820</v>
      </c>
      <c r="B8833" s="90">
        <v>9.7941488579582323</v>
      </c>
    </row>
    <row r="8834" spans="1:2">
      <c r="A8834" s="32">
        <v>8821</v>
      </c>
      <c r="B8834" s="90">
        <v>5.9761732627558732</v>
      </c>
    </row>
    <row r="8835" spans="1:2">
      <c r="A8835" s="32">
        <v>8822</v>
      </c>
      <c r="B8835" s="90">
        <v>8.1093357432614841</v>
      </c>
    </row>
    <row r="8836" spans="1:2">
      <c r="A8836" s="32">
        <v>8823</v>
      </c>
      <c r="B8836" s="90">
        <v>8.57234927943475</v>
      </c>
    </row>
    <row r="8837" spans="1:2">
      <c r="A8837" s="32">
        <v>8824</v>
      </c>
      <c r="B8837" s="90">
        <v>8.4412724537406572</v>
      </c>
    </row>
    <row r="8838" spans="1:2">
      <c r="A8838" s="32">
        <v>8825</v>
      </c>
      <c r="B8838" s="90">
        <v>8.1213536699943027</v>
      </c>
    </row>
    <row r="8839" spans="1:2">
      <c r="A8839" s="32">
        <v>8826</v>
      </c>
      <c r="B8839" s="90">
        <v>8.153843713431014</v>
      </c>
    </row>
    <row r="8840" spans="1:2">
      <c r="A8840" s="32">
        <v>8827</v>
      </c>
      <c r="B8840" s="90">
        <v>8.2440039573341579</v>
      </c>
    </row>
    <row r="8841" spans="1:2">
      <c r="A8841" s="32">
        <v>8828</v>
      </c>
      <c r="B8841" s="90">
        <v>8.4517950082975073</v>
      </c>
    </row>
    <row r="8842" spans="1:2">
      <c r="A8842" s="32">
        <v>8829</v>
      </c>
      <c r="B8842" s="90">
        <v>7.615800365457873</v>
      </c>
    </row>
    <row r="8843" spans="1:2">
      <c r="A8843" s="32">
        <v>8830</v>
      </c>
      <c r="B8843" s="90">
        <v>7.3356772568381468</v>
      </c>
    </row>
    <row r="8844" spans="1:2">
      <c r="A8844" s="32">
        <v>8831</v>
      </c>
      <c r="B8844" s="90">
        <v>8.3598098048717908</v>
      </c>
    </row>
    <row r="8845" spans="1:2">
      <c r="A8845" s="32">
        <v>8832</v>
      </c>
      <c r="B8845" s="90">
        <v>8.0726259275977661</v>
      </c>
    </row>
    <row r="8846" spans="1:2">
      <c r="A8846" s="32">
        <v>8833</v>
      </c>
      <c r="B8846" s="90">
        <v>7.8250914440090229</v>
      </c>
    </row>
    <row r="8847" spans="1:2">
      <c r="A8847" s="32">
        <v>8834</v>
      </c>
      <c r="B8847" s="90">
        <v>7.8321126899961131</v>
      </c>
    </row>
    <row r="8848" spans="1:2">
      <c r="A8848" s="32">
        <v>8835</v>
      </c>
      <c r="B8848" s="90">
        <v>8.2905586494684851</v>
      </c>
    </row>
    <row r="8849" spans="1:2">
      <c r="A8849" s="32">
        <v>8836</v>
      </c>
      <c r="B8849" s="90">
        <v>8.7583427425518732</v>
      </c>
    </row>
    <row r="8850" spans="1:2">
      <c r="A8850" s="32">
        <v>8837</v>
      </c>
      <c r="B8850" s="90">
        <v>8.2874641928237835</v>
      </c>
    </row>
    <row r="8851" spans="1:2">
      <c r="A8851" s="32">
        <v>8838</v>
      </c>
      <c r="B8851" s="90">
        <v>8.4916881639125048</v>
      </c>
    </row>
    <row r="8852" spans="1:2">
      <c r="A8852" s="32">
        <v>8839</v>
      </c>
      <c r="B8852" s="90">
        <v>7.7525959740974368</v>
      </c>
    </row>
    <row r="8853" spans="1:2">
      <c r="A8853" s="32">
        <v>8840</v>
      </c>
      <c r="B8853" s="90">
        <v>7.8880250414041058</v>
      </c>
    </row>
    <row r="8854" spans="1:2">
      <c r="A8854" s="32">
        <v>8841</v>
      </c>
      <c r="B8854" s="90">
        <v>8.1537446208122706</v>
      </c>
    </row>
    <row r="8855" spans="1:2">
      <c r="A8855" s="32">
        <v>8842</v>
      </c>
      <c r="B8855" s="90">
        <v>7.2190486567177627</v>
      </c>
    </row>
    <row r="8856" spans="1:2">
      <c r="A8856" s="32">
        <v>8843</v>
      </c>
      <c r="B8856" s="90">
        <v>7.5431832547007609</v>
      </c>
    </row>
    <row r="8857" spans="1:2">
      <c r="A8857" s="32">
        <v>8844</v>
      </c>
      <c r="B8857" s="90">
        <v>7.6803659419705994</v>
      </c>
    </row>
    <row r="8858" spans="1:2">
      <c r="A8858" s="32">
        <v>8845</v>
      </c>
      <c r="B8858" s="90">
        <v>7.3753582200048546</v>
      </c>
    </row>
    <row r="8859" spans="1:2">
      <c r="A8859" s="32">
        <v>8846</v>
      </c>
      <c r="B8859" s="90">
        <v>8.9943248480569338</v>
      </c>
    </row>
    <row r="8860" spans="1:2">
      <c r="A8860" s="32">
        <v>8847</v>
      </c>
      <c r="B8860" s="90">
        <v>9.0985571995704184</v>
      </c>
    </row>
    <row r="8861" spans="1:2">
      <c r="A8861" s="32">
        <v>8848</v>
      </c>
      <c r="B8861" s="90">
        <v>8.1206799098926687</v>
      </c>
    </row>
    <row r="8862" spans="1:2">
      <c r="A8862" s="32">
        <v>8849</v>
      </c>
      <c r="B8862" s="90">
        <v>9.5464131064281634</v>
      </c>
    </row>
    <row r="8863" spans="1:2">
      <c r="A8863" s="32">
        <v>8850</v>
      </c>
      <c r="B8863" s="90">
        <v>8.0871541211455682</v>
      </c>
    </row>
    <row r="8864" spans="1:2">
      <c r="A8864" s="32">
        <v>8851</v>
      </c>
      <c r="B8864" s="90">
        <v>8.3077049538526175</v>
      </c>
    </row>
    <row r="8865" spans="1:2">
      <c r="A8865" s="32">
        <v>8852</v>
      </c>
      <c r="B8865" s="90">
        <v>7.7669733523554516</v>
      </c>
    </row>
    <row r="8866" spans="1:2">
      <c r="A8866" s="32">
        <v>8853</v>
      </c>
      <c r="B8866" s="90">
        <v>8.286265266167808</v>
      </c>
    </row>
    <row r="8867" spans="1:2">
      <c r="A8867" s="32">
        <v>8854</v>
      </c>
      <c r="B8867" s="90">
        <v>9.0492981092865374</v>
      </c>
    </row>
    <row r="8868" spans="1:2">
      <c r="A8868" s="32">
        <v>8855</v>
      </c>
      <c r="B8868" s="90">
        <v>6.6781478009135427</v>
      </c>
    </row>
    <row r="8869" spans="1:2">
      <c r="A8869" s="32">
        <v>8856</v>
      </c>
      <c r="B8869" s="90">
        <v>9.3351933018753197</v>
      </c>
    </row>
    <row r="8870" spans="1:2">
      <c r="A8870" s="32">
        <v>8857</v>
      </c>
      <c r="B8870" s="90">
        <v>8.1714682845932156</v>
      </c>
    </row>
    <row r="8871" spans="1:2">
      <c r="A8871" s="32">
        <v>8858</v>
      </c>
      <c r="B8871" s="90">
        <v>8.4784569928977369</v>
      </c>
    </row>
    <row r="8872" spans="1:2">
      <c r="A8872" s="32">
        <v>8859</v>
      </c>
      <c r="B8872" s="90">
        <v>9.3389284602339409</v>
      </c>
    </row>
    <row r="8873" spans="1:2">
      <c r="A8873" s="32">
        <v>8860</v>
      </c>
      <c r="B8873" s="90">
        <v>7.0862838774576247</v>
      </c>
    </row>
    <row r="8874" spans="1:2">
      <c r="A8874" s="32">
        <v>8861</v>
      </c>
      <c r="B8874" s="90">
        <v>8.8217726057273111</v>
      </c>
    </row>
    <row r="8875" spans="1:2">
      <c r="A8875" s="32">
        <v>8862</v>
      </c>
      <c r="B8875" s="90">
        <v>9.409422186673039</v>
      </c>
    </row>
    <row r="8876" spans="1:2">
      <c r="A8876" s="32">
        <v>8863</v>
      </c>
      <c r="B8876" s="90">
        <v>10.128902017916554</v>
      </c>
    </row>
    <row r="8877" spans="1:2">
      <c r="A8877" s="32">
        <v>8864</v>
      </c>
      <c r="B8877" s="90">
        <v>8.3081053745347777</v>
      </c>
    </row>
    <row r="8878" spans="1:2">
      <c r="A8878" s="32">
        <v>8865</v>
      </c>
      <c r="B8878" s="90">
        <v>7.8352328095426396</v>
      </c>
    </row>
    <row r="8879" spans="1:2">
      <c r="A8879" s="32">
        <v>8866</v>
      </c>
      <c r="B8879" s="90">
        <v>8.7283327969929765</v>
      </c>
    </row>
    <row r="8880" spans="1:2">
      <c r="A8880" s="32">
        <v>8867</v>
      </c>
      <c r="B8880" s="90">
        <v>8.0962459031672864</v>
      </c>
    </row>
    <row r="8881" spans="1:2">
      <c r="A8881" s="32">
        <v>8868</v>
      </c>
      <c r="B8881" s="90">
        <v>7.5733726066764779</v>
      </c>
    </row>
    <row r="8882" spans="1:2">
      <c r="A8882" s="32">
        <v>8869</v>
      </c>
      <c r="B8882" s="90">
        <v>7.8072248872978669</v>
      </c>
    </row>
    <row r="8883" spans="1:2">
      <c r="A8883" s="32">
        <v>8870</v>
      </c>
      <c r="B8883" s="90">
        <v>8.8592281558025494</v>
      </c>
    </row>
    <row r="8884" spans="1:2">
      <c r="A8884" s="32">
        <v>8871</v>
      </c>
      <c r="B8884" s="90">
        <v>6.8921568532239537</v>
      </c>
    </row>
    <row r="8885" spans="1:2">
      <c r="A8885" s="32">
        <v>8872</v>
      </c>
      <c r="B8885" s="90">
        <v>7.6029578553076975</v>
      </c>
    </row>
    <row r="8886" spans="1:2">
      <c r="A8886" s="32">
        <v>8873</v>
      </c>
      <c r="B8886" s="90">
        <v>6.9401266127204808</v>
      </c>
    </row>
    <row r="8887" spans="1:2">
      <c r="A8887" s="32">
        <v>8874</v>
      </c>
      <c r="B8887" s="90">
        <v>7.3827990167139328</v>
      </c>
    </row>
    <row r="8888" spans="1:2">
      <c r="A8888" s="32">
        <v>8875</v>
      </c>
      <c r="B8888" s="90">
        <v>7.7624301072410882</v>
      </c>
    </row>
    <row r="8889" spans="1:2">
      <c r="A8889" s="32">
        <v>8876</v>
      </c>
      <c r="B8889" s="90">
        <v>8.2653790834410046</v>
      </c>
    </row>
    <row r="8890" spans="1:2">
      <c r="A8890" s="32">
        <v>8877</v>
      </c>
      <c r="B8890" s="90">
        <v>8.2330679078345526</v>
      </c>
    </row>
    <row r="8891" spans="1:2">
      <c r="A8891" s="32">
        <v>8878</v>
      </c>
      <c r="B8891" s="90">
        <v>9.6915804815437969</v>
      </c>
    </row>
    <row r="8892" spans="1:2">
      <c r="A8892" s="32">
        <v>8879</v>
      </c>
      <c r="B8892" s="90">
        <v>9.5336278974939859</v>
      </c>
    </row>
    <row r="8893" spans="1:2">
      <c r="A8893" s="32">
        <v>8880</v>
      </c>
      <c r="B8893" s="90">
        <v>7.4681838108829739</v>
      </c>
    </row>
    <row r="8894" spans="1:2">
      <c r="A8894" s="32">
        <v>8881</v>
      </c>
      <c r="B8894" s="90">
        <v>8.0419511503436301</v>
      </c>
    </row>
    <row r="8895" spans="1:2">
      <c r="A8895" s="32">
        <v>8882</v>
      </c>
      <c r="B8895" s="90">
        <v>8.237047550000991</v>
      </c>
    </row>
    <row r="8896" spans="1:2">
      <c r="A8896" s="32">
        <v>8883</v>
      </c>
      <c r="B8896" s="90">
        <v>7.7504333098713074</v>
      </c>
    </row>
    <row r="8897" spans="1:2">
      <c r="A8897" s="32">
        <v>8884</v>
      </c>
      <c r="B8897" s="90">
        <v>8.1949101644517111</v>
      </c>
    </row>
    <row r="8898" spans="1:2">
      <c r="A8898" s="32">
        <v>8885</v>
      </c>
      <c r="B8898" s="90">
        <v>8.2429970618111224</v>
      </c>
    </row>
    <row r="8899" spans="1:2">
      <c r="A8899" s="32">
        <v>8886</v>
      </c>
      <c r="B8899" s="90">
        <v>7.694019170979371</v>
      </c>
    </row>
    <row r="8900" spans="1:2">
      <c r="A8900" s="32">
        <v>8887</v>
      </c>
      <c r="B8900" s="90">
        <v>9.0121891368594671</v>
      </c>
    </row>
    <row r="8901" spans="1:2">
      <c r="A8901" s="32">
        <v>8888</v>
      </c>
      <c r="B8901" s="90">
        <v>7.5725123231661922</v>
      </c>
    </row>
    <row r="8902" spans="1:2">
      <c r="A8902" s="32">
        <v>8889</v>
      </c>
      <c r="B8902" s="90">
        <v>8.0298267671187968</v>
      </c>
    </row>
    <row r="8903" spans="1:2">
      <c r="A8903" s="32">
        <v>8890</v>
      </c>
      <c r="B8903" s="90">
        <v>7.468742980483456</v>
      </c>
    </row>
    <row r="8904" spans="1:2">
      <c r="A8904" s="32">
        <v>8891</v>
      </c>
      <c r="B8904" s="90">
        <v>7.6332897864845766</v>
      </c>
    </row>
    <row r="8905" spans="1:2">
      <c r="A8905" s="32">
        <v>8892</v>
      </c>
      <c r="B8905" s="90">
        <v>8.1539569179606222</v>
      </c>
    </row>
    <row r="8906" spans="1:2">
      <c r="A8906" s="32">
        <v>8893</v>
      </c>
      <c r="B8906" s="90">
        <v>8.9756766346684174</v>
      </c>
    </row>
    <row r="8907" spans="1:2">
      <c r="A8907" s="32">
        <v>8894</v>
      </c>
      <c r="B8907" s="90">
        <v>8.4655065812035453</v>
      </c>
    </row>
    <row r="8908" spans="1:2">
      <c r="A8908" s="32">
        <v>8895</v>
      </c>
      <c r="B8908" s="90">
        <v>9.2803024747893623</v>
      </c>
    </row>
    <row r="8909" spans="1:2">
      <c r="A8909" s="32">
        <v>8896</v>
      </c>
      <c r="B8909" s="90">
        <v>7.9577728263423007</v>
      </c>
    </row>
    <row r="8910" spans="1:2">
      <c r="A8910" s="32">
        <v>8897</v>
      </c>
      <c r="B8910" s="90">
        <v>8.5758020454699437</v>
      </c>
    </row>
    <row r="8911" spans="1:2">
      <c r="A8911" s="32">
        <v>8898</v>
      </c>
      <c r="B8911" s="90">
        <v>7.2737957498604393</v>
      </c>
    </row>
    <row r="8912" spans="1:2">
      <c r="A8912" s="32">
        <v>8899</v>
      </c>
      <c r="B8912" s="90">
        <v>7.9312654213123048</v>
      </c>
    </row>
    <row r="8913" spans="1:2">
      <c r="A8913" s="32">
        <v>8900</v>
      </c>
      <c r="B8913" s="90">
        <v>7.6694193055001394</v>
      </c>
    </row>
    <row r="8914" spans="1:2">
      <c r="A8914" s="32">
        <v>8901</v>
      </c>
      <c r="B8914" s="90">
        <v>8.4791165782442324</v>
      </c>
    </row>
    <row r="8915" spans="1:2">
      <c r="A8915" s="32">
        <v>8902</v>
      </c>
      <c r="B8915" s="90">
        <v>8.2573550669840881</v>
      </c>
    </row>
    <row r="8916" spans="1:2">
      <c r="A8916" s="32">
        <v>8903</v>
      </c>
      <c r="B8916" s="90">
        <v>7.286294458825278</v>
      </c>
    </row>
    <row r="8917" spans="1:2">
      <c r="A8917" s="32">
        <v>8904</v>
      </c>
      <c r="B8917" s="90">
        <v>8.1754052472931811</v>
      </c>
    </row>
    <row r="8918" spans="1:2">
      <c r="A8918" s="32">
        <v>8905</v>
      </c>
      <c r="B8918" s="90">
        <v>8.0395692605070845</v>
      </c>
    </row>
    <row r="8919" spans="1:2">
      <c r="A8919" s="32">
        <v>8906</v>
      </c>
      <c r="B8919" s="90">
        <v>7.2549003223387025</v>
      </c>
    </row>
    <row r="8920" spans="1:2">
      <c r="A8920" s="32">
        <v>8907</v>
      </c>
      <c r="B8920" s="90">
        <v>7.2502450695410321</v>
      </c>
    </row>
    <row r="8921" spans="1:2">
      <c r="A8921" s="32">
        <v>8908</v>
      </c>
      <c r="B8921" s="90">
        <v>7.5853353591106387</v>
      </c>
    </row>
    <row r="8922" spans="1:2">
      <c r="A8922" s="32">
        <v>8909</v>
      </c>
      <c r="B8922" s="90">
        <v>8.2433525004537795</v>
      </c>
    </row>
    <row r="8923" spans="1:2">
      <c r="A8923" s="32">
        <v>8910</v>
      </c>
      <c r="B8923" s="90">
        <v>7.9567332990176496</v>
      </c>
    </row>
    <row r="8924" spans="1:2">
      <c r="A8924" s="32">
        <v>8911</v>
      </c>
      <c r="B8924" s="90">
        <v>7.3018790701743228</v>
      </c>
    </row>
    <row r="8925" spans="1:2">
      <c r="A8925" s="32">
        <v>8912</v>
      </c>
      <c r="B8925" s="90">
        <v>7.61821261002195</v>
      </c>
    </row>
    <row r="8926" spans="1:2">
      <c r="A8926" s="32">
        <v>8913</v>
      </c>
      <c r="B8926" s="90">
        <v>6.9381183971680978</v>
      </c>
    </row>
    <row r="8927" spans="1:2">
      <c r="A8927" s="32">
        <v>8914</v>
      </c>
      <c r="B8927" s="90">
        <v>8.3059349733318992</v>
      </c>
    </row>
    <row r="8928" spans="1:2">
      <c r="A8928" s="32">
        <v>8915</v>
      </c>
      <c r="B8928" s="90">
        <v>8.2454776854121921</v>
      </c>
    </row>
    <row r="8929" spans="1:2">
      <c r="A8929" s="32">
        <v>8916</v>
      </c>
      <c r="B8929" s="90">
        <v>9.0407153811774723</v>
      </c>
    </row>
    <row r="8930" spans="1:2">
      <c r="A8930" s="32">
        <v>8917</v>
      </c>
      <c r="B8930" s="90">
        <v>8.1260173349318183</v>
      </c>
    </row>
    <row r="8931" spans="1:2">
      <c r="A8931" s="32">
        <v>8918</v>
      </c>
      <c r="B8931" s="90">
        <v>7.5846016346532812</v>
      </c>
    </row>
    <row r="8932" spans="1:2">
      <c r="A8932" s="32">
        <v>8919</v>
      </c>
      <c r="B8932" s="90">
        <v>8.5597654062183999</v>
      </c>
    </row>
    <row r="8933" spans="1:2">
      <c r="A8933" s="32">
        <v>8920</v>
      </c>
      <c r="B8933" s="90">
        <v>7.2380541026284604</v>
      </c>
    </row>
    <row r="8934" spans="1:2">
      <c r="A8934" s="32">
        <v>8921</v>
      </c>
      <c r="B8934" s="90">
        <v>7.2062431225773382</v>
      </c>
    </row>
    <row r="8935" spans="1:2">
      <c r="A8935" s="32">
        <v>8922</v>
      </c>
      <c r="B8935" s="90">
        <v>8.4309114418285347</v>
      </c>
    </row>
    <row r="8936" spans="1:2">
      <c r="A8936" s="32">
        <v>8923</v>
      </c>
      <c r="B8936" s="90">
        <v>8.5812422909085697</v>
      </c>
    </row>
    <row r="8937" spans="1:2">
      <c r="A8937" s="32">
        <v>8924</v>
      </c>
      <c r="B8937" s="90">
        <v>8.2660329459864155</v>
      </c>
    </row>
    <row r="8938" spans="1:2">
      <c r="A8938" s="32">
        <v>8925</v>
      </c>
      <c r="B8938" s="90">
        <v>8.1130789306478484</v>
      </c>
    </row>
    <row r="8939" spans="1:2">
      <c r="A8939" s="32">
        <v>8926</v>
      </c>
      <c r="B8939" s="90">
        <v>8.0414688827409631</v>
      </c>
    </row>
    <row r="8940" spans="1:2">
      <c r="A8940" s="32">
        <v>8927</v>
      </c>
      <c r="B8940" s="90">
        <v>8.0829313803021137</v>
      </c>
    </row>
    <row r="8941" spans="1:2">
      <c r="A8941" s="32">
        <v>8928</v>
      </c>
      <c r="B8941" s="90">
        <v>8.6378973102146546</v>
      </c>
    </row>
    <row r="8942" spans="1:2">
      <c r="A8942" s="32">
        <v>8929</v>
      </c>
      <c r="B8942" s="90">
        <v>8.6416056132493129</v>
      </c>
    </row>
    <row r="8943" spans="1:2">
      <c r="A8943" s="32">
        <v>8930</v>
      </c>
      <c r="B8943" s="90">
        <v>7.4028288816962</v>
      </c>
    </row>
    <row r="8944" spans="1:2">
      <c r="A8944" s="32">
        <v>8931</v>
      </c>
      <c r="B8944" s="90">
        <v>7.3602663866403866</v>
      </c>
    </row>
    <row r="8945" spans="1:2">
      <c r="A8945" s="32">
        <v>8932</v>
      </c>
      <c r="B8945" s="90">
        <v>9.0198392420156246</v>
      </c>
    </row>
    <row r="8946" spans="1:2">
      <c r="A8946" s="32">
        <v>8933</v>
      </c>
      <c r="B8946" s="90">
        <v>8.184654135664994</v>
      </c>
    </row>
    <row r="8947" spans="1:2">
      <c r="A8947" s="32">
        <v>8934</v>
      </c>
      <c r="B8947" s="90">
        <v>8.2590711207399554</v>
      </c>
    </row>
    <row r="8948" spans="1:2">
      <c r="A8948" s="32">
        <v>8935</v>
      </c>
      <c r="B8948" s="90">
        <v>8.1228950264963125</v>
      </c>
    </row>
    <row r="8949" spans="1:2">
      <c r="A8949" s="32">
        <v>8936</v>
      </c>
      <c r="B8949" s="90">
        <v>7.7030064212439573</v>
      </c>
    </row>
    <row r="8950" spans="1:2">
      <c r="A8950" s="32">
        <v>8937</v>
      </c>
      <c r="B8950" s="90">
        <v>8.2498336915864225</v>
      </c>
    </row>
    <row r="8951" spans="1:2">
      <c r="A8951" s="32">
        <v>8938</v>
      </c>
      <c r="B8951" s="90">
        <v>8.6073974876421389</v>
      </c>
    </row>
    <row r="8952" spans="1:2">
      <c r="A8952" s="32">
        <v>8939</v>
      </c>
      <c r="B8952" s="90">
        <v>7.8588777042643283</v>
      </c>
    </row>
    <row r="8953" spans="1:2">
      <c r="A8953" s="32">
        <v>8940</v>
      </c>
      <c r="B8953" s="90">
        <v>8.117294685076569</v>
      </c>
    </row>
    <row r="8954" spans="1:2">
      <c r="A8954" s="32">
        <v>8941</v>
      </c>
      <c r="B8954" s="90">
        <v>9.048461160990291</v>
      </c>
    </row>
    <row r="8955" spans="1:2">
      <c r="A8955" s="32">
        <v>8942</v>
      </c>
      <c r="B8955" s="90">
        <v>7.6618212690306748</v>
      </c>
    </row>
    <row r="8956" spans="1:2">
      <c r="A8956" s="32">
        <v>8943</v>
      </c>
      <c r="B8956" s="90">
        <v>8.8307404704153409</v>
      </c>
    </row>
    <row r="8957" spans="1:2">
      <c r="A8957" s="32">
        <v>8944</v>
      </c>
      <c r="B8957" s="90">
        <v>7.6447016887843766</v>
      </c>
    </row>
    <row r="8958" spans="1:2">
      <c r="A8958" s="32">
        <v>8945</v>
      </c>
      <c r="B8958" s="90">
        <v>7.9192392468549135</v>
      </c>
    </row>
    <row r="8959" spans="1:2">
      <c r="A8959" s="32">
        <v>8946</v>
      </c>
      <c r="B8959" s="90">
        <v>8.2841407620311429</v>
      </c>
    </row>
    <row r="8960" spans="1:2">
      <c r="A8960" s="32">
        <v>8947</v>
      </c>
      <c r="B8960" s="90">
        <v>8.2960531011382077</v>
      </c>
    </row>
    <row r="8961" spans="1:2">
      <c r="A8961" s="32">
        <v>8948</v>
      </c>
      <c r="B8961" s="90">
        <v>8.4768896171949422</v>
      </c>
    </row>
    <row r="8962" spans="1:2">
      <c r="A8962" s="32">
        <v>8949</v>
      </c>
      <c r="B8962" s="90">
        <v>8.8971992173909022</v>
      </c>
    </row>
    <row r="8963" spans="1:2">
      <c r="A8963" s="32">
        <v>8950</v>
      </c>
      <c r="B8963" s="90">
        <v>7.6210645328609319</v>
      </c>
    </row>
    <row r="8964" spans="1:2">
      <c r="A8964" s="32">
        <v>8951</v>
      </c>
      <c r="B8964" s="90">
        <v>7.8882186835224184</v>
      </c>
    </row>
    <row r="8965" spans="1:2">
      <c r="A8965" s="32">
        <v>8952</v>
      </c>
      <c r="B8965" s="90">
        <v>8.5082008790438923</v>
      </c>
    </row>
    <row r="8966" spans="1:2">
      <c r="A8966" s="32">
        <v>8953</v>
      </c>
      <c r="B8966" s="90">
        <v>8.2688425134248735</v>
      </c>
    </row>
    <row r="8967" spans="1:2">
      <c r="A8967" s="32">
        <v>8954</v>
      </c>
      <c r="B8967" s="90">
        <v>7.2397053475810846</v>
      </c>
    </row>
    <row r="8968" spans="1:2">
      <c r="A8968" s="32">
        <v>8955</v>
      </c>
      <c r="B8968" s="90">
        <v>7.6972618035388622</v>
      </c>
    </row>
    <row r="8969" spans="1:2">
      <c r="A8969" s="32">
        <v>8956</v>
      </c>
      <c r="B8969" s="90">
        <v>8.627082051797883</v>
      </c>
    </row>
    <row r="8970" spans="1:2">
      <c r="A8970" s="32">
        <v>8957</v>
      </c>
      <c r="B8970" s="90">
        <v>8.3546030698352869</v>
      </c>
    </row>
    <row r="8971" spans="1:2">
      <c r="A8971" s="32">
        <v>8958</v>
      </c>
      <c r="B8971" s="90">
        <v>8.3364741254412262</v>
      </c>
    </row>
    <row r="8972" spans="1:2">
      <c r="A8972" s="32">
        <v>8959</v>
      </c>
      <c r="B8972" s="90">
        <v>8.1371535200121805</v>
      </c>
    </row>
    <row r="8973" spans="1:2">
      <c r="A8973" s="32">
        <v>8960</v>
      </c>
      <c r="B8973" s="90">
        <v>7.6050580048120331</v>
      </c>
    </row>
    <row r="8974" spans="1:2">
      <c r="A8974" s="32">
        <v>8961</v>
      </c>
      <c r="B8974" s="90">
        <v>8.2381876092503159</v>
      </c>
    </row>
    <row r="8975" spans="1:2">
      <c r="A8975" s="32">
        <v>8962</v>
      </c>
      <c r="B8975" s="90">
        <v>8.818720060318995</v>
      </c>
    </row>
    <row r="8976" spans="1:2">
      <c r="A8976" s="32">
        <v>8963</v>
      </c>
      <c r="B8976" s="90">
        <v>7.7726569952894087</v>
      </c>
    </row>
    <row r="8977" spans="1:2">
      <c r="A8977" s="32">
        <v>8964</v>
      </c>
      <c r="B8977" s="90">
        <v>8.4561914446405382</v>
      </c>
    </row>
    <row r="8978" spans="1:2">
      <c r="A8978" s="32">
        <v>8965</v>
      </c>
      <c r="B8978" s="90">
        <v>7.6802399930067695</v>
      </c>
    </row>
    <row r="8979" spans="1:2">
      <c r="A8979" s="32">
        <v>8966</v>
      </c>
      <c r="B8979" s="90">
        <v>7.7478543270882785</v>
      </c>
    </row>
    <row r="8980" spans="1:2">
      <c r="A8980" s="32">
        <v>8967</v>
      </c>
      <c r="B8980" s="90">
        <v>7.9514716339546974</v>
      </c>
    </row>
    <row r="8981" spans="1:2">
      <c r="A8981" s="32">
        <v>8968</v>
      </c>
      <c r="B8981" s="90">
        <v>7.7027682663811756</v>
      </c>
    </row>
    <row r="8982" spans="1:2">
      <c r="A8982" s="32">
        <v>8969</v>
      </c>
      <c r="B8982" s="90">
        <v>9.2739611317630022</v>
      </c>
    </row>
    <row r="8983" spans="1:2">
      <c r="A8983" s="32">
        <v>8970</v>
      </c>
      <c r="B8983" s="90">
        <v>7.657480716644546</v>
      </c>
    </row>
    <row r="8984" spans="1:2">
      <c r="A8984" s="32">
        <v>8971</v>
      </c>
      <c r="B8984" s="90">
        <v>7.5085018171550741</v>
      </c>
    </row>
    <row r="8985" spans="1:2">
      <c r="A8985" s="32">
        <v>8972</v>
      </c>
      <c r="B8985" s="90">
        <v>7.2695199154082921</v>
      </c>
    </row>
    <row r="8986" spans="1:2">
      <c r="A8986" s="32">
        <v>8973</v>
      </c>
      <c r="B8986" s="90">
        <v>8.627600527623942</v>
      </c>
    </row>
    <row r="8987" spans="1:2">
      <c r="A8987" s="32">
        <v>8974</v>
      </c>
      <c r="B8987" s="90">
        <v>7.5285927707718256</v>
      </c>
    </row>
    <row r="8988" spans="1:2">
      <c r="A8988" s="32">
        <v>8975</v>
      </c>
      <c r="B8988" s="90">
        <v>8.003162849293382</v>
      </c>
    </row>
    <row r="8989" spans="1:2">
      <c r="A8989" s="32">
        <v>8976</v>
      </c>
      <c r="B8989" s="90">
        <v>8.5677851365997171</v>
      </c>
    </row>
    <row r="8990" spans="1:2">
      <c r="A8990" s="32">
        <v>8977</v>
      </c>
      <c r="B8990" s="90">
        <v>8.7258810514173764</v>
      </c>
    </row>
    <row r="8991" spans="1:2">
      <c r="A8991" s="32">
        <v>8978</v>
      </c>
      <c r="B8991" s="90">
        <v>8.9731212548917956</v>
      </c>
    </row>
    <row r="8992" spans="1:2">
      <c r="A8992" s="32">
        <v>8979</v>
      </c>
      <c r="B8992" s="90">
        <v>8.6040938125202171</v>
      </c>
    </row>
    <row r="8993" spans="1:2">
      <c r="A8993" s="32">
        <v>8980</v>
      </c>
      <c r="B8993" s="90">
        <v>7.6248396911029035</v>
      </c>
    </row>
    <row r="8994" spans="1:2">
      <c r="A8994" s="32">
        <v>8981</v>
      </c>
      <c r="B8994" s="90">
        <v>7.7178913716516702</v>
      </c>
    </row>
    <row r="8995" spans="1:2">
      <c r="A8995" s="32">
        <v>8982</v>
      </c>
      <c r="B8995" s="90">
        <v>8.3459330437499091</v>
      </c>
    </row>
    <row r="8996" spans="1:2">
      <c r="A8996" s="32">
        <v>8983</v>
      </c>
      <c r="B8996" s="90">
        <v>8.2721872505495142</v>
      </c>
    </row>
    <row r="8997" spans="1:2">
      <c r="A8997" s="32">
        <v>8984</v>
      </c>
      <c r="B8997" s="90">
        <v>8.2614621686141057</v>
      </c>
    </row>
    <row r="8998" spans="1:2">
      <c r="A8998" s="32">
        <v>8985</v>
      </c>
      <c r="B8998" s="90">
        <v>8.1906084265567287</v>
      </c>
    </row>
    <row r="8999" spans="1:2">
      <c r="A8999" s="32">
        <v>8986</v>
      </c>
      <c r="B8999" s="90">
        <v>8.2672012592754527</v>
      </c>
    </row>
    <row r="9000" spans="1:2">
      <c r="A9000" s="32">
        <v>8987</v>
      </c>
      <c r="B9000" s="90">
        <v>7.5178371459465403</v>
      </c>
    </row>
    <row r="9001" spans="1:2">
      <c r="A9001" s="32">
        <v>8988</v>
      </c>
      <c r="B9001" s="90">
        <v>8.4904927908982391</v>
      </c>
    </row>
    <row r="9002" spans="1:2">
      <c r="A9002" s="32">
        <v>8989</v>
      </c>
      <c r="B9002" s="90">
        <v>8.5284051229302289</v>
      </c>
    </row>
    <row r="9003" spans="1:2">
      <c r="A9003" s="32">
        <v>8990</v>
      </c>
      <c r="B9003" s="90">
        <v>8.1913155670711983</v>
      </c>
    </row>
    <row r="9004" spans="1:2">
      <c r="A9004" s="32">
        <v>8991</v>
      </c>
      <c r="B9004" s="90">
        <v>7.433472148373899</v>
      </c>
    </row>
    <row r="9005" spans="1:2">
      <c r="A9005" s="32">
        <v>8992</v>
      </c>
      <c r="B9005" s="90">
        <v>8.3590455157898127</v>
      </c>
    </row>
    <row r="9006" spans="1:2">
      <c r="A9006" s="32">
        <v>8993</v>
      </c>
      <c r="B9006" s="90">
        <v>7.0430548871717678</v>
      </c>
    </row>
    <row r="9007" spans="1:2">
      <c r="A9007" s="32">
        <v>8994</v>
      </c>
      <c r="B9007" s="90">
        <v>7.7246953067400286</v>
      </c>
    </row>
    <row r="9008" spans="1:2">
      <c r="A9008" s="32">
        <v>8995</v>
      </c>
      <c r="B9008" s="90">
        <v>7.8150085371430453</v>
      </c>
    </row>
    <row r="9009" spans="1:2">
      <c r="A9009" s="32">
        <v>8996</v>
      </c>
      <c r="B9009" s="90">
        <v>9.3743233585291943</v>
      </c>
    </row>
    <row r="9010" spans="1:2">
      <c r="A9010" s="32">
        <v>8997</v>
      </c>
      <c r="B9010" s="90">
        <v>9.2367041920570916</v>
      </c>
    </row>
    <row r="9011" spans="1:2">
      <c r="A9011" s="32">
        <v>8998</v>
      </c>
      <c r="B9011" s="90">
        <v>7.4471301792681457</v>
      </c>
    </row>
    <row r="9012" spans="1:2">
      <c r="A9012" s="32">
        <v>8999</v>
      </c>
      <c r="B9012" s="90">
        <v>9.0920192726655689</v>
      </c>
    </row>
    <row r="9013" spans="1:2">
      <c r="A9013" s="32">
        <v>9000</v>
      </c>
      <c r="B9013" s="90">
        <v>7.471536769529008</v>
      </c>
    </row>
    <row r="9014" spans="1:2">
      <c r="A9014" s="32">
        <v>9001</v>
      </c>
      <c r="B9014" s="90">
        <v>8.7654621295634332</v>
      </c>
    </row>
    <row r="9015" spans="1:2">
      <c r="A9015" s="32">
        <v>9002</v>
      </c>
      <c r="B9015" s="90">
        <v>7.6853806914246379</v>
      </c>
    </row>
    <row r="9016" spans="1:2">
      <c r="A9016" s="32">
        <v>9003</v>
      </c>
      <c r="B9016" s="90">
        <v>8.8612058517249288</v>
      </c>
    </row>
    <row r="9017" spans="1:2">
      <c r="A9017" s="32">
        <v>9004</v>
      </c>
      <c r="B9017" s="90">
        <v>6.7816216818110933</v>
      </c>
    </row>
    <row r="9018" spans="1:2">
      <c r="A9018" s="32">
        <v>9005</v>
      </c>
      <c r="B9018" s="90">
        <v>7.718576193082181</v>
      </c>
    </row>
    <row r="9019" spans="1:2">
      <c r="A9019" s="32">
        <v>9006</v>
      </c>
      <c r="B9019" s="90">
        <v>7.5192330725998042</v>
      </c>
    </row>
    <row r="9020" spans="1:2">
      <c r="A9020" s="32">
        <v>9007</v>
      </c>
      <c r="B9020" s="90">
        <v>8.2399429462909843</v>
      </c>
    </row>
    <row r="9021" spans="1:2">
      <c r="A9021" s="32">
        <v>9008</v>
      </c>
      <c r="B9021" s="90">
        <v>6.8063938038029015</v>
      </c>
    </row>
    <row r="9022" spans="1:2">
      <c r="A9022" s="32">
        <v>9009</v>
      </c>
      <c r="B9022" s="90">
        <v>8.4398667435820443</v>
      </c>
    </row>
    <row r="9023" spans="1:2">
      <c r="A9023" s="32">
        <v>9010</v>
      </c>
      <c r="B9023" s="90">
        <v>7.8597453291082742</v>
      </c>
    </row>
    <row r="9024" spans="1:2">
      <c r="A9024" s="32">
        <v>9011</v>
      </c>
      <c r="B9024" s="90">
        <v>7.6903345641958394</v>
      </c>
    </row>
    <row r="9025" spans="1:2">
      <c r="A9025" s="32">
        <v>9012</v>
      </c>
      <c r="B9025" s="90">
        <v>7.7387321683044688</v>
      </c>
    </row>
    <row r="9026" spans="1:2">
      <c r="A9026" s="32">
        <v>9013</v>
      </c>
      <c r="B9026" s="90">
        <v>9.5853639927550294</v>
      </c>
    </row>
    <row r="9027" spans="1:2">
      <c r="A9027" s="32">
        <v>9014</v>
      </c>
      <c r="B9027" s="90">
        <v>8.1518661772796079</v>
      </c>
    </row>
    <row r="9028" spans="1:2">
      <c r="A9028" s="32">
        <v>9015</v>
      </c>
      <c r="B9028" s="90">
        <v>7.9224026856397591</v>
      </c>
    </row>
    <row r="9029" spans="1:2">
      <c r="A9029" s="32">
        <v>9016</v>
      </c>
      <c r="B9029" s="90">
        <v>8.0109258462687603</v>
      </c>
    </row>
    <row r="9030" spans="1:2">
      <c r="A9030" s="32">
        <v>9017</v>
      </c>
      <c r="B9030" s="90">
        <v>8.2577098242311529</v>
      </c>
    </row>
    <row r="9031" spans="1:2">
      <c r="A9031" s="32">
        <v>9018</v>
      </c>
      <c r="B9031" s="90">
        <v>8.5690371374053171</v>
      </c>
    </row>
    <row r="9032" spans="1:2">
      <c r="A9032" s="32">
        <v>9019</v>
      </c>
      <c r="B9032" s="90">
        <v>7.4058162748416665</v>
      </c>
    </row>
    <row r="9033" spans="1:2">
      <c r="A9033" s="32">
        <v>9020</v>
      </c>
      <c r="B9033" s="90">
        <v>8.6684566897077691</v>
      </c>
    </row>
    <row r="9034" spans="1:2">
      <c r="A9034" s="32">
        <v>9021</v>
      </c>
      <c r="B9034" s="90">
        <v>8.8866419706498334</v>
      </c>
    </row>
    <row r="9035" spans="1:2">
      <c r="A9035" s="32">
        <v>9022</v>
      </c>
      <c r="B9035" s="90">
        <v>8.1711211308254939</v>
      </c>
    </row>
    <row r="9036" spans="1:2">
      <c r="A9036" s="32">
        <v>9023</v>
      </c>
      <c r="B9036" s="90">
        <v>7.3468178015830841</v>
      </c>
    </row>
    <row r="9037" spans="1:2">
      <c r="A9037" s="32">
        <v>9024</v>
      </c>
      <c r="B9037" s="90">
        <v>8.1919335671719207</v>
      </c>
    </row>
    <row r="9038" spans="1:2">
      <c r="A9038" s="32">
        <v>9025</v>
      </c>
      <c r="B9038" s="90">
        <v>8.8474122343950157</v>
      </c>
    </row>
    <row r="9039" spans="1:2">
      <c r="A9039" s="32">
        <v>9026</v>
      </c>
      <c r="B9039" s="90">
        <v>7.7573364361156214</v>
      </c>
    </row>
    <row r="9040" spans="1:2">
      <c r="A9040" s="32">
        <v>9027</v>
      </c>
      <c r="B9040" s="90">
        <v>7.8927521257826578</v>
      </c>
    </row>
    <row r="9041" spans="1:2">
      <c r="A9041" s="32">
        <v>9028</v>
      </c>
      <c r="B9041" s="90">
        <v>8.3128736062409132</v>
      </c>
    </row>
    <row r="9042" spans="1:2">
      <c r="A9042" s="32">
        <v>9029</v>
      </c>
      <c r="B9042" s="90">
        <v>8.4077585394586691</v>
      </c>
    </row>
    <row r="9043" spans="1:2">
      <c r="A9043" s="32">
        <v>9030</v>
      </c>
      <c r="B9043" s="90">
        <v>8.6640965821846603</v>
      </c>
    </row>
    <row r="9044" spans="1:2">
      <c r="A9044" s="32">
        <v>9031</v>
      </c>
      <c r="B9044" s="90">
        <v>7.7049813737796926</v>
      </c>
    </row>
    <row r="9045" spans="1:2">
      <c r="A9045" s="32">
        <v>9032</v>
      </c>
      <c r="B9045" s="90">
        <v>8.1406917079093066</v>
      </c>
    </row>
    <row r="9046" spans="1:2">
      <c r="A9046" s="32">
        <v>9033</v>
      </c>
      <c r="B9046" s="90">
        <v>7.7415244221975668</v>
      </c>
    </row>
    <row r="9047" spans="1:2">
      <c r="A9047" s="32">
        <v>9034</v>
      </c>
      <c r="B9047" s="90">
        <v>8.2460808105235763</v>
      </c>
    </row>
    <row r="9048" spans="1:2">
      <c r="A9048" s="32">
        <v>9035</v>
      </c>
      <c r="B9048" s="90">
        <v>8.6063010809677145</v>
      </c>
    </row>
    <row r="9049" spans="1:2">
      <c r="A9049" s="32">
        <v>9036</v>
      </c>
      <c r="B9049" s="90">
        <v>7.1150030797507418</v>
      </c>
    </row>
    <row r="9050" spans="1:2">
      <c r="A9050" s="32">
        <v>9037</v>
      </c>
      <c r="B9050" s="90">
        <v>8.4506142045863459</v>
      </c>
    </row>
    <row r="9051" spans="1:2">
      <c r="A9051" s="32">
        <v>9038</v>
      </c>
      <c r="B9051" s="90">
        <v>8.0034958813405073</v>
      </c>
    </row>
    <row r="9052" spans="1:2">
      <c r="A9052" s="32">
        <v>9039</v>
      </c>
      <c r="B9052" s="90">
        <v>8.5244897126272772</v>
      </c>
    </row>
    <row r="9053" spans="1:2">
      <c r="A9053" s="32">
        <v>9040</v>
      </c>
      <c r="B9053" s="90">
        <v>8.5320399535918661</v>
      </c>
    </row>
    <row r="9054" spans="1:2">
      <c r="A9054" s="32">
        <v>9041</v>
      </c>
      <c r="B9054" s="90">
        <v>7.7527065769336438</v>
      </c>
    </row>
    <row r="9055" spans="1:2">
      <c r="A9055" s="32">
        <v>9042</v>
      </c>
      <c r="B9055" s="90">
        <v>7.6070925531425733</v>
      </c>
    </row>
    <row r="9056" spans="1:2">
      <c r="A9056" s="32">
        <v>9043</v>
      </c>
      <c r="B9056" s="90">
        <v>7.8378467651576855</v>
      </c>
    </row>
    <row r="9057" spans="1:2">
      <c r="A9057" s="32">
        <v>9044</v>
      </c>
      <c r="B9057" s="90">
        <v>8.1804682904114401</v>
      </c>
    </row>
    <row r="9058" spans="1:2">
      <c r="A9058" s="32">
        <v>9045</v>
      </c>
      <c r="B9058" s="90">
        <v>6.7499232197973242</v>
      </c>
    </row>
    <row r="9059" spans="1:2">
      <c r="A9059" s="32">
        <v>9046</v>
      </c>
      <c r="B9059" s="90">
        <v>7.5091234257407047</v>
      </c>
    </row>
    <row r="9060" spans="1:2">
      <c r="A9060" s="32">
        <v>9047</v>
      </c>
      <c r="B9060" s="90">
        <v>7.1805241796380974</v>
      </c>
    </row>
    <row r="9061" spans="1:2">
      <c r="A9061" s="32">
        <v>9048</v>
      </c>
      <c r="B9061" s="90">
        <v>7.2142036315764377</v>
      </c>
    </row>
    <row r="9062" spans="1:2">
      <c r="A9062" s="32">
        <v>9049</v>
      </c>
      <c r="B9062" s="90">
        <v>7.9730686294837252</v>
      </c>
    </row>
    <row r="9063" spans="1:2">
      <c r="A9063" s="32">
        <v>9050</v>
      </c>
      <c r="B9063" s="90">
        <v>8.2297053617971834</v>
      </c>
    </row>
    <row r="9064" spans="1:2">
      <c r="A9064" s="32">
        <v>9051</v>
      </c>
      <c r="B9064" s="90">
        <v>7.9685363913726004</v>
      </c>
    </row>
    <row r="9065" spans="1:2">
      <c r="A9065" s="32">
        <v>9052</v>
      </c>
      <c r="B9065" s="90">
        <v>7.4071530078081222</v>
      </c>
    </row>
    <row r="9066" spans="1:2">
      <c r="A9066" s="32">
        <v>9053</v>
      </c>
      <c r="B9066" s="90">
        <v>8.1464477991168547</v>
      </c>
    </row>
    <row r="9067" spans="1:2">
      <c r="A9067" s="32">
        <v>9054</v>
      </c>
      <c r="B9067" s="90">
        <v>8.1887607299627057</v>
      </c>
    </row>
    <row r="9068" spans="1:2">
      <c r="A9068" s="32">
        <v>9055</v>
      </c>
      <c r="B9068" s="90">
        <v>9.3478989286069396</v>
      </c>
    </row>
    <row r="9069" spans="1:2">
      <c r="A9069" s="32">
        <v>9056</v>
      </c>
      <c r="B9069" s="90">
        <v>8.0168228963265982</v>
      </c>
    </row>
    <row r="9070" spans="1:2">
      <c r="A9070" s="32">
        <v>9057</v>
      </c>
      <c r="B9070" s="90">
        <v>8.6305749187517389</v>
      </c>
    </row>
    <row r="9071" spans="1:2">
      <c r="A9071" s="32">
        <v>9058</v>
      </c>
      <c r="B9071" s="90">
        <v>9.0322987689997625</v>
      </c>
    </row>
    <row r="9072" spans="1:2">
      <c r="A9072" s="32">
        <v>9059</v>
      </c>
      <c r="B9072" s="90">
        <v>6.8343346822858511</v>
      </c>
    </row>
    <row r="9073" spans="1:2">
      <c r="A9073" s="32">
        <v>9060</v>
      </c>
      <c r="B9073" s="90">
        <v>7.3503045832189127</v>
      </c>
    </row>
    <row r="9074" spans="1:2">
      <c r="A9074" s="32">
        <v>9061</v>
      </c>
      <c r="B9074" s="90">
        <v>8.7913847488897243</v>
      </c>
    </row>
    <row r="9075" spans="1:2">
      <c r="A9075" s="32">
        <v>9062</v>
      </c>
      <c r="B9075" s="90">
        <v>6.8048293247100355</v>
      </c>
    </row>
    <row r="9076" spans="1:2">
      <c r="A9076" s="32">
        <v>9063</v>
      </c>
      <c r="B9076" s="90">
        <v>8.1632002921716111</v>
      </c>
    </row>
    <row r="9077" spans="1:2">
      <c r="A9077" s="32">
        <v>9064</v>
      </c>
      <c r="B9077" s="90">
        <v>8.014889553876472</v>
      </c>
    </row>
    <row r="9078" spans="1:2">
      <c r="A9078" s="32">
        <v>9065</v>
      </c>
      <c r="B9078" s="90">
        <v>7.9052757107451761</v>
      </c>
    </row>
    <row r="9079" spans="1:2">
      <c r="A9079" s="32">
        <v>9066</v>
      </c>
      <c r="B9079" s="90">
        <v>9.3922988561205809</v>
      </c>
    </row>
    <row r="9080" spans="1:2">
      <c r="A9080" s="32">
        <v>9067</v>
      </c>
      <c r="B9080" s="90">
        <v>8.5014488423241517</v>
      </c>
    </row>
    <row r="9081" spans="1:2">
      <c r="A9081" s="32">
        <v>9068</v>
      </c>
      <c r="B9081" s="90">
        <v>8.7043868282726518</v>
      </c>
    </row>
    <row r="9082" spans="1:2">
      <c r="A9082" s="32">
        <v>9069</v>
      </c>
      <c r="B9082" s="90">
        <v>7.4437267210938955</v>
      </c>
    </row>
    <row r="9083" spans="1:2">
      <c r="A9083" s="32">
        <v>9070</v>
      </c>
      <c r="B9083" s="90">
        <v>8.9056142530106417</v>
      </c>
    </row>
    <row r="9084" spans="1:2">
      <c r="A9084" s="32">
        <v>9071</v>
      </c>
      <c r="B9084" s="90">
        <v>7.2311719620552823</v>
      </c>
    </row>
    <row r="9085" spans="1:2">
      <c r="A9085" s="32">
        <v>9072</v>
      </c>
      <c r="B9085" s="90">
        <v>8.3094785994397586</v>
      </c>
    </row>
    <row r="9086" spans="1:2">
      <c r="A9086" s="32">
        <v>9073</v>
      </c>
      <c r="B9086" s="90">
        <v>7.8011046206157877</v>
      </c>
    </row>
    <row r="9087" spans="1:2">
      <c r="A9087" s="32">
        <v>9074</v>
      </c>
      <c r="B9087" s="90">
        <v>8.184333351788025</v>
      </c>
    </row>
    <row r="9088" spans="1:2">
      <c r="A9088" s="32">
        <v>9075</v>
      </c>
      <c r="B9088" s="90">
        <v>7.7382582079882969</v>
      </c>
    </row>
    <row r="9089" spans="1:2">
      <c r="A9089" s="32">
        <v>9076</v>
      </c>
      <c r="B9089" s="90">
        <v>7.7980235121340202</v>
      </c>
    </row>
    <row r="9090" spans="1:2">
      <c r="A9090" s="32">
        <v>9077</v>
      </c>
      <c r="B9090" s="90">
        <v>8.1125149892467974</v>
      </c>
    </row>
    <row r="9091" spans="1:2">
      <c r="A9091" s="32">
        <v>9078</v>
      </c>
      <c r="B9091" s="90">
        <v>8.6082313643005204</v>
      </c>
    </row>
    <row r="9092" spans="1:2">
      <c r="A9092" s="32">
        <v>9079</v>
      </c>
      <c r="B9092" s="90">
        <v>6.8303023273761019</v>
      </c>
    </row>
    <row r="9093" spans="1:2">
      <c r="A9093" s="32">
        <v>9080</v>
      </c>
      <c r="B9093" s="90">
        <v>7.9897672411309104</v>
      </c>
    </row>
    <row r="9094" spans="1:2">
      <c r="A9094" s="32">
        <v>9081</v>
      </c>
      <c r="B9094" s="90">
        <v>8.3952919526156897</v>
      </c>
    </row>
    <row r="9095" spans="1:2">
      <c r="A9095" s="32">
        <v>9082</v>
      </c>
      <c r="B9095" s="90">
        <v>7.5965068207426354</v>
      </c>
    </row>
    <row r="9096" spans="1:2">
      <c r="A9096" s="32">
        <v>9083</v>
      </c>
      <c r="B9096" s="90">
        <v>7.8015677536108363</v>
      </c>
    </row>
    <row r="9097" spans="1:2">
      <c r="A9097" s="32">
        <v>9084</v>
      </c>
      <c r="B9097" s="90">
        <v>7.0901483375885421</v>
      </c>
    </row>
    <row r="9098" spans="1:2">
      <c r="A9098" s="32">
        <v>9085</v>
      </c>
      <c r="B9098" s="90">
        <v>8.4605053358687563</v>
      </c>
    </row>
    <row r="9099" spans="1:2">
      <c r="A9099" s="32">
        <v>9086</v>
      </c>
      <c r="B9099" s="90">
        <v>9.1684565164167253</v>
      </c>
    </row>
    <row r="9100" spans="1:2">
      <c r="A9100" s="32">
        <v>9087</v>
      </c>
      <c r="B9100" s="90">
        <v>8.7259910719420368</v>
      </c>
    </row>
    <row r="9101" spans="1:2">
      <c r="A9101" s="32">
        <v>9088</v>
      </c>
      <c r="B9101" s="90">
        <v>7.2165169977644767</v>
      </c>
    </row>
    <row r="9102" spans="1:2">
      <c r="A9102" s="32">
        <v>9089</v>
      </c>
      <c r="B9102" s="90">
        <v>8.7892530915307905</v>
      </c>
    </row>
    <row r="9103" spans="1:2">
      <c r="A9103" s="32">
        <v>9090</v>
      </c>
      <c r="B9103" s="90">
        <v>7.8459659800696491</v>
      </c>
    </row>
    <row r="9104" spans="1:2">
      <c r="A9104" s="32">
        <v>9091</v>
      </c>
      <c r="B9104" s="90">
        <v>7.8382979246050457</v>
      </c>
    </row>
    <row r="9105" spans="1:2">
      <c r="A9105" s="32">
        <v>9092</v>
      </c>
      <c r="B9105" s="90">
        <v>7.1700872218606539</v>
      </c>
    </row>
    <row r="9106" spans="1:2">
      <c r="A9106" s="32">
        <v>9093</v>
      </c>
      <c r="B9106" s="90">
        <v>8.6324682624643359</v>
      </c>
    </row>
    <row r="9107" spans="1:2">
      <c r="A9107" s="32">
        <v>9094</v>
      </c>
      <c r="B9107" s="90">
        <v>7.6939148437388205</v>
      </c>
    </row>
    <row r="9108" spans="1:2">
      <c r="A9108" s="32">
        <v>9095</v>
      </c>
      <c r="B9108" s="90">
        <v>7.2812806042218368</v>
      </c>
    </row>
    <row r="9109" spans="1:2">
      <c r="A9109" s="32">
        <v>9096</v>
      </c>
      <c r="B9109" s="90">
        <v>8.6497009009888881</v>
      </c>
    </row>
    <row r="9110" spans="1:2">
      <c r="A9110" s="32">
        <v>9097</v>
      </c>
      <c r="B9110" s="90">
        <v>7.1716638309589325</v>
      </c>
    </row>
    <row r="9111" spans="1:2">
      <c r="A9111" s="32">
        <v>9098</v>
      </c>
      <c r="B9111" s="90">
        <v>8.2527946730405528</v>
      </c>
    </row>
    <row r="9112" spans="1:2">
      <c r="A9112" s="32">
        <v>9099</v>
      </c>
      <c r="B9112" s="90">
        <v>8.3643539828703357</v>
      </c>
    </row>
    <row r="9113" spans="1:2">
      <c r="A9113" s="32">
        <v>9100</v>
      </c>
      <c r="B9113" s="90">
        <v>7.5929201949330913</v>
      </c>
    </row>
    <row r="9114" spans="1:2">
      <c r="A9114" s="32">
        <v>9101</v>
      </c>
      <c r="B9114" s="90">
        <v>7.2218550142773354</v>
      </c>
    </row>
    <row r="9115" spans="1:2">
      <c r="A9115" s="32">
        <v>9102</v>
      </c>
      <c r="B9115" s="90">
        <v>8.2651325976573382</v>
      </c>
    </row>
    <row r="9116" spans="1:2">
      <c r="A9116" s="32">
        <v>9103</v>
      </c>
      <c r="B9116" s="90">
        <v>8.7192595524743695</v>
      </c>
    </row>
    <row r="9117" spans="1:2">
      <c r="A9117" s="32">
        <v>9104</v>
      </c>
      <c r="B9117" s="90">
        <v>7.459129798468541</v>
      </c>
    </row>
    <row r="9118" spans="1:2">
      <c r="A9118" s="32">
        <v>9105</v>
      </c>
      <c r="B9118" s="90">
        <v>8.3422533266669383</v>
      </c>
    </row>
    <row r="9119" spans="1:2">
      <c r="A9119" s="32">
        <v>9106</v>
      </c>
      <c r="B9119" s="90">
        <v>8.7191931583565889</v>
      </c>
    </row>
    <row r="9120" spans="1:2">
      <c r="A9120" s="32">
        <v>9107</v>
      </c>
      <c r="B9120" s="90">
        <v>8.2192450703789302</v>
      </c>
    </row>
    <row r="9121" spans="1:2">
      <c r="A9121" s="32">
        <v>9108</v>
      </c>
      <c r="B9121" s="90">
        <v>7.7966590935944593</v>
      </c>
    </row>
    <row r="9122" spans="1:2">
      <c r="A9122" s="32">
        <v>9109</v>
      </c>
      <c r="B9122" s="90">
        <v>7.8813107475984348</v>
      </c>
    </row>
    <row r="9123" spans="1:2">
      <c r="A9123" s="32">
        <v>9110</v>
      </c>
      <c r="B9123" s="90">
        <v>8.3536865547265293</v>
      </c>
    </row>
    <row r="9124" spans="1:2">
      <c r="A9124" s="32">
        <v>9111</v>
      </c>
      <c r="B9124" s="90">
        <v>8.2523778458660786</v>
      </c>
    </row>
    <row r="9125" spans="1:2">
      <c r="A9125" s="32">
        <v>9112</v>
      </c>
      <c r="B9125" s="90">
        <v>9.5554545712291024</v>
      </c>
    </row>
    <row r="9126" spans="1:2">
      <c r="A9126" s="32">
        <v>9113</v>
      </c>
      <c r="B9126" s="90">
        <v>8.9771240841821491</v>
      </c>
    </row>
    <row r="9127" spans="1:2">
      <c r="A9127" s="32">
        <v>9114</v>
      </c>
      <c r="B9127" s="90">
        <v>9.4058305802597673</v>
      </c>
    </row>
    <row r="9128" spans="1:2">
      <c r="A9128" s="32">
        <v>9115</v>
      </c>
      <c r="B9128" s="90">
        <v>7.230784672560346</v>
      </c>
    </row>
    <row r="9129" spans="1:2">
      <c r="A9129" s="32">
        <v>9116</v>
      </c>
      <c r="B9129" s="90">
        <v>8.3248701508491099</v>
      </c>
    </row>
    <row r="9130" spans="1:2">
      <c r="A9130" s="32">
        <v>9117</v>
      </c>
      <c r="B9130" s="90">
        <v>8.281317393599771</v>
      </c>
    </row>
    <row r="9131" spans="1:2">
      <c r="A9131" s="32">
        <v>9118</v>
      </c>
      <c r="B9131" s="90">
        <v>8.5356210766011635</v>
      </c>
    </row>
    <row r="9132" spans="1:2">
      <c r="A9132" s="32">
        <v>9119</v>
      </c>
      <c r="B9132" s="90">
        <v>8.4220363265739469</v>
      </c>
    </row>
    <row r="9133" spans="1:2">
      <c r="A9133" s="32">
        <v>9120</v>
      </c>
      <c r="B9133" s="90">
        <v>8.110818954779619</v>
      </c>
    </row>
    <row r="9134" spans="1:2">
      <c r="A9134" s="32">
        <v>9121</v>
      </c>
      <c r="B9134" s="90">
        <v>9.6838462694118448</v>
      </c>
    </row>
    <row r="9135" spans="1:2">
      <c r="A9135" s="32">
        <v>9122</v>
      </c>
      <c r="B9135" s="90">
        <v>8.5121774655385494</v>
      </c>
    </row>
    <row r="9136" spans="1:2">
      <c r="A9136" s="32">
        <v>9123</v>
      </c>
      <c r="B9136" s="90">
        <v>8.8305425461336533</v>
      </c>
    </row>
    <row r="9137" spans="1:2">
      <c r="A9137" s="32">
        <v>9124</v>
      </c>
      <c r="B9137" s="90">
        <v>7.8746175519526567</v>
      </c>
    </row>
    <row r="9138" spans="1:2">
      <c r="A9138" s="32">
        <v>9125</v>
      </c>
      <c r="B9138" s="90">
        <v>8.2216414977628176</v>
      </c>
    </row>
    <row r="9139" spans="1:2">
      <c r="A9139" s="32">
        <v>9126</v>
      </c>
      <c r="B9139" s="90">
        <v>8.0426408620874508</v>
      </c>
    </row>
    <row r="9140" spans="1:2">
      <c r="A9140" s="32">
        <v>9127</v>
      </c>
      <c r="B9140" s="90">
        <v>9.0275638351395244</v>
      </c>
    </row>
    <row r="9141" spans="1:2">
      <c r="A9141" s="32">
        <v>9128</v>
      </c>
      <c r="B9141" s="90">
        <v>8.897284908442975</v>
      </c>
    </row>
    <row r="9142" spans="1:2">
      <c r="A9142" s="32">
        <v>9129</v>
      </c>
      <c r="B9142" s="90">
        <v>7.8077890938880294</v>
      </c>
    </row>
    <row r="9143" spans="1:2">
      <c r="A9143" s="32">
        <v>9130</v>
      </c>
      <c r="B9143" s="90">
        <v>8.2663916517127785</v>
      </c>
    </row>
    <row r="9144" spans="1:2">
      <c r="A9144" s="32">
        <v>9131</v>
      </c>
      <c r="B9144" s="90">
        <v>7.1698878864363635</v>
      </c>
    </row>
    <row r="9145" spans="1:2">
      <c r="A9145" s="32">
        <v>9132</v>
      </c>
      <c r="B9145" s="90">
        <v>8.1182460841251931</v>
      </c>
    </row>
    <row r="9146" spans="1:2">
      <c r="A9146" s="32">
        <v>9133</v>
      </c>
      <c r="B9146" s="90">
        <v>7.5017950603453745</v>
      </c>
    </row>
    <row r="9147" spans="1:2">
      <c r="A9147" s="32">
        <v>9134</v>
      </c>
      <c r="B9147" s="90">
        <v>6.3313980963619025</v>
      </c>
    </row>
    <row r="9148" spans="1:2">
      <c r="A9148" s="32">
        <v>9135</v>
      </c>
      <c r="B9148" s="90">
        <v>7.8817843911101617</v>
      </c>
    </row>
    <row r="9149" spans="1:2">
      <c r="A9149" s="32">
        <v>9136</v>
      </c>
      <c r="B9149" s="90">
        <v>7.8288990514882544</v>
      </c>
    </row>
    <row r="9150" spans="1:2">
      <c r="A9150" s="32">
        <v>9137</v>
      </c>
      <c r="B9150" s="90">
        <v>8.559809755044391</v>
      </c>
    </row>
    <row r="9151" spans="1:2">
      <c r="A9151" s="32">
        <v>9138</v>
      </c>
      <c r="B9151" s="90">
        <v>7.6724285286597107</v>
      </c>
    </row>
    <row r="9152" spans="1:2">
      <c r="A9152" s="32">
        <v>9139</v>
      </c>
      <c r="B9152" s="90">
        <v>8.6034542340383329</v>
      </c>
    </row>
    <row r="9153" spans="1:2">
      <c r="A9153" s="32">
        <v>9140</v>
      </c>
      <c r="B9153" s="90">
        <v>8.4841850349351144</v>
      </c>
    </row>
    <row r="9154" spans="1:2">
      <c r="A9154" s="32">
        <v>9141</v>
      </c>
      <c r="B9154" s="90">
        <v>7.4571898012343487</v>
      </c>
    </row>
    <row r="9155" spans="1:2">
      <c r="A9155" s="32">
        <v>9142</v>
      </c>
      <c r="B9155" s="90">
        <v>8.2146400138093707</v>
      </c>
    </row>
    <row r="9156" spans="1:2">
      <c r="A9156" s="32">
        <v>9143</v>
      </c>
      <c r="B9156" s="90">
        <v>8.1992001570055173</v>
      </c>
    </row>
    <row r="9157" spans="1:2">
      <c r="A9157" s="32">
        <v>9144</v>
      </c>
      <c r="B9157" s="90">
        <v>8.094964220472006</v>
      </c>
    </row>
    <row r="9158" spans="1:2">
      <c r="A9158" s="32">
        <v>9145</v>
      </c>
      <c r="B9158" s="90">
        <v>9.0514557003857838</v>
      </c>
    </row>
    <row r="9159" spans="1:2">
      <c r="A9159" s="32">
        <v>9146</v>
      </c>
      <c r="B9159" s="90">
        <v>8.3937524980762177</v>
      </c>
    </row>
    <row r="9160" spans="1:2">
      <c r="A9160" s="32">
        <v>9147</v>
      </c>
      <c r="B9160" s="90">
        <v>7.7649627354302062</v>
      </c>
    </row>
    <row r="9161" spans="1:2">
      <c r="A9161" s="32">
        <v>9148</v>
      </c>
      <c r="B9161" s="90">
        <v>6.4890137591009633</v>
      </c>
    </row>
    <row r="9162" spans="1:2">
      <c r="A9162" s="32">
        <v>9149</v>
      </c>
      <c r="B9162" s="90">
        <v>7.9575169682963942</v>
      </c>
    </row>
    <row r="9163" spans="1:2">
      <c r="A9163" s="32">
        <v>9150</v>
      </c>
      <c r="B9163" s="90">
        <v>8.0791688146959988</v>
      </c>
    </row>
    <row r="9164" spans="1:2">
      <c r="A9164" s="32">
        <v>9151</v>
      </c>
      <c r="B9164" s="90">
        <v>8.9073503737201936</v>
      </c>
    </row>
    <row r="9165" spans="1:2">
      <c r="A9165" s="32">
        <v>9152</v>
      </c>
      <c r="B9165" s="90">
        <v>8.0827529309717452</v>
      </c>
    </row>
    <row r="9166" spans="1:2">
      <c r="A9166" s="32">
        <v>9153</v>
      </c>
      <c r="B9166" s="90">
        <v>6.854473486488577</v>
      </c>
    </row>
    <row r="9167" spans="1:2">
      <c r="A9167" s="32">
        <v>9154</v>
      </c>
      <c r="B9167" s="90">
        <v>7.8122312457929084</v>
      </c>
    </row>
    <row r="9168" spans="1:2">
      <c r="A9168" s="32">
        <v>9155</v>
      </c>
      <c r="B9168" s="90">
        <v>8.587581142621282</v>
      </c>
    </row>
    <row r="9169" spans="1:2">
      <c r="A9169" s="32">
        <v>9156</v>
      </c>
      <c r="B9169" s="90">
        <v>7.7798346909236598</v>
      </c>
    </row>
    <row r="9170" spans="1:2">
      <c r="A9170" s="32">
        <v>9157</v>
      </c>
      <c r="B9170" s="90">
        <v>7.2459447596658055</v>
      </c>
    </row>
    <row r="9171" spans="1:2">
      <c r="A9171" s="32">
        <v>9158</v>
      </c>
      <c r="B9171" s="90">
        <v>7.8526397588256449</v>
      </c>
    </row>
    <row r="9172" spans="1:2">
      <c r="A9172" s="32">
        <v>9159</v>
      </c>
      <c r="B9172" s="90">
        <v>8.2921421095792027</v>
      </c>
    </row>
    <row r="9173" spans="1:2">
      <c r="A9173" s="32">
        <v>9160</v>
      </c>
      <c r="B9173" s="90">
        <v>8.2025746683871024</v>
      </c>
    </row>
    <row r="9174" spans="1:2">
      <c r="A9174" s="32">
        <v>9161</v>
      </c>
      <c r="B9174" s="90">
        <v>8.8256767150989504</v>
      </c>
    </row>
    <row r="9175" spans="1:2">
      <c r="A9175" s="32">
        <v>9162</v>
      </c>
      <c r="B9175" s="90">
        <v>6.8751828565475375</v>
      </c>
    </row>
    <row r="9176" spans="1:2">
      <c r="A9176" s="32">
        <v>9163</v>
      </c>
      <c r="B9176" s="90">
        <v>7.3604228600125925</v>
      </c>
    </row>
    <row r="9177" spans="1:2">
      <c r="A9177" s="32">
        <v>9164</v>
      </c>
      <c r="B9177" s="90">
        <v>7.9073819840609501</v>
      </c>
    </row>
    <row r="9178" spans="1:2">
      <c r="A9178" s="32">
        <v>9165</v>
      </c>
      <c r="B9178" s="90">
        <v>7.3402533868883628</v>
      </c>
    </row>
    <row r="9179" spans="1:2">
      <c r="A9179" s="32">
        <v>9166</v>
      </c>
      <c r="B9179" s="90">
        <v>8.0165312021957451</v>
      </c>
    </row>
    <row r="9180" spans="1:2">
      <c r="A9180" s="32">
        <v>9167</v>
      </c>
      <c r="B9180" s="90">
        <v>7.0195666148650311</v>
      </c>
    </row>
    <row r="9181" spans="1:2">
      <c r="A9181" s="32">
        <v>9168</v>
      </c>
      <c r="B9181" s="90">
        <v>8.9247146870170777</v>
      </c>
    </row>
    <row r="9182" spans="1:2">
      <c r="A9182" s="32">
        <v>9169</v>
      </c>
      <c r="B9182" s="90">
        <v>8.3596486838979782</v>
      </c>
    </row>
    <row r="9183" spans="1:2">
      <c r="A9183" s="32">
        <v>9170</v>
      </c>
      <c r="B9183" s="90">
        <v>8.1471644892850357</v>
      </c>
    </row>
    <row r="9184" spans="1:2">
      <c r="A9184" s="32">
        <v>9171</v>
      </c>
      <c r="B9184" s="90">
        <v>8.6981666150965431</v>
      </c>
    </row>
    <row r="9185" spans="1:2">
      <c r="A9185" s="32">
        <v>9172</v>
      </c>
      <c r="B9185" s="90">
        <v>7.9499991166706261</v>
      </c>
    </row>
    <row r="9186" spans="1:2">
      <c r="A9186" s="32">
        <v>9173</v>
      </c>
      <c r="B9186" s="90">
        <v>8.6846720547608367</v>
      </c>
    </row>
    <row r="9187" spans="1:2">
      <c r="A9187" s="32">
        <v>9174</v>
      </c>
      <c r="B9187" s="90">
        <v>8.3019144783961902</v>
      </c>
    </row>
    <row r="9188" spans="1:2">
      <c r="A9188" s="32">
        <v>9175</v>
      </c>
      <c r="B9188" s="90">
        <v>8.5917639906447896</v>
      </c>
    </row>
    <row r="9189" spans="1:2">
      <c r="A9189" s="32">
        <v>9176</v>
      </c>
      <c r="B9189" s="90">
        <v>7.7758988721246656</v>
      </c>
    </row>
    <row r="9190" spans="1:2">
      <c r="A9190" s="32">
        <v>9177</v>
      </c>
      <c r="B9190" s="90">
        <v>8.2109005344991921</v>
      </c>
    </row>
    <row r="9191" spans="1:2">
      <c r="A9191" s="32">
        <v>9178</v>
      </c>
      <c r="B9191" s="90">
        <v>9.8320291159109825</v>
      </c>
    </row>
    <row r="9192" spans="1:2">
      <c r="A9192" s="32">
        <v>9179</v>
      </c>
      <c r="B9192" s="90">
        <v>8.3762483968788235</v>
      </c>
    </row>
    <row r="9193" spans="1:2">
      <c r="A9193" s="32">
        <v>9180</v>
      </c>
      <c r="B9193" s="90">
        <v>8.4815178132608455</v>
      </c>
    </row>
    <row r="9194" spans="1:2">
      <c r="A9194" s="32">
        <v>9181</v>
      </c>
      <c r="B9194" s="90">
        <v>8.3869448674420077</v>
      </c>
    </row>
    <row r="9195" spans="1:2">
      <c r="A9195" s="32">
        <v>9182</v>
      </c>
      <c r="B9195" s="90">
        <v>8.6063140814828785</v>
      </c>
    </row>
    <row r="9196" spans="1:2">
      <c r="A9196" s="32">
        <v>9183</v>
      </c>
      <c r="B9196" s="90">
        <v>7.0298850837675744</v>
      </c>
    </row>
    <row r="9197" spans="1:2">
      <c r="A9197" s="32">
        <v>9184</v>
      </c>
      <c r="B9197" s="90">
        <v>7.7654219537150526</v>
      </c>
    </row>
    <row r="9198" spans="1:2">
      <c r="A9198" s="32">
        <v>9185</v>
      </c>
      <c r="B9198" s="90">
        <v>7.2814263874765128</v>
      </c>
    </row>
    <row r="9199" spans="1:2">
      <c r="A9199" s="32">
        <v>9186</v>
      </c>
      <c r="B9199" s="90">
        <v>7.7804530781775281</v>
      </c>
    </row>
    <row r="9200" spans="1:2">
      <c r="A9200" s="32">
        <v>9187</v>
      </c>
      <c r="B9200" s="90">
        <v>7.0915681294304553</v>
      </c>
    </row>
    <row r="9201" spans="1:2">
      <c r="A9201" s="32">
        <v>9188</v>
      </c>
      <c r="B9201" s="90">
        <v>7.9246827404630613</v>
      </c>
    </row>
    <row r="9202" spans="1:2">
      <c r="A9202" s="32">
        <v>9189</v>
      </c>
      <c r="B9202" s="90">
        <v>8.0038099476588176</v>
      </c>
    </row>
    <row r="9203" spans="1:2">
      <c r="A9203" s="32">
        <v>9190</v>
      </c>
      <c r="B9203" s="90">
        <v>9.2473808379544451</v>
      </c>
    </row>
    <row r="9204" spans="1:2">
      <c r="A9204" s="32">
        <v>9191</v>
      </c>
      <c r="B9204" s="90">
        <v>7.8321886337946118</v>
      </c>
    </row>
    <row r="9205" spans="1:2">
      <c r="A9205" s="32">
        <v>9192</v>
      </c>
      <c r="B9205" s="90">
        <v>8.002350983585881</v>
      </c>
    </row>
    <row r="9206" spans="1:2">
      <c r="A9206" s="32">
        <v>9193</v>
      </c>
      <c r="B9206" s="90">
        <v>8.0594388311881744</v>
      </c>
    </row>
    <row r="9207" spans="1:2">
      <c r="A9207" s="32">
        <v>9194</v>
      </c>
      <c r="B9207" s="90">
        <v>8.0684905579369737</v>
      </c>
    </row>
    <row r="9208" spans="1:2">
      <c r="A9208" s="32">
        <v>9195</v>
      </c>
      <c r="B9208" s="90">
        <v>8.6258081630291503</v>
      </c>
    </row>
    <row r="9209" spans="1:2">
      <c r="A9209" s="32">
        <v>9196</v>
      </c>
      <c r="B9209" s="90">
        <v>9.3327070909570544</v>
      </c>
    </row>
    <row r="9210" spans="1:2">
      <c r="A9210" s="32">
        <v>9197</v>
      </c>
      <c r="B9210" s="90">
        <v>7.9458395800337769</v>
      </c>
    </row>
    <row r="9211" spans="1:2">
      <c r="A9211" s="32">
        <v>9198</v>
      </c>
      <c r="B9211" s="90">
        <v>7.4508257038741625</v>
      </c>
    </row>
    <row r="9212" spans="1:2">
      <c r="A9212" s="32">
        <v>9199</v>
      </c>
      <c r="B9212" s="90">
        <v>7.8677770299147385</v>
      </c>
    </row>
    <row r="9213" spans="1:2">
      <c r="A9213" s="32">
        <v>9200</v>
      </c>
      <c r="B9213" s="90">
        <v>7.1641825452920003</v>
      </c>
    </row>
    <row r="9214" spans="1:2">
      <c r="A9214" s="32">
        <v>9201</v>
      </c>
      <c r="B9214" s="90">
        <v>8.4472942956159383</v>
      </c>
    </row>
    <row r="9215" spans="1:2">
      <c r="A9215" s="32">
        <v>9202</v>
      </c>
      <c r="B9215" s="90">
        <v>8.0494677328174902</v>
      </c>
    </row>
    <row r="9216" spans="1:2">
      <c r="A9216" s="32">
        <v>9203</v>
      </c>
      <c r="B9216" s="90">
        <v>7.2141822412281567</v>
      </c>
    </row>
    <row r="9217" spans="1:2">
      <c r="A9217" s="32">
        <v>9204</v>
      </c>
      <c r="B9217" s="90">
        <v>8.4135167343814832</v>
      </c>
    </row>
    <row r="9218" spans="1:2">
      <c r="A9218" s="32">
        <v>9205</v>
      </c>
      <c r="B9218" s="90">
        <v>7.9632135891585731</v>
      </c>
    </row>
    <row r="9219" spans="1:2">
      <c r="A9219" s="32">
        <v>9206</v>
      </c>
      <c r="B9219" s="90">
        <v>8.728103410555649</v>
      </c>
    </row>
    <row r="9220" spans="1:2">
      <c r="A9220" s="32">
        <v>9207</v>
      </c>
      <c r="B9220" s="90">
        <v>7.970589328576164</v>
      </c>
    </row>
    <row r="9221" spans="1:2">
      <c r="A9221" s="32">
        <v>9208</v>
      </c>
      <c r="B9221" s="90">
        <v>7.7545320759217953</v>
      </c>
    </row>
    <row r="9222" spans="1:2">
      <c r="A9222" s="32">
        <v>9209</v>
      </c>
      <c r="B9222" s="90">
        <v>7.9202676356798927</v>
      </c>
    </row>
    <row r="9223" spans="1:2">
      <c r="A9223" s="32">
        <v>9210</v>
      </c>
      <c r="B9223" s="90">
        <v>7.5181122783074432</v>
      </c>
    </row>
    <row r="9224" spans="1:2">
      <c r="A9224" s="32">
        <v>9211</v>
      </c>
      <c r="B9224" s="90">
        <v>8.5481306599980584</v>
      </c>
    </row>
    <row r="9225" spans="1:2">
      <c r="A9225" s="32">
        <v>9212</v>
      </c>
      <c r="B9225" s="90">
        <v>7.3904963839635354</v>
      </c>
    </row>
    <row r="9226" spans="1:2">
      <c r="A9226" s="32">
        <v>9213</v>
      </c>
      <c r="B9226" s="90">
        <v>9.4593692728172574</v>
      </c>
    </row>
    <row r="9227" spans="1:2">
      <c r="A9227" s="32">
        <v>9214</v>
      </c>
      <c r="B9227" s="90">
        <v>9.1807930284768755</v>
      </c>
    </row>
    <row r="9228" spans="1:2">
      <c r="A9228" s="32">
        <v>9215</v>
      </c>
      <c r="B9228" s="90">
        <v>7.3317603363280899</v>
      </c>
    </row>
    <row r="9229" spans="1:2">
      <c r="A9229" s="32">
        <v>9216</v>
      </c>
      <c r="B9229" s="90">
        <v>8.2082762040964674</v>
      </c>
    </row>
    <row r="9230" spans="1:2">
      <c r="A9230" s="32">
        <v>9217</v>
      </c>
      <c r="B9230" s="90">
        <v>7.4214151238147164</v>
      </c>
    </row>
    <row r="9231" spans="1:2">
      <c r="A9231" s="32">
        <v>9218</v>
      </c>
      <c r="B9231" s="90">
        <v>8.7511587201319561</v>
      </c>
    </row>
    <row r="9232" spans="1:2">
      <c r="A9232" s="32">
        <v>9219</v>
      </c>
      <c r="B9232" s="90">
        <v>9.2432935503041875</v>
      </c>
    </row>
    <row r="9233" spans="1:2">
      <c r="A9233" s="32">
        <v>9220</v>
      </c>
      <c r="B9233" s="90">
        <v>8.4129013052786465</v>
      </c>
    </row>
    <row r="9234" spans="1:2">
      <c r="A9234" s="32">
        <v>9221</v>
      </c>
      <c r="B9234" s="90">
        <v>7.7152621856394559</v>
      </c>
    </row>
    <row r="9235" spans="1:2">
      <c r="A9235" s="32">
        <v>9222</v>
      </c>
      <c r="B9235" s="90">
        <v>7.6829465857735579</v>
      </c>
    </row>
    <row r="9236" spans="1:2">
      <c r="A9236" s="32">
        <v>9223</v>
      </c>
      <c r="B9236" s="90">
        <v>6.9726863719441816</v>
      </c>
    </row>
    <row r="9237" spans="1:2">
      <c r="A9237" s="32">
        <v>9224</v>
      </c>
      <c r="B9237" s="90">
        <v>7.4501278501793156</v>
      </c>
    </row>
    <row r="9238" spans="1:2">
      <c r="A9238" s="32">
        <v>9225</v>
      </c>
      <c r="B9238" s="90">
        <v>8.4906532397013059</v>
      </c>
    </row>
    <row r="9239" spans="1:2">
      <c r="A9239" s="32">
        <v>9226</v>
      </c>
      <c r="B9239" s="90">
        <v>7.4661673705848663</v>
      </c>
    </row>
    <row r="9240" spans="1:2">
      <c r="A9240" s="32">
        <v>9227</v>
      </c>
      <c r="B9240" s="90">
        <v>7.0948982179999662</v>
      </c>
    </row>
    <row r="9241" spans="1:2">
      <c r="A9241" s="32">
        <v>9228</v>
      </c>
      <c r="B9241" s="90">
        <v>8.6687673870307229</v>
      </c>
    </row>
    <row r="9242" spans="1:2">
      <c r="A9242" s="32">
        <v>9229</v>
      </c>
      <c r="B9242" s="90">
        <v>7.6510727599114752</v>
      </c>
    </row>
    <row r="9243" spans="1:2">
      <c r="A9243" s="32">
        <v>9230</v>
      </c>
      <c r="B9243" s="90">
        <v>8.8017430553700873</v>
      </c>
    </row>
    <row r="9244" spans="1:2">
      <c r="A9244" s="32">
        <v>9231</v>
      </c>
      <c r="B9244" s="90">
        <v>8.2212995348843538</v>
      </c>
    </row>
    <row r="9245" spans="1:2">
      <c r="A9245" s="32">
        <v>9232</v>
      </c>
      <c r="B9245" s="90">
        <v>8.0752069516128042</v>
      </c>
    </row>
    <row r="9246" spans="1:2">
      <c r="A9246" s="32">
        <v>9233</v>
      </c>
      <c r="B9246" s="90">
        <v>6.6022674736008744</v>
      </c>
    </row>
    <row r="9247" spans="1:2">
      <c r="A9247" s="32">
        <v>9234</v>
      </c>
      <c r="B9247" s="90">
        <v>7.6149596084337547</v>
      </c>
    </row>
    <row r="9248" spans="1:2">
      <c r="A9248" s="32">
        <v>9235</v>
      </c>
      <c r="B9248" s="90">
        <v>8.3405292545494856</v>
      </c>
    </row>
    <row r="9249" spans="1:2">
      <c r="A9249" s="32">
        <v>9236</v>
      </c>
      <c r="B9249" s="90">
        <v>7.413965899495234</v>
      </c>
    </row>
    <row r="9250" spans="1:2">
      <c r="A9250" s="32">
        <v>9237</v>
      </c>
      <c r="B9250" s="90">
        <v>7.5887070662891345</v>
      </c>
    </row>
    <row r="9251" spans="1:2">
      <c r="A9251" s="32">
        <v>9238</v>
      </c>
      <c r="B9251" s="90">
        <v>8.6385748997337508</v>
      </c>
    </row>
    <row r="9252" spans="1:2">
      <c r="A9252" s="32">
        <v>9239</v>
      </c>
      <c r="B9252" s="90">
        <v>7.5925674927586977</v>
      </c>
    </row>
    <row r="9253" spans="1:2">
      <c r="A9253" s="32">
        <v>9240</v>
      </c>
      <c r="B9253" s="90">
        <v>8.5663524495253274</v>
      </c>
    </row>
    <row r="9254" spans="1:2">
      <c r="A9254" s="32">
        <v>9241</v>
      </c>
      <c r="B9254" s="90">
        <v>8.9352225919593558</v>
      </c>
    </row>
    <row r="9255" spans="1:2">
      <c r="A9255" s="32">
        <v>9242</v>
      </c>
      <c r="B9255" s="90">
        <v>8.3828931228712609</v>
      </c>
    </row>
    <row r="9256" spans="1:2">
      <c r="A9256" s="32">
        <v>9243</v>
      </c>
      <c r="B9256" s="90">
        <v>7.7703267605424555</v>
      </c>
    </row>
    <row r="9257" spans="1:2">
      <c r="A9257" s="32">
        <v>9244</v>
      </c>
      <c r="B9257" s="90">
        <v>8.2800178360342986</v>
      </c>
    </row>
    <row r="9258" spans="1:2">
      <c r="A9258" s="32">
        <v>9245</v>
      </c>
      <c r="B9258" s="90">
        <v>9.3533548275141563</v>
      </c>
    </row>
    <row r="9259" spans="1:2">
      <c r="A9259" s="32">
        <v>9246</v>
      </c>
      <c r="B9259" s="90">
        <v>8.0184290037432024</v>
      </c>
    </row>
    <row r="9260" spans="1:2">
      <c r="A9260" s="32">
        <v>9247</v>
      </c>
      <c r="B9260" s="90">
        <v>7.6457692247008744</v>
      </c>
    </row>
    <row r="9261" spans="1:2">
      <c r="A9261" s="32">
        <v>9248</v>
      </c>
      <c r="B9261" s="90">
        <v>7.7818967248862041</v>
      </c>
    </row>
    <row r="9262" spans="1:2">
      <c r="A9262" s="32">
        <v>9249</v>
      </c>
      <c r="B9262" s="90">
        <v>7.894446564881263</v>
      </c>
    </row>
    <row r="9263" spans="1:2">
      <c r="A9263" s="32">
        <v>9250</v>
      </c>
      <c r="B9263" s="90">
        <v>8.1569024305151796</v>
      </c>
    </row>
    <row r="9264" spans="1:2">
      <c r="A9264" s="32">
        <v>9251</v>
      </c>
      <c r="B9264" s="90">
        <v>7.7314162945361025</v>
      </c>
    </row>
    <row r="9265" spans="1:2">
      <c r="A9265" s="32">
        <v>9252</v>
      </c>
      <c r="B9265" s="90">
        <v>8.9474964515636728</v>
      </c>
    </row>
    <row r="9266" spans="1:2">
      <c r="A9266" s="32">
        <v>9253</v>
      </c>
      <c r="B9266" s="90">
        <v>8.5821062601434779</v>
      </c>
    </row>
    <row r="9267" spans="1:2">
      <c r="A9267" s="32">
        <v>9254</v>
      </c>
      <c r="B9267" s="90">
        <v>7.1859050615520728</v>
      </c>
    </row>
    <row r="9268" spans="1:2">
      <c r="A9268" s="32">
        <v>9255</v>
      </c>
      <c r="B9268" s="90">
        <v>9.0620454349407158</v>
      </c>
    </row>
    <row r="9269" spans="1:2">
      <c r="A9269" s="32">
        <v>9256</v>
      </c>
      <c r="B9269" s="90">
        <v>7.7165505394875273</v>
      </c>
    </row>
    <row r="9270" spans="1:2">
      <c r="A9270" s="32">
        <v>9257</v>
      </c>
      <c r="B9270" s="90">
        <v>7.4131405078283787</v>
      </c>
    </row>
    <row r="9271" spans="1:2">
      <c r="A9271" s="32">
        <v>9258</v>
      </c>
      <c r="B9271" s="90">
        <v>6.9574266428407947</v>
      </c>
    </row>
    <row r="9272" spans="1:2">
      <c r="A9272" s="32">
        <v>9259</v>
      </c>
      <c r="B9272" s="90">
        <v>7.0959650518003929</v>
      </c>
    </row>
    <row r="9273" spans="1:2">
      <c r="A9273" s="32">
        <v>9260</v>
      </c>
      <c r="B9273" s="90">
        <v>7.1031162672474313</v>
      </c>
    </row>
    <row r="9274" spans="1:2">
      <c r="A9274" s="32">
        <v>9261</v>
      </c>
      <c r="B9274" s="90">
        <v>9.6311836361831169</v>
      </c>
    </row>
    <row r="9275" spans="1:2">
      <c r="A9275" s="32">
        <v>9262</v>
      </c>
      <c r="B9275" s="90">
        <v>7.2649239210529881</v>
      </c>
    </row>
    <row r="9276" spans="1:2">
      <c r="A9276" s="32">
        <v>9263</v>
      </c>
      <c r="B9276" s="90">
        <v>8.2752724856221764</v>
      </c>
    </row>
    <row r="9277" spans="1:2">
      <c r="A9277" s="32">
        <v>9264</v>
      </c>
      <c r="B9277" s="90">
        <v>9.5070259423359254</v>
      </c>
    </row>
    <row r="9278" spans="1:2">
      <c r="A9278" s="32">
        <v>9265</v>
      </c>
      <c r="B9278" s="90">
        <v>8.1279945723984159</v>
      </c>
    </row>
    <row r="9279" spans="1:2">
      <c r="A9279" s="32">
        <v>9266</v>
      </c>
      <c r="B9279" s="90">
        <v>8.2600161494384299</v>
      </c>
    </row>
    <row r="9280" spans="1:2">
      <c r="A9280" s="32">
        <v>9267</v>
      </c>
      <c r="B9280" s="90">
        <v>8.8622409738361689</v>
      </c>
    </row>
    <row r="9281" spans="1:2">
      <c r="A9281" s="32">
        <v>9268</v>
      </c>
      <c r="B9281" s="90">
        <v>8.7136768049528044</v>
      </c>
    </row>
    <row r="9282" spans="1:2">
      <c r="A9282" s="32">
        <v>9269</v>
      </c>
      <c r="B9282" s="90">
        <v>8.5190718626666619</v>
      </c>
    </row>
    <row r="9283" spans="1:2">
      <c r="A9283" s="32">
        <v>9270</v>
      </c>
      <c r="B9283" s="90">
        <v>6.8431876521366526</v>
      </c>
    </row>
    <row r="9284" spans="1:2">
      <c r="A9284" s="32">
        <v>9271</v>
      </c>
      <c r="B9284" s="90">
        <v>8.1081327942458028</v>
      </c>
    </row>
    <row r="9285" spans="1:2">
      <c r="A9285" s="32">
        <v>9272</v>
      </c>
      <c r="B9285" s="90">
        <v>8.1988413271682976</v>
      </c>
    </row>
    <row r="9286" spans="1:2">
      <c r="A9286" s="32">
        <v>9273</v>
      </c>
      <c r="B9286" s="90">
        <v>8.1632733856824817</v>
      </c>
    </row>
    <row r="9287" spans="1:2">
      <c r="A9287" s="32">
        <v>9274</v>
      </c>
      <c r="B9287" s="90">
        <v>8.2049809574033361</v>
      </c>
    </row>
    <row r="9288" spans="1:2">
      <c r="A9288" s="32">
        <v>9275</v>
      </c>
      <c r="B9288" s="90">
        <v>7.4560461996569138</v>
      </c>
    </row>
    <row r="9289" spans="1:2">
      <c r="A9289" s="32">
        <v>9276</v>
      </c>
      <c r="B9289" s="90">
        <v>7.7103989878252897</v>
      </c>
    </row>
    <row r="9290" spans="1:2">
      <c r="A9290" s="32">
        <v>9277</v>
      </c>
      <c r="B9290" s="90">
        <v>8.214760946550129</v>
      </c>
    </row>
    <row r="9291" spans="1:2">
      <c r="A9291" s="32">
        <v>9278</v>
      </c>
      <c r="B9291" s="90">
        <v>7.4038152907341104</v>
      </c>
    </row>
    <row r="9292" spans="1:2">
      <c r="A9292" s="32">
        <v>9279</v>
      </c>
      <c r="B9292" s="90">
        <v>7.1781576724363347</v>
      </c>
    </row>
    <row r="9293" spans="1:2">
      <c r="A9293" s="32">
        <v>9280</v>
      </c>
      <c r="B9293" s="90">
        <v>9.018469764516901</v>
      </c>
    </row>
    <row r="9294" spans="1:2">
      <c r="A9294" s="32">
        <v>9281</v>
      </c>
      <c r="B9294" s="90">
        <v>7.688333789170172</v>
      </c>
    </row>
    <row r="9295" spans="1:2">
      <c r="A9295" s="32">
        <v>9282</v>
      </c>
      <c r="B9295" s="90">
        <v>7.749077376294319</v>
      </c>
    </row>
    <row r="9296" spans="1:2">
      <c r="A9296" s="32">
        <v>9283</v>
      </c>
      <c r="B9296" s="90">
        <v>7.1971853184364649</v>
      </c>
    </row>
    <row r="9297" spans="1:2">
      <c r="A9297" s="32">
        <v>9284</v>
      </c>
      <c r="B9297" s="90">
        <v>8.2451548463939606</v>
      </c>
    </row>
    <row r="9298" spans="1:2">
      <c r="A9298" s="32">
        <v>9285</v>
      </c>
      <c r="B9298" s="90">
        <v>7.4794364336723138</v>
      </c>
    </row>
    <row r="9299" spans="1:2">
      <c r="A9299" s="32">
        <v>9286</v>
      </c>
      <c r="B9299" s="90">
        <v>8.1122512768591193</v>
      </c>
    </row>
    <row r="9300" spans="1:2">
      <c r="A9300" s="32">
        <v>9287</v>
      </c>
      <c r="B9300" s="90">
        <v>7.0431106862827857</v>
      </c>
    </row>
    <row r="9301" spans="1:2">
      <c r="A9301" s="32">
        <v>9288</v>
      </c>
      <c r="B9301" s="90">
        <v>7.9857860170533108</v>
      </c>
    </row>
    <row r="9302" spans="1:2">
      <c r="A9302" s="32">
        <v>9289</v>
      </c>
      <c r="B9302" s="90">
        <v>8.2954396137696644</v>
      </c>
    </row>
    <row r="9303" spans="1:2">
      <c r="A9303" s="32">
        <v>9290</v>
      </c>
      <c r="B9303" s="90">
        <v>8.1120276408928458</v>
      </c>
    </row>
    <row r="9304" spans="1:2">
      <c r="A9304" s="32">
        <v>9291</v>
      </c>
      <c r="B9304" s="90">
        <v>8.1380858410994499</v>
      </c>
    </row>
    <row r="9305" spans="1:2">
      <c r="A9305" s="32">
        <v>9292</v>
      </c>
      <c r="B9305" s="90">
        <v>8.1665690815711045</v>
      </c>
    </row>
    <row r="9306" spans="1:2">
      <c r="A9306" s="32">
        <v>9293</v>
      </c>
      <c r="B9306" s="90">
        <v>7.0240110489486485</v>
      </c>
    </row>
    <row r="9307" spans="1:2">
      <c r="A9307" s="32">
        <v>9294</v>
      </c>
      <c r="B9307" s="90">
        <v>7.1401711018885905</v>
      </c>
    </row>
    <row r="9308" spans="1:2">
      <c r="A9308" s="32">
        <v>9295</v>
      </c>
      <c r="B9308" s="90">
        <v>8.1208866580184562</v>
      </c>
    </row>
    <row r="9309" spans="1:2">
      <c r="A9309" s="32">
        <v>9296</v>
      </c>
      <c r="B9309" s="90">
        <v>8.0443992566416398</v>
      </c>
    </row>
    <row r="9310" spans="1:2">
      <c r="A9310" s="32">
        <v>9297</v>
      </c>
      <c r="B9310" s="90">
        <v>8.8875226816503421</v>
      </c>
    </row>
    <row r="9311" spans="1:2">
      <c r="A9311" s="32">
        <v>9298</v>
      </c>
      <c r="B9311" s="90">
        <v>8.0690480659225692</v>
      </c>
    </row>
    <row r="9312" spans="1:2">
      <c r="A9312" s="32">
        <v>9299</v>
      </c>
      <c r="B9312" s="90">
        <v>9.2297763308955041</v>
      </c>
    </row>
    <row r="9313" spans="1:2">
      <c r="A9313" s="32">
        <v>9300</v>
      </c>
      <c r="B9313" s="90">
        <v>8.5651093235498603</v>
      </c>
    </row>
    <row r="9314" spans="1:2">
      <c r="A9314" s="32">
        <v>9301</v>
      </c>
      <c r="B9314" s="90">
        <v>9.4222582231364687</v>
      </c>
    </row>
    <row r="9315" spans="1:2">
      <c r="A9315" s="32">
        <v>9302</v>
      </c>
      <c r="B9315" s="90">
        <v>8.1986913106267991</v>
      </c>
    </row>
    <row r="9316" spans="1:2">
      <c r="A9316" s="32">
        <v>9303</v>
      </c>
      <c r="B9316" s="90">
        <v>7.0594567700685076</v>
      </c>
    </row>
    <row r="9317" spans="1:2">
      <c r="A9317" s="32">
        <v>9304</v>
      </c>
      <c r="B9317" s="90">
        <v>9.2209501981629032</v>
      </c>
    </row>
    <row r="9318" spans="1:2">
      <c r="A9318" s="32">
        <v>9305</v>
      </c>
      <c r="B9318" s="90">
        <v>7.2946599620749399</v>
      </c>
    </row>
    <row r="9319" spans="1:2">
      <c r="A9319" s="32">
        <v>9306</v>
      </c>
      <c r="B9319" s="90">
        <v>8.4045454814730043</v>
      </c>
    </row>
    <row r="9320" spans="1:2">
      <c r="A9320" s="32">
        <v>9307</v>
      </c>
      <c r="B9320" s="90">
        <v>7.2827108542902792</v>
      </c>
    </row>
    <row r="9321" spans="1:2">
      <c r="A9321" s="32">
        <v>9308</v>
      </c>
      <c r="B9321" s="90">
        <v>9.7028258572768138</v>
      </c>
    </row>
    <row r="9322" spans="1:2">
      <c r="A9322" s="32">
        <v>9309</v>
      </c>
      <c r="B9322" s="90">
        <v>7.4320871328661058</v>
      </c>
    </row>
    <row r="9323" spans="1:2">
      <c r="A9323" s="32">
        <v>9310</v>
      </c>
      <c r="B9323" s="90">
        <v>8.5752572784598193</v>
      </c>
    </row>
    <row r="9324" spans="1:2">
      <c r="A9324" s="32">
        <v>9311</v>
      </c>
      <c r="B9324" s="90">
        <v>7.7589916874199725</v>
      </c>
    </row>
    <row r="9325" spans="1:2">
      <c r="A9325" s="32">
        <v>9312</v>
      </c>
      <c r="B9325" s="90">
        <v>9.0189974327357003</v>
      </c>
    </row>
    <row r="9326" spans="1:2">
      <c r="A9326" s="32">
        <v>9313</v>
      </c>
      <c r="B9326" s="90">
        <v>8.5529720139294803</v>
      </c>
    </row>
    <row r="9327" spans="1:2">
      <c r="A9327" s="32">
        <v>9314</v>
      </c>
      <c r="B9327" s="90">
        <v>7.3761022306044852</v>
      </c>
    </row>
    <row r="9328" spans="1:2">
      <c r="A9328" s="32">
        <v>9315</v>
      </c>
      <c r="B9328" s="90">
        <v>6.972878256031299</v>
      </c>
    </row>
    <row r="9329" spans="1:2">
      <c r="A9329" s="32">
        <v>9316</v>
      </c>
      <c r="B9329" s="90">
        <v>7.9225660981684358</v>
      </c>
    </row>
    <row r="9330" spans="1:2">
      <c r="A9330" s="32">
        <v>9317</v>
      </c>
      <c r="B9330" s="90">
        <v>8.3153109809832433</v>
      </c>
    </row>
    <row r="9331" spans="1:2">
      <c r="A9331" s="32">
        <v>9318</v>
      </c>
      <c r="B9331" s="90">
        <v>8.0280604428352582</v>
      </c>
    </row>
    <row r="9332" spans="1:2">
      <c r="A9332" s="32">
        <v>9319</v>
      </c>
      <c r="B9332" s="90">
        <v>7.7640114466146413</v>
      </c>
    </row>
    <row r="9333" spans="1:2">
      <c r="A9333" s="32">
        <v>9320</v>
      </c>
      <c r="B9333" s="90">
        <v>7.7509318974682886</v>
      </c>
    </row>
    <row r="9334" spans="1:2">
      <c r="A9334" s="32">
        <v>9321</v>
      </c>
      <c r="B9334" s="90">
        <v>8.8995873392635598</v>
      </c>
    </row>
    <row r="9335" spans="1:2">
      <c r="A9335" s="32">
        <v>9322</v>
      </c>
      <c r="B9335" s="90">
        <v>7.6963453050399329</v>
      </c>
    </row>
    <row r="9336" spans="1:2">
      <c r="A9336" s="32">
        <v>9323</v>
      </c>
      <c r="B9336" s="90">
        <v>7.6971211838824942</v>
      </c>
    </row>
    <row r="9337" spans="1:2">
      <c r="A9337" s="32">
        <v>9324</v>
      </c>
      <c r="B9337" s="90">
        <v>9.0543636428705749</v>
      </c>
    </row>
    <row r="9338" spans="1:2">
      <c r="A9338" s="32">
        <v>9325</v>
      </c>
      <c r="B9338" s="90">
        <v>8.1474425170099423</v>
      </c>
    </row>
    <row r="9339" spans="1:2">
      <c r="A9339" s="32">
        <v>9326</v>
      </c>
      <c r="B9339" s="90">
        <v>7.2898569424168143</v>
      </c>
    </row>
    <row r="9340" spans="1:2">
      <c r="A9340" s="32">
        <v>9327</v>
      </c>
      <c r="B9340" s="90">
        <v>7.5160904981970589</v>
      </c>
    </row>
    <row r="9341" spans="1:2">
      <c r="A9341" s="32">
        <v>9328</v>
      </c>
      <c r="B9341" s="90">
        <v>7.0012456148903999</v>
      </c>
    </row>
    <row r="9342" spans="1:2">
      <c r="A9342" s="32">
        <v>9329</v>
      </c>
      <c r="B9342" s="90">
        <v>8.4340924339256969</v>
      </c>
    </row>
    <row r="9343" spans="1:2">
      <c r="A9343" s="32">
        <v>9330</v>
      </c>
      <c r="B9343" s="90">
        <v>7.540913836814843</v>
      </c>
    </row>
    <row r="9344" spans="1:2">
      <c r="A9344" s="32">
        <v>9331</v>
      </c>
      <c r="B9344" s="90">
        <v>8.7999930633398034</v>
      </c>
    </row>
    <row r="9345" spans="1:2">
      <c r="A9345" s="32">
        <v>9332</v>
      </c>
      <c r="B9345" s="90">
        <v>7.81494562766217</v>
      </c>
    </row>
    <row r="9346" spans="1:2">
      <c r="A9346" s="32">
        <v>9333</v>
      </c>
      <c r="B9346" s="90">
        <v>9.5938042199779012</v>
      </c>
    </row>
    <row r="9347" spans="1:2">
      <c r="A9347" s="32">
        <v>9334</v>
      </c>
      <c r="B9347" s="90">
        <v>7.175109775969549</v>
      </c>
    </row>
    <row r="9348" spans="1:2">
      <c r="A9348" s="32">
        <v>9335</v>
      </c>
      <c r="B9348" s="90">
        <v>7.204988614652569</v>
      </c>
    </row>
    <row r="9349" spans="1:2">
      <c r="A9349" s="32">
        <v>9336</v>
      </c>
      <c r="B9349" s="90">
        <v>8.0256487008548802</v>
      </c>
    </row>
    <row r="9350" spans="1:2">
      <c r="A9350" s="32">
        <v>9337</v>
      </c>
      <c r="B9350" s="90">
        <v>8.0233655432896338</v>
      </c>
    </row>
    <row r="9351" spans="1:2">
      <c r="A9351" s="32">
        <v>9338</v>
      </c>
      <c r="B9351" s="90">
        <v>7.4949763763380748</v>
      </c>
    </row>
    <row r="9352" spans="1:2">
      <c r="A9352" s="32">
        <v>9339</v>
      </c>
      <c r="B9352" s="90">
        <v>8.3148408837318044</v>
      </c>
    </row>
    <row r="9353" spans="1:2">
      <c r="A9353" s="32">
        <v>9340</v>
      </c>
      <c r="B9353" s="90">
        <v>8.4072334739578682</v>
      </c>
    </row>
    <row r="9354" spans="1:2">
      <c r="A9354" s="32">
        <v>9341</v>
      </c>
      <c r="B9354" s="90">
        <v>8.1975061684308965</v>
      </c>
    </row>
    <row r="9355" spans="1:2">
      <c r="A9355" s="32">
        <v>9342</v>
      </c>
      <c r="B9355" s="90">
        <v>7.4888663438534095</v>
      </c>
    </row>
    <row r="9356" spans="1:2">
      <c r="A9356" s="32">
        <v>9343</v>
      </c>
      <c r="B9356" s="90">
        <v>9.1401677625466675</v>
      </c>
    </row>
    <row r="9357" spans="1:2">
      <c r="A9357" s="32">
        <v>9344</v>
      </c>
      <c r="B9357" s="90">
        <v>8.8597320004903075</v>
      </c>
    </row>
    <row r="9358" spans="1:2">
      <c r="A9358" s="32">
        <v>9345</v>
      </c>
      <c r="B9358" s="90">
        <v>7.917676747893764</v>
      </c>
    </row>
    <row r="9359" spans="1:2">
      <c r="A9359" s="32">
        <v>9346</v>
      </c>
      <c r="B9359" s="90">
        <v>8.579283414727902</v>
      </c>
    </row>
    <row r="9360" spans="1:2">
      <c r="A9360" s="32">
        <v>9347</v>
      </c>
      <c r="B9360" s="90">
        <v>8.2562604128313968</v>
      </c>
    </row>
    <row r="9361" spans="1:2">
      <c r="A9361" s="32">
        <v>9348</v>
      </c>
      <c r="B9361" s="90">
        <v>9.857449406523477</v>
      </c>
    </row>
    <row r="9362" spans="1:2">
      <c r="A9362" s="32">
        <v>9349</v>
      </c>
      <c r="B9362" s="90">
        <v>9.4906859376662389</v>
      </c>
    </row>
    <row r="9363" spans="1:2">
      <c r="A9363" s="32">
        <v>9350</v>
      </c>
      <c r="B9363" s="90">
        <v>8.4873265318567768</v>
      </c>
    </row>
    <row r="9364" spans="1:2">
      <c r="A9364" s="32">
        <v>9351</v>
      </c>
      <c r="B9364" s="90">
        <v>7.0468563173984924</v>
      </c>
    </row>
    <row r="9365" spans="1:2">
      <c r="A9365" s="32">
        <v>9352</v>
      </c>
      <c r="B9365" s="90">
        <v>7.8592453347252427</v>
      </c>
    </row>
    <row r="9366" spans="1:2">
      <c r="A9366" s="32">
        <v>9353</v>
      </c>
      <c r="B9366" s="90">
        <v>8.2398313245539505</v>
      </c>
    </row>
    <row r="9367" spans="1:2">
      <c r="A9367" s="32">
        <v>9354</v>
      </c>
      <c r="B9367" s="90">
        <v>7.789343232544808</v>
      </c>
    </row>
    <row r="9368" spans="1:2">
      <c r="A9368" s="32">
        <v>9355</v>
      </c>
      <c r="B9368" s="90">
        <v>7.0474053458290449</v>
      </c>
    </row>
    <row r="9369" spans="1:2">
      <c r="A9369" s="32">
        <v>9356</v>
      </c>
      <c r="B9369" s="90">
        <v>8.9174984702351914</v>
      </c>
    </row>
    <row r="9370" spans="1:2">
      <c r="A9370" s="32">
        <v>9357</v>
      </c>
      <c r="B9370" s="90">
        <v>8.8047876315304823</v>
      </c>
    </row>
    <row r="9371" spans="1:2">
      <c r="A9371" s="32">
        <v>9358</v>
      </c>
      <c r="B9371" s="90">
        <v>7.2852214375248598</v>
      </c>
    </row>
    <row r="9372" spans="1:2">
      <c r="A9372" s="32">
        <v>9359</v>
      </c>
      <c r="B9372" s="90">
        <v>8.307618879548075</v>
      </c>
    </row>
    <row r="9373" spans="1:2">
      <c r="A9373" s="32">
        <v>9360</v>
      </c>
      <c r="B9373" s="90">
        <v>8.3560228707164281</v>
      </c>
    </row>
    <row r="9374" spans="1:2">
      <c r="A9374" s="32">
        <v>9361</v>
      </c>
      <c r="B9374" s="90">
        <v>8.7354378031865476</v>
      </c>
    </row>
    <row r="9375" spans="1:2">
      <c r="A9375" s="32">
        <v>9362</v>
      </c>
      <c r="B9375" s="90">
        <v>8.9980358219314045</v>
      </c>
    </row>
    <row r="9376" spans="1:2">
      <c r="A9376" s="32">
        <v>9363</v>
      </c>
      <c r="B9376" s="90">
        <v>8.1005572709277587</v>
      </c>
    </row>
    <row r="9377" spans="1:2">
      <c r="A9377" s="32">
        <v>9364</v>
      </c>
      <c r="B9377" s="90">
        <v>8.8483837581890423</v>
      </c>
    </row>
    <row r="9378" spans="1:2">
      <c r="A9378" s="32">
        <v>9365</v>
      </c>
      <c r="B9378" s="90">
        <v>8.7803567698775744</v>
      </c>
    </row>
    <row r="9379" spans="1:2">
      <c r="A9379" s="32">
        <v>9366</v>
      </c>
      <c r="B9379" s="90">
        <v>8.1567059400074573</v>
      </c>
    </row>
    <row r="9380" spans="1:2">
      <c r="A9380" s="32">
        <v>9367</v>
      </c>
      <c r="B9380" s="90">
        <v>9.0071064119375599</v>
      </c>
    </row>
    <row r="9381" spans="1:2">
      <c r="A9381" s="32">
        <v>9368</v>
      </c>
      <c r="B9381" s="90">
        <v>8.8491749129991319</v>
      </c>
    </row>
    <row r="9382" spans="1:2">
      <c r="A9382" s="32">
        <v>9369</v>
      </c>
      <c r="B9382" s="90">
        <v>8.0043786130142767</v>
      </c>
    </row>
    <row r="9383" spans="1:2">
      <c r="A9383" s="32">
        <v>9370</v>
      </c>
      <c r="B9383" s="90">
        <v>7.6542680487488157</v>
      </c>
    </row>
    <row r="9384" spans="1:2">
      <c r="A9384" s="32">
        <v>9371</v>
      </c>
      <c r="B9384" s="90">
        <v>7.2533294314240493</v>
      </c>
    </row>
    <row r="9385" spans="1:2">
      <c r="A9385" s="32">
        <v>9372</v>
      </c>
      <c r="B9385" s="90">
        <v>7.5233469105552624</v>
      </c>
    </row>
    <row r="9386" spans="1:2">
      <c r="A9386" s="32">
        <v>9373</v>
      </c>
      <c r="B9386" s="90">
        <v>8.0764240464861032</v>
      </c>
    </row>
    <row r="9387" spans="1:2">
      <c r="A9387" s="32">
        <v>9374</v>
      </c>
      <c r="B9387" s="90">
        <v>8.9051303220782945</v>
      </c>
    </row>
    <row r="9388" spans="1:2">
      <c r="A9388" s="32">
        <v>9375</v>
      </c>
      <c r="B9388" s="90">
        <v>8.9119864727446174</v>
      </c>
    </row>
    <row r="9389" spans="1:2">
      <c r="A9389" s="32">
        <v>9376</v>
      </c>
      <c r="B9389" s="90">
        <v>7.94803253467082</v>
      </c>
    </row>
    <row r="9390" spans="1:2">
      <c r="A9390" s="32">
        <v>9377</v>
      </c>
      <c r="B9390" s="90">
        <v>7.7777401168703619</v>
      </c>
    </row>
    <row r="9391" spans="1:2">
      <c r="A9391" s="32">
        <v>9378</v>
      </c>
      <c r="B9391" s="90">
        <v>7.7771254302149373</v>
      </c>
    </row>
    <row r="9392" spans="1:2">
      <c r="A9392" s="32">
        <v>9379</v>
      </c>
      <c r="B9392" s="90">
        <v>8.9742111554749009</v>
      </c>
    </row>
    <row r="9393" spans="1:2">
      <c r="A9393" s="32">
        <v>9380</v>
      </c>
      <c r="B9393" s="90">
        <v>7.6550436875305934</v>
      </c>
    </row>
    <row r="9394" spans="1:2">
      <c r="A9394" s="32">
        <v>9381</v>
      </c>
      <c r="B9394" s="90">
        <v>7.3654710998323392</v>
      </c>
    </row>
    <row r="9395" spans="1:2">
      <c r="A9395" s="32">
        <v>9382</v>
      </c>
      <c r="B9395" s="90">
        <v>7.923865392392468</v>
      </c>
    </row>
    <row r="9396" spans="1:2">
      <c r="A9396" s="32">
        <v>9383</v>
      </c>
      <c r="B9396" s="90">
        <v>8.9471461731778099</v>
      </c>
    </row>
    <row r="9397" spans="1:2">
      <c r="A9397" s="32">
        <v>9384</v>
      </c>
      <c r="B9397" s="90">
        <v>9.7906071089512281</v>
      </c>
    </row>
    <row r="9398" spans="1:2">
      <c r="A9398" s="32">
        <v>9385</v>
      </c>
      <c r="B9398" s="90">
        <v>6.9421915377454226</v>
      </c>
    </row>
    <row r="9399" spans="1:2">
      <c r="A9399" s="32">
        <v>9386</v>
      </c>
      <c r="B9399" s="90">
        <v>9.9389484578632157</v>
      </c>
    </row>
    <row r="9400" spans="1:2">
      <c r="A9400" s="32">
        <v>9387</v>
      </c>
      <c r="B9400" s="90">
        <v>8.2288375039631223</v>
      </c>
    </row>
    <row r="9401" spans="1:2">
      <c r="A9401" s="32">
        <v>9388</v>
      </c>
      <c r="B9401" s="90">
        <v>7.5108850907806808</v>
      </c>
    </row>
    <row r="9402" spans="1:2">
      <c r="A9402" s="32">
        <v>9389</v>
      </c>
      <c r="B9402" s="90">
        <v>8.6056707563093777</v>
      </c>
    </row>
    <row r="9403" spans="1:2">
      <c r="A9403" s="32">
        <v>9390</v>
      </c>
      <c r="B9403" s="90">
        <v>8.4609379775186717</v>
      </c>
    </row>
    <row r="9404" spans="1:2">
      <c r="A9404" s="32">
        <v>9391</v>
      </c>
      <c r="B9404" s="90">
        <v>7.8486907407468989</v>
      </c>
    </row>
    <row r="9405" spans="1:2">
      <c r="A9405" s="32">
        <v>9392</v>
      </c>
      <c r="B9405" s="90">
        <v>7.8102910510186048</v>
      </c>
    </row>
    <row r="9406" spans="1:2">
      <c r="A9406" s="32">
        <v>9393</v>
      </c>
      <c r="B9406" s="90">
        <v>7.4449121217446725</v>
      </c>
    </row>
    <row r="9407" spans="1:2">
      <c r="A9407" s="32">
        <v>9394</v>
      </c>
      <c r="B9407" s="90">
        <v>8.219771909556961</v>
      </c>
    </row>
    <row r="9408" spans="1:2">
      <c r="A9408" s="32">
        <v>9395</v>
      </c>
      <c r="B9408" s="90">
        <v>9.3946175970884109</v>
      </c>
    </row>
    <row r="9409" spans="1:2">
      <c r="A9409" s="32">
        <v>9396</v>
      </c>
      <c r="B9409" s="90">
        <v>7.2280319031277589</v>
      </c>
    </row>
    <row r="9410" spans="1:2">
      <c r="A9410" s="32">
        <v>9397</v>
      </c>
      <c r="B9410" s="90">
        <v>8.1183648728181499</v>
      </c>
    </row>
    <row r="9411" spans="1:2">
      <c r="A9411" s="32">
        <v>9398</v>
      </c>
      <c r="B9411" s="90">
        <v>8.8180254016809769</v>
      </c>
    </row>
    <row r="9412" spans="1:2">
      <c r="A9412" s="32">
        <v>9399</v>
      </c>
      <c r="B9412" s="90">
        <v>7.3383130243402048</v>
      </c>
    </row>
    <row r="9413" spans="1:2">
      <c r="A9413" s="32">
        <v>9400</v>
      </c>
      <c r="B9413" s="90">
        <v>7.365425196928916</v>
      </c>
    </row>
    <row r="9414" spans="1:2">
      <c r="A9414" s="32">
        <v>9401</v>
      </c>
      <c r="B9414" s="90">
        <v>8.0024874917364262</v>
      </c>
    </row>
    <row r="9415" spans="1:2">
      <c r="A9415" s="32">
        <v>9402</v>
      </c>
      <c r="B9415" s="90">
        <v>7.4908646223728113</v>
      </c>
    </row>
    <row r="9416" spans="1:2">
      <c r="A9416" s="32">
        <v>9403</v>
      </c>
      <c r="B9416" s="90">
        <v>7.4060756834348354</v>
      </c>
    </row>
    <row r="9417" spans="1:2">
      <c r="A9417" s="32">
        <v>9404</v>
      </c>
      <c r="B9417" s="90">
        <v>8.2162586165758924</v>
      </c>
    </row>
    <row r="9418" spans="1:2">
      <c r="A9418" s="32">
        <v>9405</v>
      </c>
      <c r="B9418" s="90">
        <v>7.498087909909728</v>
      </c>
    </row>
    <row r="9419" spans="1:2">
      <c r="A9419" s="32">
        <v>9406</v>
      </c>
      <c r="B9419" s="90">
        <v>7.9388682196863831</v>
      </c>
    </row>
    <row r="9420" spans="1:2">
      <c r="A9420" s="32">
        <v>9407</v>
      </c>
      <c r="B9420" s="90">
        <v>8.3736195188336442</v>
      </c>
    </row>
    <row r="9421" spans="1:2">
      <c r="A9421" s="32">
        <v>9408</v>
      </c>
      <c r="B9421" s="90">
        <v>9.0216478974686538</v>
      </c>
    </row>
    <row r="9422" spans="1:2">
      <c r="A9422" s="32">
        <v>9409</v>
      </c>
      <c r="B9422" s="90">
        <v>8.0038896339528911</v>
      </c>
    </row>
    <row r="9423" spans="1:2">
      <c r="A9423" s="32">
        <v>9410</v>
      </c>
      <c r="B9423" s="90">
        <v>7.621953209588459</v>
      </c>
    </row>
    <row r="9424" spans="1:2">
      <c r="A9424" s="32">
        <v>9411</v>
      </c>
      <c r="B9424" s="90">
        <v>8.7184933058955583</v>
      </c>
    </row>
    <row r="9425" spans="1:2">
      <c r="A9425" s="32">
        <v>9412</v>
      </c>
      <c r="B9425" s="90">
        <v>7.2697322000505444</v>
      </c>
    </row>
    <row r="9426" spans="1:2">
      <c r="A9426" s="32">
        <v>9413</v>
      </c>
      <c r="B9426" s="90">
        <v>8.6586897239081981</v>
      </c>
    </row>
    <row r="9427" spans="1:2">
      <c r="A9427" s="32">
        <v>9414</v>
      </c>
      <c r="B9427" s="90">
        <v>7.3731962109032798</v>
      </c>
    </row>
    <row r="9428" spans="1:2">
      <c r="A9428" s="32">
        <v>9415</v>
      </c>
      <c r="B9428" s="90">
        <v>7.6437021954475544</v>
      </c>
    </row>
    <row r="9429" spans="1:2">
      <c r="A9429" s="32">
        <v>9416</v>
      </c>
      <c r="B9429" s="90">
        <v>8.0412942781535399</v>
      </c>
    </row>
    <row r="9430" spans="1:2">
      <c r="A9430" s="32">
        <v>9417</v>
      </c>
      <c r="B9430" s="90">
        <v>8.6619401361242367</v>
      </c>
    </row>
    <row r="9431" spans="1:2">
      <c r="A9431" s="32">
        <v>9418</v>
      </c>
      <c r="B9431" s="90">
        <v>7.7877800643583388</v>
      </c>
    </row>
    <row r="9432" spans="1:2">
      <c r="A9432" s="32">
        <v>9419</v>
      </c>
      <c r="B9432" s="90">
        <v>8.011138290956918</v>
      </c>
    </row>
    <row r="9433" spans="1:2">
      <c r="A9433" s="32">
        <v>9420</v>
      </c>
      <c r="B9433" s="90">
        <v>7.7226590149950516</v>
      </c>
    </row>
    <row r="9434" spans="1:2">
      <c r="A9434" s="32">
        <v>9421</v>
      </c>
      <c r="B9434" s="90">
        <v>9.0725636793796163</v>
      </c>
    </row>
    <row r="9435" spans="1:2">
      <c r="A9435" s="32">
        <v>9422</v>
      </c>
      <c r="B9435" s="90">
        <v>8.1628452542474612</v>
      </c>
    </row>
    <row r="9436" spans="1:2">
      <c r="A9436" s="32">
        <v>9423</v>
      </c>
      <c r="B9436" s="90">
        <v>8.0075578472344446</v>
      </c>
    </row>
    <row r="9437" spans="1:2">
      <c r="A9437" s="32">
        <v>9424</v>
      </c>
      <c r="B9437" s="90">
        <v>7.9557682627779078</v>
      </c>
    </row>
    <row r="9438" spans="1:2">
      <c r="A9438" s="32">
        <v>9425</v>
      </c>
      <c r="B9438" s="90">
        <v>8.2206387529311673</v>
      </c>
    </row>
    <row r="9439" spans="1:2">
      <c r="A9439" s="32">
        <v>9426</v>
      </c>
      <c r="B9439" s="90">
        <v>7.385712471234676</v>
      </c>
    </row>
    <row r="9440" spans="1:2">
      <c r="A9440" s="32">
        <v>9427</v>
      </c>
      <c r="B9440" s="90">
        <v>8.109686305563411</v>
      </c>
    </row>
    <row r="9441" spans="1:2">
      <c r="A9441" s="32">
        <v>9428</v>
      </c>
      <c r="B9441" s="90">
        <v>7.3290181798358383</v>
      </c>
    </row>
    <row r="9442" spans="1:2">
      <c r="A9442" s="32">
        <v>9429</v>
      </c>
      <c r="B9442" s="90">
        <v>8.3047952887099186</v>
      </c>
    </row>
    <row r="9443" spans="1:2">
      <c r="A9443" s="32">
        <v>9430</v>
      </c>
      <c r="B9443" s="90">
        <v>9.0242053454114952</v>
      </c>
    </row>
    <row r="9444" spans="1:2">
      <c r="A9444" s="32">
        <v>9431</v>
      </c>
      <c r="B9444" s="90">
        <v>8.7354253441617402</v>
      </c>
    </row>
    <row r="9445" spans="1:2">
      <c r="A9445" s="32">
        <v>9432</v>
      </c>
      <c r="B9445" s="90">
        <v>6.5973330549191953</v>
      </c>
    </row>
    <row r="9446" spans="1:2">
      <c r="A9446" s="32">
        <v>9433</v>
      </c>
      <c r="B9446" s="90">
        <v>8.7065892081226455</v>
      </c>
    </row>
    <row r="9447" spans="1:2">
      <c r="A9447" s="32">
        <v>9434</v>
      </c>
      <c r="B9447" s="90">
        <v>7.8541641156195663</v>
      </c>
    </row>
    <row r="9448" spans="1:2">
      <c r="A9448" s="32">
        <v>9435</v>
      </c>
      <c r="B9448" s="90">
        <v>7.604200187601962</v>
      </c>
    </row>
    <row r="9449" spans="1:2">
      <c r="A9449" s="32">
        <v>9436</v>
      </c>
      <c r="B9449" s="90">
        <v>7.2585823266599983</v>
      </c>
    </row>
    <row r="9450" spans="1:2">
      <c r="A9450" s="32">
        <v>9437</v>
      </c>
      <c r="B9450" s="90">
        <v>8.5555261375754199</v>
      </c>
    </row>
    <row r="9451" spans="1:2">
      <c r="A9451" s="32">
        <v>9438</v>
      </c>
      <c r="B9451" s="90">
        <v>8.065113355699193</v>
      </c>
    </row>
    <row r="9452" spans="1:2">
      <c r="A9452" s="32">
        <v>9439</v>
      </c>
      <c r="B9452" s="90">
        <v>8.472816647550836</v>
      </c>
    </row>
    <row r="9453" spans="1:2">
      <c r="A9453" s="32">
        <v>9440</v>
      </c>
      <c r="B9453" s="90">
        <v>8.4743720649905594</v>
      </c>
    </row>
    <row r="9454" spans="1:2">
      <c r="A9454" s="32">
        <v>9441</v>
      </c>
      <c r="B9454" s="90">
        <v>7.4965509877677636</v>
      </c>
    </row>
    <row r="9455" spans="1:2">
      <c r="A9455" s="32">
        <v>9442</v>
      </c>
      <c r="B9455" s="90">
        <v>7.9507939480623255</v>
      </c>
    </row>
    <row r="9456" spans="1:2">
      <c r="A9456" s="32">
        <v>9443</v>
      </c>
      <c r="B9456" s="90">
        <v>7.7271658331616644</v>
      </c>
    </row>
    <row r="9457" spans="1:2">
      <c r="A9457" s="32">
        <v>9444</v>
      </c>
      <c r="B9457" s="90">
        <v>8.3616720517555869</v>
      </c>
    </row>
    <row r="9458" spans="1:2">
      <c r="A9458" s="32">
        <v>9445</v>
      </c>
      <c r="B9458" s="90">
        <v>8.1794624058960412</v>
      </c>
    </row>
    <row r="9459" spans="1:2">
      <c r="A9459" s="32">
        <v>9446</v>
      </c>
      <c r="B9459" s="90">
        <v>9.0376462080760103</v>
      </c>
    </row>
    <row r="9460" spans="1:2">
      <c r="A9460" s="32">
        <v>9447</v>
      </c>
      <c r="B9460" s="90">
        <v>7.3741883270115025</v>
      </c>
    </row>
    <row r="9461" spans="1:2">
      <c r="A9461" s="32">
        <v>9448</v>
      </c>
      <c r="B9461" s="90">
        <v>7.7445799711019934</v>
      </c>
    </row>
    <row r="9462" spans="1:2">
      <c r="A9462" s="32">
        <v>9449</v>
      </c>
      <c r="B9462" s="90">
        <v>8.2210904645688121</v>
      </c>
    </row>
    <row r="9463" spans="1:2">
      <c r="A9463" s="32">
        <v>9450</v>
      </c>
      <c r="B9463" s="90">
        <v>8.2805940462280123</v>
      </c>
    </row>
    <row r="9464" spans="1:2">
      <c r="A9464" s="32">
        <v>9451</v>
      </c>
      <c r="B9464" s="90">
        <v>8.0690558914272899</v>
      </c>
    </row>
    <row r="9465" spans="1:2">
      <c r="A9465" s="32">
        <v>9452</v>
      </c>
      <c r="B9465" s="90">
        <v>9.215442900359589</v>
      </c>
    </row>
    <row r="9466" spans="1:2">
      <c r="A9466" s="32">
        <v>9453</v>
      </c>
      <c r="B9466" s="90">
        <v>7.6623506245216602</v>
      </c>
    </row>
    <row r="9467" spans="1:2">
      <c r="A9467" s="32">
        <v>9454</v>
      </c>
      <c r="B9467" s="90">
        <v>8.6779227454225012</v>
      </c>
    </row>
    <row r="9468" spans="1:2">
      <c r="A9468" s="32">
        <v>9455</v>
      </c>
      <c r="B9468" s="90">
        <v>7.766763762412598</v>
      </c>
    </row>
    <row r="9469" spans="1:2">
      <c r="A9469" s="32">
        <v>9456</v>
      </c>
      <c r="B9469" s="90">
        <v>8.4054229945795296</v>
      </c>
    </row>
    <row r="9470" spans="1:2">
      <c r="A9470" s="32">
        <v>9457</v>
      </c>
      <c r="B9470" s="90">
        <v>7.9449496089258602</v>
      </c>
    </row>
    <row r="9471" spans="1:2">
      <c r="A9471" s="32">
        <v>9458</v>
      </c>
      <c r="B9471" s="90">
        <v>7.0707008674213583</v>
      </c>
    </row>
    <row r="9472" spans="1:2">
      <c r="A9472" s="32">
        <v>9459</v>
      </c>
      <c r="B9472" s="90">
        <v>8.3866492981490364</v>
      </c>
    </row>
    <row r="9473" spans="1:2">
      <c r="A9473" s="32">
        <v>9460</v>
      </c>
      <c r="B9473" s="90">
        <v>6.5836176944079856</v>
      </c>
    </row>
    <row r="9474" spans="1:2">
      <c r="A9474" s="32">
        <v>9461</v>
      </c>
      <c r="B9474" s="90">
        <v>9.1526778295146691</v>
      </c>
    </row>
    <row r="9475" spans="1:2">
      <c r="A9475" s="32">
        <v>9462</v>
      </c>
      <c r="B9475" s="90">
        <v>9.0286675991038994</v>
      </c>
    </row>
    <row r="9476" spans="1:2">
      <c r="A9476" s="32">
        <v>9463</v>
      </c>
      <c r="B9476" s="90">
        <v>9.3513047788860408</v>
      </c>
    </row>
    <row r="9477" spans="1:2">
      <c r="A9477" s="32">
        <v>9464</v>
      </c>
      <c r="B9477" s="90">
        <v>7.1983275627735752</v>
      </c>
    </row>
    <row r="9478" spans="1:2">
      <c r="A9478" s="32">
        <v>9465</v>
      </c>
      <c r="B9478" s="90">
        <v>8.1265153001971466</v>
      </c>
    </row>
    <row r="9479" spans="1:2">
      <c r="A9479" s="32">
        <v>9466</v>
      </c>
      <c r="B9479" s="90">
        <v>7.4057935853435035</v>
      </c>
    </row>
    <row r="9480" spans="1:2">
      <c r="A9480" s="32">
        <v>9467</v>
      </c>
      <c r="B9480" s="90">
        <v>8.2413157053504964</v>
      </c>
    </row>
    <row r="9481" spans="1:2">
      <c r="A9481" s="32">
        <v>9468</v>
      </c>
      <c r="B9481" s="90">
        <v>7.5218904957019799</v>
      </c>
    </row>
    <row r="9482" spans="1:2">
      <c r="A9482" s="32">
        <v>9469</v>
      </c>
      <c r="B9482" s="90">
        <v>7.339012899328198</v>
      </c>
    </row>
    <row r="9483" spans="1:2">
      <c r="A9483" s="32">
        <v>9470</v>
      </c>
      <c r="B9483" s="90">
        <v>7.0685222321619223</v>
      </c>
    </row>
    <row r="9484" spans="1:2">
      <c r="A9484" s="32">
        <v>9471</v>
      </c>
      <c r="B9484" s="90">
        <v>7.8862129873095075</v>
      </c>
    </row>
    <row r="9485" spans="1:2">
      <c r="A9485" s="32">
        <v>9472</v>
      </c>
      <c r="B9485" s="90">
        <v>7.9849414887438552</v>
      </c>
    </row>
    <row r="9486" spans="1:2">
      <c r="A9486" s="32">
        <v>9473</v>
      </c>
      <c r="B9486" s="90">
        <v>9.2207627263686192</v>
      </c>
    </row>
    <row r="9487" spans="1:2">
      <c r="A9487" s="32">
        <v>9474</v>
      </c>
      <c r="B9487" s="90">
        <v>7.858858710923756</v>
      </c>
    </row>
    <row r="9488" spans="1:2">
      <c r="A9488" s="32">
        <v>9475</v>
      </c>
      <c r="B9488" s="90">
        <v>7.3078391228112078</v>
      </c>
    </row>
    <row r="9489" spans="1:2">
      <c r="A9489" s="32">
        <v>9476</v>
      </c>
      <c r="B9489" s="90">
        <v>7.6332044755960036</v>
      </c>
    </row>
    <row r="9490" spans="1:2">
      <c r="A9490" s="32">
        <v>9477</v>
      </c>
      <c r="B9490" s="90">
        <v>7.9234530323513859</v>
      </c>
    </row>
    <row r="9491" spans="1:2">
      <c r="A9491" s="32">
        <v>9478</v>
      </c>
      <c r="B9491" s="90">
        <v>7.3417916327077544</v>
      </c>
    </row>
    <row r="9492" spans="1:2">
      <c r="A9492" s="32">
        <v>9479</v>
      </c>
      <c r="B9492" s="90">
        <v>8.2099463868249938</v>
      </c>
    </row>
    <row r="9493" spans="1:2">
      <c r="A9493" s="32">
        <v>9480</v>
      </c>
      <c r="B9493" s="90">
        <v>8.2384708152925317</v>
      </c>
    </row>
    <row r="9494" spans="1:2">
      <c r="A9494" s="32">
        <v>9481</v>
      </c>
      <c r="B9494" s="90">
        <v>9.1803637136684824</v>
      </c>
    </row>
    <row r="9495" spans="1:2">
      <c r="A9495" s="32">
        <v>9482</v>
      </c>
      <c r="B9495" s="90">
        <v>8.9217714410225568</v>
      </c>
    </row>
    <row r="9496" spans="1:2">
      <c r="A9496" s="32">
        <v>9483</v>
      </c>
      <c r="B9496" s="90">
        <v>8.3782865526091701</v>
      </c>
    </row>
    <row r="9497" spans="1:2">
      <c r="A9497" s="32">
        <v>9484</v>
      </c>
      <c r="B9497" s="90">
        <v>8.0389479444602241</v>
      </c>
    </row>
    <row r="9498" spans="1:2">
      <c r="A9498" s="32">
        <v>9485</v>
      </c>
      <c r="B9498" s="90">
        <v>7.9761097482657588</v>
      </c>
    </row>
    <row r="9499" spans="1:2">
      <c r="A9499" s="32">
        <v>9486</v>
      </c>
      <c r="B9499" s="90">
        <v>8.3601885592396208</v>
      </c>
    </row>
    <row r="9500" spans="1:2">
      <c r="A9500" s="32">
        <v>9487</v>
      </c>
      <c r="B9500" s="90">
        <v>7.6993057794158428</v>
      </c>
    </row>
    <row r="9501" spans="1:2">
      <c r="A9501" s="32">
        <v>9488</v>
      </c>
      <c r="B9501" s="90">
        <v>9.6480377499620875</v>
      </c>
    </row>
    <row r="9502" spans="1:2">
      <c r="A9502" s="32">
        <v>9489</v>
      </c>
      <c r="B9502" s="90">
        <v>8.2962209392052486</v>
      </c>
    </row>
    <row r="9503" spans="1:2">
      <c r="A9503" s="32">
        <v>9490</v>
      </c>
      <c r="B9503" s="90">
        <v>8.2737827253261358</v>
      </c>
    </row>
    <row r="9504" spans="1:2">
      <c r="A9504" s="32">
        <v>9491</v>
      </c>
      <c r="B9504" s="90">
        <v>8.3612882452419139</v>
      </c>
    </row>
    <row r="9505" spans="1:2">
      <c r="A9505" s="32">
        <v>9492</v>
      </c>
      <c r="B9505" s="90">
        <v>7.3889541795595983</v>
      </c>
    </row>
    <row r="9506" spans="1:2">
      <c r="A9506" s="32">
        <v>9493</v>
      </c>
      <c r="B9506" s="90">
        <v>7.7398022850098549</v>
      </c>
    </row>
    <row r="9507" spans="1:2">
      <c r="A9507" s="32">
        <v>9494</v>
      </c>
      <c r="B9507" s="90">
        <v>8.404095637889931</v>
      </c>
    </row>
    <row r="9508" spans="1:2">
      <c r="A9508" s="32">
        <v>9495</v>
      </c>
      <c r="B9508" s="90">
        <v>8.073613823679608</v>
      </c>
    </row>
    <row r="9509" spans="1:2">
      <c r="A9509" s="32">
        <v>9496</v>
      </c>
      <c r="B9509" s="90">
        <v>8.5019984638937043</v>
      </c>
    </row>
    <row r="9510" spans="1:2">
      <c r="A9510" s="32">
        <v>9497</v>
      </c>
      <c r="B9510" s="90">
        <v>7.3762414729709551</v>
      </c>
    </row>
    <row r="9511" spans="1:2">
      <c r="A9511" s="32">
        <v>9498</v>
      </c>
      <c r="B9511" s="90">
        <v>8.1542276369005133</v>
      </c>
    </row>
    <row r="9512" spans="1:2">
      <c r="A9512" s="32">
        <v>9499</v>
      </c>
      <c r="B9512" s="90">
        <v>7.9100470811193215</v>
      </c>
    </row>
    <row r="9513" spans="1:2">
      <c r="A9513" s="32">
        <v>9500</v>
      </c>
      <c r="B9513" s="90">
        <v>8.9994587006558682</v>
      </c>
    </row>
    <row r="9514" spans="1:2">
      <c r="A9514" s="32">
        <v>9501</v>
      </c>
      <c r="B9514" s="90">
        <v>7.4036616067358905</v>
      </c>
    </row>
    <row r="9515" spans="1:2">
      <c r="A9515" s="32">
        <v>9502</v>
      </c>
      <c r="B9515" s="90">
        <v>7.2985361315748492</v>
      </c>
    </row>
    <row r="9516" spans="1:2">
      <c r="A9516" s="32">
        <v>9503</v>
      </c>
      <c r="B9516" s="90">
        <v>8.5230762474385156</v>
      </c>
    </row>
    <row r="9517" spans="1:2">
      <c r="A9517" s="32">
        <v>9504</v>
      </c>
      <c r="B9517" s="90">
        <v>9.1245416293051242</v>
      </c>
    </row>
    <row r="9518" spans="1:2">
      <c r="A9518" s="32">
        <v>9505</v>
      </c>
      <c r="B9518" s="90">
        <v>8.1038037108409426</v>
      </c>
    </row>
    <row r="9519" spans="1:2">
      <c r="A9519" s="32">
        <v>9506</v>
      </c>
      <c r="B9519" s="90">
        <v>9.142894000445775</v>
      </c>
    </row>
    <row r="9520" spans="1:2">
      <c r="A9520" s="32">
        <v>9507</v>
      </c>
      <c r="B9520" s="90">
        <v>8.1829355257444192</v>
      </c>
    </row>
    <row r="9521" spans="1:2">
      <c r="A9521" s="32">
        <v>9508</v>
      </c>
      <c r="B9521" s="90">
        <v>7.5032848640134162</v>
      </c>
    </row>
    <row r="9522" spans="1:2">
      <c r="A9522" s="32">
        <v>9509</v>
      </c>
      <c r="B9522" s="90">
        <v>8.7505168170909524</v>
      </c>
    </row>
    <row r="9523" spans="1:2">
      <c r="A9523" s="32">
        <v>9510</v>
      </c>
      <c r="B9523" s="90">
        <v>8.9546972786989176</v>
      </c>
    </row>
    <row r="9524" spans="1:2">
      <c r="A9524" s="32">
        <v>9511</v>
      </c>
      <c r="B9524" s="90">
        <v>8.6577353979714449</v>
      </c>
    </row>
    <row r="9525" spans="1:2">
      <c r="A9525" s="32">
        <v>9512</v>
      </c>
      <c r="B9525" s="90">
        <v>9.4260320471840942</v>
      </c>
    </row>
    <row r="9526" spans="1:2">
      <c r="A9526" s="32">
        <v>9513</v>
      </c>
      <c r="B9526" s="90">
        <v>7.6920651991619282</v>
      </c>
    </row>
    <row r="9527" spans="1:2">
      <c r="A9527" s="32">
        <v>9514</v>
      </c>
      <c r="B9527" s="90">
        <v>7.3513407382632616</v>
      </c>
    </row>
    <row r="9528" spans="1:2">
      <c r="A9528" s="32">
        <v>9515</v>
      </c>
      <c r="B9528" s="90">
        <v>7.3912322443755336</v>
      </c>
    </row>
    <row r="9529" spans="1:2">
      <c r="A9529" s="32">
        <v>9516</v>
      </c>
      <c r="B9529" s="90">
        <v>8.3928899969381483</v>
      </c>
    </row>
    <row r="9530" spans="1:2">
      <c r="A9530" s="32">
        <v>9517</v>
      </c>
      <c r="B9530" s="90">
        <v>8.7387337852116982</v>
      </c>
    </row>
    <row r="9531" spans="1:2">
      <c r="A9531" s="32">
        <v>9518</v>
      </c>
      <c r="B9531" s="90">
        <v>8.8363798806706573</v>
      </c>
    </row>
    <row r="9532" spans="1:2">
      <c r="A9532" s="32">
        <v>9519</v>
      </c>
      <c r="B9532" s="90">
        <v>6.9444239384497886</v>
      </c>
    </row>
    <row r="9533" spans="1:2">
      <c r="A9533" s="32">
        <v>9520</v>
      </c>
      <c r="B9533" s="90">
        <v>7.035999294297401</v>
      </c>
    </row>
    <row r="9534" spans="1:2">
      <c r="A9534" s="32">
        <v>9521</v>
      </c>
      <c r="B9534" s="90">
        <v>8.930681064056154</v>
      </c>
    </row>
    <row r="9535" spans="1:2">
      <c r="A9535" s="32">
        <v>9522</v>
      </c>
      <c r="B9535" s="90">
        <v>8.2360470236882275</v>
      </c>
    </row>
    <row r="9536" spans="1:2">
      <c r="A9536" s="32">
        <v>9523</v>
      </c>
      <c r="B9536" s="90">
        <v>8.408696222821515</v>
      </c>
    </row>
    <row r="9537" spans="1:2">
      <c r="A9537" s="32">
        <v>9524</v>
      </c>
      <c r="B9537" s="90">
        <v>8.5145713459797427</v>
      </c>
    </row>
    <row r="9538" spans="1:2">
      <c r="A9538" s="32">
        <v>9525</v>
      </c>
      <c r="B9538" s="90">
        <v>7.4343368630832938</v>
      </c>
    </row>
    <row r="9539" spans="1:2">
      <c r="A9539" s="32">
        <v>9526</v>
      </c>
      <c r="B9539" s="90">
        <v>8.3062751371265175</v>
      </c>
    </row>
    <row r="9540" spans="1:2">
      <c r="A9540" s="32">
        <v>9527</v>
      </c>
      <c r="B9540" s="90">
        <v>6.3286808979896092</v>
      </c>
    </row>
    <row r="9541" spans="1:2">
      <c r="A9541" s="32">
        <v>9528</v>
      </c>
      <c r="B9541" s="90">
        <v>8.5425927617531467</v>
      </c>
    </row>
    <row r="9542" spans="1:2">
      <c r="A9542" s="32">
        <v>9529</v>
      </c>
      <c r="B9542" s="90">
        <v>8.6076356457072087</v>
      </c>
    </row>
    <row r="9543" spans="1:2">
      <c r="A9543" s="32">
        <v>9530</v>
      </c>
      <c r="B9543" s="90">
        <v>8.0771538466738519</v>
      </c>
    </row>
    <row r="9544" spans="1:2">
      <c r="A9544" s="32">
        <v>9531</v>
      </c>
      <c r="B9544" s="90">
        <v>8.2488265403399996</v>
      </c>
    </row>
    <row r="9545" spans="1:2">
      <c r="A9545" s="32">
        <v>9532</v>
      </c>
      <c r="B9545" s="90">
        <v>7.0322659528020086</v>
      </c>
    </row>
    <row r="9546" spans="1:2">
      <c r="A9546" s="32">
        <v>9533</v>
      </c>
      <c r="B9546" s="90">
        <v>7.0326055042496716</v>
      </c>
    </row>
    <row r="9547" spans="1:2">
      <c r="A9547" s="32">
        <v>9534</v>
      </c>
      <c r="B9547" s="90">
        <v>7.5148544373232156</v>
      </c>
    </row>
    <row r="9548" spans="1:2">
      <c r="A9548" s="32">
        <v>9535</v>
      </c>
      <c r="B9548" s="90">
        <v>7.2725164981529256</v>
      </c>
    </row>
    <row r="9549" spans="1:2">
      <c r="A9549" s="32">
        <v>9536</v>
      </c>
      <c r="B9549" s="90">
        <v>8.1503771360983581</v>
      </c>
    </row>
    <row r="9550" spans="1:2">
      <c r="A9550" s="32">
        <v>9537</v>
      </c>
      <c r="B9550" s="90">
        <v>8.5433595234323452</v>
      </c>
    </row>
    <row r="9551" spans="1:2">
      <c r="A9551" s="32">
        <v>9538</v>
      </c>
      <c r="B9551" s="90">
        <v>8.69903844353402</v>
      </c>
    </row>
    <row r="9552" spans="1:2">
      <c r="A9552" s="32">
        <v>9539</v>
      </c>
      <c r="B9552" s="90">
        <v>9.4903904471409337</v>
      </c>
    </row>
    <row r="9553" spans="1:2">
      <c r="A9553" s="32">
        <v>9540</v>
      </c>
      <c r="B9553" s="90">
        <v>8.1727215697181208</v>
      </c>
    </row>
    <row r="9554" spans="1:2">
      <c r="A9554" s="32">
        <v>9541</v>
      </c>
      <c r="B9554" s="90">
        <v>8.6299936466582423</v>
      </c>
    </row>
    <row r="9555" spans="1:2">
      <c r="A9555" s="32">
        <v>9542</v>
      </c>
      <c r="B9555" s="90">
        <v>9.7334633998414919</v>
      </c>
    </row>
    <row r="9556" spans="1:2">
      <c r="A9556" s="32">
        <v>9543</v>
      </c>
      <c r="B9556" s="90">
        <v>7.3891469119351676</v>
      </c>
    </row>
    <row r="9557" spans="1:2">
      <c r="A9557" s="32">
        <v>9544</v>
      </c>
      <c r="B9557" s="90">
        <v>7.8029482835525359</v>
      </c>
    </row>
    <row r="9558" spans="1:2">
      <c r="A9558" s="32">
        <v>9545</v>
      </c>
      <c r="B9558" s="90">
        <v>9.1925791161289361</v>
      </c>
    </row>
    <row r="9559" spans="1:2">
      <c r="A9559" s="32">
        <v>9546</v>
      </c>
      <c r="B9559" s="90">
        <v>8.0334991209362467</v>
      </c>
    </row>
    <row r="9560" spans="1:2">
      <c r="A9560" s="32">
        <v>9547</v>
      </c>
      <c r="B9560" s="90">
        <v>7.5858456693222456</v>
      </c>
    </row>
    <row r="9561" spans="1:2">
      <c r="A9561" s="32">
        <v>9548</v>
      </c>
      <c r="B9561" s="90">
        <v>9.1803469929331438</v>
      </c>
    </row>
    <row r="9562" spans="1:2">
      <c r="A9562" s="32">
        <v>9549</v>
      </c>
      <c r="B9562" s="90">
        <v>7.6893826094196873</v>
      </c>
    </row>
    <row r="9563" spans="1:2">
      <c r="A9563" s="32">
        <v>9550</v>
      </c>
      <c r="B9563" s="90">
        <v>8.5009814117075564</v>
      </c>
    </row>
    <row r="9564" spans="1:2">
      <c r="A9564" s="32">
        <v>9551</v>
      </c>
      <c r="B9564" s="90">
        <v>8.6242232410798021</v>
      </c>
    </row>
    <row r="9565" spans="1:2">
      <c r="A9565" s="32">
        <v>9552</v>
      </c>
      <c r="B9565" s="90">
        <v>8.1975370468110498</v>
      </c>
    </row>
    <row r="9566" spans="1:2">
      <c r="A9566" s="32">
        <v>9553</v>
      </c>
      <c r="B9566" s="90">
        <v>7.7533486874018136</v>
      </c>
    </row>
    <row r="9567" spans="1:2">
      <c r="A9567" s="32">
        <v>9554</v>
      </c>
      <c r="B9567" s="90">
        <v>8.0975153627506913</v>
      </c>
    </row>
    <row r="9568" spans="1:2">
      <c r="A9568" s="32">
        <v>9555</v>
      </c>
      <c r="B9568" s="90">
        <v>7.3591323860091444</v>
      </c>
    </row>
    <row r="9569" spans="1:2">
      <c r="A9569" s="32">
        <v>9556</v>
      </c>
      <c r="B9569" s="90">
        <v>6.8436433348188963</v>
      </c>
    </row>
    <row r="9570" spans="1:2">
      <c r="A9570" s="32">
        <v>9557</v>
      </c>
      <c r="B9570" s="90">
        <v>8.8540796440407163</v>
      </c>
    </row>
    <row r="9571" spans="1:2">
      <c r="A9571" s="32">
        <v>9558</v>
      </c>
      <c r="B9571" s="90">
        <v>8.7887484569165242</v>
      </c>
    </row>
    <row r="9572" spans="1:2">
      <c r="A9572" s="32">
        <v>9559</v>
      </c>
      <c r="B9572" s="90">
        <v>7.5033707264915988</v>
      </c>
    </row>
    <row r="9573" spans="1:2">
      <c r="A9573" s="32">
        <v>9560</v>
      </c>
      <c r="B9573" s="90">
        <v>8.580218180204259</v>
      </c>
    </row>
    <row r="9574" spans="1:2">
      <c r="A9574" s="32">
        <v>9561</v>
      </c>
      <c r="B9574" s="90">
        <v>8.6588807103840022</v>
      </c>
    </row>
    <row r="9575" spans="1:2">
      <c r="A9575" s="32">
        <v>9562</v>
      </c>
      <c r="B9575" s="90">
        <v>8.7318726719574418</v>
      </c>
    </row>
    <row r="9576" spans="1:2">
      <c r="A9576" s="32">
        <v>9563</v>
      </c>
      <c r="B9576" s="90">
        <v>7.3472156231720707</v>
      </c>
    </row>
    <row r="9577" spans="1:2">
      <c r="A9577" s="32">
        <v>9564</v>
      </c>
      <c r="B9577" s="90">
        <v>7.7683691250434315</v>
      </c>
    </row>
    <row r="9578" spans="1:2">
      <c r="A9578" s="32">
        <v>9565</v>
      </c>
      <c r="B9578" s="90">
        <v>8.2086040822454418</v>
      </c>
    </row>
    <row r="9579" spans="1:2">
      <c r="A9579" s="32">
        <v>9566</v>
      </c>
      <c r="B9579" s="90">
        <v>7.0767529917272531</v>
      </c>
    </row>
    <row r="9580" spans="1:2">
      <c r="A9580" s="32">
        <v>9567</v>
      </c>
      <c r="B9580" s="90">
        <v>7.5643220994559481</v>
      </c>
    </row>
    <row r="9581" spans="1:2">
      <c r="A9581" s="32">
        <v>9568</v>
      </c>
      <c r="B9581" s="90">
        <v>8.8618881916789416</v>
      </c>
    </row>
    <row r="9582" spans="1:2">
      <c r="A9582" s="32">
        <v>9569</v>
      </c>
      <c r="B9582" s="90">
        <v>7.9591245415396834</v>
      </c>
    </row>
    <row r="9583" spans="1:2">
      <c r="A9583" s="32">
        <v>9570</v>
      </c>
      <c r="B9583" s="90">
        <v>8.753296279315947</v>
      </c>
    </row>
    <row r="9584" spans="1:2">
      <c r="A9584" s="32">
        <v>9571</v>
      </c>
      <c r="B9584" s="90">
        <v>8.4643117888975645</v>
      </c>
    </row>
    <row r="9585" spans="1:2">
      <c r="A9585" s="32">
        <v>9572</v>
      </c>
      <c r="B9585" s="90">
        <v>8.867943050244218</v>
      </c>
    </row>
    <row r="9586" spans="1:2">
      <c r="A9586" s="32">
        <v>9573</v>
      </c>
      <c r="B9586" s="90">
        <v>8.1104719965934731</v>
      </c>
    </row>
    <row r="9587" spans="1:2">
      <c r="A9587" s="32">
        <v>9574</v>
      </c>
      <c r="B9587" s="90">
        <v>8.1723659334175949</v>
      </c>
    </row>
    <row r="9588" spans="1:2">
      <c r="A9588" s="32">
        <v>9575</v>
      </c>
      <c r="B9588" s="90">
        <v>10.348274646701901</v>
      </c>
    </row>
    <row r="9589" spans="1:2">
      <c r="A9589" s="32">
        <v>9576</v>
      </c>
      <c r="B9589" s="90">
        <v>7.5419592463841054</v>
      </c>
    </row>
    <row r="9590" spans="1:2">
      <c r="A9590" s="32">
        <v>9577</v>
      </c>
      <c r="B9590" s="90">
        <v>8.0101041654605538</v>
      </c>
    </row>
    <row r="9591" spans="1:2">
      <c r="A9591" s="32">
        <v>9578</v>
      </c>
      <c r="B9591" s="90">
        <v>8.4720075908459123</v>
      </c>
    </row>
    <row r="9592" spans="1:2">
      <c r="A9592" s="32">
        <v>9579</v>
      </c>
      <c r="B9592" s="90">
        <v>7.8288030927587888</v>
      </c>
    </row>
    <row r="9593" spans="1:2">
      <c r="A9593" s="32">
        <v>9580</v>
      </c>
      <c r="B9593" s="90">
        <v>9.1063649615324493</v>
      </c>
    </row>
    <row r="9594" spans="1:2">
      <c r="A9594" s="32">
        <v>9581</v>
      </c>
      <c r="B9594" s="90">
        <v>8.8500643554101934</v>
      </c>
    </row>
    <row r="9595" spans="1:2">
      <c r="A9595" s="32">
        <v>9582</v>
      </c>
      <c r="B9595" s="90">
        <v>7.687793894762053</v>
      </c>
    </row>
    <row r="9596" spans="1:2">
      <c r="A9596" s="32">
        <v>9583</v>
      </c>
      <c r="B9596" s="90">
        <v>8.23172527185198</v>
      </c>
    </row>
    <row r="9597" spans="1:2">
      <c r="A9597" s="32">
        <v>9584</v>
      </c>
      <c r="B9597" s="90">
        <v>7.6020901052007757</v>
      </c>
    </row>
    <row r="9598" spans="1:2">
      <c r="A9598" s="32">
        <v>9585</v>
      </c>
      <c r="B9598" s="90">
        <v>8.5471444474584963</v>
      </c>
    </row>
    <row r="9599" spans="1:2">
      <c r="A9599" s="32">
        <v>9586</v>
      </c>
      <c r="B9599" s="90">
        <v>8.5153127742184225</v>
      </c>
    </row>
    <row r="9600" spans="1:2">
      <c r="A9600" s="32">
        <v>9587</v>
      </c>
      <c r="B9600" s="90">
        <v>7.9577974135268352</v>
      </c>
    </row>
    <row r="9601" spans="1:2">
      <c r="A9601" s="32">
        <v>9588</v>
      </c>
      <c r="B9601" s="90">
        <v>7.9952266975796888</v>
      </c>
    </row>
    <row r="9602" spans="1:2">
      <c r="A9602" s="32">
        <v>9589</v>
      </c>
      <c r="B9602" s="90">
        <v>6.8628833360680339</v>
      </c>
    </row>
    <row r="9603" spans="1:2">
      <c r="A9603" s="32">
        <v>9590</v>
      </c>
      <c r="B9603" s="90">
        <v>6.4955096701238952</v>
      </c>
    </row>
    <row r="9604" spans="1:2">
      <c r="A9604" s="32">
        <v>9591</v>
      </c>
      <c r="B9604" s="90">
        <v>6.4395295706761368</v>
      </c>
    </row>
    <row r="9605" spans="1:2">
      <c r="A9605" s="32">
        <v>9592</v>
      </c>
      <c r="B9605" s="90">
        <v>7.7819898665942606</v>
      </c>
    </row>
    <row r="9606" spans="1:2">
      <c r="A9606" s="32">
        <v>9593</v>
      </c>
      <c r="B9606" s="90">
        <v>7.4864213671428184</v>
      </c>
    </row>
    <row r="9607" spans="1:2">
      <c r="A9607" s="32">
        <v>9594</v>
      </c>
      <c r="B9607" s="90">
        <v>7.9314868383986648</v>
      </c>
    </row>
    <row r="9608" spans="1:2">
      <c r="A9608" s="32">
        <v>9595</v>
      </c>
      <c r="B9608" s="90">
        <v>8.0365680859951105</v>
      </c>
    </row>
    <row r="9609" spans="1:2">
      <c r="A9609" s="32">
        <v>9596</v>
      </c>
      <c r="B9609" s="90">
        <v>7.8077059109277167</v>
      </c>
    </row>
    <row r="9610" spans="1:2">
      <c r="A9610" s="32">
        <v>9597</v>
      </c>
      <c r="B9610" s="90">
        <v>8.7849895381240479</v>
      </c>
    </row>
    <row r="9611" spans="1:2">
      <c r="A9611" s="32">
        <v>9598</v>
      </c>
      <c r="B9611" s="90">
        <v>9.2266781846795194</v>
      </c>
    </row>
    <row r="9612" spans="1:2">
      <c r="A9612" s="32">
        <v>9599</v>
      </c>
      <c r="B9612" s="90">
        <v>7.0943100637162164</v>
      </c>
    </row>
    <row r="9613" spans="1:2">
      <c r="A9613" s="32">
        <v>9600</v>
      </c>
      <c r="B9613" s="90">
        <v>6.5363999116398288</v>
      </c>
    </row>
    <row r="9614" spans="1:2">
      <c r="A9614" s="32">
        <v>9601</v>
      </c>
      <c r="B9614" s="90">
        <v>7.7403840888063886</v>
      </c>
    </row>
    <row r="9615" spans="1:2">
      <c r="A9615" s="32">
        <v>9602</v>
      </c>
      <c r="B9615" s="90">
        <v>8.4721541237387417</v>
      </c>
    </row>
    <row r="9616" spans="1:2">
      <c r="A9616" s="32">
        <v>9603</v>
      </c>
      <c r="B9616" s="90">
        <v>8.5421826137961538</v>
      </c>
    </row>
    <row r="9617" spans="1:2">
      <c r="A9617" s="32">
        <v>9604</v>
      </c>
      <c r="B9617" s="90">
        <v>7.3804344823544232</v>
      </c>
    </row>
    <row r="9618" spans="1:2">
      <c r="A9618" s="32">
        <v>9605</v>
      </c>
      <c r="B9618" s="90">
        <v>8.7995054273050872</v>
      </c>
    </row>
    <row r="9619" spans="1:2">
      <c r="A9619" s="32">
        <v>9606</v>
      </c>
      <c r="B9619" s="90">
        <v>7.1181881665490714</v>
      </c>
    </row>
    <row r="9620" spans="1:2">
      <c r="A9620" s="32">
        <v>9607</v>
      </c>
      <c r="B9620" s="90">
        <v>8.4760691799587669</v>
      </c>
    </row>
    <row r="9621" spans="1:2">
      <c r="A9621" s="32">
        <v>9608</v>
      </c>
      <c r="B9621" s="90">
        <v>7.4077811300782113</v>
      </c>
    </row>
    <row r="9622" spans="1:2">
      <c r="A9622" s="32">
        <v>9609</v>
      </c>
      <c r="B9622" s="90">
        <v>8.0201849624182504</v>
      </c>
    </row>
    <row r="9623" spans="1:2">
      <c r="A9623" s="32">
        <v>9610</v>
      </c>
      <c r="B9623" s="90">
        <v>8.0287323986761905</v>
      </c>
    </row>
    <row r="9624" spans="1:2">
      <c r="A9624" s="32">
        <v>9611</v>
      </c>
      <c r="B9624" s="90">
        <v>7.9334717587193468</v>
      </c>
    </row>
    <row r="9625" spans="1:2">
      <c r="A9625" s="32">
        <v>9612</v>
      </c>
      <c r="B9625" s="90">
        <v>6.960524009109597</v>
      </c>
    </row>
    <row r="9626" spans="1:2">
      <c r="A9626" s="32">
        <v>9613</v>
      </c>
      <c r="B9626" s="90">
        <v>8.038628091592205</v>
      </c>
    </row>
    <row r="9627" spans="1:2">
      <c r="A9627" s="32">
        <v>9614</v>
      </c>
      <c r="B9627" s="90">
        <v>8.8378216381364911</v>
      </c>
    </row>
    <row r="9628" spans="1:2">
      <c r="A9628" s="32">
        <v>9615</v>
      </c>
      <c r="B9628" s="90">
        <v>8.5460882110171053</v>
      </c>
    </row>
    <row r="9629" spans="1:2">
      <c r="A9629" s="32">
        <v>9616</v>
      </c>
      <c r="B9629" s="90">
        <v>7.863148793631872</v>
      </c>
    </row>
    <row r="9630" spans="1:2">
      <c r="A9630" s="32">
        <v>9617</v>
      </c>
      <c r="B9630" s="90">
        <v>8.2383391270999802</v>
      </c>
    </row>
    <row r="9631" spans="1:2">
      <c r="A9631" s="32">
        <v>9618</v>
      </c>
      <c r="B9631" s="90">
        <v>7.2718974380385379</v>
      </c>
    </row>
    <row r="9632" spans="1:2">
      <c r="A9632" s="32">
        <v>9619</v>
      </c>
      <c r="B9632" s="90">
        <v>9.0704050435016743</v>
      </c>
    </row>
    <row r="9633" spans="1:2">
      <c r="A9633" s="32">
        <v>9620</v>
      </c>
      <c r="B9633" s="90">
        <v>8.1724981929142881</v>
      </c>
    </row>
    <row r="9634" spans="1:2">
      <c r="A9634" s="32">
        <v>9621</v>
      </c>
      <c r="B9634" s="90">
        <v>8.5760517502578484</v>
      </c>
    </row>
    <row r="9635" spans="1:2">
      <c r="A9635" s="32">
        <v>9622</v>
      </c>
      <c r="B9635" s="90">
        <v>9.2602837875793025</v>
      </c>
    </row>
    <row r="9636" spans="1:2">
      <c r="A9636" s="32">
        <v>9623</v>
      </c>
      <c r="B9636" s="90">
        <v>8.253439066672799</v>
      </c>
    </row>
    <row r="9637" spans="1:2">
      <c r="A9637" s="32">
        <v>9624</v>
      </c>
      <c r="B9637" s="90">
        <v>7.717181080259234</v>
      </c>
    </row>
    <row r="9638" spans="1:2">
      <c r="A9638" s="32">
        <v>9625</v>
      </c>
      <c r="B9638" s="90">
        <v>7.7617406445703745</v>
      </c>
    </row>
    <row r="9639" spans="1:2">
      <c r="A9639" s="32">
        <v>9626</v>
      </c>
      <c r="B9639" s="90">
        <v>8.5436484487513606</v>
      </c>
    </row>
    <row r="9640" spans="1:2">
      <c r="A9640" s="32">
        <v>9627</v>
      </c>
      <c r="B9640" s="90">
        <v>8.8685991541575255</v>
      </c>
    </row>
    <row r="9641" spans="1:2">
      <c r="A9641" s="32">
        <v>9628</v>
      </c>
      <c r="B9641" s="90">
        <v>6.8234953892390315</v>
      </c>
    </row>
    <row r="9642" spans="1:2">
      <c r="A9642" s="32">
        <v>9629</v>
      </c>
      <c r="B9642" s="90">
        <v>9.1772333021212358</v>
      </c>
    </row>
    <row r="9643" spans="1:2">
      <c r="A9643" s="32">
        <v>9630</v>
      </c>
      <c r="B9643" s="90">
        <v>8.2133657040019283</v>
      </c>
    </row>
    <row r="9644" spans="1:2">
      <c r="A9644" s="32">
        <v>9631</v>
      </c>
      <c r="B9644" s="90">
        <v>8.6191542701508226</v>
      </c>
    </row>
    <row r="9645" spans="1:2">
      <c r="A9645" s="32">
        <v>9632</v>
      </c>
      <c r="B9645" s="90">
        <v>7.4972219692396234</v>
      </c>
    </row>
    <row r="9646" spans="1:2">
      <c r="A9646" s="32">
        <v>9633</v>
      </c>
      <c r="B9646" s="90">
        <v>7.4289813486640099</v>
      </c>
    </row>
    <row r="9647" spans="1:2">
      <c r="A9647" s="32">
        <v>9634</v>
      </c>
      <c r="B9647" s="90">
        <v>7.6513232729836593</v>
      </c>
    </row>
    <row r="9648" spans="1:2">
      <c r="A9648" s="32">
        <v>9635</v>
      </c>
      <c r="B9648" s="90">
        <v>8.0272191707987854</v>
      </c>
    </row>
    <row r="9649" spans="1:2">
      <c r="A9649" s="32">
        <v>9636</v>
      </c>
      <c r="B9649" s="90">
        <v>6.9961839102226957</v>
      </c>
    </row>
    <row r="9650" spans="1:2">
      <c r="A9650" s="32">
        <v>9637</v>
      </c>
      <c r="B9650" s="90">
        <v>9.4845407004018565</v>
      </c>
    </row>
    <row r="9651" spans="1:2">
      <c r="A9651" s="32">
        <v>9638</v>
      </c>
      <c r="B9651" s="90">
        <v>7.5200492090425053</v>
      </c>
    </row>
    <row r="9652" spans="1:2">
      <c r="A9652" s="32">
        <v>9639</v>
      </c>
      <c r="B9652" s="90">
        <v>7.8400911603471339</v>
      </c>
    </row>
    <row r="9653" spans="1:2">
      <c r="A9653" s="32">
        <v>9640</v>
      </c>
      <c r="B9653" s="90">
        <v>7.830949500317514</v>
      </c>
    </row>
    <row r="9654" spans="1:2">
      <c r="A9654" s="32">
        <v>9641</v>
      </c>
      <c r="B9654" s="90">
        <v>8.5746916616268614</v>
      </c>
    </row>
    <row r="9655" spans="1:2">
      <c r="A9655" s="32">
        <v>9642</v>
      </c>
      <c r="B9655" s="90">
        <v>8.0580944643793995</v>
      </c>
    </row>
    <row r="9656" spans="1:2">
      <c r="A9656" s="32">
        <v>9643</v>
      </c>
      <c r="B9656" s="90">
        <v>8.4767393740339259</v>
      </c>
    </row>
    <row r="9657" spans="1:2">
      <c r="A9657" s="32">
        <v>9644</v>
      </c>
      <c r="B9657" s="90">
        <v>8.4499468217251383</v>
      </c>
    </row>
    <row r="9658" spans="1:2">
      <c r="A9658" s="32">
        <v>9645</v>
      </c>
      <c r="B9658" s="90">
        <v>8.0791810491847666</v>
      </c>
    </row>
    <row r="9659" spans="1:2">
      <c r="A9659" s="32">
        <v>9646</v>
      </c>
      <c r="B9659" s="90">
        <v>6.8731304872356116</v>
      </c>
    </row>
    <row r="9660" spans="1:2">
      <c r="A9660" s="32">
        <v>9647</v>
      </c>
      <c r="B9660" s="90">
        <v>9.215142671378505</v>
      </c>
    </row>
    <row r="9661" spans="1:2">
      <c r="A9661" s="32">
        <v>9648</v>
      </c>
      <c r="B9661" s="90">
        <v>7.8845808304269838</v>
      </c>
    </row>
    <row r="9662" spans="1:2">
      <c r="A9662" s="32">
        <v>9649</v>
      </c>
      <c r="B9662" s="90">
        <v>8.5269975728727854</v>
      </c>
    </row>
    <row r="9663" spans="1:2">
      <c r="A9663" s="32">
        <v>9650</v>
      </c>
      <c r="B9663" s="90">
        <v>8.694134233967354</v>
      </c>
    </row>
    <row r="9664" spans="1:2">
      <c r="A9664" s="32">
        <v>9651</v>
      </c>
      <c r="B9664" s="90">
        <v>7.598818127237922</v>
      </c>
    </row>
    <row r="9665" spans="1:2">
      <c r="A9665" s="32">
        <v>9652</v>
      </c>
      <c r="B9665" s="90">
        <v>8.4303317860292974</v>
      </c>
    </row>
    <row r="9666" spans="1:2">
      <c r="A9666" s="32">
        <v>9653</v>
      </c>
      <c r="B9666" s="90">
        <v>8.2838920370203795</v>
      </c>
    </row>
    <row r="9667" spans="1:2">
      <c r="A9667" s="32">
        <v>9654</v>
      </c>
      <c r="B9667" s="90">
        <v>7.7261952677104304</v>
      </c>
    </row>
    <row r="9668" spans="1:2">
      <c r="A9668" s="32">
        <v>9655</v>
      </c>
      <c r="B9668" s="90">
        <v>8.7002140415077314</v>
      </c>
    </row>
    <row r="9669" spans="1:2">
      <c r="A9669" s="32">
        <v>9656</v>
      </c>
      <c r="B9669" s="90">
        <v>7.692462534626209</v>
      </c>
    </row>
    <row r="9670" spans="1:2">
      <c r="A9670" s="32">
        <v>9657</v>
      </c>
      <c r="B9670" s="90">
        <v>8.5324227425056467</v>
      </c>
    </row>
    <row r="9671" spans="1:2">
      <c r="A9671" s="32">
        <v>9658</v>
      </c>
      <c r="B9671" s="90">
        <v>7.6723402390817474</v>
      </c>
    </row>
    <row r="9672" spans="1:2">
      <c r="A9672" s="32">
        <v>9659</v>
      </c>
      <c r="B9672" s="90">
        <v>9.0846064735895471</v>
      </c>
    </row>
    <row r="9673" spans="1:2">
      <c r="A9673" s="32">
        <v>9660</v>
      </c>
      <c r="B9673" s="90">
        <v>7.2064250046358431</v>
      </c>
    </row>
    <row r="9674" spans="1:2">
      <c r="A9674" s="32">
        <v>9661</v>
      </c>
      <c r="B9674" s="90">
        <v>9.2865028114728343</v>
      </c>
    </row>
    <row r="9675" spans="1:2">
      <c r="A9675" s="32">
        <v>9662</v>
      </c>
      <c r="B9675" s="90">
        <v>9.2412945305079841</v>
      </c>
    </row>
    <row r="9676" spans="1:2">
      <c r="A9676" s="32">
        <v>9663</v>
      </c>
      <c r="B9676" s="90">
        <v>8.6998425811326197</v>
      </c>
    </row>
    <row r="9677" spans="1:2">
      <c r="A9677" s="32">
        <v>9664</v>
      </c>
      <c r="B9677" s="90">
        <v>6.8641330730983645</v>
      </c>
    </row>
    <row r="9678" spans="1:2">
      <c r="A9678" s="32">
        <v>9665</v>
      </c>
      <c r="B9678" s="90">
        <v>7.6909140639991609</v>
      </c>
    </row>
    <row r="9679" spans="1:2">
      <c r="A9679" s="32">
        <v>9666</v>
      </c>
      <c r="B9679" s="90">
        <v>9.455869390814394</v>
      </c>
    </row>
    <row r="9680" spans="1:2">
      <c r="A9680" s="32">
        <v>9667</v>
      </c>
      <c r="B9680" s="90">
        <v>7.7678232741780331</v>
      </c>
    </row>
    <row r="9681" spans="1:2">
      <c r="A9681" s="32">
        <v>9668</v>
      </c>
      <c r="B9681" s="90">
        <v>7.140140108915717</v>
      </c>
    </row>
    <row r="9682" spans="1:2">
      <c r="A9682" s="32">
        <v>9669</v>
      </c>
      <c r="B9682" s="90">
        <v>8.9292254816338659</v>
      </c>
    </row>
    <row r="9683" spans="1:2">
      <c r="A9683" s="32">
        <v>9670</v>
      </c>
      <c r="B9683" s="90">
        <v>8.3316541092324155</v>
      </c>
    </row>
    <row r="9684" spans="1:2">
      <c r="A9684" s="32">
        <v>9671</v>
      </c>
      <c r="B9684" s="90">
        <v>6.82173903612349</v>
      </c>
    </row>
    <row r="9685" spans="1:2">
      <c r="A9685" s="32">
        <v>9672</v>
      </c>
      <c r="B9685" s="90">
        <v>8.6801189246159964</v>
      </c>
    </row>
    <row r="9686" spans="1:2">
      <c r="A9686" s="32">
        <v>9673</v>
      </c>
      <c r="B9686" s="90">
        <v>8.3490346550454309</v>
      </c>
    </row>
    <row r="9687" spans="1:2">
      <c r="A9687" s="32">
        <v>9674</v>
      </c>
      <c r="B9687" s="90">
        <v>8.1257290007780369</v>
      </c>
    </row>
    <row r="9688" spans="1:2">
      <c r="A9688" s="32">
        <v>9675</v>
      </c>
      <c r="B9688" s="90">
        <v>7.4065937145659859</v>
      </c>
    </row>
    <row r="9689" spans="1:2">
      <c r="A9689" s="32">
        <v>9676</v>
      </c>
      <c r="B9689" s="90">
        <v>8.1229531100061347</v>
      </c>
    </row>
    <row r="9690" spans="1:2">
      <c r="A9690" s="32">
        <v>9677</v>
      </c>
      <c r="B9690" s="90">
        <v>7.6694382106622694</v>
      </c>
    </row>
    <row r="9691" spans="1:2">
      <c r="A9691" s="32">
        <v>9678</v>
      </c>
      <c r="B9691" s="90">
        <v>7.661856932712654</v>
      </c>
    </row>
    <row r="9692" spans="1:2">
      <c r="A9692" s="32">
        <v>9679</v>
      </c>
      <c r="B9692" s="90">
        <v>8.823068360243111</v>
      </c>
    </row>
    <row r="9693" spans="1:2">
      <c r="A9693" s="32">
        <v>9680</v>
      </c>
      <c r="B9693" s="90">
        <v>7.2559273105771158</v>
      </c>
    </row>
    <row r="9694" spans="1:2">
      <c r="A9694" s="32">
        <v>9681</v>
      </c>
      <c r="B9694" s="90">
        <v>8.2983221045333071</v>
      </c>
    </row>
    <row r="9695" spans="1:2">
      <c r="A9695" s="32">
        <v>9682</v>
      </c>
      <c r="B9695" s="90">
        <v>7.346211153692507</v>
      </c>
    </row>
    <row r="9696" spans="1:2">
      <c r="A9696" s="32">
        <v>9683</v>
      </c>
      <c r="B9696" s="90">
        <v>8.8467486683874874</v>
      </c>
    </row>
    <row r="9697" spans="1:2">
      <c r="A9697" s="32">
        <v>9684</v>
      </c>
      <c r="B9697" s="90">
        <v>8.3846857437807891</v>
      </c>
    </row>
    <row r="9698" spans="1:2">
      <c r="A9698" s="32">
        <v>9685</v>
      </c>
      <c r="B9698" s="90">
        <v>7.5916352639836635</v>
      </c>
    </row>
    <row r="9699" spans="1:2">
      <c r="A9699" s="32">
        <v>9686</v>
      </c>
      <c r="B9699" s="90">
        <v>7.3741800901748125</v>
      </c>
    </row>
    <row r="9700" spans="1:2">
      <c r="A9700" s="32">
        <v>9687</v>
      </c>
      <c r="B9700" s="90">
        <v>7.987525571483566</v>
      </c>
    </row>
    <row r="9701" spans="1:2">
      <c r="A9701" s="32">
        <v>9688</v>
      </c>
      <c r="B9701" s="90">
        <v>7.407113430268053</v>
      </c>
    </row>
    <row r="9702" spans="1:2">
      <c r="A9702" s="32">
        <v>9689</v>
      </c>
      <c r="B9702" s="90">
        <v>8.2070865952354008</v>
      </c>
    </row>
    <row r="9703" spans="1:2">
      <c r="A9703" s="32">
        <v>9690</v>
      </c>
      <c r="B9703" s="90">
        <v>8.6561159344268823</v>
      </c>
    </row>
    <row r="9704" spans="1:2">
      <c r="A9704" s="32">
        <v>9691</v>
      </c>
      <c r="B9704" s="90">
        <v>7.129692412794407</v>
      </c>
    </row>
    <row r="9705" spans="1:2">
      <c r="A9705" s="32">
        <v>9692</v>
      </c>
      <c r="B9705" s="90">
        <v>8.1447701787097753</v>
      </c>
    </row>
    <row r="9706" spans="1:2">
      <c r="A9706" s="32">
        <v>9693</v>
      </c>
      <c r="B9706" s="90">
        <v>8.5029778004219043</v>
      </c>
    </row>
    <row r="9707" spans="1:2">
      <c r="A9707" s="32">
        <v>9694</v>
      </c>
      <c r="B9707" s="90">
        <v>7.0687137136026541</v>
      </c>
    </row>
    <row r="9708" spans="1:2">
      <c r="A9708" s="32">
        <v>9695</v>
      </c>
      <c r="B9708" s="90">
        <v>7.2099674995748968</v>
      </c>
    </row>
    <row r="9709" spans="1:2">
      <c r="A9709" s="32">
        <v>9696</v>
      </c>
      <c r="B9709" s="90">
        <v>8.5294420960715414</v>
      </c>
    </row>
    <row r="9710" spans="1:2">
      <c r="A9710" s="32">
        <v>9697</v>
      </c>
      <c r="B9710" s="90">
        <v>8.7428244643410373</v>
      </c>
    </row>
    <row r="9711" spans="1:2">
      <c r="A9711" s="32">
        <v>9698</v>
      </c>
      <c r="B9711" s="90">
        <v>8.0719971830886088</v>
      </c>
    </row>
    <row r="9712" spans="1:2">
      <c r="A9712" s="32">
        <v>9699</v>
      </c>
      <c r="B9712" s="90">
        <v>7.2185783497679274</v>
      </c>
    </row>
    <row r="9713" spans="1:2">
      <c r="A9713" s="32">
        <v>9700</v>
      </c>
      <c r="B9713" s="90">
        <v>6.9909489509756924</v>
      </c>
    </row>
    <row r="9714" spans="1:2">
      <c r="A9714" s="32">
        <v>9701</v>
      </c>
      <c r="B9714" s="90">
        <v>7.736047203181144</v>
      </c>
    </row>
    <row r="9715" spans="1:2">
      <c r="A9715" s="32">
        <v>9702</v>
      </c>
      <c r="B9715" s="90">
        <v>8.8021237689804384</v>
      </c>
    </row>
    <row r="9716" spans="1:2">
      <c r="A9716" s="32">
        <v>9703</v>
      </c>
      <c r="B9716" s="90">
        <v>8.4156985356771798</v>
      </c>
    </row>
    <row r="9717" spans="1:2">
      <c r="A9717" s="32">
        <v>9704</v>
      </c>
      <c r="B9717" s="90">
        <v>7.403698446819357</v>
      </c>
    </row>
    <row r="9718" spans="1:2">
      <c r="A9718" s="32">
        <v>9705</v>
      </c>
      <c r="B9718" s="90">
        <v>8.4325827488621989</v>
      </c>
    </row>
    <row r="9719" spans="1:2">
      <c r="A9719" s="32">
        <v>9706</v>
      </c>
      <c r="B9719" s="90">
        <v>7.7030281592852452</v>
      </c>
    </row>
    <row r="9720" spans="1:2">
      <c r="A9720" s="32">
        <v>9707</v>
      </c>
      <c r="B9720" s="90">
        <v>9.2860540133813174</v>
      </c>
    </row>
    <row r="9721" spans="1:2">
      <c r="A9721" s="32">
        <v>9708</v>
      </c>
      <c r="B9721" s="90">
        <v>7.9307408697474067</v>
      </c>
    </row>
    <row r="9722" spans="1:2">
      <c r="A9722" s="32">
        <v>9709</v>
      </c>
      <c r="B9722" s="90">
        <v>7.9920400918747632</v>
      </c>
    </row>
    <row r="9723" spans="1:2">
      <c r="A9723" s="32">
        <v>9710</v>
      </c>
      <c r="B9723" s="90">
        <v>7.7912403919841617</v>
      </c>
    </row>
    <row r="9724" spans="1:2">
      <c r="A9724" s="32">
        <v>9711</v>
      </c>
      <c r="B9724" s="90">
        <v>7.1845329135454961</v>
      </c>
    </row>
    <row r="9725" spans="1:2">
      <c r="A9725" s="32">
        <v>9712</v>
      </c>
      <c r="B9725" s="90">
        <v>7.8384191536762771</v>
      </c>
    </row>
    <row r="9726" spans="1:2">
      <c r="A9726" s="32">
        <v>9713</v>
      </c>
      <c r="B9726" s="90">
        <v>8.5893663150290465</v>
      </c>
    </row>
    <row r="9727" spans="1:2">
      <c r="A9727" s="32">
        <v>9714</v>
      </c>
      <c r="B9727" s="90">
        <v>7.3097703063380859</v>
      </c>
    </row>
    <row r="9728" spans="1:2">
      <c r="A9728" s="32">
        <v>9715</v>
      </c>
      <c r="B9728" s="90">
        <v>8.4550210643790624</v>
      </c>
    </row>
    <row r="9729" spans="1:2">
      <c r="A9729" s="32">
        <v>9716</v>
      </c>
      <c r="B9729" s="90">
        <v>8.5952340030657677</v>
      </c>
    </row>
    <row r="9730" spans="1:2">
      <c r="A9730" s="32">
        <v>9717</v>
      </c>
      <c r="B9730" s="90">
        <v>8.5211822835390443</v>
      </c>
    </row>
    <row r="9731" spans="1:2">
      <c r="A9731" s="32">
        <v>9718</v>
      </c>
      <c r="B9731" s="90">
        <v>7.8982647477614325</v>
      </c>
    </row>
    <row r="9732" spans="1:2">
      <c r="A9732" s="32">
        <v>9719</v>
      </c>
      <c r="B9732" s="90">
        <v>7.7632695144600463</v>
      </c>
    </row>
    <row r="9733" spans="1:2">
      <c r="A9733" s="32">
        <v>9720</v>
      </c>
      <c r="B9733" s="90">
        <v>8.3541667596745448</v>
      </c>
    </row>
    <row r="9734" spans="1:2">
      <c r="A9734" s="32">
        <v>9721</v>
      </c>
      <c r="B9734" s="90">
        <v>7.9427472696520427</v>
      </c>
    </row>
    <row r="9735" spans="1:2">
      <c r="A9735" s="32">
        <v>9722</v>
      </c>
      <c r="B9735" s="90">
        <v>7.6131304239723381</v>
      </c>
    </row>
    <row r="9736" spans="1:2">
      <c r="A9736" s="32">
        <v>9723</v>
      </c>
      <c r="B9736" s="90">
        <v>8.6052481455377485</v>
      </c>
    </row>
    <row r="9737" spans="1:2">
      <c r="A9737" s="32">
        <v>9724</v>
      </c>
      <c r="B9737" s="90">
        <v>8.1661698129608133</v>
      </c>
    </row>
    <row r="9738" spans="1:2">
      <c r="A9738" s="32">
        <v>9725</v>
      </c>
      <c r="B9738" s="90">
        <v>7.4565399431785098</v>
      </c>
    </row>
    <row r="9739" spans="1:2">
      <c r="A9739" s="32">
        <v>9726</v>
      </c>
      <c r="B9739" s="90">
        <v>7.8803176081602597</v>
      </c>
    </row>
    <row r="9740" spans="1:2">
      <c r="A9740" s="32">
        <v>9727</v>
      </c>
      <c r="B9740" s="90">
        <v>8.3007117819570233</v>
      </c>
    </row>
    <row r="9741" spans="1:2">
      <c r="A9741" s="32">
        <v>9728</v>
      </c>
      <c r="B9741" s="90">
        <v>7.3132072263573367</v>
      </c>
    </row>
    <row r="9742" spans="1:2">
      <c r="A9742" s="32">
        <v>9729</v>
      </c>
      <c r="B9742" s="90">
        <v>8.2980704409508199</v>
      </c>
    </row>
    <row r="9743" spans="1:2">
      <c r="A9743" s="32">
        <v>9730</v>
      </c>
      <c r="B9743" s="90">
        <v>8.6500624903834638</v>
      </c>
    </row>
    <row r="9744" spans="1:2">
      <c r="A9744" s="32">
        <v>9731</v>
      </c>
      <c r="B9744" s="90">
        <v>7.9183306986470647</v>
      </c>
    </row>
    <row r="9745" spans="1:2">
      <c r="A9745" s="32">
        <v>9732</v>
      </c>
      <c r="B9745" s="90">
        <v>7.6608923142033589</v>
      </c>
    </row>
    <row r="9746" spans="1:2">
      <c r="A9746" s="32">
        <v>9733</v>
      </c>
      <c r="B9746" s="90">
        <v>8.840928236202096</v>
      </c>
    </row>
    <row r="9747" spans="1:2">
      <c r="A9747" s="32">
        <v>9734</v>
      </c>
      <c r="B9747" s="90">
        <v>9.1186486678940888</v>
      </c>
    </row>
    <row r="9748" spans="1:2">
      <c r="A9748" s="32">
        <v>9735</v>
      </c>
      <c r="B9748" s="90">
        <v>7.6545220626669792</v>
      </c>
    </row>
    <row r="9749" spans="1:2">
      <c r="A9749" s="32">
        <v>9736</v>
      </c>
      <c r="B9749" s="90">
        <v>8.4551553748933923</v>
      </c>
    </row>
    <row r="9750" spans="1:2">
      <c r="A9750" s="32">
        <v>9737</v>
      </c>
      <c r="B9750" s="90">
        <v>7.7737370118595512</v>
      </c>
    </row>
    <row r="9751" spans="1:2">
      <c r="A9751" s="32">
        <v>9738</v>
      </c>
      <c r="B9751" s="90">
        <v>7.2082471134916872</v>
      </c>
    </row>
    <row r="9752" spans="1:2">
      <c r="A9752" s="32">
        <v>9739</v>
      </c>
      <c r="B9752" s="90">
        <v>9.1729250978814605</v>
      </c>
    </row>
    <row r="9753" spans="1:2">
      <c r="A9753" s="32">
        <v>9740</v>
      </c>
      <c r="B9753" s="90">
        <v>8.7115014464790335</v>
      </c>
    </row>
    <row r="9754" spans="1:2">
      <c r="A9754" s="32">
        <v>9741</v>
      </c>
      <c r="B9754" s="90">
        <v>8.5587982219818279</v>
      </c>
    </row>
    <row r="9755" spans="1:2">
      <c r="A9755" s="32">
        <v>9742</v>
      </c>
      <c r="B9755" s="90">
        <v>7.7818872252753266</v>
      </c>
    </row>
    <row r="9756" spans="1:2">
      <c r="A9756" s="32">
        <v>9743</v>
      </c>
      <c r="B9756" s="90">
        <v>8.0070643516270259</v>
      </c>
    </row>
    <row r="9757" spans="1:2">
      <c r="A9757" s="32">
        <v>9744</v>
      </c>
      <c r="B9757" s="90">
        <v>9.498708325581072</v>
      </c>
    </row>
    <row r="9758" spans="1:2">
      <c r="A9758" s="32">
        <v>9745</v>
      </c>
      <c r="B9758" s="90">
        <v>9.6996433273295022</v>
      </c>
    </row>
    <row r="9759" spans="1:2">
      <c r="A9759" s="32">
        <v>9746</v>
      </c>
      <c r="B9759" s="90">
        <v>7.3996707901118199</v>
      </c>
    </row>
    <row r="9760" spans="1:2">
      <c r="A9760" s="32">
        <v>9747</v>
      </c>
      <c r="B9760" s="90">
        <v>7.4358749715580972</v>
      </c>
    </row>
    <row r="9761" spans="1:2">
      <c r="A9761" s="32">
        <v>9748</v>
      </c>
      <c r="B9761" s="90">
        <v>7.2376523230254941</v>
      </c>
    </row>
    <row r="9762" spans="1:2">
      <c r="A9762" s="32">
        <v>9749</v>
      </c>
      <c r="B9762" s="90">
        <v>8.1416959287660831</v>
      </c>
    </row>
    <row r="9763" spans="1:2">
      <c r="A9763" s="32">
        <v>9750</v>
      </c>
      <c r="B9763" s="90">
        <v>8.0915094177203795</v>
      </c>
    </row>
    <row r="9764" spans="1:2">
      <c r="A9764" s="32">
        <v>9751</v>
      </c>
      <c r="B9764" s="90">
        <v>7.2301584985194394</v>
      </c>
    </row>
    <row r="9765" spans="1:2">
      <c r="A9765" s="32">
        <v>9752</v>
      </c>
      <c r="B9765" s="90">
        <v>6.3406040584119179</v>
      </c>
    </row>
    <row r="9766" spans="1:2">
      <c r="A9766" s="32">
        <v>9753</v>
      </c>
      <c r="B9766" s="90">
        <v>7.78941783077574</v>
      </c>
    </row>
    <row r="9767" spans="1:2">
      <c r="A9767" s="32">
        <v>9754</v>
      </c>
      <c r="B9767" s="90">
        <v>8.7848296701292181</v>
      </c>
    </row>
    <row r="9768" spans="1:2">
      <c r="A9768" s="32">
        <v>9755</v>
      </c>
      <c r="B9768" s="90">
        <v>8.8523502523806368</v>
      </c>
    </row>
    <row r="9769" spans="1:2">
      <c r="A9769" s="32">
        <v>9756</v>
      </c>
      <c r="B9769" s="90">
        <v>8.3146029428146377</v>
      </c>
    </row>
    <row r="9770" spans="1:2">
      <c r="A9770" s="32">
        <v>9757</v>
      </c>
      <c r="B9770" s="90">
        <v>7.5773799738693004</v>
      </c>
    </row>
    <row r="9771" spans="1:2">
      <c r="A9771" s="32">
        <v>9758</v>
      </c>
      <c r="B9771" s="90">
        <v>8.6962644628474948</v>
      </c>
    </row>
    <row r="9772" spans="1:2">
      <c r="A9772" s="32">
        <v>9759</v>
      </c>
      <c r="B9772" s="90">
        <v>8.3841129827188894</v>
      </c>
    </row>
    <row r="9773" spans="1:2">
      <c r="A9773" s="32">
        <v>9760</v>
      </c>
      <c r="B9773" s="90">
        <v>8.564246338212703</v>
      </c>
    </row>
    <row r="9774" spans="1:2">
      <c r="A9774" s="32">
        <v>9761</v>
      </c>
      <c r="B9774" s="90">
        <v>8.6381031324188395</v>
      </c>
    </row>
    <row r="9775" spans="1:2">
      <c r="A9775" s="32">
        <v>9762</v>
      </c>
      <c r="B9775" s="90">
        <v>9.0216668015362966</v>
      </c>
    </row>
    <row r="9776" spans="1:2">
      <c r="A9776" s="32">
        <v>9763</v>
      </c>
      <c r="B9776" s="90">
        <v>9.3746073527025366</v>
      </c>
    </row>
    <row r="9777" spans="1:2">
      <c r="A9777" s="32">
        <v>9764</v>
      </c>
      <c r="B9777" s="90">
        <v>9.1118875229651959</v>
      </c>
    </row>
    <row r="9778" spans="1:2">
      <c r="A9778" s="32">
        <v>9765</v>
      </c>
      <c r="B9778" s="90">
        <v>9.0319991284424521</v>
      </c>
    </row>
    <row r="9779" spans="1:2">
      <c r="A9779" s="32">
        <v>9766</v>
      </c>
      <c r="B9779" s="90">
        <v>7.6645552136583239</v>
      </c>
    </row>
    <row r="9780" spans="1:2">
      <c r="A9780" s="32">
        <v>9767</v>
      </c>
      <c r="B9780" s="90">
        <v>8.3179949691564996</v>
      </c>
    </row>
    <row r="9781" spans="1:2">
      <c r="A9781" s="32">
        <v>9768</v>
      </c>
      <c r="B9781" s="90">
        <v>8.2032161301717021</v>
      </c>
    </row>
    <row r="9782" spans="1:2">
      <c r="A9782" s="32">
        <v>9769</v>
      </c>
      <c r="B9782" s="90">
        <v>8.5466014863670452</v>
      </c>
    </row>
    <row r="9783" spans="1:2">
      <c r="A9783" s="32">
        <v>9770</v>
      </c>
      <c r="B9783" s="90">
        <v>9.5161406391331731</v>
      </c>
    </row>
    <row r="9784" spans="1:2">
      <c r="A9784" s="32">
        <v>9771</v>
      </c>
      <c r="B9784" s="90">
        <v>8.0111634087384989</v>
      </c>
    </row>
    <row r="9785" spans="1:2">
      <c r="A9785" s="32">
        <v>9772</v>
      </c>
      <c r="B9785" s="90">
        <v>8.137076755387465</v>
      </c>
    </row>
    <row r="9786" spans="1:2">
      <c r="A9786" s="32">
        <v>9773</v>
      </c>
      <c r="B9786" s="90">
        <v>7.9768888842864412</v>
      </c>
    </row>
    <row r="9787" spans="1:2">
      <c r="A9787" s="32">
        <v>9774</v>
      </c>
      <c r="B9787" s="90">
        <v>9.5938785205677419</v>
      </c>
    </row>
    <row r="9788" spans="1:2">
      <c r="A9788" s="32">
        <v>9775</v>
      </c>
      <c r="B9788" s="90">
        <v>7.7334954509268075</v>
      </c>
    </row>
    <row r="9789" spans="1:2">
      <c r="A9789" s="32">
        <v>9776</v>
      </c>
      <c r="B9789" s="90">
        <v>7.7992860321670863</v>
      </c>
    </row>
    <row r="9790" spans="1:2">
      <c r="A9790" s="32">
        <v>9777</v>
      </c>
      <c r="B9790" s="90">
        <v>7.5514521570822488</v>
      </c>
    </row>
    <row r="9791" spans="1:2">
      <c r="A9791" s="32">
        <v>9778</v>
      </c>
      <c r="B9791" s="90">
        <v>8.6333077254586819</v>
      </c>
    </row>
    <row r="9792" spans="1:2">
      <c r="A9792" s="32">
        <v>9779</v>
      </c>
      <c r="B9792" s="90">
        <v>7.1056751238860683</v>
      </c>
    </row>
    <row r="9793" spans="1:2">
      <c r="A9793" s="32">
        <v>9780</v>
      </c>
      <c r="B9793" s="90">
        <v>9.9284749248615825</v>
      </c>
    </row>
    <row r="9794" spans="1:2">
      <c r="A9794" s="32">
        <v>9781</v>
      </c>
      <c r="B9794" s="90">
        <v>7.3976720262556386</v>
      </c>
    </row>
    <row r="9795" spans="1:2">
      <c r="A9795" s="32">
        <v>9782</v>
      </c>
      <c r="B9795" s="90">
        <v>8.4410573450650102</v>
      </c>
    </row>
    <row r="9796" spans="1:2">
      <c r="A9796" s="32">
        <v>9783</v>
      </c>
      <c r="B9796" s="90">
        <v>7.8720287327256662</v>
      </c>
    </row>
    <row r="9797" spans="1:2">
      <c r="A9797" s="32">
        <v>9784</v>
      </c>
      <c r="B9797" s="90">
        <v>8.5109744998825896</v>
      </c>
    </row>
    <row r="9798" spans="1:2">
      <c r="A9798" s="32">
        <v>9785</v>
      </c>
      <c r="B9798" s="90">
        <v>8.7621203271999057</v>
      </c>
    </row>
    <row r="9799" spans="1:2">
      <c r="A9799" s="32">
        <v>9786</v>
      </c>
      <c r="B9799" s="90">
        <v>7.3159190746754756</v>
      </c>
    </row>
    <row r="9800" spans="1:2">
      <c r="A9800" s="32">
        <v>9787</v>
      </c>
      <c r="B9800" s="90">
        <v>9.4831533652420372</v>
      </c>
    </row>
    <row r="9801" spans="1:2">
      <c r="A9801" s="32">
        <v>9788</v>
      </c>
      <c r="B9801" s="90">
        <v>7.6111473759143058</v>
      </c>
    </row>
    <row r="9802" spans="1:2">
      <c r="A9802" s="32">
        <v>9789</v>
      </c>
      <c r="B9802" s="90">
        <v>8.507171905738236</v>
      </c>
    </row>
    <row r="9803" spans="1:2">
      <c r="A9803" s="32">
        <v>9790</v>
      </c>
      <c r="B9803" s="90">
        <v>8.8639499859700042</v>
      </c>
    </row>
    <row r="9804" spans="1:2">
      <c r="A9804" s="32">
        <v>9791</v>
      </c>
      <c r="B9804" s="90">
        <v>6.3015480621024311</v>
      </c>
    </row>
    <row r="9805" spans="1:2">
      <c r="A9805" s="32">
        <v>9792</v>
      </c>
      <c r="B9805" s="90">
        <v>8.3290245789695501</v>
      </c>
    </row>
    <row r="9806" spans="1:2">
      <c r="A9806" s="32">
        <v>9793</v>
      </c>
      <c r="B9806" s="90">
        <v>8.1275352387574635</v>
      </c>
    </row>
    <row r="9807" spans="1:2">
      <c r="A9807" s="32">
        <v>9794</v>
      </c>
      <c r="B9807" s="90">
        <v>8.3773763301269906</v>
      </c>
    </row>
    <row r="9808" spans="1:2">
      <c r="A9808" s="32">
        <v>9795</v>
      </c>
      <c r="B9808" s="90">
        <v>9.2852304590713182</v>
      </c>
    </row>
    <row r="9809" spans="1:2">
      <c r="A9809" s="32">
        <v>9796</v>
      </c>
      <c r="B9809" s="90">
        <v>8.0572672780448293</v>
      </c>
    </row>
    <row r="9810" spans="1:2">
      <c r="A9810" s="32">
        <v>9797</v>
      </c>
      <c r="B9810" s="90">
        <v>8.5932157826306668</v>
      </c>
    </row>
    <row r="9811" spans="1:2">
      <c r="A9811" s="32">
        <v>9798</v>
      </c>
      <c r="B9811" s="90">
        <v>7.9465199309615118</v>
      </c>
    </row>
    <row r="9812" spans="1:2">
      <c r="A9812" s="32">
        <v>9799</v>
      </c>
      <c r="B9812" s="90">
        <v>7.8153936579534502</v>
      </c>
    </row>
    <row r="9813" spans="1:2">
      <c r="A9813" s="32">
        <v>9800</v>
      </c>
      <c r="B9813" s="90">
        <v>8.5764617942407426</v>
      </c>
    </row>
    <row r="9814" spans="1:2">
      <c r="A9814" s="32">
        <v>9801</v>
      </c>
      <c r="B9814" s="90">
        <v>8.4895262227411781</v>
      </c>
    </row>
    <row r="9815" spans="1:2">
      <c r="A9815" s="32">
        <v>9802</v>
      </c>
      <c r="B9815" s="90">
        <v>6.9939223562286106</v>
      </c>
    </row>
    <row r="9816" spans="1:2">
      <c r="A9816" s="32">
        <v>9803</v>
      </c>
      <c r="B9816" s="90">
        <v>8.1434977429972104</v>
      </c>
    </row>
    <row r="9817" spans="1:2">
      <c r="A9817" s="32">
        <v>9804</v>
      </c>
      <c r="B9817" s="90">
        <v>8.420979871420327</v>
      </c>
    </row>
    <row r="9818" spans="1:2">
      <c r="A9818" s="32">
        <v>9805</v>
      </c>
      <c r="B9818" s="90">
        <v>8.460729051349805</v>
      </c>
    </row>
    <row r="9819" spans="1:2">
      <c r="A9819" s="32">
        <v>9806</v>
      </c>
      <c r="B9819" s="90">
        <v>7.3065791103527555</v>
      </c>
    </row>
    <row r="9820" spans="1:2">
      <c r="A9820" s="32">
        <v>9807</v>
      </c>
      <c r="B9820" s="90">
        <v>7.9176392211400133</v>
      </c>
    </row>
    <row r="9821" spans="1:2">
      <c r="A9821" s="32">
        <v>9808</v>
      </c>
      <c r="B9821" s="90">
        <v>7.6904322310592592</v>
      </c>
    </row>
    <row r="9822" spans="1:2">
      <c r="A9822" s="32">
        <v>9809</v>
      </c>
      <c r="B9822" s="90">
        <v>7.6617769897723189</v>
      </c>
    </row>
    <row r="9823" spans="1:2">
      <c r="A9823" s="32">
        <v>9810</v>
      </c>
      <c r="B9823" s="90">
        <v>7.7541849256349717</v>
      </c>
    </row>
    <row r="9824" spans="1:2">
      <c r="A9824" s="32">
        <v>9811</v>
      </c>
      <c r="B9824" s="90">
        <v>9.6649121639814162</v>
      </c>
    </row>
    <row r="9825" spans="1:2">
      <c r="A9825" s="32">
        <v>9812</v>
      </c>
      <c r="B9825" s="90">
        <v>7.636968437236777</v>
      </c>
    </row>
    <row r="9826" spans="1:2">
      <c r="A9826" s="32">
        <v>9813</v>
      </c>
      <c r="B9826" s="90">
        <v>7.0284553634115943</v>
      </c>
    </row>
    <row r="9827" spans="1:2">
      <c r="A9827" s="32">
        <v>9814</v>
      </c>
      <c r="B9827" s="90">
        <v>8.6795666732042083</v>
      </c>
    </row>
    <row r="9828" spans="1:2">
      <c r="A9828" s="32">
        <v>9815</v>
      </c>
      <c r="B9828" s="90">
        <v>7.8376267247649105</v>
      </c>
    </row>
    <row r="9829" spans="1:2">
      <c r="A9829" s="32">
        <v>9816</v>
      </c>
      <c r="B9829" s="90">
        <v>8.4810679507159978</v>
      </c>
    </row>
    <row r="9830" spans="1:2">
      <c r="A9830" s="32">
        <v>9817</v>
      </c>
      <c r="B9830" s="90">
        <v>8.1446410687966306</v>
      </c>
    </row>
    <row r="9831" spans="1:2">
      <c r="A9831" s="32">
        <v>9818</v>
      </c>
      <c r="B9831" s="90">
        <v>6.9466167845766167</v>
      </c>
    </row>
    <row r="9832" spans="1:2">
      <c r="A9832" s="32">
        <v>9819</v>
      </c>
      <c r="B9832" s="90">
        <v>8.6326706695409179</v>
      </c>
    </row>
    <row r="9833" spans="1:2">
      <c r="A9833" s="32">
        <v>9820</v>
      </c>
      <c r="B9833" s="90">
        <v>9.077488997595923</v>
      </c>
    </row>
    <row r="9834" spans="1:2">
      <c r="A9834" s="32">
        <v>9821</v>
      </c>
      <c r="B9834" s="90">
        <v>8.0846689342296401</v>
      </c>
    </row>
    <row r="9835" spans="1:2">
      <c r="A9835" s="32">
        <v>9822</v>
      </c>
      <c r="B9835" s="90">
        <v>9.7946527955485507</v>
      </c>
    </row>
    <row r="9836" spans="1:2">
      <c r="A9836" s="32">
        <v>9823</v>
      </c>
      <c r="B9836" s="90">
        <v>8.9449028861283431</v>
      </c>
    </row>
    <row r="9837" spans="1:2">
      <c r="A9837" s="32">
        <v>9824</v>
      </c>
      <c r="B9837" s="90">
        <v>9.3666995605996419</v>
      </c>
    </row>
    <row r="9838" spans="1:2">
      <c r="A9838" s="32">
        <v>9825</v>
      </c>
      <c r="B9838" s="90">
        <v>9.1640599195415113</v>
      </c>
    </row>
    <row r="9839" spans="1:2">
      <c r="A9839" s="32">
        <v>9826</v>
      </c>
      <c r="B9839" s="90">
        <v>8.7591959069750818</v>
      </c>
    </row>
    <row r="9840" spans="1:2">
      <c r="A9840" s="32">
        <v>9827</v>
      </c>
      <c r="B9840" s="90">
        <v>7.0678660899899519</v>
      </c>
    </row>
    <row r="9841" spans="1:2">
      <c r="A9841" s="32">
        <v>9828</v>
      </c>
      <c r="B9841" s="90">
        <v>7.9464222649641938</v>
      </c>
    </row>
    <row r="9842" spans="1:2">
      <c r="A9842" s="32">
        <v>9829</v>
      </c>
      <c r="B9842" s="90">
        <v>7.5262268242731389</v>
      </c>
    </row>
    <row r="9843" spans="1:2">
      <c r="A9843" s="32">
        <v>9830</v>
      </c>
      <c r="B9843" s="90">
        <v>8.5902846982664407</v>
      </c>
    </row>
    <row r="9844" spans="1:2">
      <c r="A9844" s="32">
        <v>9831</v>
      </c>
      <c r="B9844" s="90">
        <v>8.2416141082779681</v>
      </c>
    </row>
    <row r="9845" spans="1:2">
      <c r="A9845" s="32">
        <v>9832</v>
      </c>
      <c r="B9845" s="90">
        <v>8.4470824425145796</v>
      </c>
    </row>
    <row r="9846" spans="1:2">
      <c r="A9846" s="32">
        <v>9833</v>
      </c>
      <c r="B9846" s="90">
        <v>7.7631857633755743</v>
      </c>
    </row>
    <row r="9847" spans="1:2">
      <c r="A9847" s="32">
        <v>9834</v>
      </c>
      <c r="B9847" s="90">
        <v>7.9458907038273932</v>
      </c>
    </row>
    <row r="9848" spans="1:2">
      <c r="A9848" s="32">
        <v>9835</v>
      </c>
      <c r="B9848" s="90">
        <v>8.4084840741305644</v>
      </c>
    </row>
    <row r="9849" spans="1:2">
      <c r="A9849" s="32">
        <v>9836</v>
      </c>
      <c r="B9849" s="90">
        <v>8.2479143546334228</v>
      </c>
    </row>
    <row r="9850" spans="1:2">
      <c r="A9850" s="32">
        <v>9837</v>
      </c>
      <c r="B9850" s="90">
        <v>9.5077445130875127</v>
      </c>
    </row>
    <row r="9851" spans="1:2">
      <c r="A9851" s="32">
        <v>9838</v>
      </c>
      <c r="B9851" s="90">
        <v>7.5027922010856489</v>
      </c>
    </row>
    <row r="9852" spans="1:2">
      <c r="A9852" s="32">
        <v>9839</v>
      </c>
      <c r="B9852" s="90">
        <v>8.9694684835263452</v>
      </c>
    </row>
    <row r="9853" spans="1:2">
      <c r="A9853" s="32">
        <v>9840</v>
      </c>
      <c r="B9853" s="90">
        <v>7.6449730571611116</v>
      </c>
    </row>
    <row r="9854" spans="1:2">
      <c r="A9854" s="32">
        <v>9841</v>
      </c>
      <c r="B9854" s="90">
        <v>7.9498882952070922</v>
      </c>
    </row>
    <row r="9855" spans="1:2">
      <c r="A9855" s="32">
        <v>9842</v>
      </c>
      <c r="B9855" s="90">
        <v>8.5611292673963622</v>
      </c>
    </row>
    <row r="9856" spans="1:2">
      <c r="A9856" s="32">
        <v>9843</v>
      </c>
      <c r="B9856" s="90">
        <v>7.9323775322546553</v>
      </c>
    </row>
    <row r="9857" spans="1:2">
      <c r="A9857" s="32">
        <v>9844</v>
      </c>
      <c r="B9857" s="90">
        <v>8.7639847783650868</v>
      </c>
    </row>
    <row r="9858" spans="1:2">
      <c r="A9858" s="32">
        <v>9845</v>
      </c>
      <c r="B9858" s="90">
        <v>7.3646509355734695</v>
      </c>
    </row>
    <row r="9859" spans="1:2">
      <c r="A9859" s="32">
        <v>9846</v>
      </c>
      <c r="B9859" s="90">
        <v>8.1214618057601626</v>
      </c>
    </row>
    <row r="9860" spans="1:2">
      <c r="A9860" s="32">
        <v>9847</v>
      </c>
      <c r="B9860" s="90">
        <v>9.1956982077616036</v>
      </c>
    </row>
    <row r="9861" spans="1:2">
      <c r="A9861" s="32">
        <v>9848</v>
      </c>
      <c r="B9861" s="90">
        <v>8.2040410551070213</v>
      </c>
    </row>
    <row r="9862" spans="1:2">
      <c r="A9862" s="32">
        <v>9849</v>
      </c>
      <c r="B9862" s="90">
        <v>8.1751446722442935</v>
      </c>
    </row>
    <row r="9863" spans="1:2">
      <c r="A9863" s="32">
        <v>9850</v>
      </c>
      <c r="B9863" s="90">
        <v>9.0444627906997148</v>
      </c>
    </row>
    <row r="9864" spans="1:2">
      <c r="A9864" s="32">
        <v>9851</v>
      </c>
      <c r="B9864" s="90">
        <v>8.1086676348270998</v>
      </c>
    </row>
    <row r="9865" spans="1:2">
      <c r="A9865" s="32">
        <v>9852</v>
      </c>
      <c r="B9865" s="90">
        <v>8.3134502059448305</v>
      </c>
    </row>
    <row r="9866" spans="1:2">
      <c r="A9866" s="32">
        <v>9853</v>
      </c>
      <c r="B9866" s="90">
        <v>7.939578109081074</v>
      </c>
    </row>
    <row r="9867" spans="1:2">
      <c r="A9867" s="32">
        <v>9854</v>
      </c>
      <c r="B9867" s="90">
        <v>8.3827591347601746</v>
      </c>
    </row>
    <row r="9868" spans="1:2">
      <c r="A9868" s="32">
        <v>9855</v>
      </c>
      <c r="B9868" s="90">
        <v>8.2885207438491211</v>
      </c>
    </row>
    <row r="9869" spans="1:2">
      <c r="A9869" s="32">
        <v>9856</v>
      </c>
      <c r="B9869" s="90">
        <v>7.9187553232430181</v>
      </c>
    </row>
    <row r="9870" spans="1:2">
      <c r="A9870" s="32">
        <v>9857</v>
      </c>
      <c r="B9870" s="90">
        <v>7.5302696379678382</v>
      </c>
    </row>
    <row r="9871" spans="1:2">
      <c r="A9871" s="32">
        <v>9858</v>
      </c>
      <c r="B9871" s="90">
        <v>8.3788292397307487</v>
      </c>
    </row>
    <row r="9872" spans="1:2">
      <c r="A9872" s="32">
        <v>9859</v>
      </c>
      <c r="B9872" s="90">
        <v>9.2376016188942529</v>
      </c>
    </row>
    <row r="9873" spans="1:2">
      <c r="A9873" s="32">
        <v>9860</v>
      </c>
      <c r="B9873" s="90">
        <v>8.3101624342671823</v>
      </c>
    </row>
    <row r="9874" spans="1:2">
      <c r="A9874" s="32">
        <v>9861</v>
      </c>
      <c r="B9874" s="90">
        <v>8.835662493475775</v>
      </c>
    </row>
    <row r="9875" spans="1:2">
      <c r="A9875" s="32">
        <v>9862</v>
      </c>
      <c r="B9875" s="90">
        <v>6.9283645550691704</v>
      </c>
    </row>
    <row r="9876" spans="1:2">
      <c r="A9876" s="32">
        <v>9863</v>
      </c>
      <c r="B9876" s="90">
        <v>6.7256855698835629</v>
      </c>
    </row>
    <row r="9877" spans="1:2">
      <c r="A9877" s="32">
        <v>9864</v>
      </c>
      <c r="B9877" s="90">
        <v>6.9807169582413096</v>
      </c>
    </row>
    <row r="9878" spans="1:2">
      <c r="A9878" s="32">
        <v>9865</v>
      </c>
      <c r="B9878" s="90">
        <v>8.742344389892251</v>
      </c>
    </row>
    <row r="9879" spans="1:2">
      <c r="A9879" s="32">
        <v>9866</v>
      </c>
      <c r="B9879" s="90">
        <v>7.3568640560111715</v>
      </c>
    </row>
    <row r="9880" spans="1:2">
      <c r="A9880" s="32">
        <v>9867</v>
      </c>
      <c r="B9880" s="90">
        <v>8.231512343517208</v>
      </c>
    </row>
    <row r="9881" spans="1:2">
      <c r="A9881" s="32">
        <v>9868</v>
      </c>
      <c r="B9881" s="90">
        <v>7.8619895560319257</v>
      </c>
    </row>
    <row r="9882" spans="1:2">
      <c r="A9882" s="32">
        <v>9869</v>
      </c>
      <c r="B9882" s="90">
        <v>7.919919290395077</v>
      </c>
    </row>
    <row r="9883" spans="1:2">
      <c r="A9883" s="32">
        <v>9870</v>
      </c>
      <c r="B9883" s="90">
        <v>8.3852593103111381</v>
      </c>
    </row>
    <row r="9884" spans="1:2">
      <c r="A9884" s="32">
        <v>9871</v>
      </c>
      <c r="B9884" s="90">
        <v>8.2955823761864913</v>
      </c>
    </row>
    <row r="9885" spans="1:2">
      <c r="A9885" s="32">
        <v>9872</v>
      </c>
      <c r="B9885" s="90">
        <v>8.4715074103256001</v>
      </c>
    </row>
    <row r="9886" spans="1:2">
      <c r="A9886" s="32">
        <v>9873</v>
      </c>
      <c r="B9886" s="90">
        <v>9.7784761027943183</v>
      </c>
    </row>
    <row r="9887" spans="1:2">
      <c r="A9887" s="32">
        <v>9874</v>
      </c>
      <c r="B9887" s="90">
        <v>8.73856544711008</v>
      </c>
    </row>
    <row r="9888" spans="1:2">
      <c r="A9888" s="32">
        <v>9875</v>
      </c>
      <c r="B9888" s="90">
        <v>7.9742189723186323</v>
      </c>
    </row>
    <row r="9889" spans="1:2">
      <c r="A9889" s="32">
        <v>9876</v>
      </c>
      <c r="B9889" s="90">
        <v>8.6940085568540351</v>
      </c>
    </row>
    <row r="9890" spans="1:2">
      <c r="A9890" s="32">
        <v>9877</v>
      </c>
      <c r="B9890" s="90">
        <v>8.3062419541164818</v>
      </c>
    </row>
    <row r="9891" spans="1:2">
      <c r="A9891" s="32">
        <v>9878</v>
      </c>
      <c r="B9891" s="90">
        <v>7.3724363305081209</v>
      </c>
    </row>
    <row r="9892" spans="1:2">
      <c r="A9892" s="32">
        <v>9879</v>
      </c>
      <c r="B9892" s="90">
        <v>7.8138557363340349</v>
      </c>
    </row>
    <row r="9893" spans="1:2">
      <c r="A9893" s="32">
        <v>9880</v>
      </c>
      <c r="B9893" s="90">
        <v>8.012638549887102</v>
      </c>
    </row>
    <row r="9894" spans="1:2">
      <c r="A9894" s="32">
        <v>9881</v>
      </c>
      <c r="B9894" s="90">
        <v>8.6638399909036217</v>
      </c>
    </row>
    <row r="9895" spans="1:2">
      <c r="A9895" s="32">
        <v>9882</v>
      </c>
      <c r="B9895" s="90">
        <v>8.9113719393001389</v>
      </c>
    </row>
    <row r="9896" spans="1:2">
      <c r="A9896" s="32">
        <v>9883</v>
      </c>
      <c r="B9896" s="90">
        <v>8.4057211788605954</v>
      </c>
    </row>
    <row r="9897" spans="1:2">
      <c r="A9897" s="32">
        <v>9884</v>
      </c>
      <c r="B9897" s="90">
        <v>7.1062804734932872</v>
      </c>
    </row>
    <row r="9898" spans="1:2">
      <c r="A9898" s="32">
        <v>9885</v>
      </c>
      <c r="B9898" s="90">
        <v>8.7606600109967427</v>
      </c>
    </row>
    <row r="9899" spans="1:2">
      <c r="A9899" s="32">
        <v>9886</v>
      </c>
      <c r="B9899" s="90">
        <v>7.8024842846650095</v>
      </c>
    </row>
    <row r="9900" spans="1:2">
      <c r="A9900" s="32">
        <v>9887</v>
      </c>
      <c r="B9900" s="90">
        <v>7.9608163201453017</v>
      </c>
    </row>
    <row r="9901" spans="1:2">
      <c r="A9901" s="32">
        <v>9888</v>
      </c>
      <c r="B9901" s="90">
        <v>8.7876824556117263</v>
      </c>
    </row>
    <row r="9902" spans="1:2">
      <c r="A9902" s="32">
        <v>9889</v>
      </c>
      <c r="B9902" s="90">
        <v>7.9075463417877785</v>
      </c>
    </row>
    <row r="9903" spans="1:2">
      <c r="A9903" s="32">
        <v>9890</v>
      </c>
      <c r="B9903" s="90">
        <v>7.0862307848179302</v>
      </c>
    </row>
    <row r="9904" spans="1:2">
      <c r="A9904" s="32">
        <v>9891</v>
      </c>
      <c r="B9904" s="90">
        <v>7.8107063268693873</v>
      </c>
    </row>
    <row r="9905" spans="1:2">
      <c r="A9905" s="32">
        <v>9892</v>
      </c>
      <c r="B9905" s="90">
        <v>7.7570787733958895</v>
      </c>
    </row>
    <row r="9906" spans="1:2">
      <c r="A9906" s="32">
        <v>9893</v>
      </c>
      <c r="B9906" s="90">
        <v>8.9609797574788388</v>
      </c>
    </row>
    <row r="9907" spans="1:2">
      <c r="A9907" s="32">
        <v>9894</v>
      </c>
      <c r="B9907" s="90">
        <v>7.9501738609760473</v>
      </c>
    </row>
    <row r="9908" spans="1:2">
      <c r="A9908" s="32">
        <v>9895</v>
      </c>
      <c r="B9908" s="90">
        <v>8.5567915618859818</v>
      </c>
    </row>
    <row r="9909" spans="1:2">
      <c r="A9909" s="32">
        <v>9896</v>
      </c>
      <c r="B9909" s="90">
        <v>9.8335464879318373</v>
      </c>
    </row>
    <row r="9910" spans="1:2">
      <c r="A9910" s="32">
        <v>9897</v>
      </c>
      <c r="B9910" s="90">
        <v>9.2059323500294834</v>
      </c>
    </row>
    <row r="9911" spans="1:2">
      <c r="A9911" s="32">
        <v>9898</v>
      </c>
      <c r="B9911" s="90">
        <v>7.8816795963318604</v>
      </c>
    </row>
    <row r="9912" spans="1:2">
      <c r="A9912" s="32">
        <v>9899</v>
      </c>
      <c r="B9912" s="90">
        <v>8.2109987703941574</v>
      </c>
    </row>
    <row r="9913" spans="1:2">
      <c r="A9913" s="32">
        <v>9900</v>
      </c>
      <c r="B9913" s="90">
        <v>8.2411568510240283</v>
      </c>
    </row>
    <row r="9914" spans="1:2">
      <c r="A9914" s="32">
        <v>9901</v>
      </c>
      <c r="B9914" s="90">
        <v>8.2075991388207772</v>
      </c>
    </row>
    <row r="9915" spans="1:2">
      <c r="A9915" s="32">
        <v>9902</v>
      </c>
      <c r="B9915" s="90">
        <v>8.4692254263853179</v>
      </c>
    </row>
    <row r="9916" spans="1:2">
      <c r="A9916" s="32">
        <v>9903</v>
      </c>
      <c r="B9916" s="90">
        <v>7.9240099285663517</v>
      </c>
    </row>
    <row r="9917" spans="1:2">
      <c r="A9917" s="32">
        <v>9904</v>
      </c>
      <c r="B9917" s="90">
        <v>9.712657969596572</v>
      </c>
    </row>
    <row r="9918" spans="1:2">
      <c r="A9918" s="32">
        <v>9905</v>
      </c>
      <c r="B9918" s="90">
        <v>7.7047454687692438</v>
      </c>
    </row>
    <row r="9919" spans="1:2">
      <c r="A9919" s="32">
        <v>9906</v>
      </c>
      <c r="B9919" s="90">
        <v>8.021955788304405</v>
      </c>
    </row>
    <row r="9920" spans="1:2">
      <c r="A9920" s="32">
        <v>9907</v>
      </c>
      <c r="B9920" s="90">
        <v>9.1473511947835426</v>
      </c>
    </row>
    <row r="9921" spans="1:2">
      <c r="A9921" s="32">
        <v>9908</v>
      </c>
      <c r="B9921" s="90">
        <v>8.3595152029096784</v>
      </c>
    </row>
    <row r="9922" spans="1:2">
      <c r="A9922" s="32">
        <v>9909</v>
      </c>
      <c r="B9922" s="90">
        <v>8.8670469807494303</v>
      </c>
    </row>
    <row r="9923" spans="1:2">
      <c r="A9923" s="32">
        <v>9910</v>
      </c>
      <c r="B9923" s="90">
        <v>7.9941918704837445</v>
      </c>
    </row>
    <row r="9924" spans="1:2">
      <c r="A9924" s="32">
        <v>9911</v>
      </c>
      <c r="B9924" s="90">
        <v>7.7999704469705646</v>
      </c>
    </row>
    <row r="9925" spans="1:2">
      <c r="A9925" s="32">
        <v>9912</v>
      </c>
      <c r="B9925" s="90">
        <v>7.6162460406368444</v>
      </c>
    </row>
    <row r="9926" spans="1:2">
      <c r="A9926" s="32">
        <v>9913</v>
      </c>
      <c r="B9926" s="90">
        <v>8.0376561036658671</v>
      </c>
    </row>
    <row r="9927" spans="1:2">
      <c r="A9927" s="32">
        <v>9914</v>
      </c>
      <c r="B9927" s="90">
        <v>9.6505242906627977</v>
      </c>
    </row>
    <row r="9928" spans="1:2">
      <c r="A9928" s="32">
        <v>9915</v>
      </c>
      <c r="B9928" s="90">
        <v>8.2496213379045145</v>
      </c>
    </row>
    <row r="9929" spans="1:2">
      <c r="A9929" s="32">
        <v>9916</v>
      </c>
      <c r="B9929" s="90">
        <v>8.0734954394063152</v>
      </c>
    </row>
    <row r="9930" spans="1:2">
      <c r="A9930" s="32">
        <v>9917</v>
      </c>
      <c r="B9930" s="90">
        <v>7.5604287713851646</v>
      </c>
    </row>
    <row r="9931" spans="1:2">
      <c r="A9931" s="32">
        <v>9918</v>
      </c>
      <c r="B9931" s="90">
        <v>7.8573501636586558</v>
      </c>
    </row>
    <row r="9932" spans="1:2">
      <c r="A9932" s="32">
        <v>9919</v>
      </c>
      <c r="B9932" s="90">
        <v>7.8628312647932832</v>
      </c>
    </row>
    <row r="9933" spans="1:2">
      <c r="A9933" s="32">
        <v>9920</v>
      </c>
      <c r="B9933" s="90">
        <v>7.3944429669974241</v>
      </c>
    </row>
    <row r="9934" spans="1:2">
      <c r="A9934" s="32">
        <v>9921</v>
      </c>
      <c r="B9934" s="90">
        <v>8.3832395306943077</v>
      </c>
    </row>
    <row r="9935" spans="1:2">
      <c r="A9935" s="32">
        <v>9922</v>
      </c>
      <c r="B9935" s="90">
        <v>8.8730706070097831</v>
      </c>
    </row>
    <row r="9936" spans="1:2">
      <c r="A9936" s="32">
        <v>9923</v>
      </c>
      <c r="B9936" s="90">
        <v>8.1180980353367698</v>
      </c>
    </row>
    <row r="9937" spans="1:2">
      <c r="A9937" s="32">
        <v>9924</v>
      </c>
      <c r="B9937" s="90">
        <v>8.6480170172313748</v>
      </c>
    </row>
    <row r="9938" spans="1:2">
      <c r="A9938" s="32">
        <v>9925</v>
      </c>
      <c r="B9938" s="90">
        <v>7.513737602943932</v>
      </c>
    </row>
    <row r="9939" spans="1:2">
      <c r="A9939" s="32">
        <v>9926</v>
      </c>
      <c r="B9939" s="90">
        <v>8.7287986338533834</v>
      </c>
    </row>
    <row r="9940" spans="1:2">
      <c r="A9940" s="32">
        <v>9927</v>
      </c>
      <c r="B9940" s="90">
        <v>7.9640910042291067</v>
      </c>
    </row>
    <row r="9941" spans="1:2">
      <c r="A9941" s="32">
        <v>9928</v>
      </c>
      <c r="B9941" s="90">
        <v>8.0350100276477328</v>
      </c>
    </row>
    <row r="9942" spans="1:2">
      <c r="A9942" s="32">
        <v>9929</v>
      </c>
      <c r="B9942" s="90">
        <v>8.2518693719503275</v>
      </c>
    </row>
    <row r="9943" spans="1:2">
      <c r="A9943" s="32">
        <v>9930</v>
      </c>
      <c r="B9943" s="90">
        <v>7.8391903838233459</v>
      </c>
    </row>
    <row r="9944" spans="1:2">
      <c r="A9944" s="32">
        <v>9931</v>
      </c>
      <c r="B9944" s="90">
        <v>8.5252950230343298</v>
      </c>
    </row>
    <row r="9945" spans="1:2">
      <c r="A9945" s="32">
        <v>9932</v>
      </c>
      <c r="B9945" s="90">
        <v>8.1411785312941571</v>
      </c>
    </row>
    <row r="9946" spans="1:2">
      <c r="A9946" s="32">
        <v>9933</v>
      </c>
      <c r="B9946" s="90">
        <v>7.6773410999029243</v>
      </c>
    </row>
    <row r="9947" spans="1:2">
      <c r="A9947" s="32">
        <v>9934</v>
      </c>
      <c r="B9947" s="90">
        <v>7.9300345038788969</v>
      </c>
    </row>
    <row r="9948" spans="1:2">
      <c r="A9948" s="32">
        <v>9935</v>
      </c>
      <c r="B9948" s="90">
        <v>8.7472074970262952</v>
      </c>
    </row>
    <row r="9949" spans="1:2">
      <c r="A9949" s="32">
        <v>9936</v>
      </c>
      <c r="B9949" s="90">
        <v>7.6601422317426726</v>
      </c>
    </row>
    <row r="9950" spans="1:2">
      <c r="A9950" s="32">
        <v>9937</v>
      </c>
      <c r="B9950" s="90">
        <v>8.6340343841545799</v>
      </c>
    </row>
    <row r="9951" spans="1:2">
      <c r="A9951" s="32">
        <v>9938</v>
      </c>
      <c r="B9951" s="90">
        <v>9.1214114160909041</v>
      </c>
    </row>
    <row r="9952" spans="1:2">
      <c r="A9952" s="32">
        <v>9939</v>
      </c>
      <c r="B9952" s="90">
        <v>8.5575607797344144</v>
      </c>
    </row>
    <row r="9953" spans="1:2">
      <c r="A9953" s="32">
        <v>9940</v>
      </c>
      <c r="B9953" s="90">
        <v>8.8184504841963793</v>
      </c>
    </row>
    <row r="9954" spans="1:2">
      <c r="A9954" s="32">
        <v>9941</v>
      </c>
      <c r="B9954" s="90">
        <v>8.7538465740504279</v>
      </c>
    </row>
    <row r="9955" spans="1:2">
      <c r="A9955" s="32">
        <v>9942</v>
      </c>
      <c r="B9955" s="90">
        <v>8.6637736328902371</v>
      </c>
    </row>
    <row r="9956" spans="1:2">
      <c r="A9956" s="32">
        <v>9943</v>
      </c>
      <c r="B9956" s="90">
        <v>7.7349700785093409</v>
      </c>
    </row>
    <row r="9957" spans="1:2">
      <c r="A9957" s="32">
        <v>9944</v>
      </c>
      <c r="B9957" s="90">
        <v>7.4663228544295714</v>
      </c>
    </row>
    <row r="9958" spans="1:2">
      <c r="A9958" s="32">
        <v>9945</v>
      </c>
      <c r="B9958" s="90">
        <v>8.9352195120624707</v>
      </c>
    </row>
    <row r="9959" spans="1:2">
      <c r="A9959" s="32">
        <v>9946</v>
      </c>
      <c r="B9959" s="90">
        <v>8.6322637684845134</v>
      </c>
    </row>
    <row r="9960" spans="1:2">
      <c r="A9960" s="32">
        <v>9947</v>
      </c>
      <c r="B9960" s="90">
        <v>8.031969645068985</v>
      </c>
    </row>
    <row r="9961" spans="1:2">
      <c r="A9961" s="32">
        <v>9948</v>
      </c>
      <c r="B9961" s="90">
        <v>9.3743988263202933</v>
      </c>
    </row>
    <row r="9962" spans="1:2">
      <c r="A9962" s="32">
        <v>9949</v>
      </c>
      <c r="B9962" s="90">
        <v>8.3626372805059379</v>
      </c>
    </row>
    <row r="9963" spans="1:2">
      <c r="A9963" s="32">
        <v>9950</v>
      </c>
      <c r="B9963" s="90">
        <v>8.5299305291948269</v>
      </c>
    </row>
    <row r="9964" spans="1:2">
      <c r="A9964" s="32">
        <v>9951</v>
      </c>
      <c r="B9964" s="90">
        <v>9.1558650473173078</v>
      </c>
    </row>
    <row r="9965" spans="1:2">
      <c r="A9965" s="32">
        <v>9952</v>
      </c>
      <c r="B9965" s="90">
        <v>7.3426644546614765</v>
      </c>
    </row>
    <row r="9966" spans="1:2">
      <c r="A9966" s="32">
        <v>9953</v>
      </c>
      <c r="B9966" s="90">
        <v>8.408564330644321</v>
      </c>
    </row>
    <row r="9967" spans="1:2">
      <c r="A9967" s="32">
        <v>9954</v>
      </c>
      <c r="B9967" s="90">
        <v>8.2921640436398203</v>
      </c>
    </row>
    <row r="9968" spans="1:2">
      <c r="A9968" s="32">
        <v>9955</v>
      </c>
      <c r="B9968" s="90">
        <v>8.267877631070931</v>
      </c>
    </row>
    <row r="9969" spans="1:2">
      <c r="A9969" s="32">
        <v>9956</v>
      </c>
      <c r="B9969" s="90">
        <v>7.6246328884101899</v>
      </c>
    </row>
    <row r="9970" spans="1:2">
      <c r="A9970" s="32">
        <v>9957</v>
      </c>
      <c r="B9970" s="90">
        <v>8.6074063923355766</v>
      </c>
    </row>
    <row r="9971" spans="1:2">
      <c r="A9971" s="32">
        <v>9958</v>
      </c>
      <c r="B9971" s="90">
        <v>8.2165652814768002</v>
      </c>
    </row>
    <row r="9972" spans="1:2">
      <c r="A9972" s="32">
        <v>9959</v>
      </c>
      <c r="B9972" s="90">
        <v>7.2280952440814588</v>
      </c>
    </row>
    <row r="9973" spans="1:2">
      <c r="A9973" s="32">
        <v>9960</v>
      </c>
      <c r="B9973" s="90">
        <v>9.1257757559020813</v>
      </c>
    </row>
    <row r="9974" spans="1:2">
      <c r="A9974" s="32">
        <v>9961</v>
      </c>
      <c r="B9974" s="90">
        <v>7.3965407953528075</v>
      </c>
    </row>
    <row r="9975" spans="1:2">
      <c r="A9975" s="32">
        <v>9962</v>
      </c>
      <c r="B9975" s="90">
        <v>7.9209787492812875</v>
      </c>
    </row>
    <row r="9976" spans="1:2">
      <c r="A9976" s="32">
        <v>9963</v>
      </c>
      <c r="B9976" s="90">
        <v>7.7748472627072021</v>
      </c>
    </row>
    <row r="9977" spans="1:2">
      <c r="A9977" s="32">
        <v>9964</v>
      </c>
      <c r="B9977" s="90">
        <v>7.7631704979441407</v>
      </c>
    </row>
    <row r="9978" spans="1:2">
      <c r="A9978" s="32">
        <v>9965</v>
      </c>
      <c r="B9978" s="90">
        <v>7.0977325682394889</v>
      </c>
    </row>
    <row r="9979" spans="1:2">
      <c r="A9979" s="32">
        <v>9966</v>
      </c>
      <c r="B9979" s="90">
        <v>8.8294120411449164</v>
      </c>
    </row>
    <row r="9980" spans="1:2">
      <c r="A9980" s="32">
        <v>9967</v>
      </c>
      <c r="B9980" s="90">
        <v>7.7765143832167336</v>
      </c>
    </row>
    <row r="9981" spans="1:2">
      <c r="A9981" s="32">
        <v>9968</v>
      </c>
      <c r="B9981" s="90">
        <v>8.0821949174461025</v>
      </c>
    </row>
    <row r="9982" spans="1:2">
      <c r="A9982" s="32">
        <v>9969</v>
      </c>
      <c r="B9982" s="90">
        <v>8.3601866306958215</v>
      </c>
    </row>
    <row r="9983" spans="1:2">
      <c r="A9983" s="32">
        <v>9970</v>
      </c>
      <c r="B9983" s="90">
        <v>8.1411031843739288</v>
      </c>
    </row>
    <row r="9984" spans="1:2">
      <c r="A9984" s="32">
        <v>9971</v>
      </c>
      <c r="B9984" s="90">
        <v>7.8338695001240639</v>
      </c>
    </row>
    <row r="9985" spans="1:2">
      <c r="A9985" s="32">
        <v>9972</v>
      </c>
      <c r="B9985" s="90">
        <v>8.0016866464153438</v>
      </c>
    </row>
    <row r="9986" spans="1:2">
      <c r="A9986" s="32">
        <v>9973</v>
      </c>
      <c r="B9986" s="90">
        <v>7.9547242347800422</v>
      </c>
    </row>
    <row r="9987" spans="1:2">
      <c r="A9987" s="32">
        <v>9974</v>
      </c>
      <c r="B9987" s="90">
        <v>8.0101324519359878</v>
      </c>
    </row>
    <row r="9988" spans="1:2">
      <c r="A9988" s="32">
        <v>9975</v>
      </c>
      <c r="B9988" s="90">
        <v>8.0547984982508751</v>
      </c>
    </row>
    <row r="9989" spans="1:2">
      <c r="A9989" s="32">
        <v>9976</v>
      </c>
      <c r="B9989" s="90">
        <v>6.8996666335014059</v>
      </c>
    </row>
    <row r="9990" spans="1:2">
      <c r="A9990" s="32">
        <v>9977</v>
      </c>
      <c r="B9990" s="90">
        <v>8.3314961047972567</v>
      </c>
    </row>
    <row r="9991" spans="1:2">
      <c r="A9991" s="32">
        <v>9978</v>
      </c>
      <c r="B9991" s="90">
        <v>9.6106308870247616</v>
      </c>
    </row>
    <row r="9992" spans="1:2">
      <c r="A9992" s="32">
        <v>9979</v>
      </c>
      <c r="B9992" s="90">
        <v>8.3666789872045602</v>
      </c>
    </row>
    <row r="9993" spans="1:2">
      <c r="A9993" s="32">
        <v>9980</v>
      </c>
      <c r="B9993" s="90">
        <v>7.3529066121337792</v>
      </c>
    </row>
    <row r="9994" spans="1:2">
      <c r="A9994" s="32">
        <v>9981</v>
      </c>
      <c r="B9994" s="90">
        <v>8.044304694316434</v>
      </c>
    </row>
    <row r="9995" spans="1:2">
      <c r="A9995" s="32">
        <v>9982</v>
      </c>
      <c r="B9995" s="90">
        <v>7.7271703460164929</v>
      </c>
    </row>
    <row r="9996" spans="1:2">
      <c r="A9996" s="32">
        <v>9983</v>
      </c>
      <c r="B9996" s="90">
        <v>8.6397191518304499</v>
      </c>
    </row>
    <row r="9997" spans="1:2">
      <c r="A9997" s="32">
        <v>9984</v>
      </c>
      <c r="B9997" s="90">
        <v>7.9328201303001711</v>
      </c>
    </row>
    <row r="9998" spans="1:2">
      <c r="A9998" s="32">
        <v>9985</v>
      </c>
      <c r="B9998" s="90">
        <v>8.5656933271170139</v>
      </c>
    </row>
    <row r="9999" spans="1:2">
      <c r="A9999" s="32">
        <v>9986</v>
      </c>
      <c r="B9999" s="90">
        <v>7.8232852826750143</v>
      </c>
    </row>
    <row r="10000" spans="1:2">
      <c r="A10000" s="32">
        <v>9987</v>
      </c>
      <c r="B10000" s="90">
        <v>8.432077816822078</v>
      </c>
    </row>
    <row r="10001" spans="1:2">
      <c r="A10001" s="32">
        <v>9988</v>
      </c>
      <c r="B10001" s="90">
        <v>8.1678492477669895</v>
      </c>
    </row>
    <row r="10002" spans="1:2">
      <c r="A10002" s="32">
        <v>9989</v>
      </c>
      <c r="B10002" s="90">
        <v>9.3796010387726501</v>
      </c>
    </row>
    <row r="10003" spans="1:2">
      <c r="A10003" s="32">
        <v>9990</v>
      </c>
      <c r="B10003" s="90">
        <v>8.3793305046041819</v>
      </c>
    </row>
    <row r="10004" spans="1:2">
      <c r="A10004" s="32">
        <v>9991</v>
      </c>
      <c r="B10004" s="90">
        <v>7.7358508070230307</v>
      </c>
    </row>
    <row r="10005" spans="1:2">
      <c r="A10005" s="32">
        <v>9992</v>
      </c>
      <c r="B10005" s="90">
        <v>10.269246670690181</v>
      </c>
    </row>
    <row r="10006" spans="1:2">
      <c r="A10006" s="32">
        <v>9993</v>
      </c>
      <c r="B10006" s="90">
        <v>7.8212361921945099</v>
      </c>
    </row>
    <row r="10007" spans="1:2">
      <c r="A10007" s="32">
        <v>9994</v>
      </c>
      <c r="B10007" s="90">
        <v>9.451571496733429</v>
      </c>
    </row>
    <row r="10008" spans="1:2">
      <c r="A10008" s="32">
        <v>9995</v>
      </c>
      <c r="B10008" s="90">
        <v>7.1199940458948507</v>
      </c>
    </row>
    <row r="10009" spans="1:2">
      <c r="A10009" s="32">
        <v>9996</v>
      </c>
      <c r="B10009" s="90">
        <v>7.4481933661165449</v>
      </c>
    </row>
    <row r="10010" spans="1:2">
      <c r="A10010" s="32">
        <v>9997</v>
      </c>
      <c r="B10010" s="90">
        <v>9.6396138035526651</v>
      </c>
    </row>
    <row r="10011" spans="1:2">
      <c r="A10011" s="32">
        <v>9998</v>
      </c>
      <c r="B10011" s="90">
        <v>8.1946622266691485</v>
      </c>
    </row>
    <row r="10012" spans="1:2">
      <c r="A10012" s="32">
        <v>9999</v>
      </c>
      <c r="B10012" s="90">
        <v>8.0504065856856979</v>
      </c>
    </row>
    <row r="10013" spans="1:2">
      <c r="A10013" s="32">
        <v>10000</v>
      </c>
      <c r="B10013" s="90">
        <v>7.6553542201479532</v>
      </c>
    </row>
  </sheetData>
  <phoneticPr fontId="3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Factor_mcm">
                <anchor moveWithCells="1" sizeWithCells="1">
                  <from>
                    <xdr:col>3</xdr:col>
                    <xdr:colOff>609600</xdr:colOff>
                    <xdr:row>10</xdr:row>
                    <xdr:rowOff>177800</xdr:rowOff>
                  </from>
                  <to>
                    <xdr:col>5</xdr:col>
                    <xdr:colOff>266700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437CC-4E58-4A12-9FD9-E25CD59DD566}">
  <sheetPr codeName="Sheet8"/>
  <dimension ref="A1:Z248"/>
  <sheetViews>
    <sheetView tabSelected="1" zoomScale="70" zoomScaleNormal="100" workbookViewId="0">
      <selection activeCell="J26" sqref="J26"/>
    </sheetView>
  </sheetViews>
  <sheetFormatPr baseColWidth="10" defaultColWidth="8.6640625" defaultRowHeight="15"/>
  <cols>
    <col min="1" max="1" width="11.1640625" style="78" bestFit="1" customWidth="1"/>
    <col min="2" max="2" width="8.6640625" style="78" customWidth="1"/>
    <col min="3" max="3" width="14.33203125" style="78" bestFit="1" customWidth="1"/>
    <col min="4" max="4" width="14.5" style="78" customWidth="1"/>
    <col min="5" max="5" width="16.6640625" style="78" customWidth="1"/>
    <col min="6" max="6" width="18.6640625" style="78" customWidth="1"/>
    <col min="7" max="7" width="6.6640625" style="78" customWidth="1"/>
    <col min="8" max="8" width="16.6640625" style="78" customWidth="1"/>
    <col min="9" max="9" width="8.6640625" style="78" customWidth="1"/>
    <col min="10" max="10" width="30.1640625" style="78" customWidth="1"/>
    <col min="11" max="11" width="5" style="78" customWidth="1"/>
    <col min="12" max="12" width="7.6640625" style="78" customWidth="1"/>
    <col min="13" max="13" width="19.5" style="78" customWidth="1"/>
    <col min="14" max="14" width="16.6640625" style="78" bestFit="1" customWidth="1"/>
    <col min="15" max="15" width="3.6640625" style="78" customWidth="1"/>
    <col min="16" max="16" width="8.5" style="78" customWidth="1"/>
    <col min="17" max="17" width="13.33203125" style="78" bestFit="1" customWidth="1"/>
    <col min="18" max="18" width="13.5" style="78" customWidth="1"/>
    <col min="19" max="19" width="14" style="78" customWidth="1"/>
    <col min="20" max="20" width="10.5" style="78" customWidth="1"/>
    <col min="21" max="21" width="8.6640625" style="78"/>
    <col min="22" max="22" width="17.1640625" style="78" customWidth="1"/>
    <col min="23" max="24" width="8.6640625" style="78"/>
    <col min="25" max="25" width="16.5" style="78" customWidth="1"/>
    <col min="26" max="26" width="16.1640625" style="78" bestFit="1" customWidth="1"/>
    <col min="27" max="16384" width="8.6640625" style="78"/>
  </cols>
  <sheetData>
    <row r="1" spans="1:26" ht="29.5" customHeight="1">
      <c r="A1" s="100" t="s">
        <v>219</v>
      </c>
      <c r="C1" s="91"/>
      <c r="L1" s="99" t="s">
        <v>220</v>
      </c>
      <c r="M1" s="14"/>
      <c r="N1" s="14"/>
      <c r="P1" s="14" t="s">
        <v>227</v>
      </c>
    </row>
    <row r="2" spans="1:26" ht="48">
      <c r="A2" s="92" t="s">
        <v>0</v>
      </c>
      <c r="B2" s="4" t="s">
        <v>210</v>
      </c>
      <c r="C2" s="4" t="s">
        <v>106</v>
      </c>
      <c r="D2" s="4" t="s">
        <v>182</v>
      </c>
      <c r="E2" s="4" t="s">
        <v>185</v>
      </c>
      <c r="F2" s="101" t="s">
        <v>226</v>
      </c>
      <c r="G2" s="4"/>
      <c r="H2" s="4"/>
      <c r="I2" s="93"/>
      <c r="J2" s="93"/>
      <c r="K2" s="93"/>
      <c r="L2" s="79" t="s">
        <v>107</v>
      </c>
      <c r="M2" s="94" t="s">
        <v>211</v>
      </c>
      <c r="N2" s="6" t="s">
        <v>212</v>
      </c>
      <c r="O2" s="6"/>
      <c r="P2" s="79" t="s">
        <v>107</v>
      </c>
      <c r="Q2" s="94" t="s">
        <v>212</v>
      </c>
      <c r="R2" s="94" t="s">
        <v>215</v>
      </c>
      <c r="S2" s="94" t="s">
        <v>228</v>
      </c>
      <c r="T2" s="94" t="s">
        <v>216</v>
      </c>
      <c r="V2" s="6" t="s">
        <v>217</v>
      </c>
    </row>
    <row r="3" spans="1:26">
      <c r="A3" s="20">
        <f>HKData!A4</f>
        <v>45230</v>
      </c>
      <c r="B3" s="91"/>
      <c r="C3" s="22"/>
      <c r="D3" s="23"/>
      <c r="E3" s="19"/>
      <c r="F3" s="8" t="str" cm="1">
        <f t="array" aca="1" ref="F3" ca="1">getformula(F4)</f>
        <v>&lt;--  =E4-($I$6+$I$7*D4)</v>
      </c>
      <c r="G3" s="19"/>
      <c r="H3" s="19"/>
      <c r="I3" s="91"/>
      <c r="J3" s="91"/>
      <c r="K3" s="91"/>
      <c r="L3" s="80" t="s">
        <v>194</v>
      </c>
      <c r="P3" s="80" t="s">
        <v>194</v>
      </c>
      <c r="T3" s="82">
        <f>I9</f>
        <v>8.1639995574951172</v>
      </c>
      <c r="V3" s="6" t="s">
        <v>203</v>
      </c>
      <c r="W3" s="6" t="s">
        <v>108</v>
      </c>
    </row>
    <row r="4" spans="1:26">
      <c r="A4" s="20">
        <f>HKData!A5</f>
        <v>45231</v>
      </c>
      <c r="B4" s="91">
        <v>1</v>
      </c>
      <c r="C4" s="22">
        <f>DailyHIBOR!C2/252/100</f>
        <v>1.7738095238095238E-4</v>
      </c>
      <c r="D4" s="23">
        <f>LN(HKData!N5/HKData!N4)-C4</f>
        <v>-8.0291967788609028E-4</v>
      </c>
      <c r="E4" s="23">
        <f>LN(HKData!F5/HKData!F4)-C4</f>
        <v>-1.4492591592626431E-2</v>
      </c>
      <c r="F4" s="23">
        <f>E4-($I$6+$I$7*D4)</f>
        <v>-1.3050127450383635E-2</v>
      </c>
      <c r="G4" s="23"/>
      <c r="H4" s="5" t="s">
        <v>186</v>
      </c>
      <c r="I4" s="19"/>
      <c r="J4" s="19"/>
      <c r="K4" s="91"/>
      <c r="L4" s="80" t="s">
        <v>109</v>
      </c>
      <c r="M4" s="78">
        <f ca="1">RANDBETWEEN(1,245)</f>
        <v>70</v>
      </c>
      <c r="N4" s="95" cm="1">
        <f t="array" aca="1" ref="N4" ca="1">INDEX($D$4:$D$248,M4)</f>
        <v>-8.5161246185579374E-3</v>
      </c>
      <c r="O4" s="8"/>
      <c r="P4" s="80" t="s">
        <v>109</v>
      </c>
      <c r="Q4" s="87" cm="1">
        <f t="array" aca="1" ref="Q4" ca="1">INDEX($D$4:$D$248,RANDBETWEEN(1,245))</f>
        <v>5.4788792974674247E-3</v>
      </c>
      <c r="R4" s="95" cm="1">
        <f t="array" aca="1" ref="R4" ca="1">INDEX($F$4:$F$248,RANDBETWEEN(1,245))</f>
        <v>-1.1531624258005486E-2</v>
      </c>
      <c r="S4" s="87">
        <f ca="1">$I$6+$I$7*Q4+R4</f>
        <v>-8.9854785995851852E-3</v>
      </c>
      <c r="T4" s="82">
        <f ca="1">T3*EXP(S4+$I$8)</f>
        <v>8.0928716643876069</v>
      </c>
      <c r="V4" s="78">
        <v>1</v>
      </c>
      <c r="W4" s="96">
        <f ca="1">T25</f>
        <v>8.4600591416969095</v>
      </c>
      <c r="X4" s="8" t="str" cm="1">
        <f t="array" aca="1" ref="X4" ca="1">getformula(W4)</f>
        <v>&lt;--  =T25</v>
      </c>
    </row>
    <row r="5" spans="1:26">
      <c r="A5" s="20">
        <f>HKData!A6</f>
        <v>45232</v>
      </c>
      <c r="B5" s="91">
        <v>2</v>
      </c>
      <c r="C5" s="22">
        <f>DailyHIBOR!C3/252/100</f>
        <v>1.7738095238095238E-4</v>
      </c>
      <c r="D5" s="23">
        <f>LN(HKData!N6/HKData!N5)-C5</f>
        <v>7.3263919887701602E-3</v>
      </c>
      <c r="E5" s="23">
        <f>LN(HKData!F6/HKData!F5)-C5</f>
        <v>4.9054031604515741E-2</v>
      </c>
      <c r="F5" s="23">
        <f t="shared" ref="F5:F68" si="0">E5-($I$6+$I$7*D5)</f>
        <v>4.5334813191572149E-2</v>
      </c>
      <c r="G5" s="23"/>
      <c r="H5" s="19"/>
      <c r="I5" s="19"/>
      <c r="J5" s="19"/>
      <c r="K5" s="91"/>
      <c r="L5" s="80" t="s">
        <v>110</v>
      </c>
      <c r="M5" s="78">
        <f t="shared" ref="M5:M25" ca="1" si="1">RANDBETWEEN(1,245)</f>
        <v>77</v>
      </c>
      <c r="N5" s="95" cm="1">
        <f t="array" aca="1" ref="N5" ca="1">INDEX($D$4:$D$248,M5)</f>
        <v>1.4228612282867318E-2</v>
      </c>
      <c r="O5" s="87"/>
      <c r="P5" s="80" t="s">
        <v>110</v>
      </c>
      <c r="Q5" s="87" cm="1">
        <f t="array" aca="1" ref="Q5" ca="1">INDEX($D$4:$D$248,RANDBETWEEN(1,245))</f>
        <v>1.1944819770155777E-2</v>
      </c>
      <c r="R5" s="95" cm="1">
        <f t="array" aca="1" ref="R5" ca="1">INDEX($F$4:$F$248,RANDBETWEEN(1,245))</f>
        <v>1.7753657218642766E-2</v>
      </c>
      <c r="S5" s="87">
        <f t="shared" ref="S5:S25" ca="1" si="2">$I$6+$I$7*Q5+R5</f>
        <v>2.4405332780368764E-2</v>
      </c>
      <c r="T5" s="82">
        <f t="shared" ref="T5:T25" ca="1" si="3">T4*EXP(S5+$I$8)</f>
        <v>8.2947591378811634</v>
      </c>
      <c r="V5" s="78">
        <v>2</v>
      </c>
      <c r="W5" s="82">
        <f t="dataTable" ref="W5:W23" dt2D="0" dtr="0" r1="A1" ca="1"/>
        <v>7.1126730839061079</v>
      </c>
    </row>
    <row r="6" spans="1:26">
      <c r="A6" s="20">
        <f>HKData!A7</f>
        <v>45233</v>
      </c>
      <c r="B6" s="91">
        <v>3</v>
      </c>
      <c r="C6" s="22">
        <f>DailyHIBOR!C4/252/100</f>
        <v>1.7738095238095238E-4</v>
      </c>
      <c r="D6" s="23">
        <f>LN(HKData!N7/HKData!N6)-C6</f>
        <v>2.4671750461091782E-2</v>
      </c>
      <c r="E6" s="23">
        <f>LN(HKData!F7/HKData!F6)-C6</f>
        <v>2.3079386213190594E-2</v>
      </c>
      <c r="F6" s="23">
        <f t="shared" si="0"/>
        <v>8.3467834066747217E-3</v>
      </c>
      <c r="G6" s="23"/>
      <c r="H6" s="6" t="s">
        <v>2</v>
      </c>
      <c r="I6" s="87">
        <f>INTERCEPT(E4:E248,D4:D248)</f>
        <v>-9.3265265210648682E-4</v>
      </c>
      <c r="J6" s="8" t="str" cm="1">
        <f t="array" aca="1" ref="J6" ca="1">getformula(I6)</f>
        <v>&lt;--  =INTERCEPT(E4:E248,D4:D248)</v>
      </c>
      <c r="K6" s="91"/>
      <c r="L6" s="80" t="s">
        <v>111</v>
      </c>
      <c r="M6" s="78">
        <f t="shared" ca="1" si="1"/>
        <v>117</v>
      </c>
      <c r="N6" s="95" cm="1">
        <f t="array" aca="1" ref="N6" ca="1">INDEX($D$4:$D$248,M6)</f>
        <v>1.8835193968202601E-2</v>
      </c>
      <c r="O6" s="87"/>
      <c r="P6" s="80" t="s">
        <v>111</v>
      </c>
      <c r="Q6" s="87" cm="1">
        <f t="array" aca="1" ref="Q6" ca="1">INDEX($D$4:$D$248,RANDBETWEEN(1,245))</f>
        <v>-1.3851551679041322E-2</v>
      </c>
      <c r="R6" s="95" cm="1">
        <f t="array" aca="1" ref="R6" ca="1">INDEX($F$4:$F$248,RANDBETWEEN(1,245))</f>
        <v>5.0815067595348252E-3</v>
      </c>
      <c r="S6" s="87">
        <f t="shared" ca="1" si="2"/>
        <v>-4.6461479291190714E-3</v>
      </c>
      <c r="T6" s="82">
        <f t="shared" ca="1" si="3"/>
        <v>8.2582496549899798</v>
      </c>
      <c r="V6" s="78">
        <v>3</v>
      </c>
      <c r="W6" s="82">
        <v>7.4131884251948446</v>
      </c>
    </row>
    <row r="7" spans="1:26">
      <c r="A7" s="20">
        <f>HKData!A8</f>
        <v>45236</v>
      </c>
      <c r="B7" s="91">
        <v>4</v>
      </c>
      <c r="C7" s="22">
        <f>DailyHIBOR!C5/252/100</f>
        <v>1.7738095238095238E-4</v>
      </c>
      <c r="D7" s="23">
        <f>LN(HKData!N8/HKData!N7)-C7</f>
        <v>1.6801117528260856E-2</v>
      </c>
      <c r="E7" s="23">
        <f>LN(HKData!F8/HKData!F7)-C7</f>
        <v>-2.539678952933324E-2</v>
      </c>
      <c r="F7" s="23">
        <f t="shared" si="0"/>
        <v>-3.5131957082591189E-2</v>
      </c>
      <c r="G7" s="23"/>
      <c r="H7" s="6" t="s">
        <v>1</v>
      </c>
      <c r="I7" s="87">
        <f>SLOPE(E4:E248,D4:D248)</f>
        <v>0.63494706155232139</v>
      </c>
      <c r="J7" s="8" t="str" cm="1">
        <f t="array" aca="1" ref="J7" ca="1">getformula(I7)</f>
        <v>&lt;--  =SLOPE(E4:E248,D4:D248)</v>
      </c>
      <c r="K7" s="91"/>
      <c r="L7" s="80" t="s">
        <v>112</v>
      </c>
      <c r="M7" s="78">
        <f t="shared" ca="1" si="1"/>
        <v>90</v>
      </c>
      <c r="N7" s="95" cm="1">
        <f t="array" aca="1" ref="N7" ca="1">INDEX($D$4:$D$248,M7)</f>
        <v>2.9854159562265364E-2</v>
      </c>
      <c r="O7" s="87"/>
      <c r="P7" s="80" t="s">
        <v>112</v>
      </c>
      <c r="Q7" s="87" cm="1">
        <f t="array" aca="1" ref="Q7" ca="1">INDEX($D$4:$D$248,RANDBETWEEN(1,245))</f>
        <v>-1.4072487038662164E-2</v>
      </c>
      <c r="R7" s="95" cm="1">
        <f t="array" aca="1" ref="R7" ca="1">INDEX($F$4:$F$248,RANDBETWEEN(1,245))</f>
        <v>-1.2946263295758584E-2</v>
      </c>
      <c r="S7" s="87">
        <f t="shared" ca="1" si="2"/>
        <v>-2.2814200241796742E-2</v>
      </c>
      <c r="T7" s="82">
        <f t="shared" ca="1" si="3"/>
        <v>8.0738736983112744</v>
      </c>
      <c r="V7" s="78">
        <v>4</v>
      </c>
      <c r="W7" s="82">
        <v>7.3625562600483532</v>
      </c>
    </row>
    <row r="8" spans="1:26">
      <c r="A8" s="20">
        <f>HKData!A9</f>
        <v>45237</v>
      </c>
      <c r="B8" s="91">
        <v>5</v>
      </c>
      <c r="C8" s="22">
        <f>DailyHIBOR!C6/252/100</f>
        <v>1.7738095238095238E-4</v>
      </c>
      <c r="D8" s="23">
        <f>LN(HKData!N9/HKData!N8)-C8</f>
        <v>-1.6813944303507137E-2</v>
      </c>
      <c r="E8" s="23">
        <f>LN(HKData!F9/HKData!F8)-C8</f>
        <v>-1.4025521589284806E-2</v>
      </c>
      <c r="F8" s="23">
        <f t="shared" si="0"/>
        <v>-2.4169044085620688E-3</v>
      </c>
      <c r="G8" s="23"/>
      <c r="H8" s="6" t="s">
        <v>195</v>
      </c>
      <c r="I8" s="87">
        <f>C248</f>
        <v>2.349206349206349E-4</v>
      </c>
      <c r="J8" s="82" t="s">
        <v>205</v>
      </c>
      <c r="K8" s="91"/>
      <c r="L8" s="80" t="s">
        <v>113</v>
      </c>
      <c r="M8" s="78">
        <f t="shared" ca="1" si="1"/>
        <v>5</v>
      </c>
      <c r="N8" s="95" cm="1">
        <f t="array" aca="1" ref="N8" ca="1">INDEX($D$4:$D$248,M8)</f>
        <v>-1.6813944303507137E-2</v>
      </c>
      <c r="O8" s="87"/>
      <c r="P8" s="80" t="s">
        <v>113</v>
      </c>
      <c r="Q8" s="87" cm="1">
        <f t="array" aca="1" ref="Q8" ca="1">INDEX($D$4:$D$248,RANDBETWEEN(1,245))</f>
        <v>4.0064398894169729E-3</v>
      </c>
      <c r="R8" s="95" cm="1">
        <f t="array" aca="1" ref="R8" ca="1">INDEX($F$4:$F$248,RANDBETWEEN(1,245))</f>
        <v>3.6418199077497587E-3</v>
      </c>
      <c r="S8" s="87">
        <f t="shared" ca="1" si="2"/>
        <v>5.2530444907145863E-3</v>
      </c>
      <c r="T8" s="82">
        <f t="shared" ca="1" si="3"/>
        <v>8.1183046418172964</v>
      </c>
      <c r="V8" s="78">
        <v>5</v>
      </c>
      <c r="W8" s="82">
        <v>7.8160062501882459</v>
      </c>
      <c r="X8" s="91"/>
    </row>
    <row r="9" spans="1:26">
      <c r="A9" s="20">
        <f>HKData!A10</f>
        <v>45238</v>
      </c>
      <c r="B9" s="91">
        <v>6</v>
      </c>
      <c r="C9" s="22">
        <f>DailyHIBOR!C7/252/100</f>
        <v>1.7738095238095238E-4</v>
      </c>
      <c r="D9" s="23">
        <f>LN(HKData!N10/HKData!N9)-C9</f>
        <v>-5.9494286630301348E-3</v>
      </c>
      <c r="E9" s="23">
        <f>LN(HKData!F10/HKData!F9)-C9</f>
        <v>-1.6241849157618112E-2</v>
      </c>
      <c r="F9" s="23">
        <f t="shared" si="0"/>
        <v>-1.1531624258005486E-2</v>
      </c>
      <c r="G9" s="23"/>
      <c r="H9" s="6" t="s">
        <v>202</v>
      </c>
      <c r="I9" s="19">
        <f>HKData!F249</f>
        <v>8.1639995574951172</v>
      </c>
      <c r="J9" s="82" t="s">
        <v>205</v>
      </c>
      <c r="K9" s="91"/>
      <c r="L9" s="80" t="s">
        <v>114</v>
      </c>
      <c r="M9" s="78">
        <f t="shared" ca="1" si="1"/>
        <v>89</v>
      </c>
      <c r="N9" s="95" cm="1">
        <f t="array" aca="1" ref="N9" ca="1">INDEX($D$4:$D$248,M9)</f>
        <v>1.4027968540453689E-2</v>
      </c>
      <c r="O9" s="87"/>
      <c r="P9" s="80" t="s">
        <v>114</v>
      </c>
      <c r="Q9" s="87" cm="1">
        <f t="array" aca="1" ref="Q9" ca="1">INDEX($D$4:$D$248,RANDBETWEEN(1,245))</f>
        <v>-3.4369210357066953E-3</v>
      </c>
      <c r="R9" s="95" cm="1">
        <f t="array" aca="1" ref="R9" ca="1">INDEX($F$4:$F$248,RANDBETWEEN(1,245))</f>
        <v>3.8663868115698975E-3</v>
      </c>
      <c r="S9" s="87">
        <f t="shared" ca="1" si="2"/>
        <v>7.5147124705408344E-4</v>
      </c>
      <c r="T9" s="82">
        <f t="shared" ca="1" si="3"/>
        <v>8.1263164223394142</v>
      </c>
      <c r="V9" s="78">
        <v>6</v>
      </c>
      <c r="W9" s="82">
        <v>8.1200741236953302</v>
      </c>
      <c r="X9" s="91"/>
    </row>
    <row r="10" spans="1:26">
      <c r="A10" s="20">
        <f>HKData!A11</f>
        <v>45239</v>
      </c>
      <c r="B10" s="91">
        <v>7</v>
      </c>
      <c r="C10" s="22">
        <f>DailyHIBOR!C8/252/100</f>
        <v>1.7738095238095238E-4</v>
      </c>
      <c r="D10" s="23">
        <f>LN(HKData!N11/HKData!N10)-C10</f>
        <v>-3.4369210357066953E-3</v>
      </c>
      <c r="E10" s="23">
        <f>LN(HKData!F11/HKData!F10)-C10</f>
        <v>2.1845605186249364E-2</v>
      </c>
      <c r="F10" s="23">
        <f t="shared" si="0"/>
        <v>2.4960520750765179E-2</v>
      </c>
      <c r="G10" s="23"/>
      <c r="K10" s="91"/>
      <c r="L10" s="80" t="s">
        <v>115</v>
      </c>
      <c r="M10" s="78">
        <f t="shared" ca="1" si="1"/>
        <v>49</v>
      </c>
      <c r="N10" s="95" cm="1">
        <f t="array" aca="1" ref="N10" ca="1">INDEX($D$4:$D$248,M10)</f>
        <v>1.2404607686832747E-2</v>
      </c>
      <c r="O10" s="87"/>
      <c r="P10" s="80" t="s">
        <v>115</v>
      </c>
      <c r="Q10" s="87" cm="1">
        <f t="array" aca="1" ref="Q10" ca="1">INDEX($D$4:$D$248,RANDBETWEEN(1,245))</f>
        <v>1.4027968540453689E-2</v>
      </c>
      <c r="R10" s="95" cm="1">
        <f t="array" aca="1" ref="R10" ca="1">INDEX($F$4:$F$248,RANDBETWEEN(1,245))</f>
        <v>5.4858806078762149E-3</v>
      </c>
      <c r="S10" s="87">
        <f t="shared" ca="1" si="2"/>
        <v>1.3460245360079203E-2</v>
      </c>
      <c r="T10" s="82">
        <f t="shared" ca="1" si="3"/>
        <v>8.2383732416217832</v>
      </c>
      <c r="V10" s="78">
        <v>7</v>
      </c>
      <c r="W10" s="82">
        <v>8.8957794211584247</v>
      </c>
    </row>
    <row r="11" spans="1:26">
      <c r="A11" s="20">
        <f>HKData!A12</f>
        <v>45240</v>
      </c>
      <c r="B11" s="91">
        <v>8</v>
      </c>
      <c r="C11" s="22">
        <f>DailyHIBOR!C9/252/100</f>
        <v>1.7738095238095238E-4</v>
      </c>
      <c r="D11" s="23">
        <f>LN(HKData!N12/HKData!N11)-C11</f>
        <v>-1.7924256067119445E-2</v>
      </c>
      <c r="E11" s="23">
        <f>LN(HKData!F12/HKData!F11)-C11</f>
        <v>-1.413587494291507E-2</v>
      </c>
      <c r="F11" s="23">
        <f t="shared" si="0"/>
        <v>-1.8222685704797226E-3</v>
      </c>
      <c r="G11" s="23"/>
      <c r="H11" s="6" t="s">
        <v>225</v>
      </c>
      <c r="K11" s="91"/>
      <c r="L11" s="80" t="s">
        <v>116</v>
      </c>
      <c r="M11" s="78">
        <f t="shared" ca="1" si="1"/>
        <v>89</v>
      </c>
      <c r="N11" s="95" cm="1">
        <f t="array" aca="1" ref="N11" ca="1">INDEX($D$4:$D$248,M11)</f>
        <v>1.4027968540453689E-2</v>
      </c>
      <c r="O11" s="87"/>
      <c r="P11" s="80" t="s">
        <v>116</v>
      </c>
      <c r="Q11" s="87" cm="1">
        <f t="array" aca="1" ref="Q11" ca="1">INDEX($D$4:$D$248,RANDBETWEEN(1,245))</f>
        <v>-2.4788494600881243E-3</v>
      </c>
      <c r="R11" s="95" cm="1">
        <f t="array" aca="1" ref="R11" ca="1">INDEX($F$4:$F$248,RANDBETWEEN(1,245))</f>
        <v>-9.6123762746790423E-4</v>
      </c>
      <c r="S11" s="87">
        <f t="shared" ca="1" si="2"/>
        <v>-3.4678284602879042E-3</v>
      </c>
      <c r="T11" s="82">
        <f t="shared" ca="1" si="3"/>
        <v>8.2117823464172286</v>
      </c>
      <c r="V11" s="78">
        <v>8</v>
      </c>
      <c r="W11" s="82">
        <v>9.277951715497581</v>
      </c>
      <c r="Y11" s="97"/>
    </row>
    <row r="12" spans="1:26">
      <c r="A12" s="20">
        <f>HKData!A13</f>
        <v>45243</v>
      </c>
      <c r="B12" s="91">
        <v>9</v>
      </c>
      <c r="C12" s="22">
        <f>DailyHIBOR!C10/252/100</f>
        <v>1.7738095238095238E-4</v>
      </c>
      <c r="D12" s="23">
        <f>LN(HKData!N13/HKData!N12)-C12</f>
        <v>1.2699180420921262E-2</v>
      </c>
      <c r="E12" s="23">
        <f>LN(HKData!F13/HKData!F12)-C12</f>
        <v>7.8225951047600339E-3</v>
      </c>
      <c r="F12" s="23">
        <f t="shared" si="0"/>
        <v>6.9194046447979256E-4</v>
      </c>
      <c r="G12" s="23"/>
      <c r="H12" s="78" t="s">
        <v>213</v>
      </c>
      <c r="I12" s="78">
        <f>_xlfn.STDEV.S(F4:F248)</f>
        <v>1.4582836234088797E-2</v>
      </c>
      <c r="J12" s="8" t="str" cm="1">
        <f t="array" aca="1" ref="J12" ca="1">getformula(I12)</f>
        <v>&lt;--  =STDEV.S(F4:F248)</v>
      </c>
      <c r="K12" s="91"/>
      <c r="L12" s="80" t="s">
        <v>117</v>
      </c>
      <c r="M12" s="78">
        <f t="shared" ca="1" si="1"/>
        <v>8</v>
      </c>
      <c r="N12" s="95" cm="1">
        <f t="array" aca="1" ref="N12" ca="1">INDEX($D$4:$D$248,M12)</f>
        <v>-1.7924256067119445E-2</v>
      </c>
      <c r="O12" s="87"/>
      <c r="P12" s="80" t="s">
        <v>117</v>
      </c>
      <c r="Q12" s="87" cm="1">
        <f t="array" aca="1" ref="Q12" ca="1">INDEX($D$4:$D$248,RANDBETWEEN(1,245))</f>
        <v>-2.159659189342231E-2</v>
      </c>
      <c r="R12" s="95" cm="1">
        <f t="array" aca="1" ref="R12" ca="1">INDEX($F$4:$F$248,RANDBETWEEN(1,245))</f>
        <v>3.9793564977232184E-3</v>
      </c>
      <c r="S12" s="87">
        <f t="shared" ca="1" si="2"/>
        <v>-1.0665988716656449E-2</v>
      </c>
      <c r="T12" s="82">
        <f t="shared" ca="1" si="3"/>
        <v>8.1265698868156733</v>
      </c>
      <c r="V12" s="78">
        <v>9</v>
      </c>
      <c r="W12" s="82">
        <v>8.1265474811403031</v>
      </c>
      <c r="Y12" s="97"/>
    </row>
    <row r="13" spans="1:26">
      <c r="A13" s="20">
        <f>HKData!A14</f>
        <v>45244</v>
      </c>
      <c r="B13" s="91">
        <v>10</v>
      </c>
      <c r="C13" s="22">
        <f>DailyHIBOR!C11/252/100</f>
        <v>1.7738095238095238E-4</v>
      </c>
      <c r="D13" s="23">
        <f>LN(HKData!N14/HKData!N13)-C13</f>
        <v>-1.8631352059524538E-3</v>
      </c>
      <c r="E13" s="23">
        <f>LN(HKData!F14/HKData!F13)-C13</f>
        <v>9.7335751217953528E-3</v>
      </c>
      <c r="F13" s="23">
        <f t="shared" si="0"/>
        <v>1.184921999819603E-2</v>
      </c>
      <c r="G13" s="23"/>
      <c r="H13" s="78" t="s">
        <v>214</v>
      </c>
      <c r="I13" s="78">
        <f>SKEW(F4:F248)</f>
        <v>0.26950539540001761</v>
      </c>
      <c r="J13" s="8" t="str" cm="1">
        <f t="array" aca="1" ref="J13" ca="1">getformula(I13)</f>
        <v>&lt;--  =SKEW(F4:F248)</v>
      </c>
      <c r="K13" s="91"/>
      <c r="L13" s="80" t="s">
        <v>118</v>
      </c>
      <c r="M13" s="78">
        <f t="shared" ca="1" si="1"/>
        <v>223</v>
      </c>
      <c r="N13" s="95" cm="1">
        <f t="array" aca="1" ref="N13" ca="1">INDEX($D$4:$D$248,M13)</f>
        <v>4.0616449800545087E-2</v>
      </c>
      <c r="O13" s="87"/>
      <c r="P13" s="80" t="s">
        <v>118</v>
      </c>
      <c r="Q13" s="87" cm="1">
        <f t="array" aca="1" ref="Q13" ca="1">INDEX($D$4:$D$248,RANDBETWEEN(1,245))</f>
        <v>-3.4369210357066953E-3</v>
      </c>
      <c r="R13" s="95" cm="1">
        <f t="array" aca="1" ref="R13" ca="1">INDEX($F$4:$F$248,RANDBETWEEN(1,245))</f>
        <v>2.9544461701137774E-2</v>
      </c>
      <c r="S13" s="87">
        <f t="shared" ca="1" si="2"/>
        <v>2.6429546136621958E-2</v>
      </c>
      <c r="T13" s="82">
        <f t="shared" ca="1" si="3"/>
        <v>8.3461753595886901</v>
      </c>
      <c r="V13" s="78">
        <v>10</v>
      </c>
      <c r="W13" s="82">
        <v>8.0934063157921514</v>
      </c>
      <c r="Y13" s="98"/>
      <c r="Z13" s="98"/>
    </row>
    <row r="14" spans="1:26">
      <c r="A14" s="20">
        <f>HKData!A15</f>
        <v>45245</v>
      </c>
      <c r="B14" s="91">
        <v>11</v>
      </c>
      <c r="C14" s="22">
        <f>DailyHIBOR!C12/252/100</f>
        <v>1.7738095238095238E-4</v>
      </c>
      <c r="D14" s="23">
        <f>LN(HKData!N15/HKData!N14)-C14</f>
        <v>3.8283968507975545E-2</v>
      </c>
      <c r="E14" s="23">
        <f>LN(HKData!F15/HKData!F14)-C14</f>
        <v>9.6362096239352817E-3</v>
      </c>
      <c r="F14" s="23">
        <f t="shared" si="0"/>
        <v>-1.3739431032658914E-2</v>
      </c>
      <c r="G14" s="23"/>
      <c r="K14" s="91"/>
      <c r="L14" s="80" t="s">
        <v>119</v>
      </c>
      <c r="M14" s="78">
        <f t="shared" ca="1" si="1"/>
        <v>10</v>
      </c>
      <c r="N14" s="95" cm="1">
        <f t="array" aca="1" ref="N14" ca="1">INDEX($D$4:$D$248,M14)</f>
        <v>-1.8631352059524538E-3</v>
      </c>
      <c r="O14" s="87"/>
      <c r="P14" s="80" t="s">
        <v>119</v>
      </c>
      <c r="Q14" s="87" cm="1">
        <f t="array" aca="1" ref="Q14" ca="1">INDEX($D$4:$D$248,RANDBETWEEN(1,245))</f>
        <v>1.5600344467120412E-2</v>
      </c>
      <c r="R14" s="95" cm="1">
        <f t="array" aca="1" ref="R14" ca="1">INDEX($F$4:$F$248,RANDBETWEEN(1,245))</f>
        <v>2.043869345067165E-2</v>
      </c>
      <c r="S14" s="87">
        <f t="shared" ca="1" si="2"/>
        <v>2.9411433677167285E-2</v>
      </c>
      <c r="T14" s="82">
        <f t="shared" ca="1" si="3"/>
        <v>8.5973133000070678</v>
      </c>
      <c r="V14" s="78">
        <v>11</v>
      </c>
      <c r="W14" s="82">
        <v>7.2930028071691417</v>
      </c>
      <c r="Y14" s="97"/>
      <c r="Z14" s="97"/>
    </row>
    <row r="15" spans="1:26">
      <c r="A15" s="20">
        <f>HKData!A16</f>
        <v>45246</v>
      </c>
      <c r="B15" s="91">
        <v>12</v>
      </c>
      <c r="C15" s="22">
        <f>DailyHIBOR!C13/252/100</f>
        <v>1.7738095238095238E-4</v>
      </c>
      <c r="D15" s="23">
        <f>LN(HKData!N16/HKData!N15)-C15</f>
        <v>-1.3887827355564823E-2</v>
      </c>
      <c r="E15" s="23">
        <f>LN(HKData!F16/HKData!F15)-C15</f>
        <v>-1.7738095238095238E-4</v>
      </c>
      <c r="F15" s="23">
        <f t="shared" si="0"/>
        <v>9.5733068704873629E-3</v>
      </c>
      <c r="G15" s="23"/>
      <c r="H15" s="6" t="s">
        <v>218</v>
      </c>
      <c r="K15" s="91"/>
      <c r="L15" s="80" t="s">
        <v>120</v>
      </c>
      <c r="M15" s="78">
        <f t="shared" ca="1" si="1"/>
        <v>164</v>
      </c>
      <c r="N15" s="95" cm="1">
        <f t="array" aca="1" ref="N15" ca="1">INDEX($D$4:$D$248,M15)</f>
        <v>1.1515643151111001E-2</v>
      </c>
      <c r="O15" s="87"/>
      <c r="P15" s="80" t="s">
        <v>120</v>
      </c>
      <c r="Q15" s="87" cm="1">
        <f t="array" aca="1" ref="Q15" ca="1">INDEX($D$4:$D$248,RANDBETWEEN(1,245))</f>
        <v>-2.3597191427747752E-3</v>
      </c>
      <c r="R15" s="95" cm="1">
        <f t="array" aca="1" ref="R15" ca="1">INDEX($F$4:$F$248,RANDBETWEEN(1,245))</f>
        <v>-1.4219952271138986E-2</v>
      </c>
      <c r="S15" s="87">
        <f t="shared" ca="1" si="2"/>
        <v>-1.6650901659039079E-2</v>
      </c>
      <c r="T15" s="82">
        <f t="shared" ca="1" si="3"/>
        <v>8.4573320761225386</v>
      </c>
      <c r="V15" s="78">
        <v>12</v>
      </c>
      <c r="W15" s="82">
        <v>8.8482307973952778</v>
      </c>
      <c r="Y15" s="97"/>
    </row>
    <row r="16" spans="1:26">
      <c r="A16" s="20">
        <f>HKData!A17</f>
        <v>45247</v>
      </c>
      <c r="B16" s="91">
        <v>13</v>
      </c>
      <c r="C16" s="22">
        <f>DailyHIBOR!C14/252/100</f>
        <v>1.7738095238095238E-4</v>
      </c>
      <c r="D16" s="23">
        <f>LN(HKData!N17/HKData!N16)-C16</f>
        <v>-2.163827514237655E-2</v>
      </c>
      <c r="E16" s="23">
        <f>LN(HKData!F17/HKData!F16)-C16</f>
        <v>-4.0911455545887699E-3</v>
      </c>
      <c r="F16" s="23">
        <f t="shared" si="0"/>
        <v>1.0580666316230345E-2</v>
      </c>
      <c r="G16" s="23"/>
      <c r="H16" s="78" t="s">
        <v>213</v>
      </c>
      <c r="I16" s="78">
        <f ca="1">_xlfn.STDEV.S(R4:R25)</f>
        <v>1.223674373631725E-2</v>
      </c>
      <c r="J16" s="8" t="str" cm="1">
        <f t="array" aca="1" ref="J16" ca="1">getformula(I16)</f>
        <v>&lt;--  =STDEV.S(R4:R25)</v>
      </c>
      <c r="K16" s="91"/>
      <c r="L16" s="80" t="s">
        <v>121</v>
      </c>
      <c r="M16" s="78">
        <f t="shared" ca="1" si="1"/>
        <v>209</v>
      </c>
      <c r="N16" s="95" cm="1">
        <f t="array" aca="1" ref="N16" ca="1">INDEX($D$4:$D$248,M16)</f>
        <v>-1.1187014854172873E-2</v>
      </c>
      <c r="O16" s="87"/>
      <c r="P16" s="80" t="s">
        <v>121</v>
      </c>
      <c r="Q16" s="87" cm="1">
        <f t="array" aca="1" ref="Q16" ca="1">INDEX($D$4:$D$248,RANDBETWEEN(1,245))</f>
        <v>1.1486031901204025E-2</v>
      </c>
      <c r="R16" s="95" cm="1">
        <f t="array" aca="1" ref="R16" ca="1">INDEX($F$4:$F$248,RANDBETWEEN(1,245))</f>
        <v>-1.5292571645669868E-3</v>
      </c>
      <c r="S16" s="87">
        <f t="shared" ca="1" si="2"/>
        <v>4.8311123878922455E-3</v>
      </c>
      <c r="T16" s="82">
        <f t="shared" ca="1" si="3"/>
        <v>8.5002859106106907</v>
      </c>
      <c r="V16" s="78">
        <v>13</v>
      </c>
      <c r="W16" s="82">
        <v>8.2491527071765223</v>
      </c>
      <c r="Y16" s="97"/>
    </row>
    <row r="17" spans="1:25">
      <c r="A17" s="20">
        <f>HKData!A18</f>
        <v>45250</v>
      </c>
      <c r="B17" s="91">
        <v>14</v>
      </c>
      <c r="C17" s="22">
        <f>DailyHIBOR!C15/252/100</f>
        <v>1.7738095238095238E-4</v>
      </c>
      <c r="D17" s="23">
        <f>LN(HKData!N18/HKData!N17)-C17</f>
        <v>1.8208608781270369E-2</v>
      </c>
      <c r="E17" s="23">
        <f>LN(HKData!F18/HKData!F17)-C17</f>
        <v>-8.051370435009364E-3</v>
      </c>
      <c r="F17" s="23">
        <f t="shared" si="0"/>
        <v>-1.8680220423526295E-2</v>
      </c>
      <c r="G17" s="23"/>
      <c r="H17" s="78" t="s">
        <v>214</v>
      </c>
      <c r="I17" s="78">
        <f ca="1">SKEW(R4:R25)</f>
        <v>0.11875788475878729</v>
      </c>
      <c r="J17" s="8" t="str" cm="1">
        <f t="array" aca="1" ref="J17" ca="1">getformula(I17)</f>
        <v>&lt;--  =SKEW(R4:R25)</v>
      </c>
      <c r="K17" s="91"/>
      <c r="L17" s="80" t="s">
        <v>122</v>
      </c>
      <c r="M17" s="78">
        <f t="shared" ca="1" si="1"/>
        <v>174</v>
      </c>
      <c r="N17" s="95" cm="1">
        <f t="array" aca="1" ref="N17" ca="1">INDEX($D$4:$D$248,M17)</f>
        <v>4.4293081458916361E-4</v>
      </c>
      <c r="O17" s="87"/>
      <c r="P17" s="80" t="s">
        <v>122</v>
      </c>
      <c r="Q17" s="87" cm="1">
        <f t="array" aca="1" ref="Q17" ca="1">INDEX($D$4:$D$248,RANDBETWEEN(1,245))</f>
        <v>2.4709966866764407E-2</v>
      </c>
      <c r="R17" s="95" cm="1">
        <f t="array" aca="1" ref="R17" ca="1">INDEX($F$4:$F$248,RANDBETWEEN(1,245))</f>
        <v>-2.232949897053723E-2</v>
      </c>
      <c r="S17" s="87">
        <f t="shared" ca="1" si="2"/>
        <v>-7.5726307695364349E-3</v>
      </c>
      <c r="T17" s="82">
        <f t="shared" ca="1" si="3"/>
        <v>8.4381415540059734</v>
      </c>
      <c r="V17" s="78">
        <v>14</v>
      </c>
      <c r="W17" s="82">
        <v>7.7183600651919457</v>
      </c>
      <c r="Y17" s="97"/>
    </row>
    <row r="18" spans="1:25">
      <c r="A18" s="20">
        <f>HKData!A19</f>
        <v>45251</v>
      </c>
      <c r="B18" s="91">
        <v>15</v>
      </c>
      <c r="C18" s="22">
        <f>DailyHIBOR!C16/252/100</f>
        <v>1.7738095238095238E-4</v>
      </c>
      <c r="D18" s="23">
        <f>LN(HKData!N19/HKData!N18)-C18</f>
        <v>-2.6655403852300125E-3</v>
      </c>
      <c r="E18" s="23">
        <f>LN(HKData!F19/HKData!F18)-C18</f>
        <v>7.6966085302473614E-3</v>
      </c>
      <c r="F18" s="23">
        <f t="shared" si="0"/>
        <v>1.0321738217404688E-2</v>
      </c>
      <c r="G18" s="23"/>
      <c r="H18" s="23"/>
      <c r="I18" s="91"/>
      <c r="J18" s="91"/>
      <c r="K18" s="91"/>
      <c r="L18" s="80" t="s">
        <v>123</v>
      </c>
      <c r="M18" s="78">
        <f t="shared" ca="1" si="1"/>
        <v>63</v>
      </c>
      <c r="N18" s="95" cm="1">
        <f t="array" aca="1" ref="N18" ca="1">INDEX($D$4:$D$248,M18)</f>
        <v>-1.4239409235227552E-2</v>
      </c>
      <c r="O18" s="87"/>
      <c r="P18" s="80" t="s">
        <v>123</v>
      </c>
      <c r="Q18" s="87" cm="1">
        <f t="array" aca="1" ref="Q18" ca="1">INDEX($D$4:$D$248,RANDBETWEEN(1,245))</f>
        <v>-1.6385895750771685E-2</v>
      </c>
      <c r="R18" s="95" cm="1">
        <f t="array" aca="1" ref="R18" ca="1">INDEX($F$4:$F$248,RANDBETWEEN(1,245))</f>
        <v>4.8018806396154384E-4</v>
      </c>
      <c r="S18" s="87">
        <f t="shared" ca="1" si="2"/>
        <v>-1.0856640946000095E-2</v>
      </c>
      <c r="T18" s="82">
        <f t="shared" ca="1" si="3"/>
        <v>8.3489882931694037</v>
      </c>
      <c r="V18" s="78">
        <v>15</v>
      </c>
      <c r="W18" s="82">
        <v>9.0012686045233572</v>
      </c>
      <c r="Y18" s="97"/>
    </row>
    <row r="19" spans="1:25">
      <c r="A19" s="20">
        <f>HKData!A20</f>
        <v>45252</v>
      </c>
      <c r="B19" s="91">
        <v>16</v>
      </c>
      <c r="C19" s="22">
        <f>DailyHIBOR!C17/252/100</f>
        <v>1.7738095238095238E-4</v>
      </c>
      <c r="D19" s="23">
        <f>LN(HKData!N20/HKData!N19)-C19</f>
        <v>-1.3740268601503648E-4</v>
      </c>
      <c r="E19" s="23">
        <f>LN(HKData!F20/HKData!F19)-C19</f>
        <v>-6.0772069264893053E-3</v>
      </c>
      <c r="F19" s="23">
        <f t="shared" si="0"/>
        <v>-5.057310842648175E-3</v>
      </c>
      <c r="G19" s="23"/>
      <c r="H19" s="23"/>
      <c r="I19" s="91"/>
      <c r="J19" s="91"/>
      <c r="K19" s="91"/>
      <c r="L19" s="80" t="s">
        <v>124</v>
      </c>
      <c r="M19" s="78">
        <f t="shared" ca="1" si="1"/>
        <v>103</v>
      </c>
      <c r="N19" s="95" cm="1">
        <f t="array" aca="1" ref="N19" ca="1">INDEX($D$4:$D$248,M19)</f>
        <v>2.3113777296006843E-2</v>
      </c>
      <c r="O19" s="87"/>
      <c r="P19" s="80" t="s">
        <v>124</v>
      </c>
      <c r="Q19" s="87" cm="1">
        <f t="array" aca="1" ref="Q19" ca="1">INDEX($D$4:$D$248,RANDBETWEEN(1,245))</f>
        <v>-1.6011806123042812E-2</v>
      </c>
      <c r="R19" s="95" cm="1">
        <f t="array" aca="1" ref="R19" ca="1">INDEX($F$4:$F$248,RANDBETWEEN(1,245))</f>
        <v>8.4186634687964945E-3</v>
      </c>
      <c r="S19" s="87">
        <f t="shared" ca="1" si="2"/>
        <v>-2.6806384312814922E-3</v>
      </c>
      <c r="T19" s="82">
        <f t="shared" ca="1" si="3"/>
        <v>8.328593973460297</v>
      </c>
      <c r="V19" s="78">
        <v>16</v>
      </c>
      <c r="W19" s="82">
        <v>8.0523150940352473</v>
      </c>
      <c r="Y19" s="97"/>
    </row>
    <row r="20" spans="1:25">
      <c r="A20" s="20">
        <f>HKData!A21</f>
        <v>45253</v>
      </c>
      <c r="B20" s="91">
        <v>17</v>
      </c>
      <c r="C20" s="22">
        <f>DailyHIBOR!C18/252/100</f>
        <v>1.7738095238095238E-4</v>
      </c>
      <c r="D20" s="23">
        <f>LN(HKData!N21/HKData!N20)-C20</f>
        <v>9.7112147953098225E-3</v>
      </c>
      <c r="E20" s="23">
        <f>LN(HKData!F21/HKData!F20)-C20</f>
        <v>-6.112015054695219E-3</v>
      </c>
      <c r="F20" s="23">
        <f t="shared" si="0"/>
        <v>-1.1345469700974133E-2</v>
      </c>
      <c r="G20" s="23"/>
      <c r="H20" s="23"/>
      <c r="I20" s="91"/>
      <c r="J20" s="91"/>
      <c r="K20" s="91"/>
      <c r="L20" s="80" t="s">
        <v>125</v>
      </c>
      <c r="M20" s="78">
        <f t="shared" ca="1" si="1"/>
        <v>103</v>
      </c>
      <c r="N20" s="95" cm="1">
        <f t="array" aca="1" ref="N20" ca="1">INDEX($D$4:$D$248,M20)</f>
        <v>2.3113777296006843E-2</v>
      </c>
      <c r="O20" s="87"/>
      <c r="P20" s="80" t="s">
        <v>125</v>
      </c>
      <c r="Q20" s="87" cm="1">
        <f t="array" aca="1" ref="Q20" ca="1">INDEX($D$4:$D$248,RANDBETWEEN(1,245))</f>
        <v>-1.3953036066674418E-2</v>
      </c>
      <c r="R20" s="95" cm="1">
        <f t="array" aca="1" ref="R20" ca="1">INDEX($F$4:$F$248,RANDBETWEEN(1,245))</f>
        <v>-4.7435989132861471E-3</v>
      </c>
      <c r="S20" s="87">
        <f t="shared" ca="1" si="2"/>
        <v>-1.4535690815661115E-2</v>
      </c>
      <c r="T20" s="82">
        <f t="shared" ca="1" si="3"/>
        <v>8.210336268666369</v>
      </c>
      <c r="V20" s="78">
        <v>17</v>
      </c>
      <c r="W20" s="82">
        <v>8.193671145358671</v>
      </c>
      <c r="Y20" s="97"/>
    </row>
    <row r="21" spans="1:25">
      <c r="A21" s="20">
        <f>HKData!A22</f>
        <v>45254</v>
      </c>
      <c r="B21" s="91">
        <v>18</v>
      </c>
      <c r="C21" s="22">
        <f>DailyHIBOR!C19/252/100</f>
        <v>1.7738095238095238E-4</v>
      </c>
      <c r="D21" s="23">
        <f>LN(HKData!N22/HKData!N21)-C21</f>
        <v>-1.9992934774391923E-2</v>
      </c>
      <c r="E21" s="23">
        <f>LN(HKData!F22/HKData!F21)-C21</f>
        <v>-1.7186333803280097E-2</v>
      </c>
      <c r="F21" s="23">
        <f t="shared" si="0"/>
        <v>-3.5592259643662354E-3</v>
      </c>
      <c r="G21" s="23"/>
      <c r="H21" s="23"/>
      <c r="I21" s="91"/>
      <c r="J21" s="91"/>
      <c r="K21" s="91"/>
      <c r="L21" s="80" t="s">
        <v>126</v>
      </c>
      <c r="M21" s="78">
        <f t="shared" ca="1" si="1"/>
        <v>41</v>
      </c>
      <c r="N21" s="95" cm="1">
        <f t="array" aca="1" ref="N21" ca="1">INDEX($D$4:$D$248,M21)</f>
        <v>6.3832766299581862E-5</v>
      </c>
      <c r="O21" s="87"/>
      <c r="P21" s="80" t="s">
        <v>126</v>
      </c>
      <c r="Q21" s="87" cm="1">
        <f t="array" aca="1" ref="Q21" ca="1">INDEX($D$4:$D$248,RANDBETWEEN(1,245))</f>
        <v>8.8324128742427368E-3</v>
      </c>
      <c r="R21" s="95" cm="1">
        <f t="array" aca="1" ref="R21" ca="1">INDEX($F$4:$F$248,RANDBETWEEN(1,245))</f>
        <v>-5.2781217677525076E-3</v>
      </c>
      <c r="S21" s="87">
        <f t="shared" ca="1" si="2"/>
        <v>-6.0265981894167594E-4</v>
      </c>
      <c r="T21" s="82">
        <f t="shared" ca="1" si="3"/>
        <v>8.2073175613888854</v>
      </c>
      <c r="V21" s="78">
        <v>18</v>
      </c>
      <c r="W21" s="82">
        <v>8.8228214522470321</v>
      </c>
      <c r="Y21" s="97"/>
    </row>
    <row r="22" spans="1:25">
      <c r="A22" s="20">
        <f>HKData!A23</f>
        <v>45257</v>
      </c>
      <c r="B22" s="91">
        <v>19</v>
      </c>
      <c r="C22" s="22">
        <f>DailyHIBOR!C20/252/100</f>
        <v>1.7738095238095238E-4</v>
      </c>
      <c r="D22" s="23">
        <f>LN(HKData!N23/HKData!N22)-C22</f>
        <v>-2.1360467513637281E-3</v>
      </c>
      <c r="E22" s="23">
        <f>LN(HKData!F23/HKData!F22)-C22</f>
        <v>2.8666031974940904E-2</v>
      </c>
      <c r="F22" s="23">
        <f t="shared" si="0"/>
        <v>3.0954961235164172E-2</v>
      </c>
      <c r="G22" s="23"/>
      <c r="H22" s="23"/>
      <c r="I22" s="91"/>
      <c r="J22" s="91"/>
      <c r="K22" s="91"/>
      <c r="L22" s="80" t="s">
        <v>127</v>
      </c>
      <c r="M22" s="78">
        <f t="shared" ca="1" si="1"/>
        <v>26</v>
      </c>
      <c r="N22" s="95" cm="1">
        <f t="array" aca="1" ref="N22" ca="1">INDEX($D$4:$D$248,M22)</f>
        <v>8.0956461086604484E-3</v>
      </c>
      <c r="O22" s="87"/>
      <c r="P22" s="80" t="s">
        <v>127</v>
      </c>
      <c r="Q22" s="87" cm="1">
        <f t="array" aca="1" ref="Q22" ca="1">INDEX($D$4:$D$248,RANDBETWEEN(1,245))</f>
        <v>7.7316145372997738E-4</v>
      </c>
      <c r="R22" s="95" cm="1">
        <f t="array" aca="1" ref="R22" ca="1">INDEX($F$4:$F$248,RANDBETWEEN(1,245))</f>
        <v>-1.6884545547160004E-4</v>
      </c>
      <c r="S22" s="87">
        <f t="shared" ca="1" si="2"/>
        <v>-6.1058151442671663E-4</v>
      </c>
      <c r="T22" s="82">
        <f t="shared" ca="1" si="3"/>
        <v>8.2042349722957049</v>
      </c>
      <c r="V22" s="78">
        <v>19</v>
      </c>
      <c r="W22" s="82">
        <v>8.1597518788450145</v>
      </c>
      <c r="Y22" s="97"/>
    </row>
    <row r="23" spans="1:25">
      <c r="A23" s="20">
        <f>HKData!A24</f>
        <v>45258</v>
      </c>
      <c r="B23" s="91">
        <v>20</v>
      </c>
      <c r="C23" s="22">
        <f>DailyHIBOR!C21/252/100</f>
        <v>1.7738095238095238E-4</v>
      </c>
      <c r="D23" s="23">
        <f>LN(HKData!N24/HKData!N23)-C23</f>
        <v>-9.9781380953581685E-3</v>
      </c>
      <c r="E23" s="23">
        <f>LN(HKData!F24/HKData!F23)-C23</f>
        <v>-1.201184102880358E-2</v>
      </c>
      <c r="F23" s="23">
        <f t="shared" si="0"/>
        <v>-4.7435989132861471E-3</v>
      </c>
      <c r="G23" s="23"/>
      <c r="H23" s="23"/>
      <c r="I23" s="91"/>
      <c r="J23" s="91"/>
      <c r="K23" s="91"/>
      <c r="L23" s="80" t="s">
        <v>128</v>
      </c>
      <c r="M23" s="78">
        <f t="shared" ca="1" si="1"/>
        <v>191</v>
      </c>
      <c r="N23" s="95" cm="1">
        <f t="array" aca="1" ref="N23" ca="1">INDEX($D$4:$D$248,M23)</f>
        <v>1.1486031901204025E-2</v>
      </c>
      <c r="O23" s="87"/>
      <c r="P23" s="80" t="s">
        <v>128</v>
      </c>
      <c r="Q23" s="87" cm="1">
        <f t="array" aca="1" ref="Q23" ca="1">INDEX($D$4:$D$248,RANDBETWEEN(1,245))</f>
        <v>-1.316065219614475E-3</v>
      </c>
      <c r="R23" s="95" cm="1">
        <f t="array" aca="1" ref="R23" ca="1">INDEX($F$4:$F$248,RANDBETWEEN(1,245))</f>
        <v>9.1162635096026356E-3</v>
      </c>
      <c r="S23" s="87">
        <f t="shared" ca="1" si="2"/>
        <v>7.3479791134907274E-3</v>
      </c>
      <c r="T23" s="82">
        <f t="shared" ca="1" si="3"/>
        <v>8.2666833342035666</v>
      </c>
      <c r="V23" s="78">
        <v>20</v>
      </c>
      <c r="W23" s="82">
        <v>8.0747227397015244</v>
      </c>
      <c r="Y23" s="97"/>
    </row>
    <row r="24" spans="1:25">
      <c r="A24" s="20">
        <f>HKData!A25</f>
        <v>45259</v>
      </c>
      <c r="B24" s="91">
        <v>21</v>
      </c>
      <c r="C24" s="22">
        <f>DailyHIBOR!C22/252/100</f>
        <v>1.7738095238095238E-4</v>
      </c>
      <c r="D24" s="23">
        <f>LN(HKData!N25/HKData!N24)-C24</f>
        <v>-2.1181156559982272E-2</v>
      </c>
      <c r="E24" s="23">
        <f>LN(HKData!F25/HKData!F24)-C24</f>
        <v>-2.8348334619333806E-2</v>
      </c>
      <c r="F24" s="23">
        <f t="shared" si="0"/>
        <v>-1.3966768849186899E-2</v>
      </c>
      <c r="G24" s="23"/>
      <c r="H24" s="23"/>
      <c r="I24" s="91"/>
      <c r="J24" s="91"/>
      <c r="K24" s="91"/>
      <c r="L24" s="80" t="s">
        <v>183</v>
      </c>
      <c r="M24" s="78">
        <f t="shared" ca="1" si="1"/>
        <v>92</v>
      </c>
      <c r="N24" s="95" cm="1">
        <f t="array" aca="1" ref="N24" ca="1">INDEX($D$4:$D$248,M24)</f>
        <v>-7.2666444881753405E-3</v>
      </c>
      <c r="O24" s="87"/>
      <c r="P24" s="80" t="s">
        <v>183</v>
      </c>
      <c r="Q24" s="87" cm="1">
        <f t="array" aca="1" ref="Q24" ca="1">INDEX($D$4:$D$248,RANDBETWEEN(1,245))</f>
        <v>-4.3742134059333198E-4</v>
      </c>
      <c r="R24" s="95" cm="1">
        <f t="array" aca="1" ref="R24" ca="1">INDEX($F$4:$F$248,RANDBETWEEN(1,245))</f>
        <v>1.8300555273093332E-2</v>
      </c>
      <c r="S24" s="87">
        <f t="shared" ca="1" si="2"/>
        <v>1.7090163226116832E-2</v>
      </c>
      <c r="T24" s="82">
        <f t="shared" ca="1" si="3"/>
        <v>8.4111521699572744</v>
      </c>
      <c r="W24" s="82"/>
      <c r="Y24" s="97"/>
    </row>
    <row r="25" spans="1:25">
      <c r="A25" s="20">
        <f>HKData!A26</f>
        <v>45260</v>
      </c>
      <c r="B25" s="91">
        <v>22</v>
      </c>
      <c r="C25" s="22">
        <f>DailyHIBOR!C23/252/100</f>
        <v>1.7738095238095238E-4</v>
      </c>
      <c r="D25" s="23">
        <f>LN(HKData!N26/HKData!N25)-C25</f>
        <v>2.7278356263214748E-3</v>
      </c>
      <c r="E25" s="23">
        <f>LN(HKData!F26/HKData!F25)-C25</f>
        <v>-2.0796601779894223E-2</v>
      </c>
      <c r="F25" s="23">
        <f t="shared" si="0"/>
        <v>-2.1595980343118291E-2</v>
      </c>
      <c r="G25" s="23"/>
      <c r="H25" s="23"/>
      <c r="I25" s="91"/>
      <c r="J25" s="91"/>
      <c r="K25" s="91"/>
      <c r="L25" s="80" t="s">
        <v>184</v>
      </c>
      <c r="M25" s="78">
        <f t="shared" ca="1" si="1"/>
        <v>237</v>
      </c>
      <c r="N25" s="95" cm="1">
        <f t="array" aca="1" ref="N25" ca="1">INDEX($D$4:$D$248,M25)</f>
        <v>3.5236159016897681E-2</v>
      </c>
      <c r="O25" s="87"/>
      <c r="P25" s="80" t="s">
        <v>184</v>
      </c>
      <c r="Q25" s="87" cm="1">
        <f t="array" aca="1" ref="Q25" ca="1">INDEX($D$4:$D$248,RANDBETWEEN(1,245))</f>
        <v>-1.8080745493368614E-3</v>
      </c>
      <c r="R25" s="95" cm="1">
        <f t="array" aca="1" ref="R25" ca="1">INDEX($F$4:$F$248,RANDBETWEEN(1,245))</f>
        <v>7.6434633812329589E-3</v>
      </c>
      <c r="S25" s="87">
        <f t="shared" ca="1" si="2"/>
        <v>5.5627791069574944E-3</v>
      </c>
      <c r="T25" s="96">
        <f t="shared" ca="1" si="3"/>
        <v>8.4600591416969095</v>
      </c>
      <c r="W25" s="82"/>
      <c r="Y25" s="97"/>
    </row>
    <row r="26" spans="1:25">
      <c r="A26" s="20">
        <f>HKData!A27</f>
        <v>45261</v>
      </c>
      <c r="B26" s="91">
        <v>23</v>
      </c>
      <c r="C26" s="22">
        <f>DailyHIBOR!C24/252/100</f>
        <v>1.6269841269841268E-4</v>
      </c>
      <c r="D26" s="23">
        <f>LN(HKData!N27/HKData!N26)-C26</f>
        <v>-1.2714390266342057E-2</v>
      </c>
      <c r="E26" s="23">
        <f>LN(HKData!F27/HKData!F26)-C26</f>
        <v>2.2495295009468324E-2</v>
      </c>
      <c r="F26" s="23">
        <f t="shared" si="0"/>
        <v>3.1500912400618142E-2</v>
      </c>
      <c r="G26" s="23"/>
      <c r="H26" s="23"/>
      <c r="I26" s="91"/>
      <c r="J26" s="91"/>
      <c r="K26" s="91"/>
      <c r="M26" s="8" t="str" cm="1">
        <f t="array" aca="1" ref="M26" ca="1">getformula(M25)</f>
        <v>&lt;--  =RANDBETWEEN(1,245)</v>
      </c>
      <c r="N26" s="95"/>
      <c r="O26" s="95"/>
      <c r="W26" s="82"/>
      <c r="Y26" s="97"/>
    </row>
    <row r="27" spans="1:25">
      <c r="A27" s="20">
        <f>HKData!A28</f>
        <v>45264</v>
      </c>
      <c r="B27" s="91">
        <v>24</v>
      </c>
      <c r="C27" s="22">
        <f>DailyHIBOR!C25/252/100</f>
        <v>1.6269841269841268E-4</v>
      </c>
      <c r="D27" s="23">
        <f>LN(HKData!N28/HKData!N27)-C27</f>
        <v>-1.1170580210675836E-2</v>
      </c>
      <c r="E27" s="23">
        <f>LN(HKData!F28/HKData!F27)-C27</f>
        <v>2.8877408193724841E-3</v>
      </c>
      <c r="F27" s="23">
        <f t="shared" si="0"/>
        <v>1.0913120552082104E-2</v>
      </c>
      <c r="G27" s="23"/>
      <c r="H27" s="23"/>
      <c r="I27" s="91"/>
      <c r="J27" s="91"/>
      <c r="K27" s="91"/>
      <c r="N27" s="95"/>
      <c r="O27" s="95"/>
      <c r="P27" s="99" t="s">
        <v>229</v>
      </c>
      <c r="Q27" s="14"/>
      <c r="R27" s="8" t="str" cm="1">
        <f t="array" aca="1" ref="R27" ca="1">getformula(Q4)</f>
        <v>&lt;--  =INDEX($D$4:$D$248,RANDBETWEEN(1,245))</v>
      </c>
      <c r="W27" s="82"/>
      <c r="Y27" s="97"/>
    </row>
    <row r="28" spans="1:25">
      <c r="A28" s="20">
        <f>HKData!A29</f>
        <v>45265</v>
      </c>
      <c r="B28" s="91">
        <v>25</v>
      </c>
      <c r="C28" s="22">
        <f>DailyHIBOR!C26/252/100</f>
        <v>1.6269841269841268E-4</v>
      </c>
      <c r="D28" s="23">
        <f>LN(HKData!N29/HKData!N28)-C28</f>
        <v>-1.9462823615849251E-2</v>
      </c>
      <c r="E28" s="23">
        <f>LN(HKData!F29/HKData!F28)-C28</f>
        <v>-1.9640579969556392E-2</v>
      </c>
      <c r="F28" s="23">
        <f t="shared" si="0"/>
        <v>-6.3500646530552964E-3</v>
      </c>
      <c r="G28" s="23"/>
      <c r="H28" s="23"/>
      <c r="I28" s="91"/>
      <c r="J28" s="91"/>
      <c r="K28" s="91"/>
      <c r="N28" s="95"/>
      <c r="O28" s="95"/>
      <c r="P28" s="99" t="s">
        <v>230</v>
      </c>
      <c r="Q28" s="14"/>
      <c r="R28" s="8" t="str" cm="1">
        <f t="array" aca="1" ref="R28" ca="1">getformula(R4)</f>
        <v>&lt;--  =INDEX($F$4:$F$248,RANDBETWEEN(1,245))</v>
      </c>
      <c r="W28" s="82"/>
    </row>
    <row r="29" spans="1:25">
      <c r="A29" s="20">
        <f>HKData!A30</f>
        <v>45266</v>
      </c>
      <c r="B29" s="91">
        <v>26</v>
      </c>
      <c r="C29" s="22">
        <f>DailyHIBOR!C27/252/100</f>
        <v>1.6269841269841268E-4</v>
      </c>
      <c r="D29" s="23">
        <f>LN(HKData!N30/HKData!N29)-C29</f>
        <v>8.0956461086604484E-3</v>
      </c>
      <c r="E29" s="23">
        <f>LN(HKData!F30/HKData!F29)-C29</f>
        <v>1.4225971317435318E-2</v>
      </c>
      <c r="F29" s="23">
        <f t="shared" si="0"/>
        <v>1.0018317261480367E-2</v>
      </c>
      <c r="G29" s="23"/>
      <c r="H29" s="23"/>
      <c r="I29" s="91"/>
      <c r="J29" s="91"/>
      <c r="K29" s="91"/>
      <c r="N29" s="95"/>
      <c r="O29" s="95"/>
      <c r="P29" s="14" t="s">
        <v>231</v>
      </c>
      <c r="Q29" s="14"/>
      <c r="R29" s="8" t="str" cm="1">
        <f t="array" aca="1" ref="R29" ca="1">getformula(S4)</f>
        <v>&lt;--  =$I$6+$I$7*Q4+R4</v>
      </c>
      <c r="W29" s="82"/>
    </row>
    <row r="30" spans="1:25">
      <c r="A30" s="20">
        <f>HKData!A31</f>
        <v>45267</v>
      </c>
      <c r="B30" s="91">
        <v>27</v>
      </c>
      <c r="C30" s="22">
        <f>DailyHIBOR!C28/252/100</f>
        <v>1.6269841269841268E-4</v>
      </c>
      <c r="D30" s="23">
        <f>LN(HKData!N31/HKData!N30)-C30</f>
        <v>-7.31744761947854E-3</v>
      </c>
      <c r="E30" s="23">
        <f>LN(HKData!F31/HKData!F30)-C30</f>
        <v>-3.5472674531479502E-2</v>
      </c>
      <c r="F30" s="23">
        <f t="shared" si="0"/>
        <v>-2.9893830015322087E-2</v>
      </c>
      <c r="G30" s="23"/>
      <c r="H30" s="23"/>
      <c r="I30" s="91"/>
      <c r="J30" s="91"/>
      <c r="K30" s="91"/>
      <c r="N30" s="95"/>
      <c r="O30" s="95"/>
      <c r="P30" s="14" t="s">
        <v>232</v>
      </c>
      <c r="Q30" s="14"/>
      <c r="R30" s="8" t="str" cm="1">
        <f t="array" aca="1" ref="R30" ca="1">getformula(T4)</f>
        <v>&lt;--  =T3*EXP(S4+$I$8)</v>
      </c>
      <c r="W30" s="82"/>
    </row>
    <row r="31" spans="1:25">
      <c r="A31" s="20">
        <f>HKData!A32</f>
        <v>45268</v>
      </c>
      <c r="B31" s="91">
        <v>28</v>
      </c>
      <c r="C31" s="22">
        <f>DailyHIBOR!C29/252/100</f>
        <v>1.6269841269841268E-4</v>
      </c>
      <c r="D31" s="23">
        <f>LN(HKData!N32/HKData!N31)-C31</f>
        <v>-8.6768251072686427E-4</v>
      </c>
      <c r="E31" s="23">
        <f>LN(HKData!F32/HKData!F31)-C31</f>
        <v>6.1598782685801092E-3</v>
      </c>
      <c r="F31" s="23">
        <f t="shared" si="0"/>
        <v>7.6434633812329589E-3</v>
      </c>
      <c r="G31" s="23"/>
      <c r="H31" s="23"/>
      <c r="I31" s="91"/>
      <c r="J31" s="91"/>
      <c r="K31" s="91"/>
      <c r="N31" s="95"/>
      <c r="O31" s="95"/>
      <c r="W31" s="82"/>
    </row>
    <row r="32" spans="1:25">
      <c r="A32" s="20">
        <f>HKData!A33</f>
        <v>45271</v>
      </c>
      <c r="B32" s="91">
        <v>29</v>
      </c>
      <c r="C32" s="22">
        <f>DailyHIBOR!C30/252/100</f>
        <v>1.6269841269841268E-4</v>
      </c>
      <c r="D32" s="23">
        <f>LN(HKData!N33/HKData!N32)-C32</f>
        <v>-8.3309546193906549E-3</v>
      </c>
      <c r="E32" s="23">
        <f>LN(HKData!F33/HKData!F32)-C32</f>
        <v>-3.7123539826846234E-2</v>
      </c>
      <c r="F32" s="23">
        <f t="shared" si="0"/>
        <v>-3.0901172019231912E-2</v>
      </c>
      <c r="G32" s="23"/>
      <c r="H32" s="23"/>
      <c r="I32" s="91"/>
      <c r="J32" s="91"/>
      <c r="K32" s="91"/>
      <c r="N32" s="95"/>
      <c r="O32" s="95"/>
      <c r="W32" s="82"/>
    </row>
    <row r="33" spans="1:23">
      <c r="A33" s="20">
        <f>HKData!A34</f>
        <v>45272</v>
      </c>
      <c r="B33" s="91">
        <v>30</v>
      </c>
      <c r="C33" s="22">
        <f>DailyHIBOR!C31/252/100</f>
        <v>1.6269841269841268E-4</v>
      </c>
      <c r="D33" s="23">
        <f>LN(HKData!N34/HKData!N33)-C33</f>
        <v>1.0459320507516438E-2</v>
      </c>
      <c r="E33" s="23">
        <f>LN(HKData!F34/HKData!F33)-C33</f>
        <v>1.9574825441456094E-2</v>
      </c>
      <c r="F33" s="23">
        <f t="shared" si="0"/>
        <v>1.3866363271481084E-2</v>
      </c>
      <c r="G33" s="23"/>
      <c r="H33" s="23"/>
      <c r="I33" s="91"/>
      <c r="J33" s="91"/>
      <c r="K33" s="91"/>
      <c r="N33" s="95"/>
      <c r="O33" s="95"/>
      <c r="W33" s="82"/>
    </row>
    <row r="34" spans="1:23">
      <c r="A34" s="20">
        <f>HKData!A35</f>
        <v>45273</v>
      </c>
      <c r="B34" s="91">
        <v>31</v>
      </c>
      <c r="C34" s="22">
        <f>DailyHIBOR!C32/252/100</f>
        <v>1.6269841269841268E-4</v>
      </c>
      <c r="D34" s="23">
        <f>LN(HKData!N35/HKData!N34)-C34</f>
        <v>-9.1035844243600242E-3</v>
      </c>
      <c r="E34" s="23">
        <f>LN(HKData!F35/HKData!F34)-C34</f>
        <v>-3.1036141834710262E-2</v>
      </c>
      <c r="F34" s="23">
        <f t="shared" si="0"/>
        <v>-2.4323195002762896E-2</v>
      </c>
      <c r="G34" s="23"/>
      <c r="H34" s="23"/>
      <c r="I34" s="91"/>
      <c r="J34" s="91"/>
      <c r="K34" s="91"/>
      <c r="N34" s="95"/>
      <c r="O34" s="95"/>
      <c r="W34" s="82"/>
    </row>
    <row r="35" spans="1:23">
      <c r="A35" s="20">
        <f>HKData!A36</f>
        <v>45274</v>
      </c>
      <c r="B35" s="91">
        <v>32</v>
      </c>
      <c r="C35" s="22">
        <f>DailyHIBOR!C33/252/100</f>
        <v>1.6269841269841268E-4</v>
      </c>
      <c r="D35" s="23">
        <f>LN(HKData!N36/HKData!N35)-C35</f>
        <v>1.046777005369302E-2</v>
      </c>
      <c r="E35" s="23">
        <f>LN(HKData!F36/HKData!F35)-C35</f>
        <v>2.1986608718607841E-2</v>
      </c>
      <c r="F35" s="23">
        <f t="shared" si="0"/>
        <v>1.627278153411656E-2</v>
      </c>
      <c r="G35" s="23"/>
      <c r="H35" s="23"/>
      <c r="I35" s="91"/>
      <c r="J35" s="91"/>
      <c r="K35" s="91"/>
      <c r="N35" s="95"/>
      <c r="O35" s="95"/>
      <c r="W35" s="82"/>
    </row>
    <row r="36" spans="1:23">
      <c r="A36" s="20">
        <f>HKData!A37</f>
        <v>45275</v>
      </c>
      <c r="B36" s="91">
        <v>33</v>
      </c>
      <c r="C36" s="22">
        <f>DailyHIBOR!C34/252/100</f>
        <v>1.6269841269841268E-4</v>
      </c>
      <c r="D36" s="23">
        <f>LN(HKData!N37/HKData!N36)-C36</f>
        <v>2.3336337227541817E-2</v>
      </c>
      <c r="E36" s="23">
        <f>LN(HKData!F37/HKData!F36)-C36</f>
        <v>-1.2586847688613137E-3</v>
      </c>
      <c r="F36" s="23">
        <f t="shared" si="0"/>
        <v>-1.514337086677655E-2</v>
      </c>
      <c r="G36" s="23"/>
      <c r="H36" s="23"/>
      <c r="I36" s="91"/>
      <c r="J36" s="91"/>
      <c r="K36" s="91"/>
      <c r="N36" s="95"/>
      <c r="O36" s="95"/>
      <c r="W36" s="82"/>
    </row>
    <row r="37" spans="1:23">
      <c r="A37" s="20">
        <f>HKData!A38</f>
        <v>45278</v>
      </c>
      <c r="B37" s="91">
        <v>34</v>
      </c>
      <c r="C37" s="22">
        <f>DailyHIBOR!C35/252/100</f>
        <v>1.6269841269841268E-4</v>
      </c>
      <c r="D37" s="23">
        <f>LN(HKData!N38/HKData!N37)-C37</f>
        <v>-9.9145447545690695E-3</v>
      </c>
      <c r="E37" s="23">
        <f>LN(HKData!F38/HKData!F37)-C37</f>
        <v>1.722911788860387E-2</v>
      </c>
      <c r="F37" s="23">
        <f t="shared" si="0"/>
        <v>2.4456981599252969E-2</v>
      </c>
      <c r="G37" s="23"/>
      <c r="H37" s="23"/>
      <c r="I37" s="91"/>
      <c r="J37" s="91"/>
      <c r="K37" s="91"/>
      <c r="N37" s="95"/>
      <c r="O37" s="95"/>
      <c r="W37" s="82"/>
    </row>
    <row r="38" spans="1:23">
      <c r="A38" s="20">
        <f>HKData!A39</f>
        <v>45279</v>
      </c>
      <c r="B38" s="91">
        <v>35</v>
      </c>
      <c r="C38" s="22">
        <f>DailyHIBOR!C36/252/100</f>
        <v>1.6269841269841268E-4</v>
      </c>
      <c r="D38" s="23">
        <f>LN(HKData!N39/HKData!N38)-C38</f>
        <v>-7.6613515646291085E-3</v>
      </c>
      <c r="E38" s="23">
        <f>LN(HKData!F39/HKData!F38)-C38</f>
        <v>-2.5259445540801225E-2</v>
      </c>
      <c r="F38" s="23">
        <f t="shared" si="0"/>
        <v>-1.9462240225214207E-2</v>
      </c>
      <c r="G38" s="23"/>
      <c r="H38" s="23"/>
      <c r="I38" s="91"/>
      <c r="J38" s="91"/>
      <c r="K38" s="91"/>
      <c r="N38" s="95"/>
      <c r="O38" s="95"/>
      <c r="W38" s="82"/>
    </row>
    <row r="39" spans="1:23">
      <c r="A39" s="20">
        <f>HKData!A40</f>
        <v>45280</v>
      </c>
      <c r="B39" s="91">
        <v>36</v>
      </c>
      <c r="C39" s="22">
        <f>DailyHIBOR!C37/252/100</f>
        <v>1.6269841269841268E-4</v>
      </c>
      <c r="D39" s="23">
        <f>LN(HKData!N40/HKData!N39)-C39</f>
        <v>6.4082464123272976E-3</v>
      </c>
      <c r="E39" s="23">
        <f>LN(HKData!F40/HKData!F39)-C39</f>
        <v>-1.2683783822685767E-3</v>
      </c>
      <c r="F39" s="23">
        <f t="shared" si="0"/>
        <v>-4.4046229593725133E-3</v>
      </c>
      <c r="G39" s="23"/>
      <c r="H39" s="23"/>
      <c r="I39" s="91"/>
      <c r="J39" s="91"/>
      <c r="K39" s="91"/>
      <c r="N39" s="95"/>
      <c r="O39" s="95"/>
      <c r="W39" s="82"/>
    </row>
    <row r="40" spans="1:23">
      <c r="A40" s="20">
        <f>HKData!A41</f>
        <v>45281</v>
      </c>
      <c r="B40" s="91">
        <v>37</v>
      </c>
      <c r="C40" s="22">
        <f>DailyHIBOR!C38/252/100</f>
        <v>1.6269841269841268E-4</v>
      </c>
      <c r="D40" s="23">
        <f>LN(HKData!N41/HKData!N40)-C40</f>
        <v>2.778206499891753E-4</v>
      </c>
      <c r="E40" s="23">
        <f>LN(HKData!F41/HKData!F40)-C40</f>
        <v>-4.5972290026064554E-3</v>
      </c>
      <c r="F40" s="23">
        <f t="shared" si="0"/>
        <v>-3.8409777558491513E-3</v>
      </c>
      <c r="G40" s="23"/>
      <c r="H40" s="23"/>
      <c r="I40" s="91"/>
      <c r="J40" s="91"/>
      <c r="K40" s="91"/>
      <c r="N40" s="95"/>
      <c r="O40" s="95"/>
      <c r="W40" s="82"/>
    </row>
    <row r="41" spans="1:23">
      <c r="A41" s="20">
        <f>HKData!A42</f>
        <v>45282</v>
      </c>
      <c r="B41" s="91">
        <v>38</v>
      </c>
      <c r="C41" s="22">
        <f>DailyHIBOR!C39/252/100</f>
        <v>1.6269841269841268E-4</v>
      </c>
      <c r="D41" s="23">
        <f>LN(HKData!N42/HKData!N41)-C41</f>
        <v>-1.7196337127056139E-2</v>
      </c>
      <c r="E41" s="23">
        <f>LN(HKData!F42/HKData!F41)-C41</f>
        <v>-2.0365447541029348E-2</v>
      </c>
      <c r="F41" s="23">
        <f t="shared" si="0"/>
        <v>-8.5140311606354789E-3</v>
      </c>
      <c r="G41" s="23"/>
      <c r="H41" s="23"/>
      <c r="I41" s="91"/>
      <c r="J41" s="91"/>
      <c r="K41" s="91"/>
      <c r="N41" s="95"/>
      <c r="O41" s="95"/>
      <c r="W41" s="82"/>
    </row>
    <row r="42" spans="1:23">
      <c r="A42" s="20">
        <f>HKData!A43</f>
        <v>45287</v>
      </c>
      <c r="B42" s="91">
        <v>39</v>
      </c>
      <c r="C42" s="22">
        <f>DailyHIBOR!C40/252/100</f>
        <v>1.6269841269841268E-4</v>
      </c>
      <c r="D42" s="23">
        <f>LN(HKData!N43/HKData!N42)-C42</f>
        <v>1.7094064145658668E-2</v>
      </c>
      <c r="E42" s="23">
        <f>LN(HKData!F43/HKData!F42)-C42</f>
        <v>9.9896366838894968E-3</v>
      </c>
      <c r="F42" s="23">
        <f t="shared" si="0"/>
        <v>6.8463536723118584E-5</v>
      </c>
      <c r="G42" s="23"/>
      <c r="H42" s="23"/>
      <c r="I42" s="91"/>
      <c r="J42" s="91"/>
      <c r="K42" s="91"/>
      <c r="N42" s="95"/>
      <c r="O42" s="95"/>
      <c r="W42" s="82"/>
    </row>
    <row r="43" spans="1:23">
      <c r="A43" s="20">
        <f>HKData!A44</f>
        <v>45288</v>
      </c>
      <c r="B43" s="91">
        <v>40</v>
      </c>
      <c r="C43" s="22">
        <f>DailyHIBOR!C41/252/100</f>
        <v>1.6269841269841268E-4</v>
      </c>
      <c r="D43" s="23">
        <f>LN(HKData!N44/HKData!N43)-C43</f>
        <v>2.4709966866764407E-2</v>
      </c>
      <c r="E43" s="23">
        <f>LN(HKData!F44/HKData!F43)-C43</f>
        <v>3.0778986964487737E-2</v>
      </c>
      <c r="F43" s="23">
        <f t="shared" si="0"/>
        <v>1.6022118763486942E-2</v>
      </c>
      <c r="G43" s="23"/>
      <c r="H43" s="23"/>
      <c r="I43" s="91"/>
      <c r="J43" s="91"/>
      <c r="K43" s="91"/>
      <c r="N43" s="95"/>
      <c r="O43" s="95"/>
      <c r="W43" s="82"/>
    </row>
    <row r="44" spans="1:23">
      <c r="A44" s="20">
        <f>HKData!A45</f>
        <v>45289</v>
      </c>
      <c r="B44" s="91">
        <v>41</v>
      </c>
      <c r="C44" s="22">
        <f>DailyHIBOR!C42/252/100</f>
        <v>1.6269841269841268E-4</v>
      </c>
      <c r="D44" s="23">
        <f>LN(HKData!N45/HKData!N44)-C44</f>
        <v>6.3832766299581862E-5</v>
      </c>
      <c r="E44" s="23">
        <f>LN(HKData!F45/HKData!F44)-C44</f>
        <v>-1.9943492148940339E-2</v>
      </c>
      <c r="F44" s="23">
        <f t="shared" si="0"/>
        <v>-1.9051369924226527E-2</v>
      </c>
      <c r="G44" s="23"/>
      <c r="H44" s="23"/>
      <c r="I44" s="91"/>
      <c r="J44" s="91"/>
      <c r="K44" s="91"/>
      <c r="N44" s="95"/>
      <c r="O44" s="95"/>
      <c r="W44" s="82"/>
    </row>
    <row r="45" spans="1:23">
      <c r="A45" s="20">
        <f>HKData!A46</f>
        <v>45293</v>
      </c>
      <c r="B45" s="91">
        <v>42</v>
      </c>
      <c r="C45" s="22">
        <f>DailyHIBOR!C43/252/100</f>
        <v>2.3531746031746033E-4</v>
      </c>
      <c r="D45" s="23">
        <f>LN(HKData!N46/HKData!N45)-C45</f>
        <v>-1.5535313989951425E-2</v>
      </c>
      <c r="E45" s="23">
        <f>LN(HKData!F46/HKData!F45)-C45</f>
        <v>7.5038006527745208E-3</v>
      </c>
      <c r="F45" s="23">
        <f t="shared" si="0"/>
        <v>1.8300555273093332E-2</v>
      </c>
      <c r="G45" s="23"/>
      <c r="H45" s="23"/>
      <c r="I45" s="91"/>
      <c r="J45" s="91"/>
      <c r="K45" s="91"/>
      <c r="N45" s="95"/>
      <c r="O45" s="95"/>
      <c r="W45" s="82"/>
    </row>
    <row r="46" spans="1:23">
      <c r="A46" s="20">
        <f>HKData!A47</f>
        <v>45294</v>
      </c>
      <c r="B46" s="91">
        <v>43</v>
      </c>
      <c r="C46" s="22">
        <f>DailyHIBOR!C44/252/100</f>
        <v>2.3531746031746033E-4</v>
      </c>
      <c r="D46" s="23">
        <f>LN(HKData!N47/HKData!N46)-C46</f>
        <v>-8.7378834771566771E-3</v>
      </c>
      <c r="E46" s="23">
        <f>LN(HKData!F47/HKData!F46)-C46</f>
        <v>8.5366493993965509E-3</v>
      </c>
      <c r="F46" s="23">
        <f t="shared" si="0"/>
        <v>1.5017395489510251E-2</v>
      </c>
      <c r="G46" s="23"/>
      <c r="H46" s="23"/>
      <c r="I46" s="91"/>
      <c r="J46" s="91"/>
      <c r="K46" s="91"/>
      <c r="N46" s="95"/>
      <c r="O46" s="95"/>
      <c r="W46" s="82"/>
    </row>
    <row r="47" spans="1:23">
      <c r="A47" s="20">
        <f>HKData!A48</f>
        <v>45295</v>
      </c>
      <c r="B47" s="91">
        <v>44</v>
      </c>
      <c r="C47" s="22">
        <f>DailyHIBOR!C45/252/100</f>
        <v>2.3531746031746033E-4</v>
      </c>
      <c r="D47" s="23">
        <f>LN(HKData!N48/HKData!N47)-C47</f>
        <v>-2.6113041588822814E-4</v>
      </c>
      <c r="E47" s="23">
        <f>LN(HKData!F48/HKData!F47)-C47</f>
        <v>-2.3427955612893882E-2</v>
      </c>
      <c r="F47" s="23">
        <f t="shared" si="0"/>
        <v>-2.232949897053723E-2</v>
      </c>
      <c r="G47" s="23"/>
      <c r="H47" s="23"/>
      <c r="I47" s="91"/>
      <c r="J47" s="91"/>
      <c r="K47" s="91"/>
      <c r="N47" s="95"/>
      <c r="O47" s="95"/>
      <c r="W47" s="82"/>
    </row>
    <row r="48" spans="1:23">
      <c r="A48" s="20">
        <f>HKData!A49</f>
        <v>45296</v>
      </c>
      <c r="B48" s="91">
        <v>45</v>
      </c>
      <c r="C48" s="22">
        <f>DailyHIBOR!C46/252/100</f>
        <v>2.3531746031746033E-4</v>
      </c>
      <c r="D48" s="23">
        <f>LN(HKData!N49/HKData!N48)-C48</f>
        <v>-6.9047828287091472E-3</v>
      </c>
      <c r="E48" s="23">
        <f>LN(HKData!F49/HKData!F48)-C48</f>
        <v>-2.3531746031746033E-4</v>
      </c>
      <c r="F48" s="23">
        <f t="shared" si="0"/>
        <v>5.0815067595348252E-3</v>
      </c>
      <c r="G48" s="23"/>
      <c r="H48" s="23"/>
      <c r="I48" s="91"/>
      <c r="J48" s="91"/>
      <c r="K48" s="91"/>
      <c r="N48" s="95"/>
      <c r="O48" s="95"/>
      <c r="W48" s="82"/>
    </row>
    <row r="49" spans="1:23">
      <c r="A49" s="20">
        <f>HKData!A50</f>
        <v>45299</v>
      </c>
      <c r="B49" s="91">
        <v>46</v>
      </c>
      <c r="C49" s="22">
        <f>DailyHIBOR!C47/252/100</f>
        <v>2.3531746031746033E-4</v>
      </c>
      <c r="D49" s="23">
        <f>LN(HKData!N50/HKData!N49)-C49</f>
        <v>-1.9215250336544955E-2</v>
      </c>
      <c r="E49" s="23">
        <f>LN(HKData!F50/HKData!F49)-C49</f>
        <v>-4.7146559214914638E-3</v>
      </c>
      <c r="F49" s="23">
        <f t="shared" si="0"/>
        <v>8.4186634687964945E-3</v>
      </c>
      <c r="G49" s="23"/>
      <c r="H49" s="23"/>
      <c r="I49" s="91"/>
      <c r="J49" s="91"/>
      <c r="K49" s="91"/>
      <c r="N49" s="95"/>
      <c r="O49" s="95"/>
      <c r="W49" s="82"/>
    </row>
    <row r="50" spans="1:23">
      <c r="A50" s="20">
        <f>HKData!A51</f>
        <v>45300</v>
      </c>
      <c r="B50" s="91">
        <v>47</v>
      </c>
      <c r="C50" s="22">
        <f>DailyHIBOR!C48/252/100</f>
        <v>2.3531746031746033E-4</v>
      </c>
      <c r="D50" s="23">
        <f>LN(HKData!N51/HKData!N50)-C50</f>
        <v>-2.3597191427747752E-3</v>
      </c>
      <c r="E50" s="23">
        <f>LN(HKData!F51/HKData!F50)-C50</f>
        <v>8.8648573256964113E-4</v>
      </c>
      <c r="F50" s="23">
        <f t="shared" si="0"/>
        <v>3.3174351204697341E-3</v>
      </c>
      <c r="G50" s="23"/>
      <c r="H50" s="23"/>
      <c r="I50" s="91"/>
      <c r="J50" s="91"/>
      <c r="K50" s="91"/>
      <c r="N50" s="95"/>
      <c r="O50" s="95"/>
      <c r="W50" s="82"/>
    </row>
    <row r="51" spans="1:23">
      <c r="A51" s="20">
        <f>HKData!A52</f>
        <v>45301</v>
      </c>
      <c r="B51" s="91">
        <v>48</v>
      </c>
      <c r="C51" s="22">
        <f>DailyHIBOR!C49/252/100</f>
        <v>2.3531746031746033E-4</v>
      </c>
      <c r="D51" s="23">
        <f>LN(HKData!N52/HKData!N51)-C51</f>
        <v>-5.9799609215851418E-3</v>
      </c>
      <c r="E51" s="23">
        <f>LN(HKData!F52/HKData!F51)-C51</f>
        <v>-4.0263574456962825E-2</v>
      </c>
      <c r="F51" s="23">
        <f t="shared" si="0"/>
        <v>-3.5533963189498141E-2</v>
      </c>
      <c r="G51" s="23"/>
      <c r="H51" s="23"/>
      <c r="I51" s="91"/>
      <c r="J51" s="91"/>
      <c r="K51" s="91"/>
      <c r="N51" s="95"/>
      <c r="O51" s="95"/>
      <c r="W51" s="82"/>
    </row>
    <row r="52" spans="1:23">
      <c r="A52" s="20">
        <f>HKData!A53</f>
        <v>45302</v>
      </c>
      <c r="B52" s="91">
        <v>49</v>
      </c>
      <c r="C52" s="22">
        <f>DailyHIBOR!C50/252/100</f>
        <v>2.3531746031746033E-4</v>
      </c>
      <c r="D52" s="23">
        <f>LN(HKData!N53/HKData!N52)-C52</f>
        <v>1.2404607686832747E-2</v>
      </c>
      <c r="E52" s="23">
        <f>LN(HKData!F53/HKData!F52)-C52</f>
        <v>3.2591604168006327E-3</v>
      </c>
      <c r="F52" s="23">
        <f t="shared" si="0"/>
        <v>-3.6844561315566718E-3</v>
      </c>
      <c r="G52" s="23"/>
      <c r="H52" s="23"/>
      <c r="I52" s="91"/>
      <c r="J52" s="91"/>
      <c r="K52" s="91"/>
      <c r="N52" s="95"/>
      <c r="O52" s="95"/>
      <c r="W52" s="82"/>
    </row>
    <row r="53" spans="1:23">
      <c r="A53" s="20">
        <f>HKData!A54</f>
        <v>45303</v>
      </c>
      <c r="B53" s="91">
        <v>50</v>
      </c>
      <c r="C53" s="22">
        <f>DailyHIBOR!C51/252/100</f>
        <v>2.3531746031746033E-4</v>
      </c>
      <c r="D53" s="23">
        <f>LN(HKData!N54/HKData!N53)-C53</f>
        <v>-3.766253725229418E-3</v>
      </c>
      <c r="E53" s="23">
        <f>LN(HKData!F54/HKData!F53)-C53</f>
        <v>1.3621745613191637E-2</v>
      </c>
      <c r="F53" s="23">
        <f t="shared" si="0"/>
        <v>1.6945770001193027E-2</v>
      </c>
      <c r="G53" s="23"/>
      <c r="H53" s="23"/>
      <c r="I53" s="91"/>
      <c r="J53" s="91"/>
      <c r="K53" s="91"/>
      <c r="N53" s="95"/>
      <c r="O53" s="95"/>
      <c r="W53" s="82"/>
    </row>
    <row r="54" spans="1:23">
      <c r="A54" s="20">
        <f>HKData!A55</f>
        <v>45306</v>
      </c>
      <c r="B54" s="91">
        <v>51</v>
      </c>
      <c r="C54" s="22">
        <f>DailyHIBOR!C52/252/100</f>
        <v>2.3531746031746033E-4</v>
      </c>
      <c r="D54" s="23">
        <f>LN(HKData!N55/HKData!N54)-C54</f>
        <v>-1.9758729158512434E-3</v>
      </c>
      <c r="E54" s="23">
        <f>LN(HKData!F55/HKData!F54)-C54</f>
        <v>6.6217495103595625E-3</v>
      </c>
      <c r="F54" s="23">
        <f t="shared" si="0"/>
        <v>8.808976864386614E-3</v>
      </c>
      <c r="G54" s="23"/>
      <c r="H54" s="23"/>
      <c r="I54" s="91"/>
      <c r="J54" s="91"/>
      <c r="K54" s="91"/>
      <c r="N54" s="95"/>
      <c r="O54" s="95"/>
      <c r="W54" s="82"/>
    </row>
    <row r="55" spans="1:23">
      <c r="A55" s="20">
        <f>HKData!A56</f>
        <v>45307</v>
      </c>
      <c r="B55" s="91">
        <v>52</v>
      </c>
      <c r="C55" s="22">
        <f>DailyHIBOR!C53/252/100</f>
        <v>2.3531746031746033E-4</v>
      </c>
      <c r="D55" s="23">
        <f>LN(HKData!N56/HKData!N55)-C55</f>
        <v>-2.2080673777606061E-2</v>
      </c>
      <c r="E55" s="23">
        <f>LN(HKData!F56/HKData!F55)-C55</f>
        <v>-3.5001290575229001E-2</v>
      </c>
      <c r="F55" s="23">
        <f t="shared" si="0"/>
        <v>-2.004857899093615E-2</v>
      </c>
      <c r="G55" s="23"/>
      <c r="H55" s="23"/>
      <c r="I55" s="91"/>
      <c r="J55" s="91"/>
      <c r="K55" s="91"/>
      <c r="N55" s="95"/>
      <c r="O55" s="95"/>
      <c r="W55" s="82"/>
    </row>
    <row r="56" spans="1:23">
      <c r="A56" s="20">
        <f>HKData!A57</f>
        <v>45308</v>
      </c>
      <c r="B56" s="91">
        <v>53</v>
      </c>
      <c r="C56" s="22">
        <f>DailyHIBOR!C54/252/100</f>
        <v>2.3531746031746033E-4</v>
      </c>
      <c r="D56" s="23">
        <f>LN(HKData!N57/HKData!N56)-C56</f>
        <v>-3.8066816030648182E-2</v>
      </c>
      <c r="E56" s="23">
        <f>LN(HKData!F57/HKData!F56)-C56</f>
        <v>-7.335832702135915E-3</v>
      </c>
      <c r="F56" s="23">
        <f t="shared" si="0"/>
        <v>1.7767232931283437E-2</v>
      </c>
      <c r="G56" s="23"/>
      <c r="H56" s="23"/>
      <c r="I56" s="91"/>
      <c r="J56" s="91"/>
      <c r="K56" s="91"/>
      <c r="N56" s="95"/>
      <c r="O56" s="95"/>
      <c r="W56" s="82"/>
    </row>
    <row r="57" spans="1:23">
      <c r="A57" s="20">
        <f>HKData!A58</f>
        <v>45309</v>
      </c>
      <c r="B57" s="91">
        <v>54</v>
      </c>
      <c r="C57" s="22">
        <f>DailyHIBOR!C55/252/100</f>
        <v>2.3531746031746033E-4</v>
      </c>
      <c r="D57" s="23">
        <f>LN(HKData!N58/HKData!N57)-C57</f>
        <v>7.257026312668946E-3</v>
      </c>
      <c r="E57" s="23">
        <f>LN(HKData!F58/HKData!F57)-C57</f>
        <v>2.6714071784314144E-2</v>
      </c>
      <c r="F57" s="23">
        <f t="shared" si="0"/>
        <v>2.3038896903583607E-2</v>
      </c>
      <c r="G57" s="23"/>
      <c r="H57" s="23"/>
      <c r="I57" s="91"/>
      <c r="J57" s="91"/>
      <c r="K57" s="91"/>
      <c r="N57" s="95"/>
      <c r="O57" s="95"/>
      <c r="W57" s="82"/>
    </row>
    <row r="58" spans="1:23">
      <c r="A58" s="20">
        <f>HKData!A59</f>
        <v>45310</v>
      </c>
      <c r="B58" s="91">
        <v>55</v>
      </c>
      <c r="C58" s="22">
        <f>DailyHIBOR!C56/252/100</f>
        <v>2.3531746031746033E-4</v>
      </c>
      <c r="D58" s="23">
        <f>LN(HKData!N59/HKData!N58)-C58</f>
        <v>-5.6489012906257392E-3</v>
      </c>
      <c r="E58" s="23">
        <f>LN(HKData!F59/HKData!F58)-C58</f>
        <v>-3.4336122560555148E-2</v>
      </c>
      <c r="F58" s="23">
        <f t="shared" si="0"/>
        <v>-2.9816716632966731E-2</v>
      </c>
      <c r="G58" s="23"/>
      <c r="H58" s="23"/>
      <c r="I58" s="91"/>
      <c r="J58" s="91"/>
      <c r="K58" s="91"/>
      <c r="N58" s="95"/>
      <c r="O58" s="95"/>
      <c r="W58" s="82"/>
    </row>
    <row r="59" spans="1:23">
      <c r="A59" s="20">
        <f>HKData!A60</f>
        <v>45313</v>
      </c>
      <c r="B59" s="91">
        <v>56</v>
      </c>
      <c r="C59" s="22">
        <f>DailyHIBOR!C57/252/100</f>
        <v>2.3531746031746033E-4</v>
      </c>
      <c r="D59" s="23">
        <f>LN(HKData!N60/HKData!N59)-C59</f>
        <v>-2.3197160993361443E-2</v>
      </c>
      <c r="E59" s="23">
        <f>LN(HKData!F60/HKData!F59)-C59</f>
        <v>-1.4693430673654698E-2</v>
      </c>
      <c r="F59" s="23">
        <f t="shared" si="0"/>
        <v>9.6819118754276623E-4</v>
      </c>
      <c r="G59" s="23"/>
      <c r="H59" s="23"/>
      <c r="I59" s="91"/>
      <c r="J59" s="91"/>
      <c r="K59" s="91"/>
      <c r="N59" s="95"/>
      <c r="O59" s="95"/>
      <c r="W59" s="82"/>
    </row>
    <row r="60" spans="1:23">
      <c r="A60" s="20">
        <f>HKData!A61</f>
        <v>45314</v>
      </c>
      <c r="B60" s="91">
        <v>57</v>
      </c>
      <c r="C60" s="22">
        <f>DailyHIBOR!C58/252/100</f>
        <v>2.3531746031746033E-4</v>
      </c>
      <c r="D60" s="23">
        <f>LN(HKData!N61/HKData!N60)-C60</f>
        <v>2.5680611328264349E-2</v>
      </c>
      <c r="E60" s="23">
        <f>LN(HKData!F61/HKData!F60)-C60</f>
        <v>9.77520807202576E-4</v>
      </c>
      <c r="F60" s="23">
        <f t="shared" si="0"/>
        <v>-1.4395655242439643E-2</v>
      </c>
      <c r="G60" s="23"/>
      <c r="H60" s="23"/>
      <c r="I60" s="91"/>
      <c r="J60" s="91"/>
      <c r="K60" s="91"/>
      <c r="N60" s="95"/>
      <c r="O60" s="95"/>
      <c r="W60" s="82"/>
    </row>
    <row r="61" spans="1:23">
      <c r="A61" s="20">
        <f>HKData!A62</f>
        <v>45315</v>
      </c>
      <c r="B61" s="91">
        <v>58</v>
      </c>
      <c r="C61" s="22">
        <f>DailyHIBOR!C59/252/100</f>
        <v>2.3531746031746033E-4</v>
      </c>
      <c r="D61" s="23">
        <f>LN(HKData!N62/HKData!N61)-C61</f>
        <v>3.4700868659915132E-2</v>
      </c>
      <c r="E61" s="23">
        <f>LN(HKData!F62/HKData!F61)-C61</f>
        <v>4.6015027139354649E-3</v>
      </c>
      <c r="F61" s="23">
        <f t="shared" si="0"/>
        <v>-1.6499059222884201E-2</v>
      </c>
      <c r="G61" s="23"/>
      <c r="H61" s="23"/>
      <c r="I61" s="91"/>
      <c r="J61" s="91"/>
      <c r="K61" s="91"/>
      <c r="N61" s="95"/>
      <c r="O61" s="95"/>
      <c r="W61" s="82"/>
    </row>
    <row r="62" spans="1:23">
      <c r="A62" s="20">
        <f>HKData!A63</f>
        <v>45316</v>
      </c>
      <c r="B62" s="91">
        <v>59</v>
      </c>
      <c r="C62" s="22">
        <f>DailyHIBOR!C60/252/100</f>
        <v>2.3531746031746033E-4</v>
      </c>
      <c r="D62" s="23">
        <f>LN(HKData!N63/HKData!N62)-C62</f>
        <v>1.9202981122571745E-2</v>
      </c>
      <c r="E62" s="23">
        <f>LN(HKData!F63/HKData!F62)-C62</f>
        <v>8.1731373112469072E-3</v>
      </c>
      <c r="F62" s="23">
        <f t="shared" si="0"/>
        <v>-3.0870864734682327E-3</v>
      </c>
      <c r="G62" s="23"/>
      <c r="H62" s="23"/>
      <c r="I62" s="91"/>
      <c r="J62" s="91"/>
      <c r="K62" s="91"/>
      <c r="N62" s="95"/>
      <c r="O62" s="95"/>
      <c r="W62" s="82"/>
    </row>
    <row r="63" spans="1:23">
      <c r="A63" s="20">
        <f>HKData!A64</f>
        <v>45317</v>
      </c>
      <c r="B63" s="91">
        <v>60</v>
      </c>
      <c r="C63" s="22">
        <f>DailyHIBOR!C61/252/100</f>
        <v>2.3531746031746033E-4</v>
      </c>
      <c r="D63" s="23">
        <f>LN(HKData!N64/HKData!N63)-C63</f>
        <v>-1.6385895750771685E-2</v>
      </c>
      <c r="E63" s="23">
        <f>LN(HKData!F64/HKData!F63)-C63</f>
        <v>-3.8303572930571345E-3</v>
      </c>
      <c r="F63" s="23">
        <f t="shared" si="0"/>
        <v>7.5064717169045043E-3</v>
      </c>
      <c r="G63" s="23"/>
      <c r="H63" s="23"/>
      <c r="I63" s="91"/>
      <c r="J63" s="91"/>
      <c r="K63" s="91"/>
      <c r="N63" s="95"/>
      <c r="O63" s="95"/>
      <c r="W63" s="82"/>
    </row>
    <row r="64" spans="1:23">
      <c r="A64" s="20">
        <f>HKData!A65</f>
        <v>45320</v>
      </c>
      <c r="B64" s="91">
        <v>61</v>
      </c>
      <c r="C64" s="22">
        <f>DailyHIBOR!C62/252/100</f>
        <v>2.3531746031746033E-4</v>
      </c>
      <c r="D64" s="23">
        <f>LN(HKData!N65/HKData!N64)-C64</f>
        <v>7.5706435904710325E-3</v>
      </c>
      <c r="E64" s="23">
        <f>LN(HKData!F65/HKData!F64)-C64</f>
        <v>1.0511138228028367E-2</v>
      </c>
      <c r="F64" s="23">
        <f t="shared" si="0"/>
        <v>6.6368329783053556E-3</v>
      </c>
      <c r="G64" s="23"/>
      <c r="H64" s="23"/>
      <c r="I64" s="91"/>
      <c r="J64" s="91"/>
      <c r="K64" s="91"/>
      <c r="N64" s="95"/>
      <c r="O64" s="95"/>
      <c r="W64" s="82"/>
    </row>
    <row r="65" spans="1:23">
      <c r="A65" s="20">
        <f>HKData!A66</f>
        <v>45321</v>
      </c>
      <c r="B65" s="91">
        <v>62</v>
      </c>
      <c r="C65" s="22">
        <f>DailyHIBOR!C63/252/100</f>
        <v>2.3531746031746033E-4</v>
      </c>
      <c r="D65" s="23">
        <f>LN(HKData!N66/HKData!N65)-C65</f>
        <v>-2.3759493391716107E-2</v>
      </c>
      <c r="E65" s="23">
        <f>LN(HKData!F66/HKData!F65)-C65</f>
        <v>-4.6416116846333351E-2</v>
      </c>
      <c r="F65" s="23">
        <f t="shared" si="0"/>
        <v>-3.0397443681184924E-2</v>
      </c>
      <c r="G65" s="23"/>
      <c r="H65" s="23"/>
      <c r="I65" s="91"/>
      <c r="J65" s="91"/>
      <c r="K65" s="91"/>
      <c r="N65" s="95"/>
      <c r="O65" s="95"/>
      <c r="W65" s="82"/>
    </row>
    <row r="66" spans="1:23">
      <c r="A66" s="20">
        <f>HKData!A67</f>
        <v>45322</v>
      </c>
      <c r="B66" s="91">
        <v>63</v>
      </c>
      <c r="C66" s="22">
        <f>DailyHIBOR!C64/252/100</f>
        <v>2.3531746031746033E-4</v>
      </c>
      <c r="D66" s="23">
        <f>LN(HKData!N67/HKData!N66)-C66</f>
        <v>-1.4239409235227552E-2</v>
      </c>
      <c r="E66" s="23">
        <f>LN(HKData!F67/HKData!F66)-C66</f>
        <v>-2.4150897990428119E-2</v>
      </c>
      <c r="F66" s="23">
        <f t="shared" si="0"/>
        <v>-1.417697428617291E-2</v>
      </c>
      <c r="G66" s="23"/>
      <c r="H66" s="23"/>
      <c r="I66" s="91"/>
      <c r="J66" s="91"/>
      <c r="K66" s="91"/>
      <c r="N66" s="95"/>
      <c r="O66" s="95"/>
      <c r="W66" s="82"/>
    </row>
    <row r="67" spans="1:23">
      <c r="A67" s="20">
        <f>HKData!A68</f>
        <v>45323</v>
      </c>
      <c r="B67" s="91">
        <v>64</v>
      </c>
      <c r="C67" s="22">
        <f>DailyHIBOR!C65/252/100</f>
        <v>2.0039682539682539E-4</v>
      </c>
      <c r="D67" s="23">
        <f>LN(HKData!N68/HKData!N67)-C67</f>
        <v>5.025785953761408E-3</v>
      </c>
      <c r="E67" s="23">
        <f>LN(HKData!F68/HKData!F67)-C67</f>
        <v>3.3616233348058563E-2</v>
      </c>
      <c r="F67" s="23">
        <f t="shared" si="0"/>
        <v>3.1357777976833312E-2</v>
      </c>
      <c r="G67" s="23"/>
      <c r="H67" s="23"/>
      <c r="I67" s="91"/>
      <c r="J67" s="91"/>
      <c r="K67" s="91"/>
      <c r="N67" s="95"/>
      <c r="O67" s="95"/>
      <c r="W67" s="82"/>
    </row>
    <row r="68" spans="1:23">
      <c r="A68" s="20">
        <f>HKData!A69</f>
        <v>45324</v>
      </c>
      <c r="B68" s="91">
        <v>65</v>
      </c>
      <c r="C68" s="22">
        <f>DailyHIBOR!C66/252/100</f>
        <v>2.0039682539682539E-4</v>
      </c>
      <c r="D68" s="23">
        <f>LN(HKData!N69/HKData!N68)-C68</f>
        <v>-2.3001167341253539E-3</v>
      </c>
      <c r="E68" s="23">
        <f>LN(HKData!F69/HKData!F68)-C68</f>
        <v>3.487384070649783E-3</v>
      </c>
      <c r="F68" s="23">
        <f t="shared" si="0"/>
        <v>5.8804890843164852E-3</v>
      </c>
      <c r="G68" s="23"/>
      <c r="H68" s="23"/>
      <c r="I68" s="91"/>
      <c r="J68" s="91"/>
      <c r="K68" s="91"/>
      <c r="N68" s="95"/>
      <c r="O68" s="95"/>
      <c r="W68" s="82"/>
    </row>
    <row r="69" spans="1:23">
      <c r="A69" s="20">
        <f>HKData!A70</f>
        <v>45327</v>
      </c>
      <c r="B69" s="91">
        <v>66</v>
      </c>
      <c r="C69" s="22">
        <f>DailyHIBOR!C67/252/100</f>
        <v>2.0039682539682539E-4</v>
      </c>
      <c r="D69" s="23">
        <f>LN(HKData!N70/HKData!N69)-C69</f>
        <v>-1.7176069728607999E-3</v>
      </c>
      <c r="E69" s="23">
        <f>LN(HKData!F70/HKData!F69)-C69</f>
        <v>-8.8264487451628834E-3</v>
      </c>
      <c r="F69" s="23">
        <f t="shared" ref="F69:F132" si="4">E69-($I$6+$I$7*D69)</f>
        <v>-6.803206592736654E-3</v>
      </c>
      <c r="G69" s="23"/>
      <c r="H69" s="23"/>
      <c r="I69" s="91"/>
      <c r="J69" s="91"/>
      <c r="K69" s="91"/>
      <c r="N69" s="95"/>
      <c r="O69" s="95"/>
      <c r="W69" s="82"/>
    </row>
    <row r="70" spans="1:23">
      <c r="A70" s="20">
        <f>HKData!A71</f>
        <v>45328</v>
      </c>
      <c r="B70" s="91">
        <v>67</v>
      </c>
      <c r="C70" s="22">
        <f>DailyHIBOR!C68/252/100</f>
        <v>2.0039682539682539E-4</v>
      </c>
      <c r="D70" s="23">
        <f>LN(HKData!N71/HKData!N70)-C70</f>
        <v>3.9420719520782188E-2</v>
      </c>
      <c r="E70" s="23">
        <f>LN(HKData!F71/HKData!F70)-C70</f>
        <v>9.6519412554330677E-3</v>
      </c>
      <c r="F70" s="23">
        <f t="shared" si="4"/>
        <v>-1.4445476116459331E-2</v>
      </c>
      <c r="G70" s="23"/>
      <c r="H70" s="23"/>
      <c r="I70" s="91"/>
      <c r="J70" s="91"/>
      <c r="K70" s="91"/>
      <c r="N70" s="95"/>
      <c r="O70" s="95"/>
      <c r="W70" s="82"/>
    </row>
    <row r="71" spans="1:23">
      <c r="A71" s="20">
        <f>HKData!A72</f>
        <v>45329</v>
      </c>
      <c r="B71" s="91">
        <v>68</v>
      </c>
      <c r="C71" s="22">
        <f>DailyHIBOR!C69/252/100</f>
        <v>2.0039682539682539E-4</v>
      </c>
      <c r="D71" s="23">
        <f>LN(HKData!N72/HKData!N71)-C71</f>
        <v>-3.6133476974181608E-3</v>
      </c>
      <c r="E71" s="23">
        <f>LN(HKData!F72/HKData!F71)-C71</f>
        <v>-1.6260113898454585E-2</v>
      </c>
      <c r="F71" s="23">
        <f t="shared" si="4"/>
        <v>-1.3033176743505591E-2</v>
      </c>
      <c r="G71" s="23"/>
      <c r="H71" s="23"/>
      <c r="I71" s="91"/>
      <c r="J71" s="91"/>
      <c r="K71" s="91"/>
      <c r="N71" s="95"/>
      <c r="O71" s="95"/>
      <c r="W71" s="82"/>
    </row>
    <row r="72" spans="1:23">
      <c r="A72" s="20">
        <f>HKData!A73</f>
        <v>45330</v>
      </c>
      <c r="B72" s="91">
        <v>69</v>
      </c>
      <c r="C72" s="22">
        <f>DailyHIBOR!C70/252/100</f>
        <v>2.0039682539682539E-4</v>
      </c>
      <c r="D72" s="23">
        <f>LN(HKData!N73/HKData!N72)-C72</f>
        <v>-1.2955237531779318E-2</v>
      </c>
      <c r="E72" s="23">
        <f>LN(HKData!F73/HKData!F72)-C72</f>
        <v>2.1968108145699286E-2</v>
      </c>
      <c r="F72" s="23">
        <f t="shared" si="4"/>
        <v>3.1126650800321398E-2</v>
      </c>
      <c r="G72" s="23"/>
      <c r="H72" s="23"/>
      <c r="I72" s="91"/>
      <c r="J72" s="91"/>
      <c r="K72" s="91"/>
      <c r="N72" s="95"/>
      <c r="O72" s="95"/>
      <c r="W72" s="82"/>
    </row>
    <row r="73" spans="1:23">
      <c r="A73" s="20">
        <f>HKData!A74</f>
        <v>45331</v>
      </c>
      <c r="B73" s="91">
        <v>70</v>
      </c>
      <c r="C73" s="22">
        <f>DailyHIBOR!C71/252/100</f>
        <v>2.0039682539682539E-4</v>
      </c>
      <c r="D73" s="23">
        <f>LN(HKData!N74/HKData!N73)-C73</f>
        <v>-8.5161246185579374E-3</v>
      </c>
      <c r="E73" s="23">
        <f>LN(HKData!F74/HKData!F73)-C73</f>
        <v>-8.7631368264719858E-3</v>
      </c>
      <c r="F73" s="23">
        <f t="shared" si="4"/>
        <v>-2.4231958719987531E-3</v>
      </c>
      <c r="G73" s="23"/>
      <c r="H73" s="23"/>
      <c r="I73" s="91"/>
      <c r="J73" s="91"/>
      <c r="K73" s="91"/>
      <c r="N73" s="95"/>
      <c r="O73" s="95"/>
      <c r="W73" s="82"/>
    </row>
    <row r="74" spans="1:23">
      <c r="A74" s="20">
        <f>HKData!A75</f>
        <v>45336</v>
      </c>
      <c r="B74" s="91">
        <v>71</v>
      </c>
      <c r="C74" s="22">
        <f>DailyHIBOR!C72/252/100</f>
        <v>2.0039682539682539E-4</v>
      </c>
      <c r="D74" s="23">
        <f>LN(HKData!N75/HKData!N74)-C74</f>
        <v>8.1978042334193962E-3</v>
      </c>
      <c r="E74" s="23">
        <f>LN(HKData!F75/HKData!F74)-C74</f>
        <v>8.3623431756782753E-3</v>
      </c>
      <c r="F74" s="23">
        <f t="shared" si="4"/>
        <v>4.0898241185939356E-3</v>
      </c>
      <c r="G74" s="23"/>
      <c r="H74" s="23"/>
      <c r="I74" s="91"/>
      <c r="J74" s="91"/>
      <c r="K74" s="91"/>
      <c r="N74" s="95"/>
      <c r="O74" s="95"/>
      <c r="W74" s="82"/>
    </row>
    <row r="75" spans="1:23">
      <c r="A75" s="20">
        <f>HKData!A76</f>
        <v>45337</v>
      </c>
      <c r="B75" s="91">
        <v>72</v>
      </c>
      <c r="C75" s="22">
        <f>DailyHIBOR!C73/252/100</f>
        <v>2.0039682539682539E-4</v>
      </c>
      <c r="D75" s="23">
        <f>LN(HKData!N76/HKData!N75)-C75</f>
        <v>3.900286395565208E-3</v>
      </c>
      <c r="E75" s="23">
        <f>LN(HKData!F76/HKData!F75)-C75</f>
        <v>5.8713002483931501E-3</v>
      </c>
      <c r="F75" s="23">
        <f t="shared" si="4"/>
        <v>4.3274775144230126E-3</v>
      </c>
      <c r="G75" s="23"/>
      <c r="H75" s="23"/>
      <c r="I75" s="91"/>
      <c r="J75" s="91"/>
      <c r="K75" s="91"/>
      <c r="N75" s="95"/>
      <c r="O75" s="95"/>
      <c r="W75" s="82"/>
    </row>
    <row r="76" spans="1:23">
      <c r="A76" s="20">
        <f>HKData!A77</f>
        <v>45338</v>
      </c>
      <c r="B76" s="91">
        <v>73</v>
      </c>
      <c r="C76" s="22">
        <f>DailyHIBOR!C74/252/100</f>
        <v>2.0039682539682539E-4</v>
      </c>
      <c r="D76" s="23">
        <f>LN(HKData!N77/HKData!N76)-C76</f>
        <v>2.4291154155687285E-2</v>
      </c>
      <c r="E76" s="23">
        <f>LN(HKData!F77/HKData!F76)-C76</f>
        <v>1.6606592308569014E-2</v>
      </c>
      <c r="F76" s="23">
        <f t="shared" si="4"/>
        <v>2.1156480078073983E-3</v>
      </c>
      <c r="G76" s="23"/>
      <c r="H76" s="23"/>
      <c r="I76" s="91"/>
      <c r="J76" s="91"/>
      <c r="K76" s="91"/>
      <c r="N76" s="95"/>
      <c r="O76" s="95"/>
      <c r="W76" s="82"/>
    </row>
    <row r="77" spans="1:23">
      <c r="A77" s="20">
        <f>HKData!A78</f>
        <v>45341</v>
      </c>
      <c r="B77" s="91">
        <v>74</v>
      </c>
      <c r="C77" s="22">
        <f>DailyHIBOR!C75/252/100</f>
        <v>2.0039682539682539E-4</v>
      </c>
      <c r="D77" s="23">
        <f>LN(HKData!N78/HKData!N77)-C77</f>
        <v>-1.1546656350936605E-2</v>
      </c>
      <c r="E77" s="23">
        <f>LN(HKData!F78/HKData!F77)-C77</f>
        <v>-1.9431717314573806E-2</v>
      </c>
      <c r="F77" s="23">
        <f t="shared" si="4"/>
        <v>-1.1167549141685672E-2</v>
      </c>
      <c r="G77" s="23"/>
      <c r="H77" s="23"/>
      <c r="I77" s="91"/>
      <c r="J77" s="91"/>
      <c r="K77" s="91"/>
      <c r="N77" s="95"/>
      <c r="O77" s="95"/>
      <c r="W77" s="82"/>
    </row>
    <row r="78" spans="1:23">
      <c r="A78" s="20">
        <f>HKData!A79</f>
        <v>45342</v>
      </c>
      <c r="B78" s="91">
        <v>75</v>
      </c>
      <c r="C78" s="22">
        <f>DailyHIBOR!C76/252/100</f>
        <v>2.0039682539682539E-4</v>
      </c>
      <c r="D78" s="23">
        <f>LN(HKData!N79/HKData!N78)-C78</f>
        <v>5.4718754825049121E-3</v>
      </c>
      <c r="E78" s="23">
        <f>LN(HKData!F79/HKData!F78)-C78</f>
        <v>1.0124414421232111E-3</v>
      </c>
      <c r="F78" s="23">
        <f t="shared" si="4"/>
        <v>-1.5292571645669868E-3</v>
      </c>
      <c r="G78" s="23"/>
      <c r="H78" s="23"/>
      <c r="I78" s="91"/>
      <c r="J78" s="91"/>
      <c r="K78" s="91"/>
      <c r="N78" s="95"/>
      <c r="O78" s="95"/>
      <c r="W78" s="82"/>
    </row>
    <row r="79" spans="1:23">
      <c r="A79" s="20">
        <f>HKData!A80</f>
        <v>45343</v>
      </c>
      <c r="B79" s="91">
        <v>76</v>
      </c>
      <c r="C79" s="22">
        <f>DailyHIBOR!C77/252/100</f>
        <v>2.0039682539682539E-4</v>
      </c>
      <c r="D79" s="23">
        <f>LN(HKData!N80/HKData!N79)-C79</f>
        <v>1.5408169712017436E-2</v>
      </c>
      <c r="E79" s="23">
        <f>LN(HKData!F80/HKData!F79)-C79</f>
        <v>1.4240317591942799E-2</v>
      </c>
      <c r="F79" s="23">
        <f t="shared" si="4"/>
        <v>5.3895981615043366E-3</v>
      </c>
      <c r="G79" s="23"/>
      <c r="H79" s="23"/>
      <c r="I79" s="91"/>
      <c r="J79" s="91"/>
      <c r="K79" s="91"/>
      <c r="N79" s="95"/>
      <c r="O79" s="95"/>
      <c r="W79" s="82"/>
    </row>
    <row r="80" spans="1:23">
      <c r="A80" s="20">
        <f>HKData!A81</f>
        <v>45344</v>
      </c>
      <c r="B80" s="91">
        <v>77</v>
      </c>
      <c r="C80" s="22">
        <f>DailyHIBOR!C78/252/100</f>
        <v>2.0039682539682539E-4</v>
      </c>
      <c r="D80" s="23">
        <f>LN(HKData!N81/HKData!N80)-C80</f>
        <v>1.4228612282867318E-2</v>
      </c>
      <c r="E80" s="23">
        <f>LN(HKData!F81/HKData!F80)-C80</f>
        <v>1.1676292214389095E-2</v>
      </c>
      <c r="F80" s="23">
        <f t="shared" si="4"/>
        <v>3.5745293075217094E-3</v>
      </c>
      <c r="G80" s="23"/>
      <c r="H80" s="23"/>
      <c r="I80" s="91"/>
      <c r="J80" s="91"/>
      <c r="K80" s="91"/>
      <c r="N80" s="95"/>
      <c r="O80" s="95"/>
      <c r="W80" s="82"/>
    </row>
    <row r="81" spans="1:23">
      <c r="A81" s="20">
        <f>HKData!A82</f>
        <v>45345</v>
      </c>
      <c r="B81" s="91">
        <v>78</v>
      </c>
      <c r="C81" s="22">
        <f>DailyHIBOR!C79/252/100</f>
        <v>2.0039682539682539E-4</v>
      </c>
      <c r="D81" s="23">
        <f>LN(HKData!N82/HKData!N81)-C81</f>
        <v>-1.2216369563339156E-3</v>
      </c>
      <c r="E81" s="23">
        <f>LN(HKData!F82/HKData!F81)-C81</f>
        <v>2.1580593637554697E-3</v>
      </c>
      <c r="F81" s="23">
        <f t="shared" si="4"/>
        <v>3.8663868115698975E-3</v>
      </c>
      <c r="G81" s="23"/>
      <c r="H81" s="23"/>
      <c r="I81" s="91"/>
      <c r="J81" s="91"/>
      <c r="K81" s="91"/>
      <c r="N81" s="95"/>
      <c r="O81" s="95"/>
      <c r="W81" s="82"/>
    </row>
    <row r="82" spans="1:23">
      <c r="A82" s="20">
        <f>HKData!A83</f>
        <v>45348</v>
      </c>
      <c r="B82" s="91">
        <v>79</v>
      </c>
      <c r="C82" s="22">
        <f>DailyHIBOR!C80/252/100</f>
        <v>2.0039682539682539E-4</v>
      </c>
      <c r="D82" s="23">
        <f>LN(HKData!N83/HKData!N82)-C82</f>
        <v>-5.6630904389713219E-3</v>
      </c>
      <c r="E82" s="23">
        <f>LN(HKData!F83/HKData!F82)-C82</f>
        <v>9.7674867514154461E-4</v>
      </c>
      <c r="F82" s="23">
        <f t="shared" si="4"/>
        <v>5.5051639607779177E-3</v>
      </c>
      <c r="G82" s="23"/>
      <c r="H82" s="23"/>
      <c r="I82" s="91"/>
      <c r="J82" s="91"/>
      <c r="K82" s="91"/>
      <c r="N82" s="95"/>
      <c r="O82" s="95"/>
      <c r="W82" s="82"/>
    </row>
    <row r="83" spans="1:23">
      <c r="A83" s="20">
        <f>HKData!A84</f>
        <v>45349</v>
      </c>
      <c r="B83" s="91">
        <v>80</v>
      </c>
      <c r="C83" s="22">
        <f>DailyHIBOR!C81/252/100</f>
        <v>2.0039682539682539E-4</v>
      </c>
      <c r="D83" s="23">
        <f>LN(HKData!N84/HKData!N83)-C83</f>
        <v>9.1374733252164355E-3</v>
      </c>
      <c r="E83" s="23">
        <f>LN(HKData!F84/HKData!F83)-C83</f>
        <v>9.1673326712412781E-3</v>
      </c>
      <c r="F83" s="23">
        <f t="shared" si="4"/>
        <v>4.2981734854888702E-3</v>
      </c>
      <c r="G83" s="23"/>
      <c r="H83" s="23"/>
      <c r="I83" s="91"/>
      <c r="J83" s="91"/>
      <c r="K83" s="91"/>
      <c r="N83" s="95"/>
      <c r="O83" s="95"/>
      <c r="W83" s="82"/>
    </row>
    <row r="84" spans="1:23">
      <c r="A84" s="20">
        <f>HKData!A85</f>
        <v>45350</v>
      </c>
      <c r="B84" s="91">
        <v>81</v>
      </c>
      <c r="C84" s="22">
        <f>DailyHIBOR!C82/252/100</f>
        <v>2.0039682539682539E-4</v>
      </c>
      <c r="D84" s="23">
        <f>LN(HKData!N85/HKData!N84)-C84</f>
        <v>-1.5440360280965251E-2</v>
      </c>
      <c r="E84" s="23">
        <f>LN(HKData!F85/HKData!F84)-C84</f>
        <v>-1.6651995917658223E-2</v>
      </c>
      <c r="F84" s="23">
        <f t="shared" si="4"/>
        <v>-5.9155318758436735E-3</v>
      </c>
      <c r="G84" s="23"/>
      <c r="H84" s="23"/>
      <c r="I84" s="91"/>
      <c r="J84" s="91"/>
      <c r="K84" s="91"/>
      <c r="N84" s="95"/>
      <c r="O84" s="95"/>
      <c r="W84" s="82"/>
    </row>
    <row r="85" spans="1:23">
      <c r="A85" s="20">
        <f>HKData!A86</f>
        <v>45351</v>
      </c>
      <c r="B85" s="91">
        <v>82</v>
      </c>
      <c r="C85" s="22">
        <f>DailyHIBOR!C83/252/100</f>
        <v>2.0039682539682539E-4</v>
      </c>
      <c r="D85" s="23">
        <f>LN(HKData!N86/HKData!N85)-C85</f>
        <v>-1.7381563874266795E-3</v>
      </c>
      <c r="E85" s="23">
        <f>LN(HKData!F86/HKData!F85)-C85</f>
        <v>-1.6927184635312568E-2</v>
      </c>
      <c r="F85" s="23">
        <f t="shared" si="4"/>
        <v>-1.4890894692491111E-2</v>
      </c>
      <c r="G85" s="23"/>
      <c r="H85" s="23"/>
      <c r="I85" s="91"/>
      <c r="J85" s="91"/>
      <c r="K85" s="91"/>
      <c r="N85" s="95"/>
      <c r="O85" s="95"/>
      <c r="W85" s="82"/>
    </row>
    <row r="86" spans="1:23">
      <c r="A86" s="20">
        <f>HKData!A87</f>
        <v>45352</v>
      </c>
      <c r="B86" s="91">
        <v>83</v>
      </c>
      <c r="C86" s="22">
        <f>DailyHIBOR!C84/252/100</f>
        <v>1.9047619047619045E-4</v>
      </c>
      <c r="D86" s="23">
        <f>LN(HKData!N87/HKData!N86)-C86</f>
        <v>4.522398328268399E-3</v>
      </c>
      <c r="E86" s="23">
        <f>LN(HKData!F87/HKData!F86)-C86</f>
        <v>3.0654222373484835E-2</v>
      </c>
      <c r="F86" s="23">
        <f t="shared" si="4"/>
        <v>2.8715391495888171E-2</v>
      </c>
      <c r="G86" s="23"/>
      <c r="H86" s="23"/>
      <c r="I86" s="91"/>
      <c r="J86" s="91"/>
      <c r="K86" s="91"/>
      <c r="N86" s="95"/>
      <c r="O86" s="95"/>
      <c r="W86" s="82"/>
    </row>
    <row r="87" spans="1:23">
      <c r="A87" s="20">
        <f>HKData!A88</f>
        <v>45355</v>
      </c>
      <c r="B87" s="91">
        <v>84</v>
      </c>
      <c r="C87" s="22">
        <f>DailyHIBOR!C85/252/100</f>
        <v>1.9047619047619045E-4</v>
      </c>
      <c r="D87" s="23">
        <f>LN(HKData!N88/HKData!N87)-C87</f>
        <v>2.0314558810510542E-4</v>
      </c>
      <c r="E87" s="23">
        <f>LN(HKData!F88/HKData!F87)-C87</f>
        <v>-1.9047619047619045E-4</v>
      </c>
      <c r="F87" s="23">
        <f t="shared" si="4"/>
        <v>6.1318976739564149E-4</v>
      </c>
      <c r="G87" s="23"/>
      <c r="H87" s="23"/>
      <c r="I87" s="91"/>
      <c r="J87" s="91"/>
      <c r="K87" s="91"/>
      <c r="N87" s="95"/>
      <c r="O87" s="95"/>
      <c r="W87" s="82"/>
    </row>
    <row r="88" spans="1:23">
      <c r="A88" s="20">
        <f>HKData!A89</f>
        <v>45356</v>
      </c>
      <c r="B88" s="91">
        <v>85</v>
      </c>
      <c r="C88" s="22">
        <f>DailyHIBOR!C86/252/100</f>
        <v>1.9047619047619045E-4</v>
      </c>
      <c r="D88" s="23">
        <f>LN(HKData!N89/HKData!N88)-C88</f>
        <v>-2.6648029026974548E-2</v>
      </c>
      <c r="E88" s="23">
        <f>LN(HKData!F89/HKData!F88)-C88</f>
        <v>-1.1941436286459677E-2</v>
      </c>
      <c r="F88" s="23">
        <f t="shared" si="4"/>
        <v>5.9113040924852634E-3</v>
      </c>
      <c r="G88" s="23"/>
      <c r="H88" s="23"/>
      <c r="I88" s="91"/>
      <c r="J88" s="91"/>
      <c r="K88" s="91"/>
      <c r="N88" s="95"/>
      <c r="O88" s="95"/>
      <c r="W88" s="82"/>
    </row>
    <row r="89" spans="1:23">
      <c r="A89" s="20">
        <f>HKData!A90</f>
        <v>45357</v>
      </c>
      <c r="B89" s="91">
        <v>86</v>
      </c>
      <c r="C89" s="22">
        <f>DailyHIBOR!C87/252/100</f>
        <v>1.9047619047619045E-4</v>
      </c>
      <c r="D89" s="23">
        <f>LN(HKData!N90/HKData!N89)-C89</f>
        <v>1.6708332798904702E-2</v>
      </c>
      <c r="E89" s="23">
        <f>LN(HKData!F90/HKData!F89)-C89</f>
        <v>4.5264427470852586E-3</v>
      </c>
      <c r="F89" s="23">
        <f t="shared" si="4"/>
        <v>-5.1498114149110697E-3</v>
      </c>
      <c r="G89" s="23"/>
      <c r="H89" s="23"/>
      <c r="I89" s="91"/>
      <c r="J89" s="91"/>
      <c r="K89" s="91"/>
      <c r="N89" s="95"/>
      <c r="O89" s="95"/>
      <c r="W89" s="82"/>
    </row>
    <row r="90" spans="1:23">
      <c r="A90" s="20">
        <f>HKData!A91</f>
        <v>45358</v>
      </c>
      <c r="B90" s="91">
        <v>87</v>
      </c>
      <c r="C90" s="22">
        <f>DailyHIBOR!C88/252/100</f>
        <v>1.9047619047619045E-4</v>
      </c>
      <c r="D90" s="23">
        <f>LN(HKData!N91/HKData!N90)-C90</f>
        <v>-1.2943826377340003E-2</v>
      </c>
      <c r="E90" s="23">
        <f>LN(HKData!F91/HKData!F90)-C90</f>
        <v>2.3066335413521839E-2</v>
      </c>
      <c r="F90" s="23">
        <f t="shared" si="4"/>
        <v>3.221763258916379E-2</v>
      </c>
      <c r="G90" s="23"/>
      <c r="H90" s="23"/>
      <c r="I90" s="91"/>
      <c r="J90" s="91"/>
      <c r="K90" s="91"/>
      <c r="N90" s="95"/>
      <c r="O90" s="95"/>
      <c r="W90" s="82"/>
    </row>
    <row r="91" spans="1:23">
      <c r="A91" s="20">
        <f>HKData!A92</f>
        <v>45359</v>
      </c>
      <c r="B91" s="91">
        <v>88</v>
      </c>
      <c r="C91" s="22">
        <f>DailyHIBOR!C89/252/100</f>
        <v>1.9047619047619045E-4</v>
      </c>
      <c r="D91" s="23">
        <f>LN(HKData!N92/HKData!N91)-C91</f>
        <v>7.3968744749168076E-3</v>
      </c>
      <c r="E91" s="23">
        <f>LN(HKData!F92/HKData!F91)-C91</f>
        <v>6.6824176135578586E-3</v>
      </c>
      <c r="F91" s="23">
        <f t="shared" si="4"/>
        <v>2.9184465531445483E-3</v>
      </c>
      <c r="G91" s="23"/>
      <c r="H91" s="23"/>
      <c r="I91" s="91"/>
      <c r="J91" s="91"/>
      <c r="K91" s="91"/>
      <c r="N91" s="95"/>
      <c r="O91" s="95"/>
      <c r="W91" s="82"/>
    </row>
    <row r="92" spans="1:23">
      <c r="A92" s="20">
        <f>HKData!A93</f>
        <v>45362</v>
      </c>
      <c r="B92" s="91">
        <v>89</v>
      </c>
      <c r="C92" s="22">
        <f>DailyHIBOR!C90/252/100</f>
        <v>1.9047619047619045E-4</v>
      </c>
      <c r="D92" s="23">
        <f>LN(HKData!N93/HKData!N92)-C92</f>
        <v>1.4027968540453689E-2</v>
      </c>
      <c r="E92" s="23">
        <f>LN(HKData!F93/HKData!F92)-C92</f>
        <v>1.2288460533558936E-2</v>
      </c>
      <c r="F92" s="23">
        <f t="shared" si="4"/>
        <v>4.3140957813559474E-3</v>
      </c>
      <c r="G92" s="23"/>
      <c r="H92" s="23"/>
      <c r="I92" s="91"/>
      <c r="J92" s="91"/>
      <c r="K92" s="91"/>
      <c r="N92" s="95"/>
      <c r="O92" s="95"/>
      <c r="W92" s="82"/>
    </row>
    <row r="93" spans="1:23">
      <c r="A93" s="20">
        <f>HKData!A94</f>
        <v>45363</v>
      </c>
      <c r="B93" s="91">
        <v>90</v>
      </c>
      <c r="C93" s="22">
        <f>DailyHIBOR!C91/252/100</f>
        <v>1.9047619047619045E-4</v>
      </c>
      <c r="D93" s="23">
        <f>LN(HKData!N94/HKData!N93)-C93</f>
        <v>2.9854159562265364E-2</v>
      </c>
      <c r="E93" s="23">
        <f>LN(HKData!F94/HKData!F93)-C93</f>
        <v>1.2134539970130269E-2</v>
      </c>
      <c r="F93" s="23">
        <f t="shared" si="4"/>
        <v>-5.8886182669377739E-3</v>
      </c>
      <c r="G93" s="23"/>
      <c r="H93" s="23"/>
      <c r="I93" s="91"/>
      <c r="J93" s="91"/>
      <c r="K93" s="91"/>
      <c r="N93" s="95"/>
      <c r="O93" s="95"/>
      <c r="W93" s="82"/>
    </row>
    <row r="94" spans="1:23">
      <c r="A94" s="20">
        <f>HKData!A95</f>
        <v>45364</v>
      </c>
      <c r="B94" s="91">
        <v>91</v>
      </c>
      <c r="C94" s="22">
        <f>DailyHIBOR!C92/252/100</f>
        <v>1.9047619047619045E-4</v>
      </c>
      <c r="D94" s="23">
        <f>LN(HKData!N95/HKData!N94)-C94</f>
        <v>-8.5707003503921538E-4</v>
      </c>
      <c r="E94" s="23">
        <f>LN(HKData!F95/HKData!F94)-C94</f>
        <v>-1.3045515755798487E-3</v>
      </c>
      <c r="F94" s="23">
        <f t="shared" si="4"/>
        <v>1.7229517681933309E-4</v>
      </c>
      <c r="G94" s="23"/>
      <c r="H94" s="23"/>
      <c r="I94" s="91"/>
      <c r="J94" s="91"/>
      <c r="K94" s="91"/>
      <c r="N94" s="95"/>
      <c r="O94" s="95"/>
      <c r="W94" s="82"/>
    </row>
    <row r="95" spans="1:23">
      <c r="A95" s="20">
        <f>HKData!A96</f>
        <v>45365</v>
      </c>
      <c r="B95" s="91">
        <v>92</v>
      </c>
      <c r="C95" s="22">
        <f>DailyHIBOR!C93/252/100</f>
        <v>1.9047619047619045E-4</v>
      </c>
      <c r="D95" s="23">
        <f>LN(HKData!N96/HKData!N95)-C95</f>
        <v>-7.2666444881753405E-3</v>
      </c>
      <c r="E95" s="23">
        <f>LN(HKData!F96/HKData!F95)-C95</f>
        <v>-6.9020392042548591E-3</v>
      </c>
      <c r="F95" s="23">
        <f t="shared" si="4"/>
        <v>-1.3554519870360672E-3</v>
      </c>
      <c r="G95" s="23"/>
      <c r="H95" s="23"/>
      <c r="I95" s="91"/>
      <c r="J95" s="91"/>
      <c r="K95" s="91"/>
      <c r="N95" s="95"/>
      <c r="O95" s="95"/>
      <c r="W95" s="82"/>
    </row>
    <row r="96" spans="1:23">
      <c r="A96" s="20">
        <f>HKData!A97</f>
        <v>45366</v>
      </c>
      <c r="B96" s="91">
        <v>93</v>
      </c>
      <c r="C96" s="22">
        <f>DailyHIBOR!C94/252/100</f>
        <v>1.9047619047619045E-4</v>
      </c>
      <c r="D96" s="23">
        <f>LN(HKData!N97/HKData!N96)-C96</f>
        <v>-1.4487115051628295E-2</v>
      </c>
      <c r="E96" s="23">
        <f>LN(HKData!F97/HKData!F96)-C96</f>
        <v>-1.4888322072930477E-2</v>
      </c>
      <c r="F96" s="23">
        <f t="shared" si="4"/>
        <v>-4.757118288422197E-3</v>
      </c>
      <c r="G96" s="23"/>
      <c r="H96" s="23"/>
      <c r="I96" s="91"/>
      <c r="J96" s="91"/>
      <c r="K96" s="91"/>
      <c r="N96" s="95"/>
      <c r="O96" s="95"/>
      <c r="W96" s="82"/>
    </row>
    <row r="97" spans="1:23">
      <c r="A97" s="20">
        <f>HKData!A98</f>
        <v>45369</v>
      </c>
      <c r="B97" s="91">
        <v>94</v>
      </c>
      <c r="C97" s="22">
        <f>DailyHIBOR!C95/252/100</f>
        <v>1.9047619047619045E-4</v>
      </c>
      <c r="D97" s="23">
        <f>LN(HKData!N98/HKData!N97)-C97</f>
        <v>7.7960643017864625E-4</v>
      </c>
      <c r="E97" s="23">
        <f>LN(HKData!F98/HKData!F97)-C97</f>
        <v>-1.1645301131318274E-2</v>
      </c>
      <c r="F97" s="23">
        <f t="shared" si="4"/>
        <v>-1.1207657291221014E-2</v>
      </c>
      <c r="G97" s="23"/>
      <c r="H97" s="23"/>
      <c r="I97" s="91"/>
      <c r="J97" s="91"/>
      <c r="K97" s="91"/>
      <c r="N97" s="95"/>
      <c r="O97" s="95"/>
      <c r="W97" s="82"/>
    </row>
    <row r="98" spans="1:23">
      <c r="A98" s="20">
        <f>HKData!A99</f>
        <v>45370</v>
      </c>
      <c r="B98" s="91">
        <v>95</v>
      </c>
      <c r="C98" s="22">
        <f>DailyHIBOR!C96/252/100</f>
        <v>1.9047619047619045E-4</v>
      </c>
      <c r="D98" s="23">
        <f>LN(HKData!N99/HKData!N98)-C98</f>
        <v>-1.267395035319099E-2</v>
      </c>
      <c r="E98" s="23">
        <f>LN(HKData!F99/HKData!F98)-C98</f>
        <v>-2.9415213669882988E-2</v>
      </c>
      <c r="F98" s="23">
        <f t="shared" si="4"/>
        <v>-2.0435273482757876E-2</v>
      </c>
      <c r="G98" s="23"/>
      <c r="H98" s="23"/>
      <c r="I98" s="91"/>
      <c r="J98" s="91"/>
      <c r="K98" s="91"/>
      <c r="N98" s="95"/>
      <c r="O98" s="95"/>
      <c r="W98" s="82"/>
    </row>
    <row r="99" spans="1:23">
      <c r="A99" s="20">
        <f>HKData!A100</f>
        <v>45371</v>
      </c>
      <c r="B99" s="91">
        <v>96</v>
      </c>
      <c r="C99" s="22">
        <f>DailyHIBOR!C97/252/100</f>
        <v>1.9047619047619045E-4</v>
      </c>
      <c r="D99" s="23">
        <f>LN(HKData!N100/HKData!N99)-C99</f>
        <v>6.3134397118936138E-4</v>
      </c>
      <c r="E99" s="23">
        <f>LN(HKData!F100/HKData!F99)-C99</f>
        <v>-7.3333785110409541E-3</v>
      </c>
      <c r="F99" s="23">
        <f t="shared" si="4"/>
        <v>-6.8015958582699262E-3</v>
      </c>
      <c r="G99" s="23"/>
      <c r="H99" s="23"/>
      <c r="I99" s="91"/>
      <c r="J99" s="91"/>
      <c r="K99" s="91"/>
      <c r="N99" s="95"/>
      <c r="O99" s="95"/>
      <c r="W99" s="82"/>
    </row>
    <row r="100" spans="1:23">
      <c r="A100" s="20">
        <f>HKData!A101</f>
        <v>45372</v>
      </c>
      <c r="B100" s="91">
        <v>97</v>
      </c>
      <c r="C100" s="22">
        <f>DailyHIBOR!C98/252/100</f>
        <v>1.9047619047619045E-4</v>
      </c>
      <c r="D100" s="23">
        <f>LN(HKData!N101/HKData!N100)-C100</f>
        <v>1.8970001555444004E-2</v>
      </c>
      <c r="E100" s="23">
        <f>LN(HKData!F101/HKData!F100)-C100</f>
        <v>1.286601543542586E-2</v>
      </c>
      <c r="F100" s="23">
        <f t="shared" si="4"/>
        <v>1.7537213422602095E-3</v>
      </c>
      <c r="G100" s="23"/>
      <c r="H100" s="23"/>
      <c r="I100" s="91"/>
      <c r="J100" s="91"/>
      <c r="K100" s="91"/>
      <c r="N100" s="95"/>
      <c r="O100" s="95"/>
      <c r="W100" s="82"/>
    </row>
    <row r="101" spans="1:23">
      <c r="A101" s="20">
        <f>HKData!A102</f>
        <v>45373</v>
      </c>
      <c r="B101" s="91">
        <v>98</v>
      </c>
      <c r="C101" s="22">
        <f>DailyHIBOR!C99/252/100</f>
        <v>1.9047619047619045E-4</v>
      </c>
      <c r="D101" s="23">
        <f>LN(HKData!N102/HKData!N101)-C101</f>
        <v>-2.1989954045852508E-2</v>
      </c>
      <c r="E101" s="23">
        <f>LN(HKData!F102/HKData!F101)-C101</f>
        <v>-1.0860245483355856E-2</v>
      </c>
      <c r="F101" s="23">
        <f t="shared" si="4"/>
        <v>4.0348638738352607E-3</v>
      </c>
      <c r="G101" s="23"/>
      <c r="H101" s="23"/>
      <c r="I101" s="91"/>
      <c r="J101" s="91"/>
      <c r="K101" s="91"/>
      <c r="N101" s="95"/>
      <c r="O101" s="95"/>
      <c r="W101" s="82"/>
    </row>
    <row r="102" spans="1:23">
      <c r="A102" s="20">
        <f>HKData!A103</f>
        <v>45376</v>
      </c>
      <c r="B102" s="91">
        <v>99</v>
      </c>
      <c r="C102" s="22">
        <f>DailyHIBOR!C100/252/100</f>
        <v>1.9047619047619045E-4</v>
      </c>
      <c r="D102" s="23">
        <f>LN(HKData!N103/HKData!N102)-C102</f>
        <v>-1.7572123805575115E-3</v>
      </c>
      <c r="E102" s="23">
        <f>LN(HKData!F103/HKData!F102)-C102</f>
        <v>-3.2900971882086058E-2</v>
      </c>
      <c r="F102" s="23">
        <f t="shared" si="4"/>
        <v>-3.085258239242122E-2</v>
      </c>
      <c r="G102" s="23"/>
      <c r="H102" s="23"/>
      <c r="I102" s="91"/>
      <c r="J102" s="91"/>
      <c r="K102" s="91"/>
      <c r="N102" s="95"/>
      <c r="O102" s="95"/>
      <c r="W102" s="82"/>
    </row>
    <row r="103" spans="1:23">
      <c r="A103" s="20">
        <f>HKData!A104</f>
        <v>45377</v>
      </c>
      <c r="B103" s="91">
        <v>100</v>
      </c>
      <c r="C103" s="22">
        <f>DailyHIBOR!C101/252/100</f>
        <v>1.9047619047619045E-4</v>
      </c>
      <c r="D103" s="23">
        <f>LN(HKData!N104/HKData!N103)-C103</f>
        <v>8.5536782962093404E-3</v>
      </c>
      <c r="E103" s="23">
        <f>LN(HKData!F104/HKData!F103)-C103</f>
        <v>4.7235908666344922E-3</v>
      </c>
      <c r="F103" s="23">
        <f t="shared" si="4"/>
        <v>2.2511061909899141E-4</v>
      </c>
      <c r="G103" s="23"/>
      <c r="H103" s="23"/>
      <c r="I103" s="91"/>
      <c r="J103" s="91"/>
      <c r="K103" s="91"/>
      <c r="N103" s="95"/>
      <c r="O103" s="95"/>
    </row>
    <row r="104" spans="1:23">
      <c r="A104" s="20">
        <f>HKData!A105</f>
        <v>45378</v>
      </c>
      <c r="B104" s="91">
        <v>101</v>
      </c>
      <c r="C104" s="22">
        <f>DailyHIBOR!C102/252/100</f>
        <v>1.9047619047619045E-4</v>
      </c>
      <c r="D104" s="23">
        <f>LN(HKData!N105/HKData!N104)-C104</f>
        <v>-1.3851551679041322E-2</v>
      </c>
      <c r="E104" s="23">
        <f>LN(HKData!F105/HKData!F104)-C104</f>
        <v>3.479197748220992E-3</v>
      </c>
      <c r="F104" s="23">
        <f t="shared" si="4"/>
        <v>1.3206852436874889E-2</v>
      </c>
      <c r="G104" s="23"/>
      <c r="H104" s="23"/>
      <c r="I104" s="91"/>
      <c r="J104" s="91"/>
      <c r="K104" s="91"/>
    </row>
    <row r="105" spans="1:23">
      <c r="A105" s="20">
        <f>HKData!A106</f>
        <v>45379</v>
      </c>
      <c r="B105" s="91">
        <v>102</v>
      </c>
      <c r="C105" s="22">
        <f>DailyHIBOR!C103/252/100</f>
        <v>1.9047619047619045E-4</v>
      </c>
      <c r="D105" s="23">
        <f>LN(HKData!N106/HKData!N105)-C105</f>
        <v>8.8324128742427368E-3</v>
      </c>
      <c r="E105" s="23">
        <f>LN(HKData!F106/HKData!F105)-C105</f>
        <v>-2.241353287092223E-2</v>
      </c>
      <c r="F105" s="23">
        <f t="shared" si="4"/>
        <v>-2.7088994819733061E-2</v>
      </c>
      <c r="G105" s="23"/>
      <c r="H105" s="23"/>
      <c r="I105" s="91"/>
      <c r="J105" s="91"/>
      <c r="K105" s="91"/>
    </row>
    <row r="106" spans="1:23">
      <c r="A106" s="20">
        <f>HKData!A107</f>
        <v>45384</v>
      </c>
      <c r="B106" s="91">
        <v>103</v>
      </c>
      <c r="C106" s="22">
        <f>DailyHIBOR!C104/252/100</f>
        <v>1.9563492063492065E-4</v>
      </c>
      <c r="D106" s="23">
        <f>LN(HKData!N107/HKData!N106)-C106</f>
        <v>2.3113777296006843E-2</v>
      </c>
      <c r="E106" s="23">
        <f>LN(HKData!F107/HKData!F106)-C106</f>
        <v>3.2956453545914761E-2</v>
      </c>
      <c r="F106" s="23">
        <f t="shared" si="4"/>
        <v>1.9213081222546943E-2</v>
      </c>
      <c r="G106" s="23"/>
      <c r="H106" s="23"/>
      <c r="I106" s="91"/>
      <c r="J106" s="91"/>
      <c r="K106" s="91"/>
    </row>
    <row r="107" spans="1:23">
      <c r="A107" s="20">
        <f>HKData!A108</f>
        <v>45385</v>
      </c>
      <c r="B107" s="91">
        <v>104</v>
      </c>
      <c r="C107" s="22">
        <f>DailyHIBOR!C105/252/100</f>
        <v>1.9563492063492065E-4</v>
      </c>
      <c r="D107" s="23">
        <f>LN(HKData!N108/HKData!N107)-C107</f>
        <v>-1.2462019089509908E-2</v>
      </c>
      <c r="E107" s="23">
        <f>LN(HKData!F108/HKData!F107)-C107</f>
        <v>-1.2346270457112268E-2</v>
      </c>
      <c r="F107" s="23">
        <f t="shared" si="4"/>
        <v>-3.5008954031125299E-3</v>
      </c>
      <c r="G107" s="23"/>
      <c r="H107" s="23"/>
      <c r="I107" s="91"/>
      <c r="J107" s="91"/>
      <c r="K107" s="91"/>
    </row>
    <row r="108" spans="1:23">
      <c r="A108" s="20">
        <f>HKData!A109</f>
        <v>45387</v>
      </c>
      <c r="B108" s="91">
        <v>105</v>
      </c>
      <c r="C108" s="22">
        <f>DailyHIBOR!C106/252/100</f>
        <v>1.9563492063492065E-4</v>
      </c>
      <c r="D108" s="23">
        <f>LN(HKData!N109/HKData!N108)-C108</f>
        <v>-2.6617136786240384E-4</v>
      </c>
      <c r="E108" s="23">
        <f>LN(HKData!F109/HKData!F108)-C108</f>
        <v>2.2462070075624126E-3</v>
      </c>
      <c r="F108" s="23">
        <f t="shared" si="4"/>
        <v>3.347864387562495E-3</v>
      </c>
      <c r="G108" s="23"/>
      <c r="H108" s="23"/>
      <c r="I108" s="91"/>
      <c r="J108" s="91"/>
      <c r="K108" s="91"/>
    </row>
    <row r="109" spans="1:23">
      <c r="A109" s="20">
        <f>HKData!A110</f>
        <v>45390</v>
      </c>
      <c r="B109" s="91">
        <v>106</v>
      </c>
      <c r="C109" s="22">
        <f>DailyHIBOR!C107/252/100</f>
        <v>1.9563492063492065E-4</v>
      </c>
      <c r="D109" s="23">
        <f>LN(HKData!N110/HKData!N109)-C109</f>
        <v>3.3816961800702596E-4</v>
      </c>
      <c r="E109" s="23">
        <f>LN(HKData!F110/HKData!F109)-C109</f>
        <v>-1.493788511798564E-2</v>
      </c>
      <c r="F109" s="23">
        <f t="shared" si="4"/>
        <v>-1.4219952271138986E-2</v>
      </c>
      <c r="G109" s="23"/>
      <c r="H109" s="23"/>
      <c r="I109" s="91"/>
      <c r="J109" s="91"/>
      <c r="K109" s="91"/>
    </row>
    <row r="110" spans="1:23">
      <c r="A110" s="20">
        <f>HKData!A111</f>
        <v>45391</v>
      </c>
      <c r="B110" s="91">
        <v>107</v>
      </c>
      <c r="C110" s="22">
        <f>DailyHIBOR!C108/252/100</f>
        <v>1.9563492063492065E-4</v>
      </c>
      <c r="D110" s="23">
        <f>LN(HKData!N111/HKData!N110)-C110</f>
        <v>5.4788792974674247E-3</v>
      </c>
      <c r="E110" s="23">
        <f>LN(HKData!F111/HKData!F110)-C110</f>
        <v>2.5462515218585061E-2</v>
      </c>
      <c r="F110" s="23">
        <f t="shared" si="4"/>
        <v>2.2916369560164761E-2</v>
      </c>
      <c r="G110" s="23"/>
      <c r="H110" s="23"/>
      <c r="I110" s="91"/>
      <c r="J110" s="91"/>
      <c r="K110" s="91"/>
    </row>
    <row r="111" spans="1:23">
      <c r="A111" s="20">
        <f>HKData!A112</f>
        <v>45392</v>
      </c>
      <c r="B111" s="91">
        <v>108</v>
      </c>
      <c r="C111" s="22">
        <f>DailyHIBOR!C109/252/100</f>
        <v>1.9563492063492065E-4</v>
      </c>
      <c r="D111" s="23">
        <f>LN(HKData!N112/HKData!N111)-C111</f>
        <v>1.812250375719248E-2</v>
      </c>
      <c r="E111" s="23">
        <f>LN(HKData!F112/HKData!F111)-C111</f>
        <v>9.4082593224518382E-3</v>
      </c>
      <c r="F111" s="23">
        <f t="shared" si="4"/>
        <v>-1.1659185340419445E-3</v>
      </c>
      <c r="G111" s="23"/>
      <c r="H111" s="23"/>
      <c r="I111" s="91"/>
      <c r="J111" s="91"/>
      <c r="K111" s="91"/>
    </row>
    <row r="112" spans="1:23">
      <c r="A112" s="20">
        <f>HKData!A113</f>
        <v>45393</v>
      </c>
      <c r="B112" s="91">
        <v>109</v>
      </c>
      <c r="C112" s="22">
        <f>DailyHIBOR!C110/252/100</f>
        <v>1.9563492063492065E-4</v>
      </c>
      <c r="D112" s="23">
        <f>LN(HKData!N113/HKData!N112)-C112</f>
        <v>-2.7743807635829693E-3</v>
      </c>
      <c r="E112" s="23">
        <f>LN(HKData!F113/HKData!F112)-C112</f>
        <v>2.1910874123875902E-3</v>
      </c>
      <c r="F112" s="23">
        <f t="shared" si="4"/>
        <v>4.8853249779583687E-3</v>
      </c>
      <c r="G112" s="23"/>
      <c r="H112" s="23"/>
      <c r="I112" s="91"/>
      <c r="J112" s="91"/>
      <c r="K112" s="91"/>
    </row>
    <row r="113" spans="1:11">
      <c r="A113" s="20">
        <f>HKData!A114</f>
        <v>45394</v>
      </c>
      <c r="B113" s="91">
        <v>110</v>
      </c>
      <c r="C113" s="22">
        <f>DailyHIBOR!C111/252/100</f>
        <v>1.9563492063492065E-4</v>
      </c>
      <c r="D113" s="23">
        <f>LN(HKData!N114/HKData!N113)-C113</f>
        <v>-2.227672537991798E-2</v>
      </c>
      <c r="E113" s="23">
        <f>LN(HKData!F114/HKData!F113)-C113</f>
        <v>-4.9746669828209062E-3</v>
      </c>
      <c r="F113" s="23">
        <f t="shared" si="4"/>
        <v>1.0102526990272521E-2</v>
      </c>
      <c r="G113" s="23"/>
      <c r="H113" s="23"/>
      <c r="I113" s="91"/>
      <c r="J113" s="91"/>
      <c r="K113" s="91"/>
    </row>
    <row r="114" spans="1:11">
      <c r="A114" s="20">
        <f>HKData!A115</f>
        <v>45397</v>
      </c>
      <c r="B114" s="91">
        <v>111</v>
      </c>
      <c r="C114" s="22">
        <f>DailyHIBOR!C112/252/100</f>
        <v>1.9563492063492065E-4</v>
      </c>
      <c r="D114" s="23">
        <f>LN(HKData!N115/HKData!N114)-C114</f>
        <v>-7.4718190235240796E-3</v>
      </c>
      <c r="E114" s="23">
        <f>LN(HKData!F115/HKData!F114)-C114</f>
        <v>-3.7949878831736411E-3</v>
      </c>
      <c r="F114" s="23">
        <f t="shared" si="4"/>
        <v>1.8818743023701957E-3</v>
      </c>
      <c r="G114" s="23"/>
      <c r="H114" s="23"/>
      <c r="I114" s="91"/>
      <c r="J114" s="91"/>
      <c r="K114" s="91"/>
    </row>
    <row r="115" spans="1:11">
      <c r="A115" s="20">
        <f>HKData!A116</f>
        <v>45398</v>
      </c>
      <c r="B115" s="91">
        <v>112</v>
      </c>
      <c r="C115" s="22">
        <f>DailyHIBOR!C113/252/100</f>
        <v>1.9563492063492065E-4</v>
      </c>
      <c r="D115" s="23">
        <f>LN(HKData!N116/HKData!N115)-C115</f>
        <v>-2.159659189342231E-2</v>
      </c>
      <c r="E115" s="23">
        <f>LN(HKData!F116/HKData!F115)-C115</f>
        <v>-1.9613678530409406E-2</v>
      </c>
      <c r="F115" s="23">
        <f t="shared" si="4"/>
        <v>-4.968333316029739E-3</v>
      </c>
      <c r="G115" s="23"/>
      <c r="H115" s="23"/>
      <c r="I115" s="91"/>
      <c r="J115" s="91"/>
      <c r="K115" s="91"/>
    </row>
    <row r="116" spans="1:11">
      <c r="A116" s="20">
        <f>HKData!A117</f>
        <v>45399</v>
      </c>
      <c r="B116" s="91">
        <v>113</v>
      </c>
      <c r="C116" s="22">
        <f>DailyHIBOR!C114/252/100</f>
        <v>1.9563492063492065E-4</v>
      </c>
      <c r="D116" s="23">
        <f>LN(HKData!N117/HKData!N116)-C116</f>
        <v>-1.9016723555858467E-5</v>
      </c>
      <c r="E116" s="23">
        <f>LN(HKData!F117/HKData!F116)-C116</f>
        <v>-2.2501439156574453E-2</v>
      </c>
      <c r="F116" s="23">
        <f t="shared" si="4"/>
        <v>-2.1556711891725821E-2</v>
      </c>
      <c r="G116" s="23"/>
      <c r="H116" s="23"/>
      <c r="I116" s="91"/>
      <c r="J116" s="91"/>
      <c r="K116" s="91"/>
    </row>
    <row r="117" spans="1:11">
      <c r="A117" s="20">
        <f>HKData!A118</f>
        <v>45400</v>
      </c>
      <c r="B117" s="91">
        <v>114</v>
      </c>
      <c r="C117" s="22">
        <f>DailyHIBOR!C115/252/100</f>
        <v>1.9563492063492065E-4</v>
      </c>
      <c r="D117" s="23">
        <f>LN(HKData!N118/HKData!N117)-C117</f>
        <v>8.0175671989971518E-3</v>
      </c>
      <c r="E117" s="23">
        <f>LN(HKData!F118/HKData!F117)-C117</f>
        <v>3.5567865735558653E-3</v>
      </c>
      <c r="F117" s="23">
        <f t="shared" si="4"/>
        <v>-6.0129150813916562E-4</v>
      </c>
      <c r="G117" s="23"/>
      <c r="H117" s="23"/>
      <c r="I117" s="91"/>
      <c r="J117" s="91"/>
      <c r="K117" s="91"/>
    </row>
    <row r="118" spans="1:11">
      <c r="A118" s="20">
        <f>HKData!A119</f>
        <v>45401</v>
      </c>
      <c r="B118" s="91">
        <v>115</v>
      </c>
      <c r="C118" s="22">
        <f>DailyHIBOR!C116/252/100</f>
        <v>1.9563492063492065E-4</v>
      </c>
      <c r="D118" s="23">
        <f>LN(HKData!N119/HKData!N118)-C118</f>
        <v>-1.011472566706525E-2</v>
      </c>
      <c r="E118" s="23">
        <f>LN(HKData!F119/HKData!F118)-C118</f>
        <v>-2.9330074412737335E-2</v>
      </c>
      <c r="F118" s="23">
        <f t="shared" si="4"/>
        <v>-2.1975106419919923E-2</v>
      </c>
      <c r="G118" s="23"/>
      <c r="H118" s="23"/>
      <c r="I118" s="91"/>
      <c r="J118" s="91"/>
      <c r="K118" s="91"/>
    </row>
    <row r="119" spans="1:11">
      <c r="A119" s="20">
        <f>HKData!A120</f>
        <v>45404</v>
      </c>
      <c r="B119" s="91">
        <v>116</v>
      </c>
      <c r="C119" s="22">
        <f>DailyHIBOR!C117/252/100</f>
        <v>1.9563492063492065E-4</v>
      </c>
      <c r="D119" s="23">
        <f>LN(HKData!N120/HKData!N119)-C119</f>
        <v>1.7372711963235192E-2</v>
      </c>
      <c r="E119" s="23">
        <f>LN(HKData!F120/HKData!F119)-C119</f>
        <v>1.3844082313100988E-2</v>
      </c>
      <c r="F119" s="23">
        <f t="shared" si="4"/>
        <v>3.7459825529564308E-3</v>
      </c>
      <c r="G119" s="23"/>
      <c r="H119" s="23"/>
      <c r="I119" s="91"/>
      <c r="J119" s="91"/>
      <c r="K119" s="91"/>
    </row>
    <row r="120" spans="1:11">
      <c r="A120" s="20">
        <f>HKData!A121</f>
        <v>45405</v>
      </c>
      <c r="B120" s="91">
        <v>117</v>
      </c>
      <c r="C120" s="22">
        <f>DailyHIBOR!C118/252/100</f>
        <v>1.9563492063492065E-4</v>
      </c>
      <c r="D120" s="23">
        <f>LN(HKData!N121/HKData!N120)-C120</f>
        <v>1.8835193968202601E-2</v>
      </c>
      <c r="E120" s="23">
        <f>LN(HKData!F121/HKData!F120)-C120</f>
        <v>6.1215404728044457E-3</v>
      </c>
      <c r="F120" s="23">
        <f t="shared" si="4"/>
        <v>-4.9051579389673182E-3</v>
      </c>
      <c r="G120" s="23"/>
      <c r="H120" s="23"/>
      <c r="I120" s="91"/>
      <c r="J120" s="91"/>
      <c r="K120" s="91"/>
    </row>
    <row r="121" spans="1:11">
      <c r="A121" s="20">
        <f>HKData!A122</f>
        <v>45406</v>
      </c>
      <c r="B121" s="91">
        <v>118</v>
      </c>
      <c r="C121" s="22">
        <f>DailyHIBOR!C119/252/100</f>
        <v>1.9563492063492065E-4</v>
      </c>
      <c r="D121" s="23">
        <f>LN(HKData!N122/HKData!N121)-C121</f>
        <v>2.1688145464876001E-2</v>
      </c>
      <c r="E121" s="23">
        <f>LN(HKData!F122/HKData!F121)-C121</f>
        <v>1.0629996619914849E-3</v>
      </c>
      <c r="F121" s="23">
        <f t="shared" si="4"/>
        <v>-1.1775171919344352E-2</v>
      </c>
      <c r="G121" s="23"/>
      <c r="H121" s="23"/>
      <c r="I121" s="91"/>
      <c r="J121" s="91"/>
      <c r="K121" s="91"/>
    </row>
    <row r="122" spans="1:11">
      <c r="A122" s="20">
        <f>HKData!A123</f>
        <v>45407</v>
      </c>
      <c r="B122" s="91">
        <v>119</v>
      </c>
      <c r="C122" s="22">
        <f>DailyHIBOR!C120/252/100</f>
        <v>1.9563492063492065E-4</v>
      </c>
      <c r="D122" s="23">
        <f>LN(HKData!N123/HKData!N122)-C122</f>
        <v>4.6335801376792768E-3</v>
      </c>
      <c r="E122" s="23">
        <f>LN(HKData!F123/HKData!F122)-C122</f>
        <v>-5.2397709747122722E-3</v>
      </c>
      <c r="F122" s="23">
        <f t="shared" si="4"/>
        <v>-7.2491964154924428E-3</v>
      </c>
      <c r="G122" s="23"/>
      <c r="H122" s="23"/>
      <c r="I122" s="91"/>
      <c r="J122" s="91"/>
      <c r="K122" s="91"/>
    </row>
    <row r="123" spans="1:11">
      <c r="A123" s="20">
        <f>HKData!A124</f>
        <v>45408</v>
      </c>
      <c r="B123" s="91">
        <v>120</v>
      </c>
      <c r="C123" s="22">
        <f>DailyHIBOR!C121/252/100</f>
        <v>1.9563492063492065E-4</v>
      </c>
      <c r="D123" s="23">
        <f>LN(HKData!N124/HKData!N123)-C123</f>
        <v>2.0792918163478655E-2</v>
      </c>
      <c r="E123" s="23">
        <f>LN(HKData!F124/HKData!F123)-C123</f>
        <v>2.600672910038138E-2</v>
      </c>
      <c r="F123" s="23">
        <f t="shared" si="4"/>
        <v>1.3736979463489205E-2</v>
      </c>
      <c r="G123" s="23"/>
      <c r="H123" s="23"/>
      <c r="I123" s="91"/>
      <c r="J123" s="91"/>
      <c r="K123" s="91"/>
    </row>
    <row r="124" spans="1:11">
      <c r="A124" s="20">
        <f>HKData!A125</f>
        <v>45411</v>
      </c>
      <c r="B124" s="91">
        <v>121</v>
      </c>
      <c r="C124" s="22">
        <f>DailyHIBOR!C122/252/100</f>
        <v>1.9563492063492065E-4</v>
      </c>
      <c r="D124" s="23">
        <f>LN(HKData!N125/HKData!N124)-C124</f>
        <v>5.2148309492208895E-3</v>
      </c>
      <c r="E124" s="23">
        <f>LN(HKData!F125/HKData!F124)-C124</f>
        <v>1.9317137861276552E-2</v>
      </c>
      <c r="F124" s="23">
        <f t="shared" si="4"/>
        <v>1.6938648925683131E-2</v>
      </c>
      <c r="G124" s="23"/>
      <c r="H124" s="23"/>
      <c r="I124" s="91"/>
      <c r="J124" s="91"/>
      <c r="K124" s="91"/>
    </row>
    <row r="125" spans="1:11">
      <c r="A125" s="20">
        <f>HKData!A126</f>
        <v>45412</v>
      </c>
      <c r="B125" s="91">
        <v>122</v>
      </c>
      <c r="C125" s="22">
        <f>DailyHIBOR!C123/252/100</f>
        <v>1.9563492063492065E-4</v>
      </c>
      <c r="D125" s="23">
        <f>LN(HKData!N126/HKData!N125)-C125</f>
        <v>7.1223155170427473E-4</v>
      </c>
      <c r="E125" s="23">
        <f>LN(HKData!F126/HKData!F125)-C125</f>
        <v>-1.8477593705001745E-2</v>
      </c>
      <c r="F125" s="23">
        <f t="shared" si="4"/>
        <v>-1.7997170383794739E-2</v>
      </c>
      <c r="G125" s="23"/>
      <c r="H125" s="23"/>
      <c r="I125" s="91"/>
      <c r="J125" s="91"/>
      <c r="K125" s="91"/>
    </row>
    <row r="126" spans="1:11">
      <c r="A126" s="20">
        <f>HKData!A127</f>
        <v>45414</v>
      </c>
      <c r="B126" s="91">
        <v>123</v>
      </c>
      <c r="C126" s="22">
        <f>DailyHIBOR!C124/252/100</f>
        <v>2.0952380952380954E-4</v>
      </c>
      <c r="D126" s="23">
        <f>LN(HKData!N127/HKData!N126)-C126</f>
        <v>2.4484507461069491E-2</v>
      </c>
      <c r="E126" s="23">
        <f>LN(HKData!F127/HKData!F126)-C126</f>
        <v>4.6645988636066067E-2</v>
      </c>
      <c r="F126" s="23">
        <f t="shared" si="4"/>
        <v>3.2032275222210596E-2</v>
      </c>
      <c r="G126" s="23"/>
      <c r="H126" s="23"/>
      <c r="I126" s="91"/>
      <c r="J126" s="91"/>
      <c r="K126" s="91"/>
    </row>
    <row r="127" spans="1:11">
      <c r="A127" s="20">
        <f>HKData!A128</f>
        <v>45415</v>
      </c>
      <c r="B127" s="91">
        <v>124</v>
      </c>
      <c r="C127" s="22">
        <f>DailyHIBOR!C125/252/100</f>
        <v>2.0952380952380954E-4</v>
      </c>
      <c r="D127" s="23">
        <f>LN(HKData!N128/HKData!N127)-C127</f>
        <v>1.4445411772240036E-2</v>
      </c>
      <c r="E127" s="23">
        <f>LN(HKData!F128/HKData!F127)-C127</f>
        <v>5.0144250156631993E-2</v>
      </c>
      <c r="F127" s="23">
        <f t="shared" si="4"/>
        <v>4.1904831051041355E-2</v>
      </c>
      <c r="G127" s="23"/>
      <c r="H127" s="23"/>
      <c r="I127" s="91"/>
      <c r="J127" s="91"/>
      <c r="K127" s="91"/>
    </row>
    <row r="128" spans="1:11">
      <c r="A128" s="20">
        <f>HKData!A129</f>
        <v>45418</v>
      </c>
      <c r="B128" s="91">
        <v>125</v>
      </c>
      <c r="C128" s="22">
        <f>DailyHIBOR!C126/252/100</f>
        <v>2.0952380952380954E-4</v>
      </c>
      <c r="D128" s="23">
        <f>LN(HKData!N129/HKData!N128)-C128</f>
        <v>5.3164928204105111E-3</v>
      </c>
      <c r="E128" s="23">
        <f>LN(HKData!F129/HKData!F128)-C128</f>
        <v>-2.3926042195336214E-2</v>
      </c>
      <c r="F128" s="23">
        <f t="shared" si="4"/>
        <v>-2.6369081037313395E-2</v>
      </c>
      <c r="G128" s="23"/>
      <c r="H128" s="23"/>
      <c r="I128" s="91"/>
      <c r="J128" s="91"/>
      <c r="K128" s="91"/>
    </row>
    <row r="129" spans="1:11">
      <c r="A129" s="20">
        <f>HKData!A130</f>
        <v>45419</v>
      </c>
      <c r="B129" s="91">
        <v>126</v>
      </c>
      <c r="C129" s="22">
        <f>DailyHIBOR!C127/252/100</f>
        <v>2.0952380952380954E-4</v>
      </c>
      <c r="D129" s="23">
        <f>LN(HKData!N130/HKData!N129)-C129</f>
        <v>-5.5488706096439586E-3</v>
      </c>
      <c r="E129" s="23">
        <f>LN(HKData!F130/HKData!F129)-C129</f>
        <v>-1.4018748113883046E-2</v>
      </c>
      <c r="F129" s="23">
        <f t="shared" si="4"/>
        <v>-9.5628563732490894E-3</v>
      </c>
      <c r="G129" s="23"/>
      <c r="H129" s="23"/>
      <c r="I129" s="91"/>
      <c r="J129" s="91"/>
      <c r="K129" s="91"/>
    </row>
    <row r="130" spans="1:11">
      <c r="A130" s="20">
        <f>HKData!A131</f>
        <v>45420</v>
      </c>
      <c r="B130" s="91">
        <v>127</v>
      </c>
      <c r="C130" s="22">
        <f>DailyHIBOR!C128/252/100</f>
        <v>2.0952380952380954E-4</v>
      </c>
      <c r="D130" s="23">
        <f>LN(HKData!N131/HKData!N130)-C130</f>
        <v>-9.2063359241674279E-3</v>
      </c>
      <c r="E130" s="23">
        <f>LN(HKData!F131/HKData!F130)-C130</f>
        <v>-1.6564962941116947E-2</v>
      </c>
      <c r="F130" s="23">
        <f t="shared" si="4"/>
        <v>-9.7867743462967775E-3</v>
      </c>
      <c r="G130" s="23"/>
      <c r="H130" s="23"/>
      <c r="I130" s="91"/>
      <c r="J130" s="91"/>
      <c r="K130" s="91"/>
    </row>
    <row r="131" spans="1:11">
      <c r="A131" s="20">
        <f>HKData!A132</f>
        <v>45421</v>
      </c>
      <c r="B131" s="91">
        <v>128</v>
      </c>
      <c r="C131" s="22">
        <f>DailyHIBOR!C129/252/100</f>
        <v>2.0952380952380954E-4</v>
      </c>
      <c r="D131" s="23">
        <f>LN(HKData!N132/HKData!N131)-C131</f>
        <v>1.1944819770155777E-2</v>
      </c>
      <c r="E131" s="23">
        <f>LN(HKData!F132/HKData!F131)-C131</f>
        <v>1.4986512252642125E-2</v>
      </c>
      <c r="F131" s="23">
        <f t="shared" si="4"/>
        <v>8.3348366909161264E-3</v>
      </c>
      <c r="G131" s="23"/>
      <c r="H131" s="23"/>
      <c r="I131" s="91"/>
      <c r="J131" s="91"/>
      <c r="K131" s="91"/>
    </row>
    <row r="132" spans="1:11">
      <c r="A132" s="20">
        <f>HKData!A133</f>
        <v>45422</v>
      </c>
      <c r="B132" s="91">
        <v>129</v>
      </c>
      <c r="C132" s="22">
        <f>DailyHIBOR!C130/252/100</f>
        <v>2.0952380952380954E-4</v>
      </c>
      <c r="D132" s="23">
        <f>LN(HKData!N133/HKData!N132)-C132</f>
        <v>2.2503570848099029E-2</v>
      </c>
      <c r="E132" s="23">
        <f>LN(HKData!F133/HKData!F132)-C132</f>
        <v>6.7269346993437083E-3</v>
      </c>
      <c r="F132" s="23">
        <f t="shared" si="4"/>
        <v>-6.6289888329847634E-3</v>
      </c>
      <c r="G132" s="23"/>
      <c r="H132" s="23"/>
      <c r="I132" s="91"/>
      <c r="J132" s="91"/>
      <c r="K132" s="91"/>
    </row>
    <row r="133" spans="1:11">
      <c r="A133" s="20">
        <f>HKData!A134</f>
        <v>45425</v>
      </c>
      <c r="B133" s="91">
        <v>130</v>
      </c>
      <c r="C133" s="22">
        <f>DailyHIBOR!C131/252/100</f>
        <v>2.0952380952380954E-4</v>
      </c>
      <c r="D133" s="23">
        <f>LN(HKData!N134/HKData!N133)-C133</f>
        <v>7.7414564982863253E-3</v>
      </c>
      <c r="E133" s="23">
        <f>LN(HKData!F134/HKData!F133)-C133</f>
        <v>1.3520697433117039E-2</v>
      </c>
      <c r="F133" s="23">
        <f t="shared" ref="F133:F196" si="5">E133-($I$6+$I$7*D133)</f>
        <v>9.5379350295014993E-3</v>
      </c>
      <c r="G133" s="23"/>
      <c r="H133" s="23"/>
      <c r="I133" s="91"/>
      <c r="J133" s="91"/>
      <c r="K133" s="91"/>
    </row>
    <row r="134" spans="1:11">
      <c r="A134" s="20">
        <f>HKData!A135</f>
        <v>45426</v>
      </c>
      <c r="B134" s="91">
        <v>131</v>
      </c>
      <c r="C134" s="22">
        <f>DailyHIBOR!C132/252/100</f>
        <v>2.0952380952380954E-4</v>
      </c>
      <c r="D134" s="23">
        <f>LN(HKData!N135/HKData!N134)-C134</f>
        <v>-2.3750622087464301E-3</v>
      </c>
      <c r="E134" s="23">
        <f>LN(HKData!F135/HKData!F134)-C134</f>
        <v>-9.3419870819995473E-3</v>
      </c>
      <c r="F134" s="23">
        <f t="shared" si="5"/>
        <v>-6.9012956594455485E-3</v>
      </c>
      <c r="G134" s="23"/>
      <c r="H134" s="23"/>
      <c r="I134" s="91"/>
      <c r="J134" s="91"/>
      <c r="K134" s="91"/>
    </row>
    <row r="135" spans="1:11">
      <c r="A135" s="20">
        <f>HKData!A136</f>
        <v>45428</v>
      </c>
      <c r="B135" s="91">
        <v>132</v>
      </c>
      <c r="C135" s="22">
        <f>DailyHIBOR!C133/252/100</f>
        <v>2.0952380952380954E-4</v>
      </c>
      <c r="D135" s="23">
        <f>LN(HKData!N136/HKData!N135)-C135</f>
        <v>1.5541983516554222E-2</v>
      </c>
      <c r="E135" s="23">
        <f>LN(HKData!F136/HKData!F135)-C135</f>
        <v>8.9229394629519749E-3</v>
      </c>
      <c r="F135" s="23">
        <f t="shared" si="5"/>
        <v>-1.2744649472257522E-5</v>
      </c>
      <c r="G135" s="23"/>
      <c r="H135" s="23"/>
      <c r="I135" s="91"/>
      <c r="J135" s="91"/>
      <c r="K135" s="91"/>
    </row>
    <row r="136" spans="1:11">
      <c r="A136" s="20">
        <f>HKData!A137</f>
        <v>45429</v>
      </c>
      <c r="B136" s="91">
        <v>133</v>
      </c>
      <c r="C136" s="22">
        <f>DailyHIBOR!C134/252/100</f>
        <v>2.0952380952380954E-4</v>
      </c>
      <c r="D136" s="23">
        <f>LN(HKData!N137/HKData!N136)-C136</f>
        <v>8.8878647672140654E-3</v>
      </c>
      <c r="E136" s="23">
        <f>LN(HKData!F137/HKData!F136)-C136</f>
        <v>1.2212925771131819E-2</v>
      </c>
      <c r="F136" s="23">
        <f t="shared" si="5"/>
        <v>7.5022548058213279E-3</v>
      </c>
      <c r="G136" s="23"/>
      <c r="H136" s="23"/>
      <c r="I136" s="91"/>
      <c r="J136" s="91"/>
      <c r="K136" s="91"/>
    </row>
    <row r="137" spans="1:11">
      <c r="A137" s="20">
        <f>HKData!A138</f>
        <v>45432</v>
      </c>
      <c r="B137" s="91">
        <v>134</v>
      </c>
      <c r="C137" s="22">
        <f>DailyHIBOR!C135/252/100</f>
        <v>2.0952380952380954E-4</v>
      </c>
      <c r="D137" s="23">
        <f>LN(HKData!N138/HKData!N137)-C137</f>
        <v>4.0064398894169729E-3</v>
      </c>
      <c r="E137" s="23">
        <f>LN(HKData!F138/HKData!F137)-C137</f>
        <v>1.5381100781697382E-2</v>
      </c>
      <c r="F137" s="23">
        <f t="shared" si="5"/>
        <v>1.3769876198732555E-2</v>
      </c>
      <c r="G137" s="23"/>
      <c r="H137" s="23"/>
      <c r="I137" s="91"/>
      <c r="J137" s="91"/>
      <c r="K137" s="91"/>
    </row>
    <row r="138" spans="1:11">
      <c r="A138" s="20">
        <f>HKData!A139</f>
        <v>45433</v>
      </c>
      <c r="B138" s="91">
        <v>135</v>
      </c>
      <c r="C138" s="22">
        <f>DailyHIBOR!C136/252/100</f>
        <v>2.0952380952380954E-4</v>
      </c>
      <c r="D138" s="23">
        <f>LN(HKData!N139/HKData!N138)-C138</f>
        <v>-2.1601763286018379E-2</v>
      </c>
      <c r="E138" s="23">
        <f>LN(HKData!F139/HKData!F138)-C138</f>
        <v>-3.1637461714568813E-2</v>
      </c>
      <c r="F138" s="23">
        <f t="shared" si="5"/>
        <v>-1.6988832939656136E-2</v>
      </c>
      <c r="G138" s="23"/>
      <c r="H138" s="23"/>
      <c r="I138" s="91"/>
      <c r="J138" s="91"/>
      <c r="K138" s="91"/>
    </row>
    <row r="139" spans="1:11">
      <c r="A139" s="20">
        <f>HKData!A140</f>
        <v>45434</v>
      </c>
      <c r="B139" s="91">
        <v>136</v>
      </c>
      <c r="C139" s="22">
        <f>DailyHIBOR!C137/252/100</f>
        <v>2.0952380952380954E-4</v>
      </c>
      <c r="D139" s="23">
        <f>LN(HKData!N140/HKData!N139)-C139</f>
        <v>-1.512074430148001E-3</v>
      </c>
      <c r="E139" s="23">
        <f>LN(HKData!F140/HKData!F139)-C139</f>
        <v>-3.6362060108531499E-3</v>
      </c>
      <c r="F139" s="23">
        <f t="shared" si="5"/>
        <v>-1.7434661424757889E-3</v>
      </c>
      <c r="G139" s="23"/>
      <c r="H139" s="23"/>
      <c r="I139" s="91"/>
      <c r="J139" s="91"/>
      <c r="K139" s="91"/>
    </row>
    <row r="140" spans="1:11">
      <c r="A140" s="20">
        <f>HKData!A141</f>
        <v>45435</v>
      </c>
      <c r="B140" s="91">
        <v>137</v>
      </c>
      <c r="C140" s="22">
        <f>DailyHIBOR!C138/252/100</f>
        <v>2.0952380952380954E-4</v>
      </c>
      <c r="D140" s="23">
        <f>LN(HKData!N141/HKData!N140)-C140</f>
        <v>-1.7385545315243126E-2</v>
      </c>
      <c r="E140" s="23">
        <f>LN(HKData!F141/HKData!F140)-C140</f>
        <v>-2.5703285833091494E-2</v>
      </c>
      <c r="F140" s="23">
        <f t="shared" si="5"/>
        <v>-1.3731732269586659E-2</v>
      </c>
      <c r="G140" s="23"/>
      <c r="H140" s="23"/>
      <c r="I140" s="91"/>
      <c r="J140" s="91"/>
      <c r="K140" s="91"/>
    </row>
    <row r="141" spans="1:11">
      <c r="A141" s="20">
        <f>HKData!A142</f>
        <v>45436</v>
      </c>
      <c r="B141" s="91">
        <v>138</v>
      </c>
      <c r="C141" s="22">
        <f>DailyHIBOR!C139/252/100</f>
        <v>2.0952380952380954E-4</v>
      </c>
      <c r="D141" s="23">
        <f>LN(HKData!N142/HKData!N141)-C141</f>
        <v>-1.4072487038662164E-2</v>
      </c>
      <c r="E141" s="23">
        <f>LN(HKData!F142/HKData!F141)-C141</f>
        <v>-1.0829174573506063E-2</v>
      </c>
      <c r="F141" s="23">
        <f t="shared" si="5"/>
        <v>-9.6123762746790423E-4</v>
      </c>
      <c r="G141" s="23"/>
      <c r="H141" s="23"/>
      <c r="I141" s="91"/>
      <c r="J141" s="91"/>
      <c r="K141" s="91"/>
    </row>
    <row r="142" spans="1:11">
      <c r="A142" s="20">
        <f>HKData!A143</f>
        <v>45439</v>
      </c>
      <c r="B142" s="91">
        <v>139</v>
      </c>
      <c r="C142" s="22">
        <f>DailyHIBOR!C140/252/100</f>
        <v>2.0952380952380954E-4</v>
      </c>
      <c r="D142" s="23">
        <f>LN(HKData!N143/HKData!N142)-C142</f>
        <v>1.1458974315117368E-2</v>
      </c>
      <c r="E142" s="23">
        <f>LN(HKData!F143/HKData!F142)-C142</f>
        <v>-3.7746583257712301E-3</v>
      </c>
      <c r="F142" s="23">
        <f t="shared" si="5"/>
        <v>-1.0117847743452041E-2</v>
      </c>
      <c r="G142" s="23"/>
      <c r="H142" s="23"/>
      <c r="I142" s="91"/>
      <c r="J142" s="91"/>
      <c r="K142" s="91"/>
    </row>
    <row r="143" spans="1:11">
      <c r="A143" s="20">
        <f>HKData!A144</f>
        <v>45440</v>
      </c>
      <c r="B143" s="91">
        <v>140</v>
      </c>
      <c r="C143" s="22">
        <f>DailyHIBOR!C141/252/100</f>
        <v>2.0952380952380954E-4</v>
      </c>
      <c r="D143" s="23">
        <f>LN(HKData!N144/HKData!N143)-C143</f>
        <v>-5.3832583750815254E-4</v>
      </c>
      <c r="E143" s="23">
        <f>LN(HKData!F144/HKData!F143)-C143</f>
        <v>-6.1796013430047607E-3</v>
      </c>
      <c r="F143" s="23">
        <f t="shared" si="5"/>
        <v>-4.9051402822147799E-3</v>
      </c>
      <c r="G143" s="23"/>
      <c r="H143" s="23"/>
      <c r="I143" s="91"/>
      <c r="J143" s="91"/>
      <c r="K143" s="91"/>
    </row>
    <row r="144" spans="1:11">
      <c r="A144" s="20">
        <f>HKData!A145</f>
        <v>45441</v>
      </c>
      <c r="B144" s="91">
        <v>141</v>
      </c>
      <c r="C144" s="22">
        <f>DailyHIBOR!C142/252/100</f>
        <v>2.0952380952380954E-4</v>
      </c>
      <c r="D144" s="23">
        <f>LN(HKData!N145/HKData!N144)-C144</f>
        <v>-1.8664057024395855E-2</v>
      </c>
      <c r="E144" s="23">
        <f>LN(HKData!F145/HKData!F144)-C144</f>
        <v>1.5239277545541845E-2</v>
      </c>
      <c r="F144" s="23">
        <f t="shared" si="5"/>
        <v>2.8022618361933441E-2</v>
      </c>
      <c r="G144" s="23"/>
      <c r="H144" s="23"/>
      <c r="I144" s="91"/>
      <c r="J144" s="91"/>
      <c r="K144" s="91"/>
    </row>
    <row r="145" spans="1:11">
      <c r="A145" s="20">
        <f>HKData!A146</f>
        <v>45442</v>
      </c>
      <c r="B145" s="91">
        <v>142</v>
      </c>
      <c r="C145" s="22">
        <f>DailyHIBOR!C143/252/100</f>
        <v>2.0952380952380954E-4</v>
      </c>
      <c r="D145" s="23">
        <f>LN(HKData!N146/HKData!N145)-C145</f>
        <v>-1.3657786692477662E-2</v>
      </c>
      <c r="E145" s="23">
        <f>LN(HKData!F146/HKData!F145)-C145</f>
        <v>-2.0460182822540154E-2</v>
      </c>
      <c r="F145" s="23">
        <f t="shared" si="5"/>
        <v>-1.0855558642736577E-2</v>
      </c>
      <c r="G145" s="23"/>
      <c r="H145" s="23"/>
      <c r="I145" s="91"/>
      <c r="J145" s="91"/>
      <c r="K145" s="91"/>
    </row>
    <row r="146" spans="1:11">
      <c r="A146" s="20">
        <f>HKData!A147</f>
        <v>45443</v>
      </c>
      <c r="B146" s="91">
        <v>143</v>
      </c>
      <c r="C146" s="22">
        <f>DailyHIBOR!C144/252/100</f>
        <v>2.0952380952380954E-4</v>
      </c>
      <c r="D146" s="23">
        <f>LN(HKData!N147/HKData!N146)-C146</f>
        <v>-8.5037554625706328E-3</v>
      </c>
      <c r="E146" s="23">
        <f>LN(HKData!F147/HKData!F146)-C146</f>
        <v>-8.6689091072692202E-3</v>
      </c>
      <c r="F146" s="23">
        <f t="shared" si="5"/>
        <v>-2.3368219120440082E-3</v>
      </c>
      <c r="G146" s="23"/>
      <c r="H146" s="23"/>
      <c r="I146" s="91"/>
      <c r="J146" s="91"/>
      <c r="K146" s="91"/>
    </row>
    <row r="147" spans="1:11">
      <c r="A147" s="20">
        <f>HKData!A148</f>
        <v>45446</v>
      </c>
      <c r="B147" s="91">
        <v>144</v>
      </c>
      <c r="C147" s="22">
        <f>DailyHIBOR!C145/252/100</f>
        <v>1.6865079365079364E-4</v>
      </c>
      <c r="D147" s="23">
        <f>LN(HKData!N148/HKData!N147)-C147</f>
        <v>1.7562417257444857E-2</v>
      </c>
      <c r="E147" s="23">
        <f>LN(HKData!F148/HKData!F147)-C147</f>
        <v>8.2907345040944599E-3</v>
      </c>
      <c r="F147" s="23">
        <f t="shared" si="5"/>
        <v>-1.9278180751694431E-3</v>
      </c>
      <c r="G147" s="23"/>
      <c r="H147" s="23"/>
      <c r="I147" s="91"/>
      <c r="J147" s="91"/>
      <c r="K147" s="91"/>
    </row>
    <row r="148" spans="1:11">
      <c r="A148" s="20">
        <f>HKData!A149</f>
        <v>45447</v>
      </c>
      <c r="B148" s="91">
        <v>145</v>
      </c>
      <c r="C148" s="22">
        <f>DailyHIBOR!C146/252/100</f>
        <v>1.6865079365079364E-4</v>
      </c>
      <c r="D148" s="23">
        <f>LN(HKData!N149/HKData!N148)-C148</f>
        <v>2.0605762293164978E-3</v>
      </c>
      <c r="E148" s="23">
        <f>LN(HKData!F149/HKData!F148)-C148</f>
        <v>5.83007712194106E-3</v>
      </c>
      <c r="F148" s="23">
        <f t="shared" si="5"/>
        <v>5.4543729521384747E-3</v>
      </c>
      <c r="G148" s="23"/>
      <c r="H148" s="23"/>
      <c r="I148" s="91"/>
      <c r="J148" s="91"/>
      <c r="K148" s="91"/>
    </row>
    <row r="149" spans="1:11">
      <c r="A149" s="20">
        <f>HKData!A150</f>
        <v>45448</v>
      </c>
      <c r="B149" s="91">
        <v>146</v>
      </c>
      <c r="C149" s="22">
        <f>DailyHIBOR!C147/252/100</f>
        <v>1.6865079365079364E-4</v>
      </c>
      <c r="D149" s="23">
        <f>LN(HKData!N150/HKData!N149)-C149</f>
        <v>-1.2073772415589017E-3</v>
      </c>
      <c r="E149" s="23">
        <f>LN(HKData!F150/HKData!F149)-C149</f>
        <v>3.4135110108939461E-3</v>
      </c>
      <c r="F149" s="23">
        <f t="shared" si="5"/>
        <v>5.1127842947134051E-3</v>
      </c>
      <c r="G149" s="23"/>
      <c r="H149" s="23"/>
      <c r="I149" s="91"/>
      <c r="J149" s="91"/>
      <c r="K149" s="91"/>
    </row>
    <row r="150" spans="1:11">
      <c r="A150" s="20">
        <f>HKData!A151</f>
        <v>45449</v>
      </c>
      <c r="B150" s="91">
        <v>147</v>
      </c>
      <c r="C150" s="22">
        <f>DailyHIBOR!C148/252/100</f>
        <v>1.6865079365079364E-4</v>
      </c>
      <c r="D150" s="23">
        <f>LN(HKData!N151/HKData!N150)-C150</f>
        <v>2.6409645437852568E-3</v>
      </c>
      <c r="E150" s="23">
        <f>LN(HKData!F151/HKData!F150)-C150</f>
        <v>-4.9476828558367792E-3</v>
      </c>
      <c r="F150" s="23">
        <f t="shared" si="5"/>
        <v>-5.6919028804706083E-3</v>
      </c>
      <c r="G150" s="23"/>
      <c r="H150" s="23"/>
      <c r="I150" s="91"/>
      <c r="J150" s="91"/>
      <c r="K150" s="91"/>
    </row>
    <row r="151" spans="1:11">
      <c r="A151" s="20">
        <f>HKData!A152</f>
        <v>45450</v>
      </c>
      <c r="B151" s="91">
        <v>148</v>
      </c>
      <c r="C151" s="22">
        <f>DailyHIBOR!C149/252/100</f>
        <v>1.6865079365079364E-4</v>
      </c>
      <c r="D151" s="23">
        <f>LN(HKData!N152/HKData!N151)-C151</f>
        <v>-6.1317727894215218E-3</v>
      </c>
      <c r="E151" s="23">
        <f>LN(HKData!F152/HKData!F151)-C151</f>
        <v>2.7003679161627374E-2</v>
      </c>
      <c r="F151" s="23">
        <f t="shared" si="5"/>
        <v>3.1829682928483538E-2</v>
      </c>
      <c r="G151" s="23"/>
      <c r="H151" s="23"/>
      <c r="I151" s="91"/>
      <c r="J151" s="91"/>
      <c r="K151" s="91"/>
    </row>
    <row r="152" spans="1:11">
      <c r="A152" s="20">
        <f>HKData!A153</f>
        <v>45454</v>
      </c>
      <c r="B152" s="91">
        <v>149</v>
      </c>
      <c r="C152" s="22">
        <f>DailyHIBOR!C150/252/100</f>
        <v>1.6865079365079364E-4</v>
      </c>
      <c r="D152" s="23">
        <f>LN(HKData!N153/HKData!N152)-C152</f>
        <v>-1.06007223736966E-2</v>
      </c>
      <c r="E152" s="23">
        <f>LN(HKData!F153/HKData!F152)-C152</f>
        <v>-1.7805768699200582E-2</v>
      </c>
      <c r="F152" s="23">
        <f t="shared" si="5"/>
        <v>-1.0142218525583491E-2</v>
      </c>
      <c r="G152" s="23"/>
      <c r="H152" s="23"/>
      <c r="I152" s="91"/>
      <c r="J152" s="91"/>
      <c r="K152" s="91"/>
    </row>
    <row r="153" spans="1:11">
      <c r="A153" s="20">
        <f>HKData!A154</f>
        <v>45455</v>
      </c>
      <c r="B153" s="91">
        <v>150</v>
      </c>
      <c r="C153" s="22">
        <f>DailyHIBOR!C151/252/100</f>
        <v>1.6865079365079364E-4</v>
      </c>
      <c r="D153" s="23">
        <f>LN(HKData!N154/HKData!N153)-C153</f>
        <v>-1.3376951213614097E-2</v>
      </c>
      <c r="E153" s="23">
        <f>LN(HKData!F154/HKData!F153)-C153</f>
        <v>-1.4505720501329835E-2</v>
      </c>
      <c r="F153" s="23">
        <f t="shared" si="5"/>
        <v>-5.0794119836103171E-3</v>
      </c>
      <c r="G153" s="23"/>
      <c r="H153" s="23"/>
      <c r="I153" s="91"/>
      <c r="J153" s="91"/>
      <c r="K153" s="91"/>
    </row>
    <row r="154" spans="1:11">
      <c r="A154" s="20">
        <f>HKData!A155</f>
        <v>45456</v>
      </c>
      <c r="B154" s="91">
        <v>151</v>
      </c>
      <c r="C154" s="22">
        <f>DailyHIBOR!C152/252/100</f>
        <v>1.6865079365079364E-4</v>
      </c>
      <c r="D154" s="23">
        <f>LN(HKData!N155/HKData!N154)-C154</f>
        <v>9.5284423038669488E-3</v>
      </c>
      <c r="E154" s="23">
        <f>LN(HKData!F155/HKData!F154)-C154</f>
        <v>1.0603284397780879E-2</v>
      </c>
      <c r="F154" s="23">
        <f t="shared" si="5"/>
        <v>5.4858806078762149E-3</v>
      </c>
      <c r="G154" s="23"/>
      <c r="H154" s="23"/>
      <c r="I154" s="91"/>
      <c r="J154" s="91"/>
      <c r="K154" s="91"/>
    </row>
    <row r="155" spans="1:11">
      <c r="A155" s="20">
        <f>HKData!A156</f>
        <v>45457</v>
      </c>
      <c r="B155" s="91">
        <v>152</v>
      </c>
      <c r="C155" s="22">
        <f>DailyHIBOR!C153/252/100</f>
        <v>1.6865079365079364E-4</v>
      </c>
      <c r="D155" s="23">
        <f>LN(HKData!N156/HKData!N155)-C155</f>
        <v>-9.6461510841551346E-3</v>
      </c>
      <c r="E155" s="23">
        <f>LN(HKData!F156/HKData!F155)-C155</f>
        <v>2.2095577861155347E-3</v>
      </c>
      <c r="F155" s="23">
        <f t="shared" si="5"/>
        <v>9.2670057243960623E-3</v>
      </c>
      <c r="G155" s="23"/>
      <c r="H155" s="23"/>
      <c r="I155" s="91"/>
      <c r="J155" s="91"/>
      <c r="K155" s="91"/>
    </row>
    <row r="156" spans="1:11">
      <c r="A156" s="20">
        <f>HKData!A157</f>
        <v>45460</v>
      </c>
      <c r="B156" s="91">
        <v>153</v>
      </c>
      <c r="C156" s="22">
        <f>DailyHIBOR!C154/252/100</f>
        <v>1.6865079365079364E-4</v>
      </c>
      <c r="D156" s="23">
        <f>LN(HKData!N157/HKData!N156)-C156</f>
        <v>-4.8417408478322897E-4</v>
      </c>
      <c r="E156" s="23">
        <f>LN(HKData!F157/HKData!F156)-C156</f>
        <v>3.0243012622237088E-2</v>
      </c>
      <c r="F156" s="23">
        <f t="shared" si="5"/>
        <v>3.148309018675647E-2</v>
      </c>
      <c r="G156" s="23"/>
      <c r="H156" s="23"/>
      <c r="I156" s="91"/>
      <c r="J156" s="91"/>
      <c r="K156" s="91"/>
    </row>
    <row r="157" spans="1:11">
      <c r="A157" s="20">
        <f>HKData!A158</f>
        <v>45461</v>
      </c>
      <c r="B157" s="91">
        <v>154</v>
      </c>
      <c r="C157" s="22">
        <f>DailyHIBOR!C155/252/100</f>
        <v>1.6865079365079364E-4</v>
      </c>
      <c r="D157" s="23">
        <f>LN(HKData!N158/HKData!N157)-C157</f>
        <v>-1.316065219614475E-3</v>
      </c>
      <c r="E157" s="23">
        <f>LN(HKData!F158/HKData!F157)-C157</f>
        <v>-2.4755405645887291E-3</v>
      </c>
      <c r="F157" s="23">
        <f t="shared" si="5"/>
        <v>-7.0725616847682089E-4</v>
      </c>
      <c r="G157" s="23"/>
      <c r="H157" s="23"/>
      <c r="I157" s="91"/>
      <c r="J157" s="91"/>
      <c r="K157" s="91"/>
    </row>
    <row r="158" spans="1:11">
      <c r="A158" s="20">
        <f>HKData!A159</f>
        <v>45462</v>
      </c>
      <c r="B158" s="91">
        <v>155</v>
      </c>
      <c r="C158" s="22">
        <f>DailyHIBOR!C156/252/100</f>
        <v>1.6865079365079364E-4</v>
      </c>
      <c r="D158" s="23">
        <f>LN(HKData!N159/HKData!N158)-C158</f>
        <v>2.8163221302551715E-2</v>
      </c>
      <c r="E158" s="23">
        <f>LN(HKData!F159/HKData!F158)-C158</f>
        <v>2.3791532038859326E-2</v>
      </c>
      <c r="F158" s="23">
        <f t="shared" si="5"/>
        <v>6.8420300810628602E-3</v>
      </c>
      <c r="G158" s="23"/>
      <c r="H158" s="23"/>
      <c r="I158" s="91"/>
      <c r="J158" s="91"/>
      <c r="K158" s="91"/>
    </row>
    <row r="159" spans="1:11">
      <c r="A159" s="20">
        <f>HKData!A160</f>
        <v>45463</v>
      </c>
      <c r="B159" s="91">
        <v>156</v>
      </c>
      <c r="C159" s="22">
        <f>DailyHIBOR!C157/252/100</f>
        <v>1.6865079365079364E-4</v>
      </c>
      <c r="D159" s="23">
        <f>LN(HKData!N160/HKData!N159)-C159</f>
        <v>-5.3403459397511361E-3</v>
      </c>
      <c r="E159" s="23">
        <f>LN(HKData!F160/HKData!F159)-C159</f>
        <v>-3.5743251767295932E-2</v>
      </c>
      <c r="F159" s="23">
        <f t="shared" si="5"/>
        <v>-3.1419762153071587E-2</v>
      </c>
      <c r="G159" s="23"/>
      <c r="H159" s="23"/>
      <c r="I159" s="91"/>
      <c r="J159" s="91"/>
      <c r="K159" s="91"/>
    </row>
    <row r="160" spans="1:11">
      <c r="A160" s="20">
        <f>HKData!A161</f>
        <v>45464</v>
      </c>
      <c r="B160" s="91">
        <v>157</v>
      </c>
      <c r="C160" s="22">
        <f>DailyHIBOR!C158/252/100</f>
        <v>1.6865079365079364E-4</v>
      </c>
      <c r="D160" s="23">
        <f>LN(HKData!N161/HKData!N160)-C160</f>
        <v>-1.7042999734705317E-2</v>
      </c>
      <c r="E160" s="23">
        <f>LN(HKData!F161/HKData!F160)-C160</f>
        <v>-2.6205596883508632E-2</v>
      </c>
      <c r="F160" s="23">
        <f t="shared" si="5"/>
        <v>-1.4451541629814012E-2</v>
      </c>
      <c r="G160" s="23"/>
      <c r="H160" s="23"/>
      <c r="I160" s="91"/>
      <c r="J160" s="91"/>
      <c r="K160" s="91"/>
    </row>
    <row r="161" spans="1:11">
      <c r="A161" s="20">
        <f>HKData!A162</f>
        <v>45467</v>
      </c>
      <c r="B161" s="91">
        <v>158</v>
      </c>
      <c r="C161" s="22">
        <f>DailyHIBOR!C159/252/100</f>
        <v>1.6865079365079364E-4</v>
      </c>
      <c r="D161" s="23">
        <f>LN(HKData!N162/HKData!N161)-C161</f>
        <v>-2.1350261202579849E-4</v>
      </c>
      <c r="E161" s="23">
        <f>LN(HKData!F162/HKData!F161)-C161</f>
        <v>-1.9539672704844777E-2</v>
      </c>
      <c r="F161" s="23">
        <f t="shared" si="5"/>
        <v>-1.8471457196598765E-2</v>
      </c>
      <c r="G161" s="23"/>
      <c r="H161" s="23"/>
      <c r="I161" s="91"/>
      <c r="J161" s="91"/>
      <c r="K161" s="91"/>
    </row>
    <row r="162" spans="1:11">
      <c r="A162" s="20">
        <f>HKData!A163</f>
        <v>45468</v>
      </c>
      <c r="B162" s="91">
        <v>159</v>
      </c>
      <c r="C162" s="22">
        <f>DailyHIBOR!C160/252/100</f>
        <v>1.6865079365079364E-4</v>
      </c>
      <c r="D162" s="23">
        <f>LN(HKData!N163/HKData!N162)-C162</f>
        <v>2.3348789287101646E-3</v>
      </c>
      <c r="E162" s="23">
        <f>LN(HKData!F163/HKData!F162)-C162</f>
        <v>-1.4947274410010938E-2</v>
      </c>
      <c r="F162" s="23">
        <f t="shared" si="5"/>
        <v>-1.5497146272769402E-2</v>
      </c>
      <c r="G162" s="23"/>
      <c r="H162" s="23"/>
      <c r="I162" s="91"/>
      <c r="J162" s="91"/>
      <c r="K162" s="91"/>
    </row>
    <row r="163" spans="1:11">
      <c r="A163" s="20">
        <f>HKData!A164</f>
        <v>45469</v>
      </c>
      <c r="B163" s="91">
        <v>160</v>
      </c>
      <c r="C163" s="22">
        <f>DailyHIBOR!C161/252/100</f>
        <v>1.6865079365079364E-4</v>
      </c>
      <c r="D163" s="23">
        <f>LN(HKData!N164/HKData!N163)-C163</f>
        <v>7.7316145372997738E-4</v>
      </c>
      <c r="E163" s="23">
        <f>LN(HKData!F164/HKData!F163)-C163</f>
        <v>-5.1437741824415517E-3</v>
      </c>
      <c r="F163" s="23">
        <f t="shared" si="5"/>
        <v>-4.702038123486435E-3</v>
      </c>
      <c r="G163" s="23"/>
      <c r="H163" s="23"/>
      <c r="I163" s="91"/>
      <c r="J163" s="91"/>
      <c r="K163" s="91"/>
    </row>
    <row r="164" spans="1:11">
      <c r="A164" s="20">
        <f>HKData!A165</f>
        <v>45470</v>
      </c>
      <c r="B164" s="91">
        <v>161</v>
      </c>
      <c r="C164" s="22">
        <f>DailyHIBOR!C162/252/100</f>
        <v>1.6865079365079364E-4</v>
      </c>
      <c r="D164" s="23">
        <f>LN(HKData!N165/HKData!N164)-C164</f>
        <v>-2.1029308290013836E-2</v>
      </c>
      <c r="E164" s="23">
        <f>LN(HKData!F165/HKData!F164)-C164</f>
        <v>-7.6781522435635362E-3</v>
      </c>
      <c r="F164" s="23">
        <f t="shared" si="5"/>
        <v>6.6069979137651069E-3</v>
      </c>
      <c r="G164" s="23"/>
      <c r="H164" s="23"/>
      <c r="I164" s="91"/>
      <c r="J164" s="91"/>
      <c r="K164" s="91"/>
    </row>
    <row r="165" spans="1:11">
      <c r="A165" s="20">
        <f>HKData!A166</f>
        <v>45471</v>
      </c>
      <c r="B165" s="91">
        <v>162</v>
      </c>
      <c r="C165" s="22">
        <f>DailyHIBOR!C163/252/100</f>
        <v>1.6865079365079364E-4</v>
      </c>
      <c r="D165" s="23">
        <f>LN(HKData!N166/HKData!N165)-C165</f>
        <v>-4.7941492422583131E-5</v>
      </c>
      <c r="E165" s="23">
        <f>LN(HKData!F166/HKData!F165)-C165</f>
        <v>9.8314107726341846E-3</v>
      </c>
      <c r="F165" s="23">
        <f t="shared" si="5"/>
        <v>1.0794503734480824E-2</v>
      </c>
      <c r="G165" s="23"/>
      <c r="H165" s="23"/>
      <c r="I165" s="91"/>
      <c r="J165" s="91"/>
      <c r="K165" s="91"/>
    </row>
    <row r="166" spans="1:11">
      <c r="A166" s="20">
        <f>HKData!A167</f>
        <v>45475</v>
      </c>
      <c r="B166" s="91">
        <v>163</v>
      </c>
      <c r="C166" s="22">
        <f>DailyHIBOR!C164/252/100</f>
        <v>2.0158730158730161E-4</v>
      </c>
      <c r="D166" s="23">
        <f>LN(HKData!N167/HKData!N166)-C166</f>
        <v>2.6462283052587627E-3</v>
      </c>
      <c r="E166" s="23">
        <f>LN(HKData!F167/HKData!F166)-C166</f>
        <v>-2.6921474179594659E-3</v>
      </c>
      <c r="F166" s="23">
        <f t="shared" si="5"/>
        <v>-3.4397096524736099E-3</v>
      </c>
      <c r="G166" s="23"/>
      <c r="H166" s="23"/>
      <c r="I166" s="91"/>
      <c r="J166" s="91"/>
      <c r="K166" s="91"/>
    </row>
    <row r="167" spans="1:11">
      <c r="A167" s="20">
        <f>HKData!A168</f>
        <v>45476</v>
      </c>
      <c r="B167" s="91">
        <v>164</v>
      </c>
      <c r="C167" s="22">
        <f>DailyHIBOR!C165/252/100</f>
        <v>2.0158730158730161E-4</v>
      </c>
      <c r="D167" s="23">
        <f>LN(HKData!N168/HKData!N167)-C167</f>
        <v>1.1515643151111001E-2</v>
      </c>
      <c r="E167" s="23">
        <f>LN(HKData!F168/HKData!F167)-C167</f>
        <v>3.5320260826275001E-3</v>
      </c>
      <c r="F167" s="23">
        <f t="shared" si="5"/>
        <v>-2.8471450459490585E-3</v>
      </c>
      <c r="G167" s="23"/>
      <c r="H167" s="23"/>
      <c r="I167" s="91"/>
      <c r="J167" s="91"/>
      <c r="K167" s="91"/>
    </row>
    <row r="168" spans="1:11">
      <c r="A168" s="20">
        <f>HKData!A169</f>
        <v>45477</v>
      </c>
      <c r="B168" s="91">
        <v>165</v>
      </c>
      <c r="C168" s="22">
        <f>DailyHIBOR!C166/252/100</f>
        <v>2.0158730158730161E-4</v>
      </c>
      <c r="D168" s="23">
        <f>LN(HKData!N169/HKData!N168)-C168</f>
        <v>2.5594993524459364E-3</v>
      </c>
      <c r="E168" s="23">
        <f>LN(HKData!F169/HKData!F168)-C168</f>
        <v>1.0399227029887137E-3</v>
      </c>
      <c r="F168" s="23">
        <f t="shared" si="5"/>
        <v>3.4742876221458387E-4</v>
      </c>
      <c r="G168" s="23"/>
      <c r="H168" s="23"/>
      <c r="I168" s="91"/>
      <c r="J168" s="91"/>
      <c r="K168" s="91"/>
    </row>
    <row r="169" spans="1:11">
      <c r="A169" s="20">
        <f>HKData!A170</f>
        <v>45478</v>
      </c>
      <c r="B169" s="91">
        <v>166</v>
      </c>
      <c r="C169" s="22">
        <f>DailyHIBOR!C167/252/100</f>
        <v>2.0158730158730161E-4</v>
      </c>
      <c r="D169" s="23">
        <f>LN(HKData!N170/HKData!N169)-C169</f>
        <v>-1.2966672571239197E-2</v>
      </c>
      <c r="E169" s="23">
        <f>LN(HKData!F170/HKData!F169)-C169</f>
        <v>-1.4430973061632896E-3</v>
      </c>
      <c r="F169" s="23">
        <f t="shared" si="5"/>
        <v>7.7227059931626076E-3</v>
      </c>
      <c r="G169" s="23"/>
      <c r="H169" s="23"/>
      <c r="I169" s="91"/>
      <c r="J169" s="91"/>
      <c r="K169" s="91"/>
    </row>
    <row r="170" spans="1:11">
      <c r="A170" s="20">
        <f>HKData!A171</f>
        <v>45481</v>
      </c>
      <c r="B170" s="91">
        <v>167</v>
      </c>
      <c r="C170" s="22">
        <f>DailyHIBOR!C168/252/100</f>
        <v>2.0158730158730161E-4</v>
      </c>
      <c r="D170" s="23">
        <f>LN(HKData!N171/HKData!N170)-C170</f>
        <v>-1.5803274105395428E-2</v>
      </c>
      <c r="E170" s="23">
        <f>LN(HKData!F171/HKData!F170)-C170</f>
        <v>-7.6829985052208243E-3</v>
      </c>
      <c r="F170" s="23">
        <f t="shared" si="5"/>
        <v>3.2838966030123802E-3</v>
      </c>
      <c r="G170" s="23"/>
      <c r="H170" s="23"/>
      <c r="I170" s="91"/>
      <c r="J170" s="91"/>
      <c r="K170" s="91"/>
    </row>
    <row r="171" spans="1:11">
      <c r="A171" s="20">
        <f>HKData!A172</f>
        <v>45482</v>
      </c>
      <c r="B171" s="91">
        <v>168</v>
      </c>
      <c r="C171" s="22">
        <f>DailyHIBOR!C169/252/100</f>
        <v>2.0158730158730161E-4</v>
      </c>
      <c r="D171" s="23">
        <f>LN(HKData!N172/HKData!N171)-C171</f>
        <v>-2.4895633360668058E-4</v>
      </c>
      <c r="E171" s="23">
        <f>LN(HKData!F172/HKData!F171)-C171</f>
        <v>1.0492399528928907E-3</v>
      </c>
      <c r="F171" s="23">
        <f t="shared" si="5"/>
        <v>2.1399666974777787E-3</v>
      </c>
      <c r="G171" s="23"/>
      <c r="H171" s="23"/>
      <c r="I171" s="91"/>
      <c r="J171" s="91"/>
      <c r="K171" s="91"/>
    </row>
    <row r="172" spans="1:11">
      <c r="A172" s="20">
        <f>HKData!A173</f>
        <v>45483</v>
      </c>
      <c r="B172" s="91">
        <v>169</v>
      </c>
      <c r="C172" s="22">
        <f>DailyHIBOR!C170/252/100</f>
        <v>2.0158730158730161E-4</v>
      </c>
      <c r="D172" s="23">
        <f>LN(HKData!N173/HKData!N172)-C172</f>
        <v>-3.1483357483160024E-3</v>
      </c>
      <c r="E172" s="23">
        <f>LN(HKData!F173/HKData!F172)-C172</f>
        <v>1.0476773384295998E-3</v>
      </c>
      <c r="F172" s="23">
        <f t="shared" si="5"/>
        <v>3.9793565227094607E-3</v>
      </c>
      <c r="G172" s="23"/>
      <c r="H172" s="23"/>
      <c r="I172" s="91"/>
      <c r="J172" s="91"/>
      <c r="K172" s="91"/>
    </row>
    <row r="173" spans="1:11">
      <c r="A173" s="20">
        <f>HKData!A174</f>
        <v>45484</v>
      </c>
      <c r="B173" s="91">
        <v>170</v>
      </c>
      <c r="C173" s="22">
        <f>DailyHIBOR!C171/252/100</f>
        <v>2.0158730158730161E-4</v>
      </c>
      <c r="D173" s="23">
        <f>LN(HKData!N174/HKData!N173)-C173</f>
        <v>2.0230811498396381E-2</v>
      </c>
      <c r="E173" s="23">
        <f>LN(HKData!F174/HKData!F173)-C173</f>
        <v>7.2610221782442369E-3</v>
      </c>
      <c r="F173" s="23">
        <f t="shared" si="5"/>
        <v>-4.6518194833749743E-3</v>
      </c>
      <c r="G173" s="23"/>
      <c r="H173" s="23"/>
      <c r="I173" s="91"/>
      <c r="J173" s="91"/>
      <c r="K173" s="91"/>
    </row>
    <row r="174" spans="1:11">
      <c r="A174" s="20">
        <f>HKData!A175</f>
        <v>45485</v>
      </c>
      <c r="B174" s="91">
        <v>171</v>
      </c>
      <c r="C174" s="22">
        <f>DailyHIBOR!C172/252/100</f>
        <v>2.0158730158730161E-4</v>
      </c>
      <c r="D174" s="23">
        <f>LN(HKData!N175/HKData!N174)-C174</f>
        <v>2.5324599092514562E-2</v>
      </c>
      <c r="E174" s="23">
        <f>LN(HKData!F175/HKData!F174)-C174</f>
        <v>1.2113907494632195E-2</v>
      </c>
      <c r="F174" s="23">
        <f t="shared" si="5"/>
        <v>-3.0332196320440267E-3</v>
      </c>
      <c r="G174" s="23"/>
      <c r="H174" s="23"/>
      <c r="I174" s="91"/>
      <c r="J174" s="91"/>
      <c r="K174" s="91"/>
    </row>
    <row r="175" spans="1:11">
      <c r="A175" s="20">
        <f>HKData!A176</f>
        <v>45488</v>
      </c>
      <c r="B175" s="91">
        <v>172</v>
      </c>
      <c r="C175" s="22">
        <f>DailyHIBOR!C173/252/100</f>
        <v>2.0158730158730161E-4</v>
      </c>
      <c r="D175" s="23">
        <f>LN(HKData!N176/HKData!N175)-C175</f>
        <v>-1.5483988821968534E-2</v>
      </c>
      <c r="E175" s="23">
        <f>LN(HKData!F176/HKData!F175)-C175</f>
        <v>-1.7486025908947149E-2</v>
      </c>
      <c r="F175" s="23">
        <f t="shared" si="5"/>
        <v>-6.7218600532227522E-3</v>
      </c>
      <c r="G175" s="23"/>
      <c r="H175" s="23"/>
      <c r="I175" s="91"/>
      <c r="J175" s="91"/>
      <c r="K175" s="91"/>
    </row>
    <row r="176" spans="1:11">
      <c r="A176" s="20">
        <f>HKData!A177</f>
        <v>45489</v>
      </c>
      <c r="B176" s="91">
        <v>173</v>
      </c>
      <c r="C176" s="22">
        <f>DailyHIBOR!C174/252/100</f>
        <v>2.0158730158730161E-4</v>
      </c>
      <c r="D176" s="23">
        <f>LN(HKData!N177/HKData!N176)-C176</f>
        <v>-1.6314269678611326E-2</v>
      </c>
      <c r="E176" s="23">
        <f>LN(HKData!F177/HKData!F176)-C176</f>
        <v>-2.6952529702784184E-3</v>
      </c>
      <c r="F176" s="23">
        <f t="shared" si="5"/>
        <v>8.5960972756344636E-3</v>
      </c>
      <c r="G176" s="23"/>
      <c r="H176" s="23"/>
      <c r="I176" s="91"/>
      <c r="J176" s="91"/>
      <c r="K176" s="91"/>
    </row>
    <row r="177" spans="1:11">
      <c r="A177" s="20">
        <f>HKData!A178</f>
        <v>45490</v>
      </c>
      <c r="B177" s="91">
        <v>174</v>
      </c>
      <c r="C177" s="22">
        <f>DailyHIBOR!C175/252/100</f>
        <v>2.0158730158730161E-4</v>
      </c>
      <c r="D177" s="23">
        <f>LN(HKData!N178/HKData!N177)-C177</f>
        <v>4.4293081458916361E-4</v>
      </c>
      <c r="E177" s="23">
        <f>LN(HKData!F178/HKData!F177)-C177</f>
        <v>1.0971736031782191E-2</v>
      </c>
      <c r="F177" s="23">
        <f t="shared" si="5"/>
        <v>1.1623151064694312E-2</v>
      </c>
      <c r="G177" s="23"/>
      <c r="H177" s="23"/>
      <c r="I177" s="91"/>
      <c r="J177" s="91"/>
      <c r="K177" s="91"/>
    </row>
    <row r="178" spans="1:11">
      <c r="A178" s="20">
        <f>HKData!A179</f>
        <v>45491</v>
      </c>
      <c r="B178" s="91">
        <v>175</v>
      </c>
      <c r="C178" s="22">
        <f>DailyHIBOR!C176/252/100</f>
        <v>2.0158730158730161E-4</v>
      </c>
      <c r="D178" s="23">
        <f>LN(HKData!N179/HKData!N178)-C178</f>
        <v>1.9944942896184419E-3</v>
      </c>
      <c r="E178" s="23">
        <f>LN(HKData!F179/HKData!F178)-C178</f>
        <v>-7.6366445936630958E-3</v>
      </c>
      <c r="F178" s="23">
        <f t="shared" si="5"/>
        <v>-7.9703902300327228E-3</v>
      </c>
      <c r="G178" s="23"/>
      <c r="H178" s="23"/>
      <c r="I178" s="91"/>
      <c r="J178" s="91"/>
      <c r="K178" s="91"/>
    </row>
    <row r="179" spans="1:11">
      <c r="A179" s="20">
        <f>HKData!A180</f>
        <v>45492</v>
      </c>
      <c r="B179" s="91">
        <v>176</v>
      </c>
      <c r="C179" s="22">
        <f>DailyHIBOR!C177/252/100</f>
        <v>2.0158730158730161E-4</v>
      </c>
      <c r="D179" s="23">
        <f>LN(HKData!N180/HKData!N179)-C179</f>
        <v>-2.0700631494657867E-2</v>
      </c>
      <c r="E179" s="23">
        <f>LN(HKData!F180/HKData!F179)-C179</f>
        <v>-3.9398533428809043E-3</v>
      </c>
      <c r="F179" s="23">
        <f t="shared" si="5"/>
        <v>1.0136604449036034E-2</v>
      </c>
      <c r="G179" s="23"/>
      <c r="H179" s="23"/>
      <c r="I179" s="91"/>
      <c r="J179" s="91"/>
      <c r="K179" s="91"/>
    </row>
    <row r="180" spans="1:11">
      <c r="A180" s="20">
        <f>HKData!A181</f>
        <v>45495</v>
      </c>
      <c r="B180" s="91">
        <v>177</v>
      </c>
      <c r="C180" s="22">
        <f>DailyHIBOR!C178/252/100</f>
        <v>2.0158730158730161E-4</v>
      </c>
      <c r="D180" s="23">
        <f>LN(HKData!N181/HKData!N180)-C180</f>
        <v>1.2248160274776727E-2</v>
      </c>
      <c r="E180" s="23">
        <f>LN(HKData!F181/HKData!F180)-C180</f>
        <v>6.0212420121248658E-3</v>
      </c>
      <c r="F180" s="23">
        <f t="shared" si="5"/>
        <v>-8.2303871166000339E-4</v>
      </c>
      <c r="G180" s="23"/>
      <c r="H180" s="23"/>
      <c r="I180" s="91"/>
      <c r="J180" s="91"/>
      <c r="K180" s="91"/>
    </row>
    <row r="181" spans="1:11">
      <c r="A181" s="20">
        <f>HKData!A182</f>
        <v>45496</v>
      </c>
      <c r="B181" s="91">
        <v>178</v>
      </c>
      <c r="C181" s="22">
        <f>DailyHIBOR!C179/252/100</f>
        <v>2.0158730158730161E-4</v>
      </c>
      <c r="D181" s="23">
        <f>LN(HKData!N182/HKData!N181)-C181</f>
        <v>-9.6886457710274373E-3</v>
      </c>
      <c r="E181" s="23">
        <f>LN(HKData!F182/HKData!F181)-C181</f>
        <v>-6.4244166152994794E-3</v>
      </c>
      <c r="F181" s="23">
        <f t="shared" si="5"/>
        <v>6.6001319954220403E-4</v>
      </c>
      <c r="G181" s="23"/>
      <c r="H181" s="23"/>
      <c r="I181" s="91"/>
      <c r="J181" s="91"/>
      <c r="K181" s="91"/>
    </row>
    <row r="182" spans="1:11">
      <c r="A182" s="20">
        <f>HKData!A183</f>
        <v>45497</v>
      </c>
      <c r="B182" s="91">
        <v>179</v>
      </c>
      <c r="C182" s="22">
        <f>DailyHIBOR!C180/252/100</f>
        <v>2.0158730158730161E-4</v>
      </c>
      <c r="D182" s="23">
        <f>LN(HKData!N183/HKData!N182)-C182</f>
        <v>-9.3049697120178888E-3</v>
      </c>
      <c r="E182" s="23">
        <f>LN(HKData!F183/HKData!F182)-C182</f>
        <v>-1.4508519416042804E-3</v>
      </c>
      <c r="F182" s="23">
        <f t="shared" si="5"/>
        <v>5.389963886981315E-3</v>
      </c>
      <c r="G182" s="23"/>
      <c r="H182" s="23"/>
      <c r="I182" s="91"/>
      <c r="J182" s="91"/>
      <c r="K182" s="91"/>
    </row>
    <row r="183" spans="1:11">
      <c r="A183" s="20">
        <f>HKData!A184</f>
        <v>45498</v>
      </c>
      <c r="B183" s="91">
        <v>180</v>
      </c>
      <c r="C183" s="22">
        <f>DailyHIBOR!C181/252/100</f>
        <v>2.0158730158730161E-4</v>
      </c>
      <c r="D183" s="23">
        <f>LN(HKData!N184/HKData!N183)-C183</f>
        <v>-1.7045311414190072E-2</v>
      </c>
      <c r="E183" s="23">
        <f>LN(HKData!F184/HKData!F183)-C183</f>
        <v>-1.2780374370939006E-2</v>
      </c>
      <c r="F183" s="23">
        <f t="shared" si="5"/>
        <v>-1.0248513231482896E-3</v>
      </c>
      <c r="G183" s="23"/>
      <c r="H183" s="23"/>
      <c r="I183" s="91"/>
      <c r="J183" s="91"/>
      <c r="K183" s="91"/>
    </row>
    <row r="184" spans="1:11">
      <c r="A184" s="20">
        <f>HKData!A185</f>
        <v>45499</v>
      </c>
      <c r="B184" s="91">
        <v>181</v>
      </c>
      <c r="C184" s="22">
        <f>DailyHIBOR!C182/252/100</f>
        <v>2.0158730158730161E-4</v>
      </c>
      <c r="D184" s="23">
        <f>LN(HKData!N185/HKData!N184)-C184</f>
        <v>-2.3681366164824184E-4</v>
      </c>
      <c r="E184" s="23">
        <f>LN(HKData!F185/HKData!F184)-C184</f>
        <v>1.3626464407781468E-2</v>
      </c>
      <c r="F184" s="23">
        <f t="shared" si="5"/>
        <v>1.4709481198486953E-2</v>
      </c>
      <c r="G184" s="23"/>
      <c r="H184" s="23"/>
      <c r="I184" s="91"/>
      <c r="J184" s="91"/>
      <c r="K184" s="91"/>
    </row>
    <row r="185" spans="1:11">
      <c r="A185" s="20">
        <f>HKData!A186</f>
        <v>45502</v>
      </c>
      <c r="B185" s="91">
        <v>182</v>
      </c>
      <c r="C185" s="22">
        <f>DailyHIBOR!C183/252/100</f>
        <v>2.0158730158730161E-4</v>
      </c>
      <c r="D185" s="23">
        <f>LN(HKData!N186/HKData!N185)-C185</f>
        <v>1.2468255946101545E-2</v>
      </c>
      <c r="E185" s="23">
        <f>LN(HKData!F186/HKData!F185)-C185</f>
        <v>-1.4508519416042804E-3</v>
      </c>
      <c r="F185" s="23">
        <f t="shared" si="5"/>
        <v>-8.4348817651572292E-3</v>
      </c>
      <c r="G185" s="23"/>
      <c r="H185" s="23"/>
      <c r="I185" s="91"/>
      <c r="J185" s="91"/>
      <c r="K185" s="91"/>
    </row>
    <row r="186" spans="1:11">
      <c r="A186" s="20">
        <f>HKData!A187</f>
        <v>45503</v>
      </c>
      <c r="B186" s="91">
        <v>183</v>
      </c>
      <c r="C186" s="22">
        <f>DailyHIBOR!C184/252/100</f>
        <v>2.0158730158730161E-4</v>
      </c>
      <c r="D186" s="23">
        <f>LN(HKData!N187/HKData!N186)-C186</f>
        <v>-1.3953036066674418E-2</v>
      </c>
      <c r="E186" s="23">
        <f>LN(HKData!F187/HKData!F186)-C186</f>
        <v>-8.990090266738901E-3</v>
      </c>
      <c r="F186" s="23">
        <f t="shared" si="5"/>
        <v>8.0200163563606819E-4</v>
      </c>
      <c r="G186" s="23"/>
      <c r="H186" s="23"/>
      <c r="I186" s="91"/>
      <c r="J186" s="91"/>
      <c r="K186" s="91"/>
    </row>
    <row r="187" spans="1:11">
      <c r="A187" s="20">
        <f>HKData!A188</f>
        <v>45504</v>
      </c>
      <c r="B187" s="91">
        <v>184</v>
      </c>
      <c r="C187" s="22">
        <f>DailyHIBOR!C185/252/100</f>
        <v>2.0158730158730161E-4</v>
      </c>
      <c r="D187" s="23">
        <f>LN(HKData!N188/HKData!N187)-C187</f>
        <v>1.9695093864420976E-2</v>
      </c>
      <c r="E187" s="23">
        <f>LN(HKData!F188/HKData!F187)-C187</f>
        <v>1.6059009617293465E-2</v>
      </c>
      <c r="F187" s="23">
        <f t="shared" si="5"/>
        <v>4.486320293188701E-3</v>
      </c>
      <c r="G187" s="23"/>
      <c r="H187" s="23"/>
      <c r="I187" s="91"/>
      <c r="J187" s="91"/>
      <c r="K187" s="91"/>
    </row>
    <row r="188" spans="1:11">
      <c r="A188" s="20">
        <f>HKData!A189</f>
        <v>45505</v>
      </c>
      <c r="B188" s="91">
        <v>185</v>
      </c>
      <c r="C188" s="22">
        <f>DailyHIBOR!C186/252/100</f>
        <v>1.9087301587301586E-4</v>
      </c>
      <c r="D188" s="23">
        <f>LN(HKData!N189/HKData!N188)-C188</f>
        <v>-2.4788494600881243E-3</v>
      </c>
      <c r="E188" s="23">
        <f>LN(HKData!F189/HKData!F188)-C188</f>
        <v>-2.6754362882916E-3</v>
      </c>
      <c r="F188" s="23">
        <f t="shared" si="5"/>
        <v>-1.6884545547160004E-4</v>
      </c>
      <c r="G188" s="23"/>
      <c r="H188" s="23"/>
      <c r="I188" s="91"/>
      <c r="J188" s="91"/>
      <c r="K188" s="91"/>
    </row>
    <row r="189" spans="1:11">
      <c r="A189" s="20">
        <f>HKData!A190</f>
        <v>45506</v>
      </c>
      <c r="B189" s="91">
        <v>186</v>
      </c>
      <c r="C189" s="22">
        <f>DailyHIBOR!C187/252/100</f>
        <v>1.9087301587301586E-4</v>
      </c>
      <c r="D189" s="23">
        <f>LN(HKData!N190/HKData!N189)-C189</f>
        <v>-2.1181204656196748E-2</v>
      </c>
      <c r="E189" s="23">
        <f>LN(HKData!F190/HKData!F189)-C189</f>
        <v>-6.4292309516638746E-3</v>
      </c>
      <c r="F189" s="23">
        <f t="shared" si="5"/>
        <v>7.9523653570330866E-3</v>
      </c>
      <c r="G189" s="23"/>
      <c r="H189" s="23"/>
      <c r="I189" s="91"/>
      <c r="J189" s="91"/>
      <c r="K189" s="91"/>
    </row>
    <row r="190" spans="1:11">
      <c r="A190" s="20">
        <f>HKData!A191</f>
        <v>45509</v>
      </c>
      <c r="B190" s="91">
        <v>187</v>
      </c>
      <c r="C190" s="22">
        <f>DailyHIBOR!C188/252/100</f>
        <v>1.9087301587301586E-4</v>
      </c>
      <c r="D190" s="23">
        <f>LN(HKData!N191/HKData!N190)-C190</f>
        <v>-1.4883287585949341E-2</v>
      </c>
      <c r="E190" s="23">
        <f>LN(HKData!F191/HKData!F190)-C190</f>
        <v>-1.5323537865288457E-2</v>
      </c>
      <c r="F190" s="23">
        <f t="shared" si="5"/>
        <v>-4.9407854942452936E-3</v>
      </c>
      <c r="G190" s="23"/>
      <c r="H190" s="23"/>
      <c r="I190" s="91"/>
      <c r="J190" s="91"/>
      <c r="K190" s="91"/>
    </row>
    <row r="191" spans="1:11">
      <c r="A191" s="20">
        <f>HKData!A192</f>
        <v>45510</v>
      </c>
      <c r="B191" s="91">
        <v>188</v>
      </c>
      <c r="C191" s="22">
        <f>DailyHIBOR!C189/252/100</f>
        <v>1.9087301587301586E-4</v>
      </c>
      <c r="D191" s="23">
        <f>LN(HKData!N192/HKData!N191)-C191</f>
        <v>-3.2509120767941226E-3</v>
      </c>
      <c r="E191" s="23">
        <f>LN(HKData!F192/HKData!F191)-C191</f>
        <v>1.744188372803978E-2</v>
      </c>
      <c r="F191" s="23">
        <f t="shared" si="5"/>
        <v>2.043869345067165E-2</v>
      </c>
      <c r="G191" s="23"/>
      <c r="H191" s="23"/>
      <c r="I191" s="91"/>
      <c r="J191" s="91"/>
      <c r="K191" s="91"/>
    </row>
    <row r="192" spans="1:11">
      <c r="A192" s="20">
        <f>HKData!A193</f>
        <v>45511</v>
      </c>
      <c r="B192" s="91">
        <v>189</v>
      </c>
      <c r="C192" s="22">
        <f>DailyHIBOR!C190/252/100</f>
        <v>1.9087301587301586E-4</v>
      </c>
      <c r="D192" s="23">
        <f>LN(HKData!N193/HKData!N192)-C192</f>
        <v>1.3561359315217243E-2</v>
      </c>
      <c r="E192" s="23">
        <f>LN(HKData!F193/HKData!F192)-C192</f>
        <v>-1.2753921352251035E-2</v>
      </c>
      <c r="F192" s="23">
        <f t="shared" si="5"/>
        <v>-2.0432013947996937E-2</v>
      </c>
      <c r="G192" s="23"/>
      <c r="H192" s="23"/>
      <c r="I192" s="91"/>
      <c r="J192" s="91"/>
      <c r="K192" s="91"/>
    </row>
    <row r="193" spans="1:11">
      <c r="A193" s="20">
        <f>HKData!A194</f>
        <v>45512</v>
      </c>
      <c r="B193" s="91">
        <v>190</v>
      </c>
      <c r="C193" s="22">
        <f>DailyHIBOR!C191/252/100</f>
        <v>1.9087301587301586E-4</v>
      </c>
      <c r="D193" s="23">
        <f>LN(HKData!N194/HKData!N193)-C193</f>
        <v>6.365378456589134E-4</v>
      </c>
      <c r="E193" s="23">
        <f>LN(HKData!F194/HKData!F193)-C193</f>
        <v>-7.8051391683120336E-3</v>
      </c>
      <c r="F193" s="23">
        <f t="shared" si="5"/>
        <v>-7.2766543508735191E-3</v>
      </c>
      <c r="G193" s="23"/>
      <c r="H193" s="23"/>
      <c r="I193" s="91"/>
      <c r="J193" s="91"/>
      <c r="K193" s="91"/>
    </row>
    <row r="194" spans="1:11">
      <c r="A194" s="20">
        <f>HKData!A195</f>
        <v>45513</v>
      </c>
      <c r="B194" s="91">
        <v>191</v>
      </c>
      <c r="C194" s="22">
        <f>DailyHIBOR!C192/252/100</f>
        <v>1.9087301587301586E-4</v>
      </c>
      <c r="D194" s="23">
        <f>LN(HKData!N195/HKData!N194)-C194</f>
        <v>1.1486031901204025E-2</v>
      </c>
      <c r="E194" s="23">
        <f>LN(HKData!F195/HKData!F194)-C194</f>
        <v>1.0822477847067245E-3</v>
      </c>
      <c r="F194" s="23">
        <f t="shared" si="5"/>
        <v>-5.2781217677525076E-3</v>
      </c>
      <c r="G194" s="23"/>
      <c r="H194" s="23"/>
      <c r="I194" s="91"/>
      <c r="J194" s="91"/>
      <c r="K194" s="91"/>
    </row>
    <row r="195" spans="1:11">
      <c r="A195" s="20">
        <f>HKData!A196</f>
        <v>45516</v>
      </c>
      <c r="B195" s="91">
        <v>192</v>
      </c>
      <c r="C195" s="22">
        <f>DailyHIBOR!C193/252/100</f>
        <v>1.9087301587301586E-4</v>
      </c>
      <c r="D195" s="23">
        <f>LN(HKData!N196/HKData!N195)-C195</f>
        <v>1.0616852725761948E-3</v>
      </c>
      <c r="E195" s="23">
        <f>LN(HKData!F196/HKData!F195)-C195</f>
        <v>-1.9087301587301586E-4</v>
      </c>
      <c r="F195" s="23">
        <f t="shared" si="5"/>
        <v>6.7665692117840724E-5</v>
      </c>
      <c r="G195" s="23"/>
      <c r="H195" s="23"/>
      <c r="I195" s="91"/>
      <c r="J195" s="91"/>
      <c r="K195" s="91"/>
    </row>
    <row r="196" spans="1:11">
      <c r="A196" s="20">
        <f>HKData!A197</f>
        <v>45517</v>
      </c>
      <c r="B196" s="91">
        <v>193</v>
      </c>
      <c r="C196" s="22">
        <f>DailyHIBOR!C194/252/100</f>
        <v>1.9087301587301586E-4</v>
      </c>
      <c r="D196" s="23">
        <f>LN(HKData!N197/HKData!N196)-C196</f>
        <v>3.449723808587447E-3</v>
      </c>
      <c r="E196" s="23">
        <f>LN(HKData!F197/HKData!F196)-C196</f>
        <v>-2.7386721905784885E-3</v>
      </c>
      <c r="F196" s="23">
        <f t="shared" si="5"/>
        <v>-3.9964115339016833E-3</v>
      </c>
      <c r="G196" s="23"/>
      <c r="H196" s="23"/>
      <c r="I196" s="91"/>
      <c r="J196" s="91"/>
      <c r="K196" s="91"/>
    </row>
    <row r="197" spans="1:11">
      <c r="A197" s="20">
        <f>HKData!A198</f>
        <v>45518</v>
      </c>
      <c r="B197" s="91">
        <v>194</v>
      </c>
      <c r="C197" s="22">
        <f>DailyHIBOR!C195/252/100</f>
        <v>1.9087301587301586E-4</v>
      </c>
      <c r="D197" s="23">
        <f>LN(HKData!N198/HKData!N197)-C197</f>
        <v>-3.7316022646558134E-3</v>
      </c>
      <c r="E197" s="23">
        <f>LN(HKData!F198/HKData!F197)-C197</f>
        <v>2.6242439156206089E-2</v>
      </c>
      <c r="F197" s="23">
        <f t="shared" ref="F197:F248" si="6">E197-($I$6+$I$7*D197)</f>
        <v>2.9544461701137774E-2</v>
      </c>
      <c r="G197" s="23"/>
      <c r="H197" s="23"/>
      <c r="I197" s="91"/>
      <c r="J197" s="91"/>
      <c r="K197" s="91"/>
    </row>
    <row r="198" spans="1:11">
      <c r="A198" s="20">
        <f>HKData!A199</f>
        <v>45519</v>
      </c>
      <c r="B198" s="91">
        <v>195</v>
      </c>
      <c r="C198" s="22">
        <f>DailyHIBOR!C196/252/100</f>
        <v>1.9087301587301586E-4</v>
      </c>
      <c r="D198" s="23">
        <f>LN(HKData!N199/HKData!N198)-C198</f>
        <v>-4.3742134059333198E-4</v>
      </c>
      <c r="E198" s="23">
        <f>LN(HKData!F199/HKData!F198)-C198</f>
        <v>-1.773524066138725E-2</v>
      </c>
      <c r="F198" s="23">
        <f t="shared" si="6"/>
        <v>-1.652484861441075E-2</v>
      </c>
      <c r="G198" s="23"/>
      <c r="H198" s="23"/>
      <c r="I198" s="91"/>
      <c r="J198" s="91"/>
      <c r="K198" s="91"/>
    </row>
    <row r="199" spans="1:11">
      <c r="A199" s="20">
        <f>HKData!A200</f>
        <v>45520</v>
      </c>
      <c r="B199" s="91">
        <v>196</v>
      </c>
      <c r="C199" s="22">
        <f>DailyHIBOR!C197/252/100</f>
        <v>1.9087301587301586E-4</v>
      </c>
      <c r="D199" s="23">
        <f>LN(HKData!N200/HKData!N199)-C199</f>
        <v>1.8398314846750571E-2</v>
      </c>
      <c r="E199" s="23">
        <f>LN(HKData!F200/HKData!F199)-C199</f>
        <v>8.6197538263144066E-3</v>
      </c>
      <c r="F199" s="23">
        <f t="shared" si="6"/>
        <v>-2.1295494710378317E-3</v>
      </c>
      <c r="G199" s="23"/>
      <c r="H199" s="23"/>
      <c r="I199" s="91"/>
      <c r="J199" s="91"/>
      <c r="K199" s="91"/>
    </row>
    <row r="200" spans="1:11">
      <c r="A200" s="20">
        <f>HKData!A201</f>
        <v>45523</v>
      </c>
      <c r="B200" s="91">
        <v>197</v>
      </c>
      <c r="C200" s="22">
        <f>DailyHIBOR!C198/252/100</f>
        <v>1.9087301587301586E-4</v>
      </c>
      <c r="D200" s="23">
        <f>LN(HKData!N201/HKData!N200)-C200</f>
        <v>7.7755251060623032E-3</v>
      </c>
      <c r="E200" s="23">
        <f>LN(HKData!F201/HKData!F200)-C200</f>
        <v>3.5615484783177703E-3</v>
      </c>
      <c r="F200" s="23">
        <f t="shared" si="6"/>
        <v>-4.4284568769630429E-4</v>
      </c>
      <c r="G200" s="23"/>
      <c r="H200" s="23"/>
      <c r="I200" s="91"/>
      <c r="J200" s="91"/>
      <c r="K200" s="91"/>
    </row>
    <row r="201" spans="1:11">
      <c r="A201" s="20">
        <f>HKData!A202</f>
        <v>45524</v>
      </c>
      <c r="B201" s="91">
        <v>198</v>
      </c>
      <c r="C201" s="22">
        <f>DailyHIBOR!C199/252/100</f>
        <v>1.9087301587301586E-4</v>
      </c>
      <c r="D201" s="23">
        <f>LN(HKData!N202/HKData!N201)-C201</f>
        <v>-3.5254912697014564E-3</v>
      </c>
      <c r="E201" s="23">
        <f>LN(HKData!F202/HKData!F201)-C201</f>
        <v>-2.6909649103702455E-3</v>
      </c>
      <c r="F201" s="23">
        <f t="shared" si="6"/>
        <v>4.8018806396154384E-4</v>
      </c>
      <c r="G201" s="23"/>
      <c r="H201" s="23"/>
      <c r="I201" s="91"/>
      <c r="J201" s="91"/>
      <c r="K201" s="91"/>
    </row>
    <row r="202" spans="1:11">
      <c r="A202" s="20">
        <f>HKData!A203</f>
        <v>45525</v>
      </c>
      <c r="B202" s="91">
        <v>199</v>
      </c>
      <c r="C202" s="22">
        <f>DailyHIBOR!C200/252/100</f>
        <v>1.9087301587301586E-4</v>
      </c>
      <c r="D202" s="23">
        <f>LN(HKData!N203/HKData!N202)-C202</f>
        <v>-7.0713083547567814E-3</v>
      </c>
      <c r="E202" s="23">
        <f>LN(HKData!F203/HKData!F202)-C202</f>
        <v>-1.4432026155664667E-3</v>
      </c>
      <c r="F202" s="23">
        <f t="shared" si="6"/>
        <v>3.9793564977232184E-3</v>
      </c>
      <c r="G202" s="23"/>
      <c r="H202" s="23"/>
      <c r="I202" s="91"/>
      <c r="J202" s="91"/>
      <c r="K202" s="91"/>
    </row>
    <row r="203" spans="1:11">
      <c r="A203" s="20">
        <f>HKData!A204</f>
        <v>45526</v>
      </c>
      <c r="B203" s="91">
        <v>200</v>
      </c>
      <c r="C203" s="22">
        <f>DailyHIBOR!C201/252/100</f>
        <v>1.9087301587301586E-4</v>
      </c>
      <c r="D203" s="23">
        <f>LN(HKData!N204/HKData!N203)-C203</f>
        <v>1.4081472739583671E-2</v>
      </c>
      <c r="E203" s="23">
        <f>LN(HKData!F204/HKData!F203)-C203</f>
        <v>7.2998145196111388E-3</v>
      </c>
      <c r="F203" s="23">
        <f t="shared" si="6"/>
        <v>-7.0852256661014211E-4</v>
      </c>
      <c r="G203" s="23"/>
      <c r="H203" s="23"/>
      <c r="I203" s="91"/>
      <c r="J203" s="91"/>
      <c r="K203" s="91"/>
    </row>
    <row r="204" spans="1:11">
      <c r="A204" s="20">
        <f>HKData!A205</f>
        <v>45527</v>
      </c>
      <c r="B204" s="91">
        <v>201</v>
      </c>
      <c r="C204" s="22">
        <f>DailyHIBOR!C202/252/100</f>
        <v>1.9087301587301586E-4</v>
      </c>
      <c r="D204" s="23">
        <f>LN(HKData!N205/HKData!N204)-C204</f>
        <v>-1.8304676852537384E-3</v>
      </c>
      <c r="E204" s="23">
        <f>LN(HKData!F205/HKData!F204)-C204</f>
        <v>-2.6814331322451801E-3</v>
      </c>
      <c r="F204" s="23">
        <f t="shared" si="6"/>
        <v>-5.8653040212035224E-4</v>
      </c>
      <c r="G204" s="23"/>
      <c r="H204" s="23"/>
      <c r="I204" s="91"/>
      <c r="J204" s="91"/>
      <c r="K204" s="91"/>
    </row>
    <row r="205" spans="1:11">
      <c r="A205" s="20">
        <f>HKData!A206</f>
        <v>45530</v>
      </c>
      <c r="B205" s="91">
        <v>202</v>
      </c>
      <c r="C205" s="22">
        <f>DailyHIBOR!C203/252/100</f>
        <v>1.9087301587301586E-4</v>
      </c>
      <c r="D205" s="23">
        <f>LN(HKData!N206/HKData!N205)-C205</f>
        <v>1.0350116113407888E-2</v>
      </c>
      <c r="E205" s="23">
        <f>LN(HKData!F206/HKData!F205)-C205</f>
        <v>1.7114803800954446E-2</v>
      </c>
      <c r="F205" s="23">
        <f t="shared" si="6"/>
        <v>1.1475680640127262E-2</v>
      </c>
      <c r="G205" s="23"/>
      <c r="H205" s="23"/>
      <c r="I205" s="91"/>
      <c r="J205" s="91"/>
      <c r="K205" s="91"/>
    </row>
    <row r="206" spans="1:11">
      <c r="A206" s="20">
        <f>HKData!A207</f>
        <v>45531</v>
      </c>
      <c r="B206" s="91">
        <v>203</v>
      </c>
      <c r="C206" s="22">
        <f>DailyHIBOR!C204/252/100</f>
        <v>1.9087301587301586E-4</v>
      </c>
      <c r="D206" s="23">
        <f>LN(HKData!N207/HKData!N206)-C206</f>
        <v>4.0666167104414829E-3</v>
      </c>
      <c r="E206" s="23">
        <f>LN(HKData!F207/HKData!F206)-C206</f>
        <v>-1.4171591769368418E-3</v>
      </c>
      <c r="F206" s="23">
        <f t="shared" si="6"/>
        <v>-3.0665928555847419E-3</v>
      </c>
      <c r="G206" s="23"/>
      <c r="H206" s="23"/>
      <c r="I206" s="91"/>
      <c r="J206" s="91"/>
      <c r="K206" s="91"/>
    </row>
    <row r="207" spans="1:11">
      <c r="A207" s="20">
        <f>HKData!A208</f>
        <v>45532</v>
      </c>
      <c r="B207" s="91">
        <v>204</v>
      </c>
      <c r="C207" s="22">
        <f>DailyHIBOR!C205/252/100</f>
        <v>1.9087301587301586E-4</v>
      </c>
      <c r="D207" s="23">
        <f>LN(HKData!N208/HKData!N207)-C207</f>
        <v>-1.0437544766040044E-2</v>
      </c>
      <c r="E207" s="23">
        <f>LN(HKData!F208/HKData!F207)-C207</f>
        <v>-3.8786539119196818E-3</v>
      </c>
      <c r="F207" s="23">
        <f t="shared" si="6"/>
        <v>3.681287119204743E-3</v>
      </c>
      <c r="G207" s="23"/>
      <c r="H207" s="23"/>
      <c r="I207" s="91"/>
      <c r="J207" s="91"/>
      <c r="K207" s="91"/>
    </row>
    <row r="208" spans="1:11">
      <c r="A208" s="20">
        <f>HKData!A209</f>
        <v>45533</v>
      </c>
      <c r="B208" s="91">
        <v>205</v>
      </c>
      <c r="C208" s="22">
        <f>DailyHIBOR!C206/252/100</f>
        <v>1.9087301587301586E-4</v>
      </c>
      <c r="D208" s="23">
        <f>LN(HKData!N209/HKData!N208)-C208</f>
        <v>5.1008162979417617E-3</v>
      </c>
      <c r="E208" s="23">
        <f>LN(HKData!F209/HKData!F208)-C208</f>
        <v>5.9479155755395837E-3</v>
      </c>
      <c r="F208" s="23">
        <f t="shared" si="6"/>
        <v>3.6418199077497587E-3</v>
      </c>
      <c r="G208" s="23"/>
      <c r="H208" s="23"/>
      <c r="I208" s="91"/>
      <c r="J208" s="91"/>
      <c r="K208" s="91"/>
    </row>
    <row r="209" spans="1:11">
      <c r="A209" s="20">
        <f>HKData!A210</f>
        <v>45534</v>
      </c>
      <c r="B209" s="91">
        <v>206</v>
      </c>
      <c r="C209" s="22">
        <f>DailyHIBOR!C207/252/100</f>
        <v>1.9087301587301586E-4</v>
      </c>
      <c r="D209" s="23">
        <f>LN(HKData!N210/HKData!N209)-C209</f>
        <v>1.1143855531518636E-2</v>
      </c>
      <c r="E209" s="23">
        <f>LN(HKData!F210/HKData!F209)-C209</f>
        <v>-8.795653958554547E-3</v>
      </c>
      <c r="F209" s="23">
        <f t="shared" si="6"/>
        <v>-1.49387596305494E-2</v>
      </c>
      <c r="G209" s="23"/>
      <c r="H209" s="23"/>
      <c r="I209" s="91"/>
      <c r="J209" s="91"/>
      <c r="K209" s="91"/>
    </row>
    <row r="210" spans="1:11">
      <c r="A210" s="20">
        <f>HKData!A211</f>
        <v>45537</v>
      </c>
      <c r="B210" s="91">
        <v>207</v>
      </c>
      <c r="C210" s="22">
        <f>DailyHIBOR!C208/252/100</f>
        <v>1.2698412698412698E-4</v>
      </c>
      <c r="D210" s="23">
        <f>LN(HKData!N211/HKData!N210)-C210</f>
        <v>-1.6780448672922797E-2</v>
      </c>
      <c r="E210" s="23">
        <f>LN(HKData!F211/HKData!F210)-C210</f>
        <v>7.2530752813952755E-3</v>
      </c>
      <c r="F210" s="23">
        <f t="shared" si="6"/>
        <v>1.8840424509903645E-2</v>
      </c>
      <c r="G210" s="23"/>
      <c r="H210" s="23"/>
      <c r="I210" s="91"/>
      <c r="J210" s="91"/>
      <c r="K210" s="91"/>
    </row>
    <row r="211" spans="1:11">
      <c r="A211" s="20">
        <f>HKData!A212</f>
        <v>45538</v>
      </c>
      <c r="B211" s="91">
        <v>208</v>
      </c>
      <c r="C211" s="22">
        <f>DailyHIBOR!C209/252/100</f>
        <v>1.2698412698412698E-4</v>
      </c>
      <c r="D211" s="23">
        <f>LN(HKData!N212/HKData!N211)-C211</f>
        <v>-2.4176758349961432E-3</v>
      </c>
      <c r="E211" s="23">
        <f>LN(HKData!F212/HKData!F211)-C211</f>
        <v>-1.3532702880479528E-3</v>
      </c>
      <c r="F211" s="23">
        <f t="shared" si="6"/>
        <v>1.1144785312753903E-3</v>
      </c>
      <c r="G211" s="23"/>
      <c r="H211" s="23"/>
      <c r="I211" s="91"/>
      <c r="J211" s="91"/>
      <c r="K211" s="91"/>
    </row>
    <row r="212" spans="1:11">
      <c r="A212" s="20">
        <f>HKData!A213</f>
        <v>45539</v>
      </c>
      <c r="B212" s="91">
        <v>209</v>
      </c>
      <c r="C212" s="22">
        <f>DailyHIBOR!C210/252/100</f>
        <v>1.2698412698412698E-4</v>
      </c>
      <c r="D212" s="23">
        <f>LN(HKData!N213/HKData!N212)-C212</f>
        <v>-1.1187014854172873E-2</v>
      </c>
      <c r="E212" s="23">
        <f>LN(HKData!F213/HKData!F212)-C212</f>
        <v>3.5473722224033063E-3</v>
      </c>
      <c r="F212" s="23">
        <f t="shared" si="6"/>
        <v>1.1583187083709029E-2</v>
      </c>
      <c r="G212" s="23"/>
      <c r="H212" s="23"/>
      <c r="I212" s="91"/>
      <c r="J212" s="91"/>
      <c r="K212" s="91"/>
    </row>
    <row r="213" spans="1:11">
      <c r="A213" s="20">
        <f>HKData!A214</f>
        <v>45540</v>
      </c>
      <c r="B213" s="91">
        <v>210</v>
      </c>
      <c r="C213" s="22">
        <f>DailyHIBOR!C211/252/100</f>
        <v>1.2698412698412698E-4</v>
      </c>
      <c r="D213" s="23">
        <f>LN(HKData!N214/HKData!N213)-C213</f>
        <v>-8.7417324893581652E-4</v>
      </c>
      <c r="E213" s="23">
        <f>LN(HKData!F214/HKData!F213)-C213</f>
        <v>8.3939375688295622E-3</v>
      </c>
      <c r="F213" s="23">
        <f t="shared" si="6"/>
        <v>9.881643956635492E-3</v>
      </c>
      <c r="G213" s="23"/>
      <c r="H213" s="23"/>
      <c r="I213" s="91"/>
      <c r="J213" s="91"/>
      <c r="K213" s="91"/>
    </row>
    <row r="214" spans="1:11">
      <c r="A214" s="20">
        <f>HKData!A215</f>
        <v>45544</v>
      </c>
      <c r="B214" s="91">
        <v>211</v>
      </c>
      <c r="C214" s="22">
        <f>DailyHIBOR!C212/252/100</f>
        <v>1.2698412698412698E-4</v>
      </c>
      <c r="D214" s="23">
        <f>LN(HKData!N215/HKData!N214)-C214</f>
        <v>-1.4407298107701616E-2</v>
      </c>
      <c r="E214" s="23">
        <f>LN(HKData!F215/HKData!F214)-C214</f>
        <v>-6.2060638946004644E-3</v>
      </c>
      <c r="F214" s="23">
        <f t="shared" si="6"/>
        <v>3.8744603558994832E-3</v>
      </c>
      <c r="G214" s="23"/>
      <c r="H214" s="23"/>
      <c r="I214" s="91"/>
      <c r="J214" s="91"/>
      <c r="K214" s="91"/>
    </row>
    <row r="215" spans="1:11">
      <c r="A215" s="20">
        <f>HKData!A216</f>
        <v>45545</v>
      </c>
      <c r="B215" s="91">
        <v>212</v>
      </c>
      <c r="C215" s="22">
        <f>DailyHIBOR!C213/252/100</f>
        <v>1.2698412698412698E-4</v>
      </c>
      <c r="D215" s="23">
        <f>LN(HKData!N216/HKData!N215)-C215</f>
        <v>2.0297273180243727E-3</v>
      </c>
      <c r="E215" s="23">
        <f>LN(HKData!F216/HKData!F215)-C215</f>
        <v>-2.353498314117591E-2</v>
      </c>
      <c r="F215" s="23">
        <f t="shared" si="6"/>
        <v>-2.3891099885401473E-2</v>
      </c>
      <c r="G215" s="23"/>
      <c r="H215" s="23"/>
      <c r="I215" s="91"/>
      <c r="J215" s="91"/>
      <c r="K215" s="91"/>
    </row>
    <row r="216" spans="1:11">
      <c r="A216" s="20">
        <f>HKData!A217</f>
        <v>45546</v>
      </c>
      <c r="B216" s="91">
        <v>213</v>
      </c>
      <c r="C216" s="22">
        <f>DailyHIBOR!C214/252/100</f>
        <v>1.2698412698412698E-4</v>
      </c>
      <c r="D216" s="23">
        <f>LN(HKData!N217/HKData!N216)-C216</f>
        <v>-7.4286287474013505E-3</v>
      </c>
      <c r="E216" s="23">
        <f>LN(HKData!F217/HKData!F216)-C216</f>
        <v>-1.2039718049611427E-2</v>
      </c>
      <c r="F216" s="23">
        <f t="shared" si="6"/>
        <v>-6.3902794029793509E-3</v>
      </c>
      <c r="G216" s="23"/>
      <c r="H216" s="23"/>
      <c r="I216" s="91"/>
      <c r="J216" s="91"/>
      <c r="K216" s="91"/>
    </row>
    <row r="217" spans="1:11">
      <c r="A217" s="20">
        <f>HKData!A218</f>
        <v>45547</v>
      </c>
      <c r="B217" s="91">
        <v>214</v>
      </c>
      <c r="C217" s="22">
        <f>DailyHIBOR!C215/252/100</f>
        <v>1.2698412698412698E-4</v>
      </c>
      <c r="D217" s="23">
        <f>LN(HKData!N218/HKData!N217)-C217</f>
        <v>7.5401935622124256E-3</v>
      </c>
      <c r="E217" s="23">
        <f>LN(HKData!F218/HKData!F217)-C217</f>
        <v>5.1850992166667968E-3</v>
      </c>
      <c r="F217" s="23">
        <f t="shared" si="6"/>
        <v>1.3301281229107734E-3</v>
      </c>
      <c r="G217" s="23"/>
      <c r="H217" s="23"/>
      <c r="I217" s="91"/>
      <c r="J217" s="91"/>
      <c r="K217" s="91"/>
    </row>
    <row r="218" spans="1:11">
      <c r="A218" s="20">
        <f>HKData!A219</f>
        <v>45548</v>
      </c>
      <c r="B218" s="91">
        <v>215</v>
      </c>
      <c r="C218" s="22">
        <f>DailyHIBOR!C216/252/100</f>
        <v>1.2698412698412698E-4</v>
      </c>
      <c r="D218" s="23">
        <f>LN(HKData!N219/HKData!N218)-C218</f>
        <v>7.3102735395593503E-3</v>
      </c>
      <c r="E218" s="23">
        <f>LN(HKData!F219/HKData!F218)-C218</f>
        <v>3.8385936763822635E-3</v>
      </c>
      <c r="F218" s="23">
        <f t="shared" si="6"/>
        <v>1.2960962540185328E-4</v>
      </c>
      <c r="G218" s="23"/>
      <c r="H218" s="23"/>
      <c r="I218" s="91"/>
      <c r="J218" s="91"/>
      <c r="K218" s="91"/>
    </row>
    <row r="219" spans="1:11">
      <c r="A219" s="20">
        <f>HKData!A220</f>
        <v>45551</v>
      </c>
      <c r="B219" s="91">
        <v>216</v>
      </c>
      <c r="C219" s="22">
        <f>DailyHIBOR!C217/252/100</f>
        <v>1.2698412698412698E-4</v>
      </c>
      <c r="D219" s="23">
        <f>LN(HKData!N220/HKData!N219)-C219</f>
        <v>2.9214490542449028E-3</v>
      </c>
      <c r="E219" s="23">
        <f>LN(HKData!F220/HKData!F219)-C219</f>
        <v>6.4476922674128884E-3</v>
      </c>
      <c r="F219" s="23">
        <f t="shared" si="6"/>
        <v>5.5253794270517659E-3</v>
      </c>
      <c r="G219" s="23"/>
      <c r="H219" s="23"/>
      <c r="I219" s="91"/>
      <c r="J219" s="91"/>
      <c r="K219" s="91"/>
    </row>
    <row r="220" spans="1:11">
      <c r="A220" s="20">
        <f>HKData!A221</f>
        <v>45552</v>
      </c>
      <c r="B220" s="91">
        <v>217</v>
      </c>
      <c r="C220" s="22">
        <f>DailyHIBOR!C218/252/100</f>
        <v>1.2698412698412698E-4</v>
      </c>
      <c r="D220" s="23">
        <f>LN(HKData!N221/HKData!N220)-C220</f>
        <v>1.3435703118739926E-2</v>
      </c>
      <c r="E220" s="23">
        <f>LN(HKData!F221/HKData!F220)-C220</f>
        <v>1.6767507726431864E-2</v>
      </c>
      <c r="F220" s="23">
        <f t="shared" si="6"/>
        <v>9.1692001634050731E-3</v>
      </c>
      <c r="G220" s="23"/>
      <c r="H220" s="23"/>
      <c r="I220" s="91"/>
      <c r="J220" s="91"/>
      <c r="K220" s="91"/>
    </row>
    <row r="221" spans="1:11">
      <c r="A221" s="20">
        <f>HKData!A222</f>
        <v>45554</v>
      </c>
      <c r="B221" s="91">
        <v>218</v>
      </c>
      <c r="C221" s="22">
        <f>DailyHIBOR!C219/252/100</f>
        <v>1.2698412698412698E-4</v>
      </c>
      <c r="D221" s="23">
        <f>LN(HKData!N222/HKData!N221)-C221</f>
        <v>1.9672325287972393E-2</v>
      </c>
      <c r="E221" s="23">
        <f>LN(HKData!F222/HKData!F221)-C221</f>
        <v>-1.4165185904276151E-3</v>
      </c>
      <c r="F221" s="23">
        <f t="shared" si="6"/>
        <v>-1.2974751073820623E-2</v>
      </c>
      <c r="G221" s="23"/>
      <c r="H221" s="23"/>
      <c r="I221" s="91"/>
      <c r="J221" s="91"/>
      <c r="K221" s="91"/>
    </row>
    <row r="222" spans="1:11">
      <c r="A222" s="20">
        <f>HKData!A223</f>
        <v>45555</v>
      </c>
      <c r="B222" s="91">
        <v>219</v>
      </c>
      <c r="C222" s="22">
        <f>DailyHIBOR!C220/252/100</f>
        <v>1.2698412698412698E-4</v>
      </c>
      <c r="D222" s="23">
        <f>LN(HKData!N223/HKData!N222)-C222</f>
        <v>1.3404981285478559E-2</v>
      </c>
      <c r="E222" s="23">
        <f>LN(HKData!F223/HKData!F222)-C222</f>
        <v>-1.2698412698412698E-4</v>
      </c>
      <c r="F222" s="23">
        <f t="shared" si="6"/>
        <v>-7.705784952256111E-3</v>
      </c>
      <c r="G222" s="23"/>
      <c r="H222" s="23"/>
      <c r="I222" s="91"/>
      <c r="J222" s="91"/>
      <c r="K222" s="91"/>
    </row>
    <row r="223" spans="1:11">
      <c r="A223" s="20">
        <f>HKData!A224</f>
        <v>45558</v>
      </c>
      <c r="B223" s="91">
        <v>220</v>
      </c>
      <c r="C223" s="22">
        <f>DailyHIBOR!C221/252/100</f>
        <v>1.2698412698412698E-4</v>
      </c>
      <c r="D223" s="23">
        <f>LN(HKData!N224/HKData!N223)-C223</f>
        <v>-7.5488301694623524E-4</v>
      </c>
      <c r="E223" s="23">
        <f>LN(HKData!F224/HKData!F223)-C223</f>
        <v>-2.7109267681515695E-3</v>
      </c>
      <c r="F223" s="23">
        <f t="shared" si="6"/>
        <v>-1.2989633626193193E-3</v>
      </c>
      <c r="G223" s="23"/>
      <c r="H223" s="23"/>
      <c r="I223" s="91"/>
      <c r="J223" s="91"/>
      <c r="K223" s="91"/>
    </row>
    <row r="224" spans="1:11">
      <c r="A224" s="20">
        <f>HKData!A225</f>
        <v>45559</v>
      </c>
      <c r="B224" s="91">
        <v>221</v>
      </c>
      <c r="C224" s="22">
        <f>DailyHIBOR!C222/252/100</f>
        <v>1.2698412698412698E-4</v>
      </c>
      <c r="D224" s="23">
        <f>LN(HKData!N225/HKData!N224)-C224</f>
        <v>4.0334819998916575E-2</v>
      </c>
      <c r="E224" s="23">
        <f>LN(HKData!F225/HKData!F224)-C224</f>
        <v>3.7464929776267202E-3</v>
      </c>
      <c r="F224" s="23">
        <f t="shared" si="6"/>
        <v>-2.0931329806820682E-2</v>
      </c>
      <c r="G224" s="23"/>
      <c r="H224" s="23"/>
      <c r="I224" s="91"/>
      <c r="J224" s="91"/>
      <c r="K224" s="91"/>
    </row>
    <row r="225" spans="1:11">
      <c r="A225" s="20">
        <f>HKData!A226</f>
        <v>45560</v>
      </c>
      <c r="B225" s="91">
        <v>222</v>
      </c>
      <c r="C225" s="22">
        <f>DailyHIBOR!C223/252/100</f>
        <v>1.2698412698412698E-4</v>
      </c>
      <c r="D225" s="23">
        <f>LN(HKData!N226/HKData!N225)-C225</f>
        <v>6.6152500758547943E-3</v>
      </c>
      <c r="E225" s="23">
        <f>LN(HKData!F226/HKData!F225)-C225</f>
        <v>1.3948722782213941E-2</v>
      </c>
      <c r="F225" s="23">
        <f t="shared" si="6"/>
        <v>1.0681041837222655E-2</v>
      </c>
      <c r="G225" s="23"/>
      <c r="H225" s="23"/>
      <c r="I225" s="91"/>
      <c r="J225" s="91"/>
      <c r="K225" s="91"/>
    </row>
    <row r="226" spans="1:11">
      <c r="A226" s="20">
        <f>HKData!A227</f>
        <v>45561</v>
      </c>
      <c r="B226" s="91">
        <v>223</v>
      </c>
      <c r="C226" s="22">
        <f>DailyHIBOR!C224/252/100</f>
        <v>1.2698412698412698E-4</v>
      </c>
      <c r="D226" s="23">
        <f>LN(HKData!N227/HKData!N226)-C226</f>
        <v>4.0616449800545087E-2</v>
      </c>
      <c r="E226" s="23">
        <f>LN(HKData!F227/HKData!F226)-C226</f>
        <v>2.12440268042146E-2</v>
      </c>
      <c r="F226" s="23">
        <f t="shared" si="6"/>
        <v>-3.6126159952223867E-3</v>
      </c>
      <c r="G226" s="23"/>
      <c r="H226" s="23"/>
      <c r="I226" s="91"/>
      <c r="J226" s="91"/>
      <c r="K226" s="91"/>
    </row>
    <row r="227" spans="1:11">
      <c r="A227" s="20">
        <f>HKData!A228</f>
        <v>45562</v>
      </c>
      <c r="B227" s="91">
        <v>224</v>
      </c>
      <c r="C227" s="22">
        <f>DailyHIBOR!C225/252/100</f>
        <v>1.2698412698412698E-4</v>
      </c>
      <c r="D227" s="23">
        <f>LN(HKData!N228/HKData!N227)-C227</f>
        <v>3.4776713402588859E-2</v>
      </c>
      <c r="E227" s="23">
        <f>LN(HKData!F228/HKData!F227)-C227</f>
        <v>3.8902376551957309E-2</v>
      </c>
      <c r="F227" s="23">
        <f t="shared" si="6"/>
        <v>1.7753657218642766E-2</v>
      </c>
      <c r="G227" s="23"/>
      <c r="H227" s="23"/>
      <c r="I227" s="91"/>
      <c r="J227" s="91"/>
      <c r="K227" s="91"/>
    </row>
    <row r="228" spans="1:11">
      <c r="A228" s="20">
        <f>HKData!A229</f>
        <v>45565</v>
      </c>
      <c r="B228" s="91">
        <v>225</v>
      </c>
      <c r="C228" s="22">
        <f>DailyHIBOR!C226/252/100</f>
        <v>1.2698412698412698E-4</v>
      </c>
      <c r="D228" s="23">
        <f>LN(HKData!N229/HKData!N228)-C228</f>
        <v>2.388313065391319E-2</v>
      </c>
      <c r="E228" s="23">
        <f>LN(HKData!F229/HKData!F228)-C228</f>
        <v>3.9737595996388847E-2</v>
      </c>
      <c r="F228" s="23">
        <f t="shared" si="6"/>
        <v>2.5505725019122981E-2</v>
      </c>
      <c r="G228" s="23"/>
      <c r="H228" s="23"/>
      <c r="I228" s="91"/>
      <c r="J228" s="91"/>
      <c r="K228" s="91"/>
    </row>
    <row r="229" spans="1:11">
      <c r="A229" s="20">
        <f>HKData!A230</f>
        <v>45567</v>
      </c>
      <c r="B229" s="91">
        <v>226</v>
      </c>
      <c r="C229" s="22">
        <f>DailyHIBOR!C227/252/100</f>
        <v>2.349206349206349E-4</v>
      </c>
      <c r="D229" s="23">
        <f>LN(HKData!N230/HKData!N229)-C229</f>
        <v>5.99084264866281E-2</v>
      </c>
      <c r="E229" s="23">
        <f>LN(HKData!F230/HKData!F229)-C229</f>
        <v>6.6379685998311276E-3</v>
      </c>
      <c r="F229" s="23">
        <f t="shared" si="6"/>
        <v>-3.0468058107970163E-2</v>
      </c>
      <c r="G229" s="23"/>
      <c r="H229" s="23"/>
      <c r="I229" s="91"/>
      <c r="J229" s="91"/>
      <c r="K229" s="91"/>
    </row>
    <row r="230" spans="1:11">
      <c r="A230" s="20">
        <f>HKData!A231</f>
        <v>45568</v>
      </c>
      <c r="B230" s="91">
        <v>227</v>
      </c>
      <c r="C230" s="22">
        <f>DailyHIBOR!C228/252/100</f>
        <v>2.349206349206349E-4</v>
      </c>
      <c r="D230" s="23">
        <f>LN(HKData!N231/HKData!N230)-C230</f>
        <v>-1.5057506028686069E-2</v>
      </c>
      <c r="E230" s="23">
        <f>LN(HKData!F231/HKData!F230)-C230</f>
        <v>-1.3771083497244342E-3</v>
      </c>
      <c r="F230" s="23">
        <f t="shared" si="6"/>
        <v>9.1162635096026356E-3</v>
      </c>
      <c r="G230" s="23"/>
      <c r="H230" s="23"/>
      <c r="I230" s="91"/>
      <c r="J230" s="91"/>
      <c r="K230" s="91"/>
    </row>
    <row r="231" spans="1:11">
      <c r="A231" s="20">
        <f>HKData!A232</f>
        <v>45569</v>
      </c>
      <c r="B231" s="91">
        <v>228</v>
      </c>
      <c r="C231" s="22">
        <f>DailyHIBOR!C229/252/100</f>
        <v>2.349206349206349E-4</v>
      </c>
      <c r="D231" s="23">
        <f>LN(HKData!N232/HKData!N231)-C231</f>
        <v>2.7564154130329914E-2</v>
      </c>
      <c r="E231" s="23">
        <f>LN(HKData!F232/HKData!F231)-C231</f>
        <v>3.1877361659047141E-3</v>
      </c>
      <c r="F231" s="23">
        <f t="shared" si="6"/>
        <v>-1.3381389851217063E-2</v>
      </c>
      <c r="G231" s="23"/>
      <c r="H231" s="23"/>
      <c r="I231" s="91"/>
      <c r="J231" s="91"/>
      <c r="K231" s="91"/>
    </row>
    <row r="232" spans="1:11">
      <c r="A232" s="20">
        <f>HKData!A233</f>
        <v>45572</v>
      </c>
      <c r="B232" s="91">
        <v>229</v>
      </c>
      <c r="C232" s="22">
        <f>DailyHIBOR!C230/252/100</f>
        <v>2.349206349206349E-4</v>
      </c>
      <c r="D232" s="23">
        <f>LN(HKData!N233/HKData!N232)-C232</f>
        <v>1.5600344467120412E-2</v>
      </c>
      <c r="E232" s="23">
        <f>LN(HKData!F233/HKData!F232)-C232</f>
        <v>5.0830560726024772E-2</v>
      </c>
      <c r="F232" s="23">
        <f t="shared" si="6"/>
        <v>4.1857820499529137E-2</v>
      </c>
      <c r="G232" s="23"/>
      <c r="H232" s="23"/>
      <c r="I232" s="91"/>
      <c r="J232" s="91"/>
      <c r="K232" s="91"/>
    </row>
    <row r="233" spans="1:11">
      <c r="A233" s="20">
        <f>HKData!A234</f>
        <v>45573</v>
      </c>
      <c r="B233" s="91">
        <v>230</v>
      </c>
      <c r="C233" s="22">
        <f>DailyHIBOR!C231/252/100</f>
        <v>2.349206349206349E-4</v>
      </c>
      <c r="D233" s="23">
        <f>LN(HKData!N234/HKData!N233)-C233</f>
        <v>-9.9027872343209478E-2</v>
      </c>
      <c r="E233" s="23">
        <f>LN(HKData!F234/HKData!F233)-C233</f>
        <v>-8.0187472406438448E-2</v>
      </c>
      <c r="F233" s="23">
        <f t="shared" si="6"/>
        <v>-1.6377363198232714E-2</v>
      </c>
      <c r="G233" s="23"/>
      <c r="H233" s="23"/>
      <c r="K233" s="91"/>
    </row>
    <row r="234" spans="1:11">
      <c r="A234" s="20">
        <f>HKData!A235</f>
        <v>45574</v>
      </c>
      <c r="B234" s="91">
        <v>231</v>
      </c>
      <c r="C234" s="22">
        <f>DailyHIBOR!C232/252/100</f>
        <v>2.349206349206349E-4</v>
      </c>
      <c r="D234" s="23">
        <f>LN(HKData!N235/HKData!N234)-C234</f>
        <v>-1.4167810062316726E-2</v>
      </c>
      <c r="E234" s="23">
        <f>LN(HKData!F235/HKData!F234)-C234</f>
        <v>-1.3214377293625483E-2</v>
      </c>
      <c r="F234" s="23">
        <f t="shared" si="6"/>
        <v>-3.2859152738195802E-3</v>
      </c>
      <c r="G234" s="23"/>
      <c r="H234" s="23"/>
      <c r="K234" s="91"/>
    </row>
    <row r="235" spans="1:11">
      <c r="A235" s="20">
        <f>HKData!A236</f>
        <v>45575</v>
      </c>
      <c r="B235" s="91">
        <v>232</v>
      </c>
      <c r="C235" s="22">
        <f>DailyHIBOR!C233/252/100</f>
        <v>2.349206349206349E-4</v>
      </c>
      <c r="D235" s="23">
        <f>LN(HKData!N236/HKData!N235)-C235</f>
        <v>2.9117946823618648E-2</v>
      </c>
      <c r="E235" s="23">
        <f>LN(HKData!F236/HKData!F235)-C235</f>
        <v>3.9351137348335077E-2</v>
      </c>
      <c r="F235" s="23">
        <f t="shared" si="6"/>
        <v>2.1795435226348154E-2</v>
      </c>
      <c r="G235" s="23"/>
      <c r="H235" s="23"/>
      <c r="K235" s="91"/>
    </row>
    <row r="236" spans="1:11">
      <c r="A236" s="20">
        <f>HKData!A237</f>
        <v>45579</v>
      </c>
      <c r="B236" s="91">
        <v>233</v>
      </c>
      <c r="C236" s="22">
        <f>DailyHIBOR!C234/252/100</f>
        <v>2.349206349206349E-4</v>
      </c>
      <c r="D236" s="23">
        <f>LN(HKData!N237/HKData!N236)-C236</f>
        <v>-7.7499822504432788E-3</v>
      </c>
      <c r="E236" s="23">
        <f>LN(HKData!F237/HKData!F236)-C236</f>
        <v>-4.8115199743685184E-3</v>
      </c>
      <c r="F236" s="23">
        <f t="shared" si="6"/>
        <v>1.0419611347395755E-3</v>
      </c>
      <c r="G236" s="23"/>
      <c r="H236" s="23"/>
      <c r="K236" s="91"/>
    </row>
    <row r="237" spans="1:11">
      <c r="A237" s="20">
        <f>HKData!A238</f>
        <v>45580</v>
      </c>
      <c r="B237" s="91">
        <v>234</v>
      </c>
      <c r="C237" s="22">
        <f>DailyHIBOR!C235/252/100</f>
        <v>2.349206349206349E-4</v>
      </c>
      <c r="D237" s="23">
        <f>LN(HKData!N238/HKData!N237)-C237</f>
        <v>-3.762392102290292E-2</v>
      </c>
      <c r="E237" s="23">
        <f>LN(HKData!F238/HKData!F237)-C237</f>
        <v>-3.6432715980108207E-2</v>
      </c>
      <c r="F237" s="23">
        <f t="shared" si="6"/>
        <v>-1.1610865230432903E-2</v>
      </c>
      <c r="G237" s="23"/>
      <c r="H237" s="23"/>
      <c r="K237" s="91"/>
    </row>
    <row r="238" spans="1:11">
      <c r="A238" s="20">
        <f>HKData!A239</f>
        <v>45581</v>
      </c>
      <c r="B238" s="91">
        <v>235</v>
      </c>
      <c r="C238" s="22">
        <f>DailyHIBOR!C236/252/100</f>
        <v>2.349206349206349E-4</v>
      </c>
      <c r="D238" s="23">
        <f>LN(HKData!N239/HKData!N238)-C238</f>
        <v>-1.8080745493368614E-3</v>
      </c>
      <c r="E238" s="23">
        <f>LN(HKData!F239/HKData!F238)-C238</f>
        <v>1.1585488349978671E-2</v>
      </c>
      <c r="F238" s="23">
        <f t="shared" si="6"/>
        <v>1.3666172624254135E-2</v>
      </c>
      <c r="G238" s="23"/>
      <c r="K238" s="91"/>
    </row>
    <row r="239" spans="1:11">
      <c r="A239" s="20">
        <f>HKData!A240</f>
        <v>45582</v>
      </c>
      <c r="B239" s="91">
        <v>236</v>
      </c>
      <c r="C239" s="22">
        <f>DailyHIBOR!C237/252/100</f>
        <v>2.349206349206349E-4</v>
      </c>
      <c r="D239" s="23">
        <f>LN(HKData!N240/HKData!N239)-C239</f>
        <v>-1.0528340626513749E-2</v>
      </c>
      <c r="E239" s="23">
        <f>LN(HKData!F240/HKData!F239)-C239</f>
        <v>-1.682296452828495E-2</v>
      </c>
      <c r="F239" s="23">
        <f t="shared" si="6"/>
        <v>-9.2053729323516315E-3</v>
      </c>
      <c r="G239" s="23"/>
      <c r="K239" s="91"/>
    </row>
    <row r="240" spans="1:11">
      <c r="A240" s="20">
        <f>HKData!A241</f>
        <v>45583</v>
      </c>
      <c r="B240" s="91">
        <v>237</v>
      </c>
      <c r="C240" s="22">
        <f>DailyHIBOR!C238/252/100</f>
        <v>2.349206349206349E-4</v>
      </c>
      <c r="D240" s="23">
        <f>LN(HKData!N241/HKData!N240)-C240</f>
        <v>3.5236159016897681E-2</v>
      </c>
      <c r="E240" s="23">
        <f>LN(HKData!F241/HKData!F240)-C240</f>
        <v>1.5177361501949559E-2</v>
      </c>
      <c r="F240" s="23">
        <f t="shared" si="6"/>
        <v>-6.2630814741134709E-3</v>
      </c>
      <c r="G240" s="23"/>
      <c r="K240" s="91"/>
    </row>
    <row r="241" spans="1:11">
      <c r="A241" s="20">
        <f>HKData!A242</f>
        <v>45586</v>
      </c>
      <c r="B241" s="91">
        <v>238</v>
      </c>
      <c r="C241" s="22">
        <f>DailyHIBOR!C239/252/100</f>
        <v>2.349206349206349E-4</v>
      </c>
      <c r="D241" s="23">
        <f>LN(HKData!N242/HKData!N241)-C241</f>
        <v>-1.6011806123042812E-2</v>
      </c>
      <c r="E241" s="23">
        <f>LN(HKData!F242/HKData!F241)-C241</f>
        <v>-2.4045565195836571E-2</v>
      </c>
      <c r="F241" s="23">
        <f t="shared" si="6"/>
        <v>-1.2946263295758584E-2</v>
      </c>
      <c r="G241" s="23"/>
      <c r="K241" s="91"/>
    </row>
    <row r="242" spans="1:11">
      <c r="A242" s="20">
        <f>HKData!A243</f>
        <v>45587</v>
      </c>
      <c r="B242" s="91">
        <v>239</v>
      </c>
      <c r="C242" s="22">
        <f>DailyHIBOR!C240/252/100</f>
        <v>2.349206349206349E-4</v>
      </c>
      <c r="D242" s="23">
        <f>LN(HKData!N243/HKData!N242)-C242</f>
        <v>7.650587624674287E-4</v>
      </c>
      <c r="E242" s="23">
        <f>LN(HKData!F243/HKData!F242)-C242</f>
        <v>-2.349206349206349E-4</v>
      </c>
      <c r="F242" s="23">
        <f t="shared" si="6"/>
        <v>2.1196020404230266E-4</v>
      </c>
      <c r="G242" s="23"/>
      <c r="K242" s="91"/>
    </row>
    <row r="243" spans="1:11">
      <c r="A243" s="20">
        <f>HKData!A244</f>
        <v>45588</v>
      </c>
      <c r="B243" s="91">
        <v>240</v>
      </c>
      <c r="C243" s="22">
        <f>DailyHIBOR!C241/252/100</f>
        <v>2.349206349206349E-4</v>
      </c>
      <c r="D243" s="23">
        <f>LN(HKData!N244/HKData!N243)-C243</f>
        <v>1.2426754677592472E-2</v>
      </c>
      <c r="E243" s="23">
        <f>LN(HKData!F244/HKData!F243)-C243</f>
        <v>8.1634417891251216E-3</v>
      </c>
      <c r="F243" s="23">
        <f t="shared" si="6"/>
        <v>1.2057630740627033E-3</v>
      </c>
      <c r="G243" s="23"/>
      <c r="K243" s="91"/>
    </row>
    <row r="244" spans="1:11">
      <c r="A244" s="20">
        <f>HKData!A245</f>
        <v>45589</v>
      </c>
      <c r="B244" s="91">
        <v>241</v>
      </c>
      <c r="C244" s="22">
        <f>DailyHIBOR!C242/252/100</f>
        <v>2.349206349206349E-4</v>
      </c>
      <c r="D244" s="23">
        <f>LN(HKData!N245/HKData!N244)-C244</f>
        <v>-1.3351848651277323E-2</v>
      </c>
      <c r="E244" s="23">
        <f>LN(HKData!F245/HKData!F244)-C244</f>
        <v>-1.2254235304377453E-2</v>
      </c>
      <c r="F244" s="23">
        <f t="shared" si="6"/>
        <v>-2.8438655848511026E-3</v>
      </c>
      <c r="G244" s="23"/>
    </row>
    <row r="245" spans="1:11">
      <c r="A245" s="20">
        <f>HKData!A246</f>
        <v>45590</v>
      </c>
      <c r="B245" s="91">
        <v>242</v>
      </c>
      <c r="C245" s="22">
        <f>DailyHIBOR!C243/252/100</f>
        <v>2.349206349206349E-4</v>
      </c>
      <c r="D245" s="23">
        <f>LN(HKData!N246/HKData!N245)-C245</f>
        <v>4.6595299346895843E-3</v>
      </c>
      <c r="E245" s="23">
        <f>LN(HKData!F246/HKData!F245)-C245</f>
        <v>1.7740365644380945E-2</v>
      </c>
      <c r="F245" s="23">
        <f t="shared" si="6"/>
        <v>1.5714463456241202E-2</v>
      </c>
      <c r="G245" s="23"/>
    </row>
    <row r="246" spans="1:11">
      <c r="A246" s="20">
        <f>HKData!A247</f>
        <v>45593</v>
      </c>
      <c r="B246" s="91">
        <v>243</v>
      </c>
      <c r="C246" s="22">
        <f>DailyHIBOR!C244/252/100</f>
        <v>2.349206349206349E-4</v>
      </c>
      <c r="D246" s="23">
        <f>LN(HKData!N247/HKData!N246)-C246</f>
        <v>2.1223130162052972E-4</v>
      </c>
      <c r="E246" s="23">
        <f>LN(HKData!F247/HKData!F246)-C246</f>
        <v>9.52005598288528E-4</v>
      </c>
      <c r="F246" s="23">
        <f t="shared" si="6"/>
        <v>1.7499026090616351E-3</v>
      </c>
      <c r="G246" s="23"/>
    </row>
    <row r="247" spans="1:11">
      <c r="A247" s="20">
        <f>HKData!A248</f>
        <v>45594</v>
      </c>
      <c r="B247" s="91">
        <v>244</v>
      </c>
      <c r="C247" s="22">
        <f>DailyHIBOR!C245/252/100</f>
        <v>2.349206349206349E-4</v>
      </c>
      <c r="D247" s="23">
        <f>LN(HKData!N248/HKData!N247)-C247</f>
        <v>4.6939037643095993E-3</v>
      </c>
      <c r="E247" s="23">
        <f>LN(HKData!F248/HKData!F247)-C247</f>
        <v>-8.5732582429991488E-3</v>
      </c>
      <c r="F247" s="23">
        <f t="shared" si="6"/>
        <v>-1.0620985993250422E-2</v>
      </c>
      <c r="G247" s="23"/>
    </row>
    <row r="248" spans="1:11">
      <c r="A248" s="20">
        <f>HKData!A249</f>
        <v>45595</v>
      </c>
      <c r="B248" s="91">
        <v>245</v>
      </c>
      <c r="C248" s="22">
        <f>DailyHIBOR!C246/252/100</f>
        <v>2.349206349206349E-4</v>
      </c>
      <c r="D248" s="23">
        <f>LN(HKData!N249/HKData!N248)-C248</f>
        <v>-1.5838260740686998E-2</v>
      </c>
      <c r="E248" s="23">
        <f>LN(HKData!F249/HKData!F248)-C248</f>
        <v>-5.031138729976915E-3</v>
      </c>
      <c r="F248" s="23">
        <f t="shared" si="6"/>
        <v>5.9579710395282742E-3</v>
      </c>
    </row>
  </sheetData>
  <phoneticPr fontId="33" type="noConversion"/>
  <pageMargins left="0.7" right="0.7" top="0.75" bottom="0.75" header="0.3" footer="0.3"/>
  <pageSetup orientation="portrait" horizontalDpi="4294967292" verticalDpi="429496729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FB59E-38ED-4E65-9596-3E75520B5D2B}">
  <sheetPr codeName="Sheet9"/>
  <dimension ref="A1:C10013"/>
  <sheetViews>
    <sheetView workbookViewId="0">
      <selection activeCell="E14" sqref="E14"/>
    </sheetView>
  </sheetViews>
  <sheetFormatPr baseColWidth="10" defaultColWidth="8.6640625" defaultRowHeight="15"/>
  <cols>
    <col min="1" max="1" width="16" style="32" customWidth="1"/>
    <col min="2" max="2" width="12.1640625" style="32" customWidth="1"/>
    <col min="3" max="16384" width="8.6640625" style="32"/>
  </cols>
  <sheetData>
    <row r="1" spans="1:3" s="88" customFormat="1" ht="19">
      <c r="A1" s="18" t="s">
        <v>233</v>
      </c>
    </row>
    <row r="3" spans="1:3">
      <c r="A3" s="14" t="s">
        <v>234</v>
      </c>
      <c r="B3" s="3"/>
      <c r="C3" s="3"/>
    </row>
    <row r="4" spans="1:3">
      <c r="A4" s="6" t="s">
        <v>2</v>
      </c>
      <c r="B4" s="10">
        <f>Bootstrap_Excel!I6</f>
        <v>-9.3265265210648682E-4</v>
      </c>
      <c r="C4" s="3"/>
    </row>
    <row r="5" spans="1:3" ht="16">
      <c r="A5" s="9" t="s">
        <v>1</v>
      </c>
      <c r="B5" s="10">
        <f>Bootstrap_Excel!I7</f>
        <v>0.63494706155232139</v>
      </c>
      <c r="C5" s="3"/>
    </row>
    <row r="6" spans="1:3">
      <c r="A6" s="6" t="s">
        <v>195</v>
      </c>
      <c r="B6" s="10">
        <f>Bootstrap_Excel!I8</f>
        <v>2.349206349206349E-4</v>
      </c>
      <c r="C6" s="82" t="s">
        <v>205</v>
      </c>
    </row>
    <row r="7" spans="1:3">
      <c r="A7" s="6" t="s">
        <v>134</v>
      </c>
      <c r="B7" s="16">
        <f>Bootstrap_Excel!I9</f>
        <v>8.1639995574951172</v>
      </c>
      <c r="C7" s="82" t="s">
        <v>205</v>
      </c>
    </row>
    <row r="9" spans="1:3">
      <c r="A9" s="89" t="s">
        <v>206</v>
      </c>
    </row>
    <row r="10" spans="1:3" ht="32">
      <c r="A10" s="39" t="s">
        <v>207</v>
      </c>
      <c r="B10" s="4" t="s">
        <v>130</v>
      </c>
    </row>
    <row r="11" spans="1:3">
      <c r="A11" s="32">
        <v>1</v>
      </c>
      <c r="B11" s="90">
        <v>8.8929702085804188</v>
      </c>
    </row>
    <row r="12" spans="1:3">
      <c r="A12" s="32">
        <v>2</v>
      </c>
      <c r="B12" s="90">
        <v>9.1313283538901509</v>
      </c>
    </row>
    <row r="13" spans="1:3">
      <c r="A13" s="32">
        <v>3</v>
      </c>
      <c r="B13" s="90">
        <v>7.8139059720842088</v>
      </c>
    </row>
    <row r="14" spans="1:3">
      <c r="A14" s="32">
        <v>4</v>
      </c>
      <c r="B14" s="90">
        <v>7.9929609280297047</v>
      </c>
    </row>
    <row r="15" spans="1:3">
      <c r="A15" s="32">
        <v>5</v>
      </c>
      <c r="B15" s="90">
        <v>7.5456519674219908</v>
      </c>
    </row>
    <row r="16" spans="1:3">
      <c r="A16" s="32">
        <v>6</v>
      </c>
      <c r="B16" s="90">
        <v>7.2125658819924983</v>
      </c>
    </row>
    <row r="17" spans="1:2">
      <c r="A17" s="32">
        <v>7</v>
      </c>
      <c r="B17" s="90">
        <v>8.5448956255611535</v>
      </c>
    </row>
    <row r="18" spans="1:2">
      <c r="A18" s="32">
        <v>8</v>
      </c>
      <c r="B18" s="90">
        <v>9.2966872733481463</v>
      </c>
    </row>
    <row r="19" spans="1:2">
      <c r="A19" s="32">
        <v>9</v>
      </c>
      <c r="B19" s="90">
        <v>7.9902899224369053</v>
      </c>
    </row>
    <row r="20" spans="1:2">
      <c r="A20" s="32">
        <v>10</v>
      </c>
      <c r="B20" s="90">
        <v>8.0073614155419257</v>
      </c>
    </row>
    <row r="21" spans="1:2">
      <c r="A21" s="32">
        <v>11</v>
      </c>
      <c r="B21" s="90">
        <v>7.4266390985053743</v>
      </c>
    </row>
    <row r="22" spans="1:2">
      <c r="A22" s="32">
        <v>12</v>
      </c>
      <c r="B22" s="90">
        <v>7.3175828250489889</v>
      </c>
    </row>
    <row r="23" spans="1:2">
      <c r="A23" s="32">
        <v>13</v>
      </c>
      <c r="B23" s="90">
        <v>8.8038094333602661</v>
      </c>
    </row>
    <row r="24" spans="1:2">
      <c r="A24" s="32">
        <v>14</v>
      </c>
      <c r="B24" s="90">
        <v>9.0372995287474644</v>
      </c>
    </row>
    <row r="25" spans="1:2">
      <c r="A25" s="32">
        <v>15</v>
      </c>
      <c r="B25" s="90">
        <v>8.3173516114577186</v>
      </c>
    </row>
    <row r="26" spans="1:2">
      <c r="A26" s="32">
        <v>16</v>
      </c>
      <c r="B26" s="90">
        <v>7.4676220661355899</v>
      </c>
    </row>
    <row r="27" spans="1:2">
      <c r="A27" s="32">
        <v>17</v>
      </c>
      <c r="B27" s="90">
        <v>7.7514756755244196</v>
      </c>
    </row>
    <row r="28" spans="1:2">
      <c r="A28" s="32">
        <v>18</v>
      </c>
      <c r="B28" s="90">
        <v>7.188950296705098</v>
      </c>
    </row>
    <row r="29" spans="1:2">
      <c r="A29" s="32">
        <v>19</v>
      </c>
      <c r="B29" s="90">
        <v>8.5327504942167671</v>
      </c>
    </row>
    <row r="30" spans="1:2">
      <c r="A30" s="32">
        <v>20</v>
      </c>
      <c r="B30" s="90">
        <v>9.7814046734494315</v>
      </c>
    </row>
    <row r="31" spans="1:2">
      <c r="A31" s="32">
        <v>21</v>
      </c>
      <c r="B31" s="90">
        <v>8.1246491081999537</v>
      </c>
    </row>
    <row r="32" spans="1:2">
      <c r="A32" s="32">
        <v>22</v>
      </c>
      <c r="B32" s="90">
        <v>6.9635501835222104</v>
      </c>
    </row>
    <row r="33" spans="1:2">
      <c r="A33" s="32">
        <v>23</v>
      </c>
      <c r="B33" s="90">
        <v>7.9616305091211599</v>
      </c>
    </row>
    <row r="34" spans="1:2">
      <c r="A34" s="32">
        <v>24</v>
      </c>
      <c r="B34" s="90">
        <v>7.6175603883805598</v>
      </c>
    </row>
    <row r="35" spans="1:2">
      <c r="A35" s="32">
        <v>25</v>
      </c>
      <c r="B35" s="90">
        <v>8.344788116374362</v>
      </c>
    </row>
    <row r="36" spans="1:2">
      <c r="A36" s="32">
        <v>26</v>
      </c>
      <c r="B36" s="90">
        <v>9.3393308760237179</v>
      </c>
    </row>
    <row r="37" spans="1:2">
      <c r="A37" s="32">
        <v>27</v>
      </c>
      <c r="B37" s="90">
        <v>8.0606809040288905</v>
      </c>
    </row>
    <row r="38" spans="1:2">
      <c r="A38" s="32">
        <v>28</v>
      </c>
      <c r="B38" s="90">
        <v>7.0063614688626528</v>
      </c>
    </row>
    <row r="39" spans="1:2">
      <c r="A39" s="32">
        <v>29</v>
      </c>
      <c r="B39" s="90">
        <v>7.7525237513743805</v>
      </c>
    </row>
    <row r="40" spans="1:2">
      <c r="A40" s="32">
        <v>30</v>
      </c>
      <c r="B40" s="90">
        <v>8.5197088358838879</v>
      </c>
    </row>
    <row r="41" spans="1:2">
      <c r="A41" s="32">
        <v>31</v>
      </c>
      <c r="B41" s="90">
        <v>9.1413653863946358</v>
      </c>
    </row>
    <row r="42" spans="1:2">
      <c r="A42" s="32">
        <v>32</v>
      </c>
      <c r="B42" s="90">
        <v>8.032829083404831</v>
      </c>
    </row>
    <row r="43" spans="1:2">
      <c r="A43" s="32">
        <v>33</v>
      </c>
      <c r="B43" s="90">
        <v>7.8607665861610387</v>
      </c>
    </row>
    <row r="44" spans="1:2">
      <c r="A44" s="32">
        <v>34</v>
      </c>
      <c r="B44" s="90">
        <v>7.348915535250903</v>
      </c>
    </row>
    <row r="45" spans="1:2">
      <c r="A45" s="32">
        <v>35</v>
      </c>
      <c r="B45" s="90">
        <v>7.0790053677596854</v>
      </c>
    </row>
    <row r="46" spans="1:2">
      <c r="A46" s="32">
        <v>36</v>
      </c>
      <c r="B46" s="90">
        <v>9.0106735203405606</v>
      </c>
    </row>
    <row r="47" spans="1:2">
      <c r="A47" s="32">
        <v>37</v>
      </c>
      <c r="B47" s="90">
        <v>8.9815236997666705</v>
      </c>
    </row>
    <row r="48" spans="1:2">
      <c r="A48" s="32">
        <v>38</v>
      </c>
      <c r="B48" s="90">
        <v>7.9948073125184571</v>
      </c>
    </row>
    <row r="49" spans="1:2">
      <c r="A49" s="32">
        <v>39</v>
      </c>
      <c r="B49" s="90">
        <v>8.0432732130393809</v>
      </c>
    </row>
    <row r="50" spans="1:2">
      <c r="A50" s="32">
        <v>40</v>
      </c>
      <c r="B50" s="90">
        <v>7.4632518899159885</v>
      </c>
    </row>
    <row r="51" spans="1:2">
      <c r="A51" s="32">
        <v>41</v>
      </c>
      <c r="B51" s="90">
        <v>7.3829442786990995</v>
      </c>
    </row>
    <row r="52" spans="1:2">
      <c r="A52" s="32">
        <v>42</v>
      </c>
      <c r="B52" s="90">
        <v>8.6230793649860011</v>
      </c>
    </row>
    <row r="53" spans="1:2">
      <c r="A53" s="32">
        <v>43</v>
      </c>
      <c r="B53" s="90">
        <v>8.9155229193240881</v>
      </c>
    </row>
    <row r="54" spans="1:2">
      <c r="A54" s="32">
        <v>44</v>
      </c>
      <c r="B54" s="90">
        <v>8.4041332472332169</v>
      </c>
    </row>
    <row r="55" spans="1:2">
      <c r="A55" s="32">
        <v>45</v>
      </c>
      <c r="B55" s="90">
        <v>7.8107255628208767</v>
      </c>
    </row>
    <row r="56" spans="1:2">
      <c r="A56" s="32">
        <v>46</v>
      </c>
      <c r="B56" s="90">
        <v>7.7702357912537243</v>
      </c>
    </row>
    <row r="57" spans="1:2">
      <c r="A57" s="32">
        <v>47</v>
      </c>
      <c r="B57" s="90">
        <v>7.0404951038210841</v>
      </c>
    </row>
    <row r="58" spans="1:2">
      <c r="A58" s="32">
        <v>48</v>
      </c>
      <c r="B58" s="90">
        <v>8.7116974240646439</v>
      </c>
    </row>
    <row r="59" spans="1:2">
      <c r="A59" s="32">
        <v>49</v>
      </c>
      <c r="B59" s="90">
        <v>9.2072352564026918</v>
      </c>
    </row>
    <row r="60" spans="1:2">
      <c r="A60" s="32">
        <v>50</v>
      </c>
      <c r="B60" s="90">
        <v>8.4004703182457003</v>
      </c>
    </row>
    <row r="61" spans="1:2">
      <c r="A61" s="32">
        <v>51</v>
      </c>
      <c r="B61" s="90">
        <v>7.4056141298188463</v>
      </c>
    </row>
    <row r="62" spans="1:2">
      <c r="A62" s="32">
        <v>52</v>
      </c>
      <c r="B62" s="90">
        <v>7.6331635370868707</v>
      </c>
    </row>
    <row r="63" spans="1:2">
      <c r="A63" s="32">
        <v>53</v>
      </c>
      <c r="B63" s="90">
        <v>7.2194209896412049</v>
      </c>
    </row>
    <row r="64" spans="1:2">
      <c r="A64" s="32">
        <v>54</v>
      </c>
      <c r="B64" s="90">
        <v>8.249518010953949</v>
      </c>
    </row>
    <row r="65" spans="1:2">
      <c r="A65" s="32">
        <v>55</v>
      </c>
      <c r="B65" s="90">
        <v>9.7835962211467233</v>
      </c>
    </row>
    <row r="66" spans="1:2">
      <c r="A66" s="32">
        <v>56</v>
      </c>
      <c r="B66" s="90">
        <v>8.32668969290836</v>
      </c>
    </row>
    <row r="67" spans="1:2">
      <c r="A67" s="32">
        <v>57</v>
      </c>
      <c r="B67" s="90">
        <v>6.7956327853247496</v>
      </c>
    </row>
    <row r="68" spans="1:2">
      <c r="A68" s="32">
        <v>58</v>
      </c>
      <c r="B68" s="90">
        <v>8.0112654866878081</v>
      </c>
    </row>
    <row r="69" spans="1:2">
      <c r="A69" s="32">
        <v>59</v>
      </c>
      <c r="B69" s="90">
        <v>8.1132918676535617</v>
      </c>
    </row>
    <row r="70" spans="1:2">
      <c r="A70" s="32">
        <v>60</v>
      </c>
      <c r="B70" s="90">
        <v>8.437622855505186</v>
      </c>
    </row>
    <row r="71" spans="1:2">
      <c r="A71" s="32">
        <v>61</v>
      </c>
      <c r="B71" s="90">
        <v>8.8143101314429408</v>
      </c>
    </row>
    <row r="72" spans="1:2">
      <c r="A72" s="32">
        <v>62</v>
      </c>
      <c r="B72" s="90">
        <v>8.0550345930549572</v>
      </c>
    </row>
    <row r="73" spans="1:2">
      <c r="A73" s="32">
        <v>63</v>
      </c>
      <c r="B73" s="90">
        <v>7.0048434935479307</v>
      </c>
    </row>
    <row r="74" spans="1:2">
      <c r="A74" s="32">
        <v>64</v>
      </c>
      <c r="B74" s="90">
        <v>7.5735608657954394</v>
      </c>
    </row>
    <row r="75" spans="1:2">
      <c r="A75" s="32">
        <v>65</v>
      </c>
      <c r="B75" s="90">
        <v>8.8929702085804188</v>
      </c>
    </row>
    <row r="76" spans="1:2">
      <c r="A76" s="32">
        <v>66</v>
      </c>
      <c r="B76" s="90">
        <v>9.1313283538901509</v>
      </c>
    </row>
    <row r="77" spans="1:2">
      <c r="A77" s="32">
        <v>67</v>
      </c>
      <c r="B77" s="90">
        <v>7.8139059720842088</v>
      </c>
    </row>
    <row r="78" spans="1:2">
      <c r="A78" s="32">
        <v>68</v>
      </c>
      <c r="B78" s="90">
        <v>7.9929609280297047</v>
      </c>
    </row>
    <row r="79" spans="1:2">
      <c r="A79" s="32">
        <v>69</v>
      </c>
      <c r="B79" s="90">
        <v>7.5456519674219908</v>
      </c>
    </row>
    <row r="80" spans="1:2">
      <c r="A80" s="32">
        <v>70</v>
      </c>
      <c r="B80" s="90">
        <v>7.2125658819924983</v>
      </c>
    </row>
    <row r="81" spans="1:2">
      <c r="A81" s="32">
        <v>71</v>
      </c>
      <c r="B81" s="90">
        <v>8.5448956255611535</v>
      </c>
    </row>
    <row r="82" spans="1:2">
      <c r="A82" s="32">
        <v>72</v>
      </c>
      <c r="B82" s="90">
        <v>9.2966872733481463</v>
      </c>
    </row>
    <row r="83" spans="1:2">
      <c r="A83" s="32">
        <v>73</v>
      </c>
      <c r="B83" s="90">
        <v>7.9902899224369053</v>
      </c>
    </row>
    <row r="84" spans="1:2">
      <c r="A84" s="32">
        <v>74</v>
      </c>
      <c r="B84" s="90">
        <v>8.0073614155419257</v>
      </c>
    </row>
    <row r="85" spans="1:2">
      <c r="A85" s="32">
        <v>75</v>
      </c>
      <c r="B85" s="90">
        <v>7.4266390985053743</v>
      </c>
    </row>
    <row r="86" spans="1:2">
      <c r="A86" s="32">
        <v>76</v>
      </c>
      <c r="B86" s="90">
        <v>7.3175828250489889</v>
      </c>
    </row>
    <row r="87" spans="1:2">
      <c r="A87" s="32">
        <v>77</v>
      </c>
      <c r="B87" s="90">
        <v>8.8038094333602661</v>
      </c>
    </row>
    <row r="88" spans="1:2">
      <c r="A88" s="32">
        <v>78</v>
      </c>
      <c r="B88" s="90">
        <v>9.0372995287474644</v>
      </c>
    </row>
    <row r="89" spans="1:2">
      <c r="A89" s="32">
        <v>79</v>
      </c>
      <c r="B89" s="90">
        <v>8.3173516114577186</v>
      </c>
    </row>
    <row r="90" spans="1:2">
      <c r="A90" s="32">
        <v>80</v>
      </c>
      <c r="B90" s="90">
        <v>7.4676220661355899</v>
      </c>
    </row>
    <row r="91" spans="1:2">
      <c r="A91" s="32">
        <v>81</v>
      </c>
      <c r="B91" s="90">
        <v>7.7514756755244196</v>
      </c>
    </row>
    <row r="92" spans="1:2">
      <c r="A92" s="32">
        <v>82</v>
      </c>
      <c r="B92" s="90">
        <v>7.188950296705098</v>
      </c>
    </row>
    <row r="93" spans="1:2">
      <c r="A93" s="32">
        <v>83</v>
      </c>
      <c r="B93" s="90">
        <v>8.5327504942167671</v>
      </c>
    </row>
    <row r="94" spans="1:2">
      <c r="A94" s="32">
        <v>84</v>
      </c>
      <c r="B94" s="90">
        <v>9.7814046734494315</v>
      </c>
    </row>
    <row r="95" spans="1:2">
      <c r="A95" s="32">
        <v>85</v>
      </c>
      <c r="B95" s="90">
        <v>8.1246491081999537</v>
      </c>
    </row>
    <row r="96" spans="1:2">
      <c r="A96" s="32">
        <v>86</v>
      </c>
      <c r="B96" s="90">
        <v>6.9635501835222104</v>
      </c>
    </row>
    <row r="97" spans="1:2">
      <c r="A97" s="32">
        <v>87</v>
      </c>
      <c r="B97" s="90">
        <v>7.9616305091211599</v>
      </c>
    </row>
    <row r="98" spans="1:2">
      <c r="A98" s="32">
        <v>88</v>
      </c>
      <c r="B98" s="90">
        <v>7.6175603883805598</v>
      </c>
    </row>
    <row r="99" spans="1:2">
      <c r="A99" s="32">
        <v>89</v>
      </c>
      <c r="B99" s="90">
        <v>8.344788116374362</v>
      </c>
    </row>
    <row r="100" spans="1:2">
      <c r="A100" s="32">
        <v>90</v>
      </c>
      <c r="B100" s="90">
        <v>9.3393308760237179</v>
      </c>
    </row>
    <row r="101" spans="1:2">
      <c r="A101" s="32">
        <v>91</v>
      </c>
      <c r="B101" s="90">
        <v>8.0606809040288905</v>
      </c>
    </row>
    <row r="102" spans="1:2">
      <c r="A102" s="32">
        <v>92</v>
      </c>
      <c r="B102" s="90">
        <v>7.0063614688626528</v>
      </c>
    </row>
    <row r="103" spans="1:2">
      <c r="A103" s="32">
        <v>93</v>
      </c>
      <c r="B103" s="90">
        <v>7.7525237513743805</v>
      </c>
    </row>
    <row r="104" spans="1:2">
      <c r="A104" s="32">
        <v>94</v>
      </c>
      <c r="B104" s="90">
        <v>8.5197088358838879</v>
      </c>
    </row>
    <row r="105" spans="1:2">
      <c r="A105" s="32">
        <v>95</v>
      </c>
      <c r="B105" s="90">
        <v>9.1413653863946358</v>
      </c>
    </row>
    <row r="106" spans="1:2">
      <c r="A106" s="32">
        <v>96</v>
      </c>
      <c r="B106" s="90">
        <v>8.032829083404831</v>
      </c>
    </row>
    <row r="107" spans="1:2">
      <c r="A107" s="32">
        <v>97</v>
      </c>
      <c r="B107" s="90">
        <v>7.8607665861610387</v>
      </c>
    </row>
    <row r="108" spans="1:2">
      <c r="A108" s="32">
        <v>98</v>
      </c>
      <c r="B108" s="90">
        <v>7.348915535250903</v>
      </c>
    </row>
    <row r="109" spans="1:2">
      <c r="A109" s="32">
        <v>99</v>
      </c>
      <c r="B109" s="90">
        <v>7.0790053677596854</v>
      </c>
    </row>
    <row r="110" spans="1:2">
      <c r="A110" s="32">
        <v>100</v>
      </c>
      <c r="B110" s="90">
        <v>9.0106735203405606</v>
      </c>
    </row>
    <row r="111" spans="1:2">
      <c r="A111" s="32">
        <v>101</v>
      </c>
      <c r="B111" s="90">
        <v>8.9815236997666705</v>
      </c>
    </row>
    <row r="112" spans="1:2">
      <c r="A112" s="32">
        <v>102</v>
      </c>
      <c r="B112" s="90">
        <v>7.9948073125184571</v>
      </c>
    </row>
    <row r="113" spans="1:2">
      <c r="A113" s="32">
        <v>103</v>
      </c>
      <c r="B113" s="90">
        <v>8.0432732130393809</v>
      </c>
    </row>
    <row r="114" spans="1:2">
      <c r="A114" s="32">
        <v>104</v>
      </c>
      <c r="B114" s="90">
        <v>7.4632518899159885</v>
      </c>
    </row>
    <row r="115" spans="1:2">
      <c r="A115" s="32">
        <v>105</v>
      </c>
      <c r="B115" s="90">
        <v>7.3829442786990995</v>
      </c>
    </row>
    <row r="116" spans="1:2">
      <c r="A116" s="32">
        <v>106</v>
      </c>
      <c r="B116" s="90">
        <v>8.6230793649860011</v>
      </c>
    </row>
    <row r="117" spans="1:2">
      <c r="A117" s="32">
        <v>107</v>
      </c>
      <c r="B117" s="90">
        <v>8.9155229193240881</v>
      </c>
    </row>
    <row r="118" spans="1:2">
      <c r="A118" s="32">
        <v>108</v>
      </c>
      <c r="B118" s="90">
        <v>8.4041332472332169</v>
      </c>
    </row>
    <row r="119" spans="1:2">
      <c r="A119" s="32">
        <v>109</v>
      </c>
      <c r="B119" s="90">
        <v>7.8107255628208767</v>
      </c>
    </row>
    <row r="120" spans="1:2">
      <c r="A120" s="32">
        <v>110</v>
      </c>
      <c r="B120" s="90">
        <v>7.7702357912537243</v>
      </c>
    </row>
    <row r="121" spans="1:2">
      <c r="A121" s="32">
        <v>111</v>
      </c>
      <c r="B121" s="90">
        <v>7.0404951038210841</v>
      </c>
    </row>
    <row r="122" spans="1:2">
      <c r="A122" s="32">
        <v>112</v>
      </c>
      <c r="B122" s="90">
        <v>8.7116974240646439</v>
      </c>
    </row>
    <row r="123" spans="1:2">
      <c r="A123" s="32">
        <v>113</v>
      </c>
      <c r="B123" s="90">
        <v>9.2072352564026918</v>
      </c>
    </row>
    <row r="124" spans="1:2">
      <c r="A124" s="32">
        <v>114</v>
      </c>
      <c r="B124" s="90">
        <v>8.4004703182457003</v>
      </c>
    </row>
    <row r="125" spans="1:2">
      <c r="A125" s="32">
        <v>115</v>
      </c>
      <c r="B125" s="90">
        <v>7.4056141298188463</v>
      </c>
    </row>
    <row r="126" spans="1:2">
      <c r="A126" s="32">
        <v>116</v>
      </c>
      <c r="B126" s="90">
        <v>7.6331635370868707</v>
      </c>
    </row>
    <row r="127" spans="1:2">
      <c r="A127" s="32">
        <v>117</v>
      </c>
      <c r="B127" s="90">
        <v>7.2194209896412049</v>
      </c>
    </row>
    <row r="128" spans="1:2">
      <c r="A128" s="32">
        <v>118</v>
      </c>
      <c r="B128" s="90">
        <v>8.249518010953949</v>
      </c>
    </row>
    <row r="129" spans="1:2">
      <c r="A129" s="32">
        <v>119</v>
      </c>
      <c r="B129" s="90">
        <v>9.7835962211467233</v>
      </c>
    </row>
    <row r="130" spans="1:2">
      <c r="A130" s="32">
        <v>120</v>
      </c>
      <c r="B130" s="90">
        <v>8.32668969290836</v>
      </c>
    </row>
    <row r="131" spans="1:2">
      <c r="A131" s="32">
        <v>121</v>
      </c>
      <c r="B131" s="90">
        <v>6.7956327853247496</v>
      </c>
    </row>
    <row r="132" spans="1:2">
      <c r="A132" s="32">
        <v>122</v>
      </c>
      <c r="B132" s="90">
        <v>8.0112654866878081</v>
      </c>
    </row>
    <row r="133" spans="1:2">
      <c r="A133" s="32">
        <v>123</v>
      </c>
      <c r="B133" s="90">
        <v>8.1132918676535617</v>
      </c>
    </row>
    <row r="134" spans="1:2">
      <c r="A134" s="32">
        <v>124</v>
      </c>
      <c r="B134" s="90">
        <v>8.7905153887804488</v>
      </c>
    </row>
    <row r="135" spans="1:2">
      <c r="A135" s="32">
        <v>125</v>
      </c>
      <c r="B135" s="90">
        <v>9.2035016734290487</v>
      </c>
    </row>
    <row r="136" spans="1:2">
      <c r="A136" s="32">
        <v>126</v>
      </c>
      <c r="B136" s="90">
        <v>7.3042739222120909</v>
      </c>
    </row>
    <row r="137" spans="1:2">
      <c r="A137" s="32">
        <v>127</v>
      </c>
      <c r="B137" s="90">
        <v>7.4227945703791294</v>
      </c>
    </row>
    <row r="138" spans="1:2">
      <c r="A138" s="32">
        <v>128</v>
      </c>
      <c r="B138" s="90">
        <v>9.4920998248327741</v>
      </c>
    </row>
    <row r="139" spans="1:2">
      <c r="A139" s="32">
        <v>129</v>
      </c>
      <c r="B139" s="90">
        <v>7.9640042468612933</v>
      </c>
    </row>
    <row r="140" spans="1:2">
      <c r="A140" s="32">
        <v>130</v>
      </c>
      <c r="B140" s="90">
        <v>9.0193892846501829</v>
      </c>
    </row>
    <row r="141" spans="1:2">
      <c r="A141" s="32">
        <v>131</v>
      </c>
      <c r="B141" s="90">
        <v>8.8932346809135971</v>
      </c>
    </row>
    <row r="142" spans="1:2">
      <c r="A142" s="32">
        <v>132</v>
      </c>
      <c r="B142" s="90">
        <v>6.602295388590953</v>
      </c>
    </row>
    <row r="143" spans="1:2">
      <c r="A143" s="32">
        <v>133</v>
      </c>
      <c r="B143" s="90">
        <v>8.7668246121741564</v>
      </c>
    </row>
    <row r="144" spans="1:2">
      <c r="A144" s="32">
        <v>134</v>
      </c>
      <c r="B144" s="90">
        <v>8.5132701633239201</v>
      </c>
    </row>
    <row r="145" spans="1:2">
      <c r="A145" s="32">
        <v>135</v>
      </c>
      <c r="B145" s="90">
        <v>8.4873234491609004</v>
      </c>
    </row>
    <row r="146" spans="1:2">
      <c r="A146" s="32">
        <v>136</v>
      </c>
      <c r="B146" s="90">
        <v>9.4229245682377059</v>
      </c>
    </row>
    <row r="147" spans="1:2">
      <c r="A147" s="32">
        <v>137</v>
      </c>
      <c r="B147" s="90">
        <v>8.3381942276234753</v>
      </c>
    </row>
    <row r="148" spans="1:2">
      <c r="A148" s="32">
        <v>138</v>
      </c>
      <c r="B148" s="90">
        <v>6.9215136828508461</v>
      </c>
    </row>
    <row r="149" spans="1:2">
      <c r="A149" s="32">
        <v>139</v>
      </c>
      <c r="B149" s="90">
        <v>8.5403763805117183</v>
      </c>
    </row>
    <row r="150" spans="1:2">
      <c r="A150" s="32">
        <v>140</v>
      </c>
      <c r="B150" s="90">
        <v>8.1578337778871646</v>
      </c>
    </row>
    <row r="151" spans="1:2">
      <c r="A151" s="32">
        <v>141</v>
      </c>
      <c r="B151" s="90">
        <v>8.9141001661737729</v>
      </c>
    </row>
    <row r="152" spans="1:2">
      <c r="A152" s="32">
        <v>142</v>
      </c>
      <c r="B152" s="90">
        <v>9.5034641266182067</v>
      </c>
    </row>
    <row r="153" spans="1:2">
      <c r="A153" s="32">
        <v>143</v>
      </c>
      <c r="B153" s="90">
        <v>8.1881149618467184</v>
      </c>
    </row>
    <row r="154" spans="1:2">
      <c r="A154" s="32">
        <v>144</v>
      </c>
      <c r="B154" s="90">
        <v>6.4101674518507856</v>
      </c>
    </row>
    <row r="155" spans="1:2">
      <c r="A155" s="32">
        <v>145</v>
      </c>
      <c r="B155" s="90">
        <v>8.9777238386934854</v>
      </c>
    </row>
    <row r="156" spans="1:2">
      <c r="A156" s="32">
        <v>146</v>
      </c>
      <c r="B156" s="90">
        <v>8.1151886082544724</v>
      </c>
    </row>
    <row r="157" spans="1:2">
      <c r="A157" s="32">
        <v>147</v>
      </c>
      <c r="B157" s="90">
        <v>9.6264791179600326</v>
      </c>
    </row>
    <row r="158" spans="1:2">
      <c r="A158" s="32">
        <v>148</v>
      </c>
      <c r="B158" s="90">
        <v>8.9098615597118727</v>
      </c>
    </row>
    <row r="159" spans="1:2">
      <c r="A159" s="32">
        <v>149</v>
      </c>
      <c r="B159" s="90">
        <v>7.8858174444359603</v>
      </c>
    </row>
    <row r="160" spans="1:2">
      <c r="A160" s="32">
        <v>150</v>
      </c>
      <c r="B160" s="90">
        <v>6.6581620693506487</v>
      </c>
    </row>
    <row r="161" spans="1:2">
      <c r="A161" s="32">
        <v>151</v>
      </c>
      <c r="B161" s="90">
        <v>9.4441662806561677</v>
      </c>
    </row>
    <row r="162" spans="1:2">
      <c r="A162" s="32">
        <v>152</v>
      </c>
      <c r="B162" s="90">
        <v>7.96146702369336</v>
      </c>
    </row>
    <row r="163" spans="1:2">
      <c r="A163" s="32">
        <v>153</v>
      </c>
      <c r="B163" s="90">
        <v>9.3880911004195404</v>
      </c>
    </row>
    <row r="164" spans="1:2">
      <c r="A164" s="32">
        <v>154</v>
      </c>
      <c r="B164" s="90">
        <v>8.8653030567644944</v>
      </c>
    </row>
    <row r="165" spans="1:2">
      <c r="A165" s="32">
        <v>155</v>
      </c>
      <c r="B165" s="90">
        <v>7.4901175305496253</v>
      </c>
    </row>
    <row r="166" spans="1:2">
      <c r="A166" s="32">
        <v>156</v>
      </c>
      <c r="B166" s="90">
        <v>7.1048496525999889</v>
      </c>
    </row>
    <row r="167" spans="1:2">
      <c r="A167" s="32">
        <v>157</v>
      </c>
      <c r="B167" s="90">
        <v>9.4585022913416559</v>
      </c>
    </row>
    <row r="168" spans="1:2">
      <c r="A168" s="32">
        <v>158</v>
      </c>
      <c r="B168" s="90">
        <v>8.3395095116216869</v>
      </c>
    </row>
    <row r="169" spans="1:2">
      <c r="A169" s="32">
        <v>159</v>
      </c>
      <c r="B169" s="90">
        <v>9.0241761348864227</v>
      </c>
    </row>
    <row r="170" spans="1:2">
      <c r="A170" s="32">
        <v>160</v>
      </c>
      <c r="B170" s="90">
        <v>8.8474289949216747</v>
      </c>
    </row>
    <row r="171" spans="1:2">
      <c r="A171" s="32">
        <v>161</v>
      </c>
      <c r="B171" s="90">
        <v>6.7471775651744768</v>
      </c>
    </row>
    <row r="172" spans="1:2">
      <c r="A172" s="32">
        <v>162</v>
      </c>
      <c r="B172" s="90">
        <v>8.4892012886605723</v>
      </c>
    </row>
    <row r="173" spans="1:2">
      <c r="A173" s="32">
        <v>163</v>
      </c>
      <c r="B173" s="90">
        <v>9.1371041315978729</v>
      </c>
    </row>
    <row r="174" spans="1:2">
      <c r="A174" s="32">
        <v>164</v>
      </c>
      <c r="B174" s="90">
        <v>7.9525488972032008</v>
      </c>
    </row>
    <row r="175" spans="1:2">
      <c r="A175" s="32">
        <v>165</v>
      </c>
      <c r="B175" s="90">
        <v>9.4097329185571112</v>
      </c>
    </row>
    <row r="176" spans="1:2">
      <c r="A176" s="32">
        <v>166</v>
      </c>
      <c r="B176" s="90">
        <v>8.6621264532489644</v>
      </c>
    </row>
    <row r="177" spans="1:2">
      <c r="A177" s="32">
        <v>167</v>
      </c>
      <c r="B177" s="90">
        <v>6.4057853386910821</v>
      </c>
    </row>
    <row r="178" spans="1:2">
      <c r="A178" s="32">
        <v>168</v>
      </c>
      <c r="B178" s="90">
        <v>8.7441334016100782</v>
      </c>
    </row>
    <row r="179" spans="1:2">
      <c r="A179" s="32">
        <v>169</v>
      </c>
      <c r="B179" s="90">
        <v>8.4851068204737956</v>
      </c>
    </row>
    <row r="180" spans="1:2">
      <c r="A180" s="32">
        <v>170</v>
      </c>
      <c r="B180" s="90">
        <v>8.3742813736795423</v>
      </c>
    </row>
    <row r="181" spans="1:2">
      <c r="A181" s="32">
        <v>171</v>
      </c>
      <c r="B181" s="90">
        <v>9.5290023580732957</v>
      </c>
    </row>
    <row r="182" spans="1:2">
      <c r="A182" s="32">
        <v>172</v>
      </c>
      <c r="B182" s="90">
        <v>8.486769765109889</v>
      </c>
    </row>
    <row r="183" spans="1:2">
      <c r="A183" s="32">
        <v>173</v>
      </c>
      <c r="B183" s="90">
        <v>6.5460381919098092</v>
      </c>
    </row>
    <row r="184" spans="1:2">
      <c r="A184" s="32">
        <v>174</v>
      </c>
      <c r="B184" s="90">
        <v>8.8857853552475419</v>
      </c>
    </row>
    <row r="185" spans="1:2">
      <c r="A185" s="32">
        <v>175</v>
      </c>
      <c r="B185" s="90">
        <v>7.9967266202888121</v>
      </c>
    </row>
    <row r="186" spans="1:2">
      <c r="A186" s="32">
        <v>176</v>
      </c>
      <c r="B186" s="90">
        <v>9.5033478201161223</v>
      </c>
    </row>
    <row r="187" spans="1:2">
      <c r="A187" s="32">
        <v>177</v>
      </c>
      <c r="B187" s="90">
        <v>8.9238705704496635</v>
      </c>
    </row>
    <row r="188" spans="1:2">
      <c r="A188" s="32">
        <v>178</v>
      </c>
      <c r="B188" s="90">
        <v>8.1264661119402852</v>
      </c>
    </row>
    <row r="189" spans="1:2">
      <c r="A189" s="32">
        <v>179</v>
      </c>
      <c r="B189" s="90">
        <v>6.3239815196422908</v>
      </c>
    </row>
    <row r="190" spans="1:2">
      <c r="A190" s="32">
        <v>180</v>
      </c>
      <c r="B190" s="90">
        <v>9.5257951805314125</v>
      </c>
    </row>
    <row r="191" spans="1:2">
      <c r="A191" s="32">
        <v>181</v>
      </c>
      <c r="B191" s="90">
        <v>7.9776598720735787</v>
      </c>
    </row>
    <row r="192" spans="1:2">
      <c r="A192" s="32">
        <v>182</v>
      </c>
      <c r="B192" s="90">
        <v>9.577455359695298</v>
      </c>
    </row>
    <row r="193" spans="1:2">
      <c r="A193" s="32">
        <v>183</v>
      </c>
      <c r="B193" s="90">
        <v>8.7662086097634955</v>
      </c>
    </row>
    <row r="194" spans="1:2">
      <c r="A194" s="32">
        <v>184</v>
      </c>
      <c r="B194" s="90">
        <v>7.5806520125459622</v>
      </c>
    </row>
    <row r="195" spans="1:2">
      <c r="A195" s="32">
        <v>185</v>
      </c>
      <c r="B195" s="90">
        <v>7.0560429245839646</v>
      </c>
    </row>
    <row r="196" spans="1:2">
      <c r="A196" s="32">
        <v>186</v>
      </c>
      <c r="B196" s="90">
        <v>9.5586981443365779</v>
      </c>
    </row>
    <row r="197" spans="1:2">
      <c r="A197" s="32">
        <v>187</v>
      </c>
      <c r="B197" s="90">
        <v>7.9489354573811859</v>
      </c>
    </row>
    <row r="198" spans="1:2">
      <c r="A198" s="32">
        <v>188</v>
      </c>
      <c r="B198" s="90">
        <v>9.0582478068953112</v>
      </c>
    </row>
    <row r="199" spans="1:2">
      <c r="A199" s="32">
        <v>189</v>
      </c>
      <c r="B199" s="90">
        <v>9.2035016734290487</v>
      </c>
    </row>
    <row r="200" spans="1:2">
      <c r="A200" s="32">
        <v>190</v>
      </c>
      <c r="B200" s="90">
        <v>7.3042739222120909</v>
      </c>
    </row>
    <row r="201" spans="1:2">
      <c r="A201" s="32">
        <v>191</v>
      </c>
      <c r="B201" s="90">
        <v>7.4227945703791294</v>
      </c>
    </row>
    <row r="202" spans="1:2">
      <c r="A202" s="32">
        <v>192</v>
      </c>
      <c r="B202" s="90">
        <v>9.4920998248327741</v>
      </c>
    </row>
    <row r="203" spans="1:2">
      <c r="A203" s="32">
        <v>193</v>
      </c>
      <c r="B203" s="90">
        <v>7.9640042468612933</v>
      </c>
    </row>
    <row r="204" spans="1:2">
      <c r="A204" s="32">
        <v>194</v>
      </c>
      <c r="B204" s="90">
        <v>9.0193892846501829</v>
      </c>
    </row>
    <row r="205" spans="1:2">
      <c r="A205" s="32">
        <v>195</v>
      </c>
      <c r="B205" s="90">
        <v>8.8932346809135971</v>
      </c>
    </row>
    <row r="206" spans="1:2">
      <c r="A206" s="32">
        <v>196</v>
      </c>
      <c r="B206" s="90">
        <v>6.602295388590953</v>
      </c>
    </row>
    <row r="207" spans="1:2">
      <c r="A207" s="32">
        <v>197</v>
      </c>
      <c r="B207" s="90">
        <v>8.7668246121741564</v>
      </c>
    </row>
    <row r="208" spans="1:2">
      <c r="A208" s="32">
        <v>198</v>
      </c>
      <c r="B208" s="90">
        <v>8.5132701633239201</v>
      </c>
    </row>
    <row r="209" spans="1:2">
      <c r="A209" s="32">
        <v>199</v>
      </c>
      <c r="B209" s="90">
        <v>8.4873234491609004</v>
      </c>
    </row>
    <row r="210" spans="1:2">
      <c r="A210" s="32">
        <v>200</v>
      </c>
      <c r="B210" s="90">
        <v>9.4229245682377059</v>
      </c>
    </row>
    <row r="211" spans="1:2">
      <c r="A211" s="32">
        <v>201</v>
      </c>
      <c r="B211" s="90">
        <v>8.3381942276234753</v>
      </c>
    </row>
    <row r="212" spans="1:2">
      <c r="A212" s="32">
        <v>202</v>
      </c>
      <c r="B212" s="90">
        <v>6.9215136828508461</v>
      </c>
    </row>
    <row r="213" spans="1:2">
      <c r="A213" s="32">
        <v>203</v>
      </c>
      <c r="B213" s="90">
        <v>8.5403763805117183</v>
      </c>
    </row>
    <row r="214" spans="1:2">
      <c r="A214" s="32">
        <v>204</v>
      </c>
      <c r="B214" s="90">
        <v>8.1578337778871646</v>
      </c>
    </row>
    <row r="215" spans="1:2">
      <c r="A215" s="32">
        <v>205</v>
      </c>
      <c r="B215" s="90">
        <v>8.9141001661737729</v>
      </c>
    </row>
    <row r="216" spans="1:2">
      <c r="A216" s="32">
        <v>206</v>
      </c>
      <c r="B216" s="90">
        <v>9.5034641266182067</v>
      </c>
    </row>
    <row r="217" spans="1:2">
      <c r="A217" s="32">
        <v>207</v>
      </c>
      <c r="B217" s="90">
        <v>8.1881149618467184</v>
      </c>
    </row>
    <row r="218" spans="1:2">
      <c r="A218" s="32">
        <v>208</v>
      </c>
      <c r="B218" s="90">
        <v>6.4101674518507856</v>
      </c>
    </row>
    <row r="219" spans="1:2">
      <c r="A219" s="32">
        <v>209</v>
      </c>
      <c r="B219" s="90">
        <v>8.9777238386934854</v>
      </c>
    </row>
    <row r="220" spans="1:2">
      <c r="A220" s="32">
        <v>210</v>
      </c>
      <c r="B220" s="90">
        <v>8.1151886082544724</v>
      </c>
    </row>
    <row r="221" spans="1:2">
      <c r="A221" s="32">
        <v>211</v>
      </c>
      <c r="B221" s="90">
        <v>9.6264791179600326</v>
      </c>
    </row>
    <row r="222" spans="1:2">
      <c r="A222" s="32">
        <v>212</v>
      </c>
      <c r="B222" s="90">
        <v>8.9098615597118727</v>
      </c>
    </row>
    <row r="223" spans="1:2">
      <c r="A223" s="32">
        <v>213</v>
      </c>
      <c r="B223" s="90">
        <v>7.8858174444359603</v>
      </c>
    </row>
    <row r="224" spans="1:2">
      <c r="A224" s="32">
        <v>214</v>
      </c>
      <c r="B224" s="90">
        <v>6.6581620693506487</v>
      </c>
    </row>
    <row r="225" spans="1:2">
      <c r="A225" s="32">
        <v>215</v>
      </c>
      <c r="B225" s="90">
        <v>9.4441662806561677</v>
      </c>
    </row>
    <row r="226" spans="1:2">
      <c r="A226" s="32">
        <v>216</v>
      </c>
      <c r="B226" s="90">
        <v>7.96146702369336</v>
      </c>
    </row>
    <row r="227" spans="1:2">
      <c r="A227" s="32">
        <v>217</v>
      </c>
      <c r="B227" s="90">
        <v>9.3880911004195404</v>
      </c>
    </row>
    <row r="228" spans="1:2">
      <c r="A228" s="32">
        <v>218</v>
      </c>
      <c r="B228" s="90">
        <v>8.8653030567644944</v>
      </c>
    </row>
    <row r="229" spans="1:2">
      <c r="A229" s="32">
        <v>219</v>
      </c>
      <c r="B229" s="90">
        <v>7.4901175305496253</v>
      </c>
    </row>
    <row r="230" spans="1:2">
      <c r="A230" s="32">
        <v>220</v>
      </c>
      <c r="B230" s="90">
        <v>7.1048496525999889</v>
      </c>
    </row>
    <row r="231" spans="1:2">
      <c r="A231" s="32">
        <v>221</v>
      </c>
      <c r="B231" s="90">
        <v>9.4585022913416559</v>
      </c>
    </row>
    <row r="232" spans="1:2">
      <c r="A232" s="32">
        <v>222</v>
      </c>
      <c r="B232" s="90">
        <v>8.3395095116216869</v>
      </c>
    </row>
    <row r="233" spans="1:2">
      <c r="A233" s="32">
        <v>223</v>
      </c>
      <c r="B233" s="90">
        <v>9.0241761348864227</v>
      </c>
    </row>
    <row r="234" spans="1:2">
      <c r="A234" s="32">
        <v>224</v>
      </c>
      <c r="B234" s="90">
        <v>8.8474289949216747</v>
      </c>
    </row>
    <row r="235" spans="1:2">
      <c r="A235" s="32">
        <v>225</v>
      </c>
      <c r="B235" s="90">
        <v>6.7471775651744768</v>
      </c>
    </row>
    <row r="236" spans="1:2">
      <c r="A236" s="32">
        <v>226</v>
      </c>
      <c r="B236" s="90">
        <v>8.4892012886605723</v>
      </c>
    </row>
    <row r="237" spans="1:2">
      <c r="A237" s="32">
        <v>227</v>
      </c>
      <c r="B237" s="90">
        <v>9.1371041315978729</v>
      </c>
    </row>
    <row r="238" spans="1:2">
      <c r="A238" s="32">
        <v>228</v>
      </c>
      <c r="B238" s="90">
        <v>7.9525488972032008</v>
      </c>
    </row>
    <row r="239" spans="1:2">
      <c r="A239" s="32">
        <v>229</v>
      </c>
      <c r="B239" s="90">
        <v>9.4097329185571112</v>
      </c>
    </row>
    <row r="240" spans="1:2">
      <c r="A240" s="32">
        <v>230</v>
      </c>
      <c r="B240" s="90">
        <v>8.6621264532489644</v>
      </c>
    </row>
    <row r="241" spans="1:2">
      <c r="A241" s="32">
        <v>231</v>
      </c>
      <c r="B241" s="90">
        <v>6.4057853386910821</v>
      </c>
    </row>
    <row r="242" spans="1:2">
      <c r="A242" s="32">
        <v>232</v>
      </c>
      <c r="B242" s="90">
        <v>8.7441334016100782</v>
      </c>
    </row>
    <row r="243" spans="1:2">
      <c r="A243" s="32">
        <v>233</v>
      </c>
      <c r="B243" s="90">
        <v>8.4851068204737956</v>
      </c>
    </row>
    <row r="244" spans="1:2">
      <c r="A244" s="32">
        <v>234</v>
      </c>
      <c r="B244" s="90">
        <v>8.3742813736795423</v>
      </c>
    </row>
    <row r="245" spans="1:2">
      <c r="A245" s="32">
        <v>235</v>
      </c>
      <c r="B245" s="90">
        <v>9.0584419675085268</v>
      </c>
    </row>
    <row r="246" spans="1:2">
      <c r="A246" s="32">
        <v>236</v>
      </c>
      <c r="B246" s="90">
        <v>8.22033020106206</v>
      </c>
    </row>
    <row r="247" spans="1:2">
      <c r="A247" s="32">
        <v>237</v>
      </c>
      <c r="B247" s="90">
        <v>7.5365135862020072</v>
      </c>
    </row>
    <row r="248" spans="1:2">
      <c r="A248" s="32">
        <v>238</v>
      </c>
      <c r="B248" s="90">
        <v>7.7407311658893398</v>
      </c>
    </row>
    <row r="249" spans="1:2">
      <c r="A249" s="32">
        <v>239</v>
      </c>
      <c r="B249" s="90">
        <v>7.9703662999729739</v>
      </c>
    </row>
    <row r="250" spans="1:2">
      <c r="A250" s="32">
        <v>240</v>
      </c>
      <c r="B250" s="90">
        <v>8.8308160645744227</v>
      </c>
    </row>
    <row r="251" spans="1:2">
      <c r="A251" s="32">
        <v>241</v>
      </c>
      <c r="B251" s="90">
        <v>8.4125004102837107</v>
      </c>
    </row>
    <row r="252" spans="1:2">
      <c r="A252" s="32">
        <v>242</v>
      </c>
      <c r="B252" s="90">
        <v>8.0034263198034754</v>
      </c>
    </row>
    <row r="253" spans="1:2">
      <c r="A253" s="32">
        <v>243</v>
      </c>
      <c r="B253" s="90">
        <v>7.5747304524440002</v>
      </c>
    </row>
    <row r="254" spans="1:2">
      <c r="A254" s="32">
        <v>244</v>
      </c>
      <c r="B254" s="90">
        <v>7.7693527147608332</v>
      </c>
    </row>
    <row r="255" spans="1:2">
      <c r="A255" s="32">
        <v>245</v>
      </c>
      <c r="B255" s="90">
        <v>7.7950640688340274</v>
      </c>
    </row>
    <row r="256" spans="1:2">
      <c r="A256" s="32">
        <v>246</v>
      </c>
      <c r="B256" s="90">
        <v>8.9944810141740756</v>
      </c>
    </row>
    <row r="257" spans="1:2">
      <c r="A257" s="32">
        <v>247</v>
      </c>
      <c r="B257" s="90">
        <v>8.8405706905722266</v>
      </c>
    </row>
    <row r="258" spans="1:2">
      <c r="A258" s="32">
        <v>248</v>
      </c>
      <c r="B258" s="90">
        <v>7.4102951985218244</v>
      </c>
    </row>
    <row r="259" spans="1:2">
      <c r="A259" s="32">
        <v>249</v>
      </c>
      <c r="B259" s="90">
        <v>7.8552992972674005</v>
      </c>
    </row>
    <row r="260" spans="1:2">
      <c r="A260" s="32">
        <v>250</v>
      </c>
      <c r="B260" s="90">
        <v>8.0081823330366966</v>
      </c>
    </row>
    <row r="261" spans="1:2">
      <c r="A261" s="32">
        <v>251</v>
      </c>
      <c r="B261" s="90">
        <v>7.4795318779844626</v>
      </c>
    </row>
    <row r="262" spans="1:2">
      <c r="A262" s="32">
        <v>252</v>
      </c>
      <c r="B262" s="90">
        <v>9.0655344790775345</v>
      </c>
    </row>
    <row r="263" spans="1:2">
      <c r="A263" s="32">
        <v>253</v>
      </c>
      <c r="B263" s="90">
        <v>8.5649876208437909</v>
      </c>
    </row>
    <row r="264" spans="1:2">
      <c r="A264" s="32">
        <v>254</v>
      </c>
      <c r="B264" s="90">
        <v>7.4050155136253988</v>
      </c>
    </row>
    <row r="265" spans="1:2">
      <c r="A265" s="32">
        <v>255</v>
      </c>
      <c r="B265" s="90">
        <v>8.3536818943268187</v>
      </c>
    </row>
    <row r="266" spans="1:2">
      <c r="A266" s="32">
        <v>256</v>
      </c>
      <c r="B266" s="90">
        <v>7.293318811389617</v>
      </c>
    </row>
    <row r="267" spans="1:2">
      <c r="A267" s="32">
        <v>257</v>
      </c>
      <c r="B267" s="90">
        <v>7.888483060521529</v>
      </c>
    </row>
    <row r="268" spans="1:2">
      <c r="A268" s="32">
        <v>258</v>
      </c>
      <c r="B268" s="90">
        <v>8.8235445973064444</v>
      </c>
    </row>
    <row r="269" spans="1:2">
      <c r="A269" s="32">
        <v>259</v>
      </c>
      <c r="B269" s="90">
        <v>8.3366930430701967</v>
      </c>
    </row>
    <row r="270" spans="1:2">
      <c r="A270" s="32">
        <v>260</v>
      </c>
      <c r="B270" s="90">
        <v>7.9218664286240328</v>
      </c>
    </row>
    <row r="271" spans="1:2">
      <c r="A271" s="32">
        <v>261</v>
      </c>
      <c r="B271" s="90">
        <v>7.8807131721125776</v>
      </c>
    </row>
    <row r="272" spans="1:2">
      <c r="A272" s="32">
        <v>262</v>
      </c>
      <c r="B272" s="90">
        <v>7.2938606984708922</v>
      </c>
    </row>
    <row r="273" spans="1:2">
      <c r="A273" s="32">
        <v>263</v>
      </c>
      <c r="B273" s="90">
        <v>8.3218012751075765</v>
      </c>
    </row>
    <row r="274" spans="1:2">
      <c r="A274" s="32">
        <v>264</v>
      </c>
      <c r="B274" s="90">
        <v>8.6624707290539984</v>
      </c>
    </row>
    <row r="275" spans="1:2">
      <c r="A275" s="32">
        <v>265</v>
      </c>
      <c r="B275" s="90">
        <v>8.5662542547476743</v>
      </c>
    </row>
    <row r="276" spans="1:2">
      <c r="A276" s="32">
        <v>266</v>
      </c>
      <c r="B276" s="90">
        <v>7.3309639504781154</v>
      </c>
    </row>
    <row r="277" spans="1:2">
      <c r="A277" s="32">
        <v>267</v>
      </c>
      <c r="B277" s="90">
        <v>7.7090212210340239</v>
      </c>
    </row>
    <row r="278" spans="1:2">
      <c r="A278" s="32">
        <v>268</v>
      </c>
      <c r="B278" s="90">
        <v>7.8691452129807322</v>
      </c>
    </row>
    <row r="279" spans="1:2">
      <c r="A279" s="32">
        <v>269</v>
      </c>
      <c r="B279" s="90">
        <v>8.5752214918676586</v>
      </c>
    </row>
    <row r="280" spans="1:2">
      <c r="A280" s="32">
        <v>270</v>
      </c>
      <c r="B280" s="90">
        <v>8.944493117999551</v>
      </c>
    </row>
    <row r="281" spans="1:2">
      <c r="A281" s="32">
        <v>271</v>
      </c>
      <c r="B281" s="90">
        <v>7.6425340429337831</v>
      </c>
    </row>
    <row r="282" spans="1:2">
      <c r="A282" s="32">
        <v>272</v>
      </c>
      <c r="B282" s="90">
        <v>7.5397991006280529</v>
      </c>
    </row>
    <row r="283" spans="1:2">
      <c r="A283" s="32">
        <v>273</v>
      </c>
      <c r="B283" s="90">
        <v>7.9607197239658278</v>
      </c>
    </row>
    <row r="284" spans="1:2">
      <c r="A284" s="32">
        <v>274</v>
      </c>
      <c r="B284" s="90">
        <v>7.7268137683777534</v>
      </c>
    </row>
    <row r="285" spans="1:2">
      <c r="A285" s="32">
        <v>275</v>
      </c>
      <c r="B285" s="90">
        <v>9.0554914097855423</v>
      </c>
    </row>
    <row r="286" spans="1:2">
      <c r="A286" s="32">
        <v>276</v>
      </c>
      <c r="B286" s="90">
        <v>8.8076443772717621</v>
      </c>
    </row>
    <row r="287" spans="1:2">
      <c r="A287" s="32">
        <v>277</v>
      </c>
      <c r="B287" s="90">
        <v>7.6024826126783598</v>
      </c>
    </row>
    <row r="288" spans="1:2">
      <c r="A288" s="32">
        <v>278</v>
      </c>
      <c r="B288" s="90">
        <v>7.6821933741241679</v>
      </c>
    </row>
    <row r="289" spans="1:2">
      <c r="A289" s="32">
        <v>279</v>
      </c>
      <c r="B289" s="90">
        <v>7.952452222901675</v>
      </c>
    </row>
    <row r="290" spans="1:2">
      <c r="A290" s="32">
        <v>280</v>
      </c>
      <c r="B290" s="90">
        <v>7.8152539439506779</v>
      </c>
    </row>
    <row r="291" spans="1:2">
      <c r="A291" s="32">
        <v>281</v>
      </c>
      <c r="B291" s="90">
        <v>8.7850099698913358</v>
      </c>
    </row>
    <row r="292" spans="1:2">
      <c r="A292" s="32">
        <v>282</v>
      </c>
      <c r="B292" s="90">
        <v>8.5134237489764271</v>
      </c>
    </row>
    <row r="293" spans="1:2">
      <c r="A293" s="32">
        <v>283</v>
      </c>
      <c r="B293" s="90">
        <v>7.7192001596953208</v>
      </c>
    </row>
    <row r="294" spans="1:2">
      <c r="A294" s="32">
        <v>284</v>
      </c>
      <c r="B294" s="90">
        <v>7.7486485302102253</v>
      </c>
    </row>
    <row r="295" spans="1:2">
      <c r="A295" s="32">
        <v>285</v>
      </c>
      <c r="B295" s="90">
        <v>7.9405030156183196</v>
      </c>
    </row>
    <row r="296" spans="1:2">
      <c r="A296" s="32">
        <v>286</v>
      </c>
      <c r="B296" s="90">
        <v>7.7149618590423712</v>
      </c>
    </row>
    <row r="297" spans="1:2">
      <c r="A297" s="32">
        <v>287</v>
      </c>
      <c r="B297" s="90">
        <v>8.8053090108301184</v>
      </c>
    </row>
    <row r="298" spans="1:2">
      <c r="A298" s="32">
        <v>288</v>
      </c>
      <c r="B298" s="90">
        <v>8.4073159555685599</v>
      </c>
    </row>
    <row r="299" spans="1:2">
      <c r="A299" s="32">
        <v>289</v>
      </c>
      <c r="B299" s="90">
        <v>7.60853978575759</v>
      </c>
    </row>
    <row r="300" spans="1:2">
      <c r="A300" s="32">
        <v>290</v>
      </c>
      <c r="B300" s="90">
        <v>8.3250372152692034</v>
      </c>
    </row>
    <row r="301" spans="1:2">
      <c r="A301" s="32">
        <v>291</v>
      </c>
      <c r="B301" s="90">
        <v>7.2146640765177263</v>
      </c>
    </row>
    <row r="302" spans="1:2">
      <c r="A302" s="32">
        <v>292</v>
      </c>
      <c r="B302" s="90">
        <v>8.1230216584126786</v>
      </c>
    </row>
    <row r="303" spans="1:2">
      <c r="A303" s="32">
        <v>293</v>
      </c>
      <c r="B303" s="90">
        <v>8.7173581436404035</v>
      </c>
    </row>
    <row r="304" spans="1:2">
      <c r="A304" s="32">
        <v>294</v>
      </c>
      <c r="B304" s="90">
        <v>8.4186366833959525</v>
      </c>
    </row>
    <row r="305" spans="1:2">
      <c r="A305" s="32">
        <v>295</v>
      </c>
      <c r="B305" s="90">
        <v>7.477402088834082</v>
      </c>
    </row>
    <row r="306" spans="1:2">
      <c r="A306" s="32">
        <v>296</v>
      </c>
      <c r="B306" s="90">
        <v>8.2884690019917535</v>
      </c>
    </row>
    <row r="307" spans="1:2">
      <c r="A307" s="32">
        <v>297</v>
      </c>
      <c r="B307" s="90">
        <v>7.033669270313875</v>
      </c>
    </row>
    <row r="308" spans="1:2">
      <c r="A308" s="32">
        <v>298</v>
      </c>
      <c r="B308" s="90">
        <v>8.6455949106805363</v>
      </c>
    </row>
    <row r="309" spans="1:2">
      <c r="A309" s="32">
        <v>299</v>
      </c>
      <c r="B309" s="90">
        <v>8.6848672645680249</v>
      </c>
    </row>
    <row r="310" spans="1:2">
      <c r="A310" s="32">
        <v>300</v>
      </c>
      <c r="B310" s="90">
        <v>8.22033020106206</v>
      </c>
    </row>
    <row r="311" spans="1:2">
      <c r="A311" s="32">
        <v>301</v>
      </c>
      <c r="B311" s="90">
        <v>7.5365135862020072</v>
      </c>
    </row>
    <row r="312" spans="1:2">
      <c r="A312" s="32">
        <v>302</v>
      </c>
      <c r="B312" s="90">
        <v>7.7407311658893398</v>
      </c>
    </row>
    <row r="313" spans="1:2">
      <c r="A313" s="32">
        <v>303</v>
      </c>
      <c r="B313" s="90">
        <v>7.9703662999729739</v>
      </c>
    </row>
    <row r="314" spans="1:2">
      <c r="A314" s="32">
        <v>304</v>
      </c>
      <c r="B314" s="90">
        <v>8.8308160645744227</v>
      </c>
    </row>
    <row r="315" spans="1:2">
      <c r="A315" s="32">
        <v>305</v>
      </c>
      <c r="B315" s="90">
        <v>8.4125004102837107</v>
      </c>
    </row>
    <row r="316" spans="1:2">
      <c r="A316" s="32">
        <v>306</v>
      </c>
      <c r="B316" s="90">
        <v>8.0034263198034754</v>
      </c>
    </row>
    <row r="317" spans="1:2">
      <c r="A317" s="32">
        <v>307</v>
      </c>
      <c r="B317" s="90">
        <v>7.5747304524440002</v>
      </c>
    </row>
    <row r="318" spans="1:2">
      <c r="A318" s="32">
        <v>308</v>
      </c>
      <c r="B318" s="90">
        <v>7.7693527147608332</v>
      </c>
    </row>
    <row r="319" spans="1:2">
      <c r="A319" s="32">
        <v>309</v>
      </c>
      <c r="B319" s="90">
        <v>7.7950640688340274</v>
      </c>
    </row>
    <row r="320" spans="1:2">
      <c r="A320" s="32">
        <v>310</v>
      </c>
      <c r="B320" s="90">
        <v>8.9944810141740756</v>
      </c>
    </row>
    <row r="321" spans="1:2">
      <c r="A321" s="32">
        <v>311</v>
      </c>
      <c r="B321" s="90">
        <v>8.8405706905722266</v>
      </c>
    </row>
    <row r="322" spans="1:2">
      <c r="A322" s="32">
        <v>312</v>
      </c>
      <c r="B322" s="90">
        <v>7.4102951985218244</v>
      </c>
    </row>
    <row r="323" spans="1:2">
      <c r="A323" s="32">
        <v>313</v>
      </c>
      <c r="B323" s="90">
        <v>7.8552992972674005</v>
      </c>
    </row>
    <row r="324" spans="1:2">
      <c r="A324" s="32">
        <v>314</v>
      </c>
      <c r="B324" s="90">
        <v>8.0081823330366966</v>
      </c>
    </row>
    <row r="325" spans="1:2">
      <c r="A325" s="32">
        <v>315</v>
      </c>
      <c r="B325" s="90">
        <v>7.4795318779844626</v>
      </c>
    </row>
    <row r="326" spans="1:2">
      <c r="A326" s="32">
        <v>316</v>
      </c>
      <c r="B326" s="90">
        <v>9.0655344790775345</v>
      </c>
    </row>
    <row r="327" spans="1:2">
      <c r="A327" s="32">
        <v>317</v>
      </c>
      <c r="B327" s="90">
        <v>8.5649876208437909</v>
      </c>
    </row>
    <row r="328" spans="1:2">
      <c r="A328" s="32">
        <v>318</v>
      </c>
      <c r="B328" s="90">
        <v>7.4050155136253988</v>
      </c>
    </row>
    <row r="329" spans="1:2">
      <c r="A329" s="32">
        <v>319</v>
      </c>
      <c r="B329" s="90">
        <v>8.3536818943268187</v>
      </c>
    </row>
    <row r="330" spans="1:2">
      <c r="A330" s="32">
        <v>320</v>
      </c>
      <c r="B330" s="90">
        <v>7.293318811389617</v>
      </c>
    </row>
    <row r="331" spans="1:2">
      <c r="A331" s="32">
        <v>321</v>
      </c>
      <c r="B331" s="90">
        <v>7.888483060521529</v>
      </c>
    </row>
    <row r="332" spans="1:2">
      <c r="A332" s="32">
        <v>322</v>
      </c>
      <c r="B332" s="90">
        <v>8.8235445973064444</v>
      </c>
    </row>
    <row r="333" spans="1:2">
      <c r="A333" s="32">
        <v>323</v>
      </c>
      <c r="B333" s="90">
        <v>8.3366930430701967</v>
      </c>
    </row>
    <row r="334" spans="1:2">
      <c r="A334" s="32">
        <v>324</v>
      </c>
      <c r="B334" s="90">
        <v>7.9218664286240328</v>
      </c>
    </row>
    <row r="335" spans="1:2">
      <c r="A335" s="32">
        <v>325</v>
      </c>
      <c r="B335" s="90">
        <v>7.8807131721125776</v>
      </c>
    </row>
    <row r="336" spans="1:2">
      <c r="A336" s="32">
        <v>326</v>
      </c>
      <c r="B336" s="90">
        <v>7.2938606984708922</v>
      </c>
    </row>
    <row r="337" spans="1:2">
      <c r="A337" s="32">
        <v>327</v>
      </c>
      <c r="B337" s="90">
        <v>8.3218012751075765</v>
      </c>
    </row>
    <row r="338" spans="1:2">
      <c r="A338" s="32">
        <v>328</v>
      </c>
      <c r="B338" s="90">
        <v>8.6624707290539984</v>
      </c>
    </row>
    <row r="339" spans="1:2">
      <c r="A339" s="32">
        <v>329</v>
      </c>
      <c r="B339" s="90">
        <v>8.5662542547476743</v>
      </c>
    </row>
    <row r="340" spans="1:2">
      <c r="A340" s="32">
        <v>330</v>
      </c>
      <c r="B340" s="90">
        <v>7.3309639504781154</v>
      </c>
    </row>
    <row r="341" spans="1:2">
      <c r="A341" s="32">
        <v>331</v>
      </c>
      <c r="B341" s="90">
        <v>7.7090212210340239</v>
      </c>
    </row>
    <row r="342" spans="1:2">
      <c r="A342" s="32">
        <v>332</v>
      </c>
      <c r="B342" s="90">
        <v>7.8691452129807322</v>
      </c>
    </row>
    <row r="343" spans="1:2">
      <c r="A343" s="32">
        <v>333</v>
      </c>
      <c r="B343" s="90">
        <v>8.5752214918676586</v>
      </c>
    </row>
    <row r="344" spans="1:2">
      <c r="A344" s="32">
        <v>334</v>
      </c>
      <c r="B344" s="90">
        <v>8.944493117999551</v>
      </c>
    </row>
    <row r="345" spans="1:2">
      <c r="A345" s="32">
        <v>335</v>
      </c>
      <c r="B345" s="90">
        <v>7.6425340429337831</v>
      </c>
    </row>
    <row r="346" spans="1:2">
      <c r="A346" s="32">
        <v>336</v>
      </c>
      <c r="B346" s="90">
        <v>7.5397991006280529</v>
      </c>
    </row>
    <row r="347" spans="1:2">
      <c r="A347" s="32">
        <v>337</v>
      </c>
      <c r="B347" s="90">
        <v>7.9607197239658278</v>
      </c>
    </row>
    <row r="348" spans="1:2">
      <c r="A348" s="32">
        <v>338</v>
      </c>
      <c r="B348" s="90">
        <v>7.7268137683777534</v>
      </c>
    </row>
    <row r="349" spans="1:2">
      <c r="A349" s="32">
        <v>339</v>
      </c>
      <c r="B349" s="90">
        <v>9.0554914097855423</v>
      </c>
    </row>
    <row r="350" spans="1:2">
      <c r="A350" s="32">
        <v>340</v>
      </c>
      <c r="B350" s="90">
        <v>8.8076443772717621</v>
      </c>
    </row>
    <row r="351" spans="1:2">
      <c r="A351" s="32">
        <v>341</v>
      </c>
      <c r="B351" s="90">
        <v>7.6024826126783598</v>
      </c>
    </row>
    <row r="352" spans="1:2">
      <c r="A352" s="32">
        <v>342</v>
      </c>
      <c r="B352" s="90">
        <v>7.6821933741241679</v>
      </c>
    </row>
    <row r="353" spans="1:2">
      <c r="A353" s="32">
        <v>343</v>
      </c>
      <c r="B353" s="90">
        <v>7.952452222901675</v>
      </c>
    </row>
    <row r="354" spans="1:2">
      <c r="A354" s="32">
        <v>344</v>
      </c>
      <c r="B354" s="90">
        <v>7.8152539439506779</v>
      </c>
    </row>
    <row r="355" spans="1:2">
      <c r="A355" s="32">
        <v>345</v>
      </c>
      <c r="B355" s="90">
        <v>8.7850099698913358</v>
      </c>
    </row>
    <row r="356" spans="1:2">
      <c r="A356" s="32">
        <v>346</v>
      </c>
      <c r="B356" s="90">
        <v>8.5134237489764271</v>
      </c>
    </row>
    <row r="357" spans="1:2">
      <c r="A357" s="32">
        <v>347</v>
      </c>
      <c r="B357" s="90">
        <v>7.7192001596953208</v>
      </c>
    </row>
    <row r="358" spans="1:2">
      <c r="A358" s="32">
        <v>348</v>
      </c>
      <c r="B358" s="90">
        <v>7.7486485302102253</v>
      </c>
    </row>
    <row r="359" spans="1:2">
      <c r="A359" s="32">
        <v>349</v>
      </c>
      <c r="B359" s="90">
        <v>7.9405030156183196</v>
      </c>
    </row>
    <row r="360" spans="1:2">
      <c r="A360" s="32">
        <v>350</v>
      </c>
      <c r="B360" s="90">
        <v>7.7149618590423712</v>
      </c>
    </row>
    <row r="361" spans="1:2">
      <c r="A361" s="32">
        <v>351</v>
      </c>
      <c r="B361" s="90">
        <v>8.8053090108301184</v>
      </c>
    </row>
    <row r="362" spans="1:2">
      <c r="A362" s="32">
        <v>352</v>
      </c>
      <c r="B362" s="90">
        <v>8.4073159555685599</v>
      </c>
    </row>
    <row r="363" spans="1:2">
      <c r="A363" s="32">
        <v>353</v>
      </c>
      <c r="B363" s="90">
        <v>7.60853978575759</v>
      </c>
    </row>
    <row r="364" spans="1:2">
      <c r="A364" s="32">
        <v>354</v>
      </c>
      <c r="B364" s="90">
        <v>7.1197547607929916</v>
      </c>
    </row>
    <row r="365" spans="1:2">
      <c r="A365" s="32">
        <v>355</v>
      </c>
      <c r="B365" s="90">
        <v>8.227132420137476</v>
      </c>
    </row>
    <row r="366" spans="1:2">
      <c r="A366" s="32">
        <v>356</v>
      </c>
      <c r="B366" s="90">
        <v>9.966261477868807</v>
      </c>
    </row>
    <row r="367" spans="1:2">
      <c r="A367" s="32">
        <v>357</v>
      </c>
      <c r="B367" s="90">
        <v>8.54289711625729</v>
      </c>
    </row>
    <row r="368" spans="1:2">
      <c r="A368" s="32">
        <v>358</v>
      </c>
      <c r="B368" s="90">
        <v>8.4554491465793902</v>
      </c>
    </row>
    <row r="369" spans="1:2">
      <c r="A369" s="32">
        <v>359</v>
      </c>
      <c r="B369" s="90">
        <v>7.5018367321181563</v>
      </c>
    </row>
    <row r="370" spans="1:2">
      <c r="A370" s="32">
        <v>360</v>
      </c>
      <c r="B370" s="90">
        <v>7.4985540837907054</v>
      </c>
    </row>
    <row r="371" spans="1:2">
      <c r="A371" s="32">
        <v>361</v>
      </c>
      <c r="B371" s="90">
        <v>8.7015307247808344</v>
      </c>
    </row>
    <row r="372" spans="1:2">
      <c r="A372" s="32">
        <v>362</v>
      </c>
      <c r="B372" s="90">
        <v>9.8064667128352703</v>
      </c>
    </row>
    <row r="373" spans="1:2">
      <c r="A373" s="32">
        <v>363</v>
      </c>
      <c r="B373" s="90">
        <v>8.4317211393404765</v>
      </c>
    </row>
    <row r="374" spans="1:2">
      <c r="A374" s="32">
        <v>364</v>
      </c>
      <c r="B374" s="90">
        <v>8.093331624975141</v>
      </c>
    </row>
    <row r="375" spans="1:2">
      <c r="A375" s="32">
        <v>365</v>
      </c>
      <c r="B375" s="90">
        <v>7.6120764096641436</v>
      </c>
    </row>
    <row r="376" spans="1:2">
      <c r="A376" s="32">
        <v>366</v>
      </c>
      <c r="B376" s="90">
        <v>7.4478729759500775</v>
      </c>
    </row>
    <row r="377" spans="1:2">
      <c r="A377" s="32">
        <v>367</v>
      </c>
      <c r="B377" s="90">
        <v>9.1119518025630963</v>
      </c>
    </row>
    <row r="378" spans="1:2">
      <c r="A378" s="32">
        <v>368</v>
      </c>
      <c r="B378" s="90">
        <v>9.3717487336419154</v>
      </c>
    </row>
    <row r="379" spans="1:2">
      <c r="A379" s="32">
        <v>369</v>
      </c>
      <c r="B379" s="90">
        <v>8.7740135336405896</v>
      </c>
    </row>
    <row r="380" spans="1:2">
      <c r="A380" s="32">
        <v>370</v>
      </c>
      <c r="B380" s="90">
        <v>7.7349943859976769</v>
      </c>
    </row>
    <row r="381" spans="1:2">
      <c r="A381" s="32">
        <v>371</v>
      </c>
      <c r="B381" s="90">
        <v>7.8877220751481545</v>
      </c>
    </row>
    <row r="382" spans="1:2">
      <c r="A382" s="32">
        <v>372</v>
      </c>
      <c r="B382" s="90">
        <v>7.3382177775002901</v>
      </c>
    </row>
    <row r="383" spans="1:2">
      <c r="A383" s="32">
        <v>373</v>
      </c>
      <c r="B383" s="90">
        <v>9.0545138324943366</v>
      </c>
    </row>
    <row r="384" spans="1:2">
      <c r="A384" s="32">
        <v>374</v>
      </c>
      <c r="B384" s="90">
        <v>9.4155183278059784</v>
      </c>
    </row>
    <row r="385" spans="1:2">
      <c r="A385" s="32">
        <v>375</v>
      </c>
      <c r="B385" s="90">
        <v>9.3472221415822609</v>
      </c>
    </row>
    <row r="386" spans="1:2">
      <c r="A386" s="32">
        <v>376</v>
      </c>
      <c r="B386" s="90">
        <v>7.597197681548808</v>
      </c>
    </row>
    <row r="387" spans="1:2">
      <c r="A387" s="32">
        <v>377</v>
      </c>
      <c r="B387" s="90">
        <v>7.2380804311076723</v>
      </c>
    </row>
    <row r="388" spans="1:2">
      <c r="A388" s="32">
        <v>378</v>
      </c>
      <c r="B388" s="90">
        <v>7.9139000834796498</v>
      </c>
    </row>
    <row r="389" spans="1:2">
      <c r="A389" s="32">
        <v>379</v>
      </c>
      <c r="B389" s="90">
        <v>9.1264253683787722</v>
      </c>
    </row>
    <row r="390" spans="1:2">
      <c r="A390" s="32">
        <v>380</v>
      </c>
      <c r="B390" s="90">
        <v>9.8361117830129707</v>
      </c>
    </row>
    <row r="391" spans="1:2">
      <c r="A391" s="32">
        <v>381</v>
      </c>
      <c r="B391" s="90">
        <v>7.9719835851687355</v>
      </c>
    </row>
    <row r="392" spans="1:2">
      <c r="A392" s="32">
        <v>382</v>
      </c>
      <c r="B392" s="90">
        <v>7.974333322756034</v>
      </c>
    </row>
    <row r="393" spans="1:2">
      <c r="A393" s="32">
        <v>383</v>
      </c>
      <c r="B393" s="90">
        <v>7.3228860591086482</v>
      </c>
    </row>
    <row r="394" spans="1:2">
      <c r="A394" s="32">
        <v>384</v>
      </c>
      <c r="B394" s="90">
        <v>8.1108838460719355</v>
      </c>
    </row>
    <row r="395" spans="1:2">
      <c r="A395" s="32">
        <v>385</v>
      </c>
      <c r="B395" s="90">
        <v>9.9341142173078314</v>
      </c>
    </row>
    <row r="396" spans="1:2">
      <c r="A396" s="32">
        <v>386</v>
      </c>
      <c r="B396" s="90">
        <v>9.0322658617255662</v>
      </c>
    </row>
    <row r="397" spans="1:2">
      <c r="A397" s="32">
        <v>387</v>
      </c>
      <c r="B397" s="90">
        <v>8.2640361109308635</v>
      </c>
    </row>
    <row r="398" spans="1:2">
      <c r="A398" s="32">
        <v>388</v>
      </c>
      <c r="B398" s="90">
        <v>7.3614914431404213</v>
      </c>
    </row>
    <row r="399" spans="1:2">
      <c r="A399" s="32">
        <v>389</v>
      </c>
      <c r="B399" s="90">
        <v>7.5665528404086171</v>
      </c>
    </row>
    <row r="400" spans="1:2">
      <c r="A400" s="32">
        <v>390</v>
      </c>
      <c r="B400" s="90">
        <v>8.5140699120581083</v>
      </c>
    </row>
    <row r="401" spans="1:2">
      <c r="A401" s="32">
        <v>391</v>
      </c>
      <c r="B401" s="90">
        <v>9.7489956766146779</v>
      </c>
    </row>
    <row r="402" spans="1:2">
      <c r="A402" s="32">
        <v>392</v>
      </c>
      <c r="B402" s="90">
        <v>8.4937294907296419</v>
      </c>
    </row>
    <row r="403" spans="1:2">
      <c r="A403" s="32">
        <v>393</v>
      </c>
      <c r="B403" s="90">
        <v>8.3061929847171889</v>
      </c>
    </row>
    <row r="404" spans="1:2">
      <c r="A404" s="32">
        <v>394</v>
      </c>
      <c r="B404" s="90">
        <v>7.4127436005883069</v>
      </c>
    </row>
    <row r="405" spans="1:2">
      <c r="A405" s="32">
        <v>395</v>
      </c>
      <c r="B405" s="90">
        <v>7.6482498532094647</v>
      </c>
    </row>
    <row r="406" spans="1:2">
      <c r="A406" s="32">
        <v>396</v>
      </c>
      <c r="B406" s="90">
        <v>8.9506310868443091</v>
      </c>
    </row>
    <row r="407" spans="1:2">
      <c r="A407" s="32">
        <v>397</v>
      </c>
      <c r="B407" s="90">
        <v>9.6056277397202585</v>
      </c>
    </row>
    <row r="408" spans="1:2">
      <c r="A408" s="32">
        <v>398</v>
      </c>
      <c r="B408" s="90">
        <v>8.6853167177455823</v>
      </c>
    </row>
    <row r="409" spans="1:2">
      <c r="A409" s="32">
        <v>399</v>
      </c>
      <c r="B409" s="90">
        <v>7.9660394724823034</v>
      </c>
    </row>
    <row r="410" spans="1:2">
      <c r="A410" s="32">
        <v>400</v>
      </c>
      <c r="B410" s="90">
        <v>7.6321468975435858</v>
      </c>
    </row>
    <row r="411" spans="1:2">
      <c r="A411" s="32">
        <v>401</v>
      </c>
      <c r="B411" s="90">
        <v>7.2368253812833263</v>
      </c>
    </row>
    <row r="412" spans="1:2">
      <c r="A412" s="32">
        <v>402</v>
      </c>
      <c r="B412" s="90">
        <v>9.0188508073654816</v>
      </c>
    </row>
    <row r="413" spans="1:2">
      <c r="A413" s="32">
        <v>403</v>
      </c>
      <c r="B413" s="90">
        <v>9.2544077091422317</v>
      </c>
    </row>
    <row r="414" spans="1:2">
      <c r="A414" s="32">
        <v>404</v>
      </c>
      <c r="B414" s="90">
        <v>9.3019741195427788</v>
      </c>
    </row>
    <row r="415" spans="1:2">
      <c r="A415" s="32">
        <v>405</v>
      </c>
      <c r="B415" s="90">
        <v>7.4363164513946831</v>
      </c>
    </row>
    <row r="416" spans="1:2">
      <c r="A416" s="32">
        <v>406</v>
      </c>
      <c r="B416" s="90">
        <v>7.8540337028164515</v>
      </c>
    </row>
    <row r="417" spans="1:2">
      <c r="A417" s="32">
        <v>407</v>
      </c>
      <c r="B417" s="90">
        <v>7.6494233523293946</v>
      </c>
    </row>
    <row r="418" spans="1:2">
      <c r="A418" s="32">
        <v>408</v>
      </c>
      <c r="B418" s="90">
        <v>8.9139491906606221</v>
      </c>
    </row>
    <row r="419" spans="1:2">
      <c r="A419" s="32">
        <v>409</v>
      </c>
      <c r="B419" s="90">
        <v>9.8758900380518995</v>
      </c>
    </row>
    <row r="420" spans="1:2">
      <c r="A420" s="32">
        <v>410</v>
      </c>
      <c r="B420" s="90">
        <v>8.2509679238875808</v>
      </c>
    </row>
    <row r="421" spans="1:2">
      <c r="A421" s="32">
        <v>411</v>
      </c>
      <c r="B421" s="90">
        <v>8.1346279192147026</v>
      </c>
    </row>
    <row r="422" spans="1:2">
      <c r="A422" s="32">
        <v>412</v>
      </c>
      <c r="B422" s="90">
        <v>7.1708970576034066</v>
      </c>
    </row>
    <row r="423" spans="1:2">
      <c r="A423" s="32">
        <v>413</v>
      </c>
      <c r="B423" s="90">
        <v>8.0442159781460667</v>
      </c>
    </row>
    <row r="424" spans="1:2">
      <c r="A424" s="32">
        <v>414</v>
      </c>
      <c r="B424" s="90">
        <v>9.7563818872943617</v>
      </c>
    </row>
    <row r="425" spans="1:2">
      <c r="A425" s="32">
        <v>415</v>
      </c>
      <c r="B425" s="90">
        <v>9.0245472525268458</v>
      </c>
    </row>
    <row r="426" spans="1:2">
      <c r="A426" s="32">
        <v>416</v>
      </c>
      <c r="B426" s="90">
        <v>8.3355711258438809</v>
      </c>
    </row>
    <row r="427" spans="1:2">
      <c r="A427" s="32">
        <v>417</v>
      </c>
      <c r="B427" s="90">
        <v>7.8797344452535212</v>
      </c>
    </row>
    <row r="428" spans="1:2">
      <c r="A428" s="32">
        <v>418</v>
      </c>
      <c r="B428" s="90">
        <v>7.2554124851755031</v>
      </c>
    </row>
    <row r="429" spans="1:2">
      <c r="A429" s="32">
        <v>419</v>
      </c>
      <c r="B429" s="90">
        <v>8.227132420137476</v>
      </c>
    </row>
    <row r="430" spans="1:2">
      <c r="A430" s="32">
        <v>420</v>
      </c>
      <c r="B430" s="90">
        <v>9.966261477868807</v>
      </c>
    </row>
    <row r="431" spans="1:2">
      <c r="A431" s="32">
        <v>421</v>
      </c>
      <c r="B431" s="90">
        <v>8.54289711625729</v>
      </c>
    </row>
    <row r="432" spans="1:2">
      <c r="A432" s="32">
        <v>422</v>
      </c>
      <c r="B432" s="90">
        <v>8.4554491465793902</v>
      </c>
    </row>
    <row r="433" spans="1:2">
      <c r="A433" s="32">
        <v>423</v>
      </c>
      <c r="B433" s="90">
        <v>7.5018367321181563</v>
      </c>
    </row>
    <row r="434" spans="1:2">
      <c r="A434" s="32">
        <v>424</v>
      </c>
      <c r="B434" s="90">
        <v>7.4985540837907054</v>
      </c>
    </row>
    <row r="435" spans="1:2">
      <c r="A435" s="32">
        <v>425</v>
      </c>
      <c r="B435" s="90">
        <v>8.7015307247808344</v>
      </c>
    </row>
    <row r="436" spans="1:2">
      <c r="A436" s="32">
        <v>426</v>
      </c>
      <c r="B436" s="90">
        <v>9.8064667128352703</v>
      </c>
    </row>
    <row r="437" spans="1:2">
      <c r="A437" s="32">
        <v>427</v>
      </c>
      <c r="B437" s="90">
        <v>8.4317211393404765</v>
      </c>
    </row>
    <row r="438" spans="1:2">
      <c r="A438" s="32">
        <v>428</v>
      </c>
      <c r="B438" s="90">
        <v>8.093331624975141</v>
      </c>
    </row>
    <row r="439" spans="1:2">
      <c r="A439" s="32">
        <v>429</v>
      </c>
      <c r="B439" s="90">
        <v>7.6120764096641436</v>
      </c>
    </row>
    <row r="440" spans="1:2">
      <c r="A440" s="32">
        <v>430</v>
      </c>
      <c r="B440" s="90">
        <v>7.4478729759500775</v>
      </c>
    </row>
    <row r="441" spans="1:2">
      <c r="A441" s="32">
        <v>431</v>
      </c>
      <c r="B441" s="90">
        <v>9.1119518025630963</v>
      </c>
    </row>
    <row r="442" spans="1:2">
      <c r="A442" s="32">
        <v>432</v>
      </c>
      <c r="B442" s="90">
        <v>9.3717487336419154</v>
      </c>
    </row>
    <row r="443" spans="1:2">
      <c r="A443" s="32">
        <v>433</v>
      </c>
      <c r="B443" s="90">
        <v>8.7740135336405896</v>
      </c>
    </row>
    <row r="444" spans="1:2">
      <c r="A444" s="32">
        <v>434</v>
      </c>
      <c r="B444" s="90">
        <v>7.7349943859976769</v>
      </c>
    </row>
    <row r="445" spans="1:2">
      <c r="A445" s="32">
        <v>435</v>
      </c>
      <c r="B445" s="90">
        <v>8.9172918217696164</v>
      </c>
    </row>
    <row r="446" spans="1:2">
      <c r="A446" s="32">
        <v>436</v>
      </c>
      <c r="B446" s="90">
        <v>7.9940023626475263</v>
      </c>
    </row>
    <row r="447" spans="1:2">
      <c r="A447" s="32">
        <v>437</v>
      </c>
      <c r="B447" s="90">
        <v>9.0400979093761613</v>
      </c>
    </row>
    <row r="448" spans="1:2">
      <c r="A448" s="32">
        <v>438</v>
      </c>
      <c r="B448" s="90">
        <v>8.0754437220717836</v>
      </c>
    </row>
    <row r="449" spans="1:2">
      <c r="A449" s="32">
        <v>439</v>
      </c>
      <c r="B449" s="90">
        <v>8.4525011183821679</v>
      </c>
    </row>
    <row r="450" spans="1:2">
      <c r="A450" s="32">
        <v>440</v>
      </c>
      <c r="B450" s="90">
        <v>7.9372665800023174</v>
      </c>
    </row>
    <row r="451" spans="1:2">
      <c r="A451" s="32">
        <v>441</v>
      </c>
      <c r="B451" s="90">
        <v>9.2709162115809782</v>
      </c>
    </row>
    <row r="452" spans="1:2">
      <c r="A452" s="32">
        <v>442</v>
      </c>
      <c r="B452" s="90">
        <v>7.8851693788159265</v>
      </c>
    </row>
    <row r="453" spans="1:2">
      <c r="A453" s="32">
        <v>443</v>
      </c>
      <c r="B453" s="90">
        <v>8.4574848811057066</v>
      </c>
    </row>
    <row r="454" spans="1:2">
      <c r="A454" s="32">
        <v>444</v>
      </c>
      <c r="B454" s="90">
        <v>8.663461093935684</v>
      </c>
    </row>
    <row r="455" spans="1:2">
      <c r="A455" s="32">
        <v>445</v>
      </c>
      <c r="B455" s="90">
        <v>8.3344911206679182</v>
      </c>
    </row>
    <row r="456" spans="1:2">
      <c r="A456" s="32">
        <v>446</v>
      </c>
      <c r="B456" s="90">
        <v>7.762487110119233</v>
      </c>
    </row>
    <row r="457" spans="1:2">
      <c r="A457" s="32">
        <v>447</v>
      </c>
      <c r="B457" s="90">
        <v>8.8769750409624386</v>
      </c>
    </row>
    <row r="458" spans="1:2">
      <c r="A458" s="32">
        <v>448</v>
      </c>
      <c r="B458" s="90">
        <v>8.0366687880499299</v>
      </c>
    </row>
    <row r="459" spans="1:2">
      <c r="A459" s="32">
        <v>449</v>
      </c>
      <c r="B459" s="90">
        <v>8.5334889525408197</v>
      </c>
    </row>
    <row r="460" spans="1:2">
      <c r="A460" s="32">
        <v>450</v>
      </c>
      <c r="B460" s="90">
        <v>8.198295492403183</v>
      </c>
    </row>
    <row r="461" spans="1:2">
      <c r="A461" s="32">
        <v>451</v>
      </c>
      <c r="B461" s="90">
        <v>8.6831069275689039</v>
      </c>
    </row>
    <row r="462" spans="1:2">
      <c r="A462" s="32">
        <v>452</v>
      </c>
      <c r="B462" s="90">
        <v>7.9169518865339414</v>
      </c>
    </row>
    <row r="463" spans="1:2">
      <c r="A463" s="32">
        <v>453</v>
      </c>
      <c r="B463" s="90">
        <v>8.6833627288330728</v>
      </c>
    </row>
    <row r="464" spans="1:2">
      <c r="A464" s="32">
        <v>454</v>
      </c>
      <c r="B464" s="90">
        <v>8.311002941718419</v>
      </c>
    </row>
    <row r="465" spans="1:2">
      <c r="A465" s="32">
        <v>455</v>
      </c>
      <c r="B465" s="90">
        <v>8.464972262832644</v>
      </c>
    </row>
    <row r="466" spans="1:2">
      <c r="A466" s="32">
        <v>456</v>
      </c>
      <c r="B466" s="90">
        <v>8.2497248274897821</v>
      </c>
    </row>
    <row r="467" spans="1:2">
      <c r="A467" s="32">
        <v>457</v>
      </c>
      <c r="B467" s="90">
        <v>8.7101095145624079</v>
      </c>
    </row>
    <row r="468" spans="1:2">
      <c r="A468" s="32">
        <v>458</v>
      </c>
      <c r="B468" s="90">
        <v>7.994819346617053</v>
      </c>
    </row>
    <row r="469" spans="1:2">
      <c r="A469" s="32">
        <v>459</v>
      </c>
      <c r="B469" s="90">
        <v>8.5088826007318428</v>
      </c>
    </row>
    <row r="470" spans="1:2">
      <c r="A470" s="32">
        <v>460</v>
      </c>
      <c r="B470" s="90">
        <v>9.1662730656286371</v>
      </c>
    </row>
    <row r="471" spans="1:2">
      <c r="A471" s="32">
        <v>461</v>
      </c>
      <c r="B471" s="90">
        <v>7.6275568332929211</v>
      </c>
    </row>
    <row r="472" spans="1:2">
      <c r="A472" s="32">
        <v>462</v>
      </c>
      <c r="B472" s="90">
        <v>8.100668499445483</v>
      </c>
    </row>
    <row r="473" spans="1:2">
      <c r="A473" s="32">
        <v>463</v>
      </c>
      <c r="B473" s="90">
        <v>8.7104881956891962</v>
      </c>
    </row>
    <row r="474" spans="1:2">
      <c r="A474" s="32">
        <v>464</v>
      </c>
      <c r="B474" s="90">
        <v>8.5392938512929231</v>
      </c>
    </row>
    <row r="475" spans="1:2">
      <c r="A475" s="32">
        <v>465</v>
      </c>
      <c r="B475" s="90">
        <v>8.1428206732471669</v>
      </c>
    </row>
    <row r="476" spans="1:2">
      <c r="A476" s="32">
        <v>466</v>
      </c>
      <c r="B476" s="90">
        <v>8.8018951826942597</v>
      </c>
    </row>
    <row r="477" spans="1:2">
      <c r="A477" s="32">
        <v>467</v>
      </c>
      <c r="B477" s="90">
        <v>8.3256648304794965</v>
      </c>
    </row>
    <row r="478" spans="1:2">
      <c r="A478" s="32">
        <v>468</v>
      </c>
      <c r="B478" s="90">
        <v>8.0518878751637128</v>
      </c>
    </row>
    <row r="479" spans="1:2">
      <c r="A479" s="32">
        <v>469</v>
      </c>
      <c r="B479" s="90">
        <v>8.3180584118416387</v>
      </c>
    </row>
    <row r="480" spans="1:2">
      <c r="A480" s="32">
        <v>470</v>
      </c>
      <c r="B480" s="90">
        <v>9.0218346401555394</v>
      </c>
    </row>
    <row r="481" spans="1:2">
      <c r="A481" s="32">
        <v>471</v>
      </c>
      <c r="B481" s="90">
        <v>7.7710695348099312</v>
      </c>
    </row>
    <row r="482" spans="1:2">
      <c r="A482" s="32">
        <v>472</v>
      </c>
      <c r="B482" s="90">
        <v>8.9056956324376664</v>
      </c>
    </row>
    <row r="483" spans="1:2">
      <c r="A483" s="32">
        <v>473</v>
      </c>
      <c r="B483" s="90">
        <v>7.8584613796178129</v>
      </c>
    </row>
    <row r="484" spans="1:2">
      <c r="A484" s="32">
        <v>474</v>
      </c>
      <c r="B484" s="90">
        <v>8.8266799005356962</v>
      </c>
    </row>
    <row r="485" spans="1:2">
      <c r="A485" s="32">
        <v>475</v>
      </c>
      <c r="B485" s="90">
        <v>7.7063490839353079</v>
      </c>
    </row>
    <row r="486" spans="1:2">
      <c r="A486" s="32">
        <v>476</v>
      </c>
      <c r="B486" s="90">
        <v>8.8117825956338613</v>
      </c>
    </row>
    <row r="487" spans="1:2">
      <c r="A487" s="32">
        <v>477</v>
      </c>
      <c r="B487" s="90">
        <v>8.2064429331832365</v>
      </c>
    </row>
    <row r="488" spans="1:2">
      <c r="A488" s="32">
        <v>478</v>
      </c>
      <c r="B488" s="90">
        <v>8.5219134271577435</v>
      </c>
    </row>
    <row r="489" spans="1:2">
      <c r="A489" s="32">
        <v>479</v>
      </c>
      <c r="B489" s="90">
        <v>8.3801921878973005</v>
      </c>
    </row>
    <row r="490" spans="1:2">
      <c r="A490" s="32">
        <v>480</v>
      </c>
      <c r="B490" s="90">
        <v>8.3692143173693179</v>
      </c>
    </row>
    <row r="491" spans="1:2">
      <c r="A491" s="32">
        <v>481</v>
      </c>
      <c r="B491" s="90">
        <v>8.0066793544822161</v>
      </c>
    </row>
    <row r="492" spans="1:2">
      <c r="A492" s="32">
        <v>482</v>
      </c>
      <c r="B492" s="90">
        <v>8.7584356096944749</v>
      </c>
    </row>
    <row r="493" spans="1:2">
      <c r="A493" s="32">
        <v>483</v>
      </c>
      <c r="B493" s="90">
        <v>8.1141554808458114</v>
      </c>
    </row>
    <row r="494" spans="1:2">
      <c r="A494" s="32">
        <v>484</v>
      </c>
      <c r="B494" s="90">
        <v>8.722237123584522</v>
      </c>
    </row>
    <row r="495" spans="1:2">
      <c r="A495" s="32">
        <v>485</v>
      </c>
      <c r="B495" s="90">
        <v>8.3513254350578539</v>
      </c>
    </row>
    <row r="496" spans="1:2">
      <c r="A496" s="32">
        <v>486</v>
      </c>
      <c r="B496" s="90">
        <v>8.4284395328258235</v>
      </c>
    </row>
    <row r="497" spans="1:2">
      <c r="A497" s="32">
        <v>487</v>
      </c>
      <c r="B497" s="90">
        <v>7.8600393368784305</v>
      </c>
    </row>
    <row r="498" spans="1:2">
      <c r="A498" s="32">
        <v>488</v>
      </c>
      <c r="B498" s="90">
        <v>8.8291468214192523</v>
      </c>
    </row>
    <row r="499" spans="1:2">
      <c r="A499" s="32">
        <v>489</v>
      </c>
      <c r="B499" s="90">
        <v>8.7832137370537247</v>
      </c>
    </row>
    <row r="500" spans="1:2">
      <c r="A500" s="32">
        <v>490</v>
      </c>
      <c r="B500" s="90">
        <v>8.09893473336097</v>
      </c>
    </row>
    <row r="501" spans="1:2">
      <c r="A501" s="32">
        <v>491</v>
      </c>
      <c r="B501" s="90">
        <v>8.0071479150730163</v>
      </c>
    </row>
    <row r="502" spans="1:2">
      <c r="A502" s="32">
        <v>492</v>
      </c>
      <c r="B502" s="90">
        <v>8.3444124890530649</v>
      </c>
    </row>
    <row r="503" spans="1:2">
      <c r="A503" s="32">
        <v>493</v>
      </c>
      <c r="B503" s="90">
        <v>8.6483464626393136</v>
      </c>
    </row>
    <row r="504" spans="1:2">
      <c r="A504" s="32">
        <v>494</v>
      </c>
      <c r="B504" s="90">
        <v>8.2408084663344212</v>
      </c>
    </row>
    <row r="505" spans="1:2">
      <c r="A505" s="32">
        <v>495</v>
      </c>
      <c r="B505" s="90">
        <v>9.0721575834227171</v>
      </c>
    </row>
    <row r="506" spans="1:2">
      <c r="A506" s="32">
        <v>496</v>
      </c>
      <c r="B506" s="90">
        <v>7.9002150308899441</v>
      </c>
    </row>
    <row r="507" spans="1:2">
      <c r="A507" s="32">
        <v>497</v>
      </c>
      <c r="B507" s="90">
        <v>7.9360708034123881</v>
      </c>
    </row>
    <row r="508" spans="1:2">
      <c r="A508" s="32">
        <v>498</v>
      </c>
      <c r="B508" s="90">
        <v>8.6233560124593023</v>
      </c>
    </row>
    <row r="509" spans="1:2">
      <c r="A509" s="32">
        <v>499</v>
      </c>
      <c r="B509" s="90">
        <v>8.5848158044188683</v>
      </c>
    </row>
    <row r="510" spans="1:2">
      <c r="A510" s="32">
        <v>500</v>
      </c>
      <c r="B510" s="90">
        <v>7.9940023626475263</v>
      </c>
    </row>
    <row r="511" spans="1:2">
      <c r="A511" s="32">
        <v>501</v>
      </c>
      <c r="B511" s="90">
        <v>9.0400979093761613</v>
      </c>
    </row>
    <row r="512" spans="1:2">
      <c r="A512" s="32">
        <v>502</v>
      </c>
      <c r="B512" s="90">
        <v>8.0754437220717836</v>
      </c>
    </row>
    <row r="513" spans="1:2">
      <c r="A513" s="32">
        <v>503</v>
      </c>
      <c r="B513" s="90">
        <v>8.4525011183821679</v>
      </c>
    </row>
    <row r="514" spans="1:2">
      <c r="A514" s="32">
        <v>504</v>
      </c>
      <c r="B514" s="90">
        <v>7.9372665800023174</v>
      </c>
    </row>
    <row r="515" spans="1:2">
      <c r="A515" s="32">
        <v>505</v>
      </c>
      <c r="B515" s="90">
        <v>9.2709162115809782</v>
      </c>
    </row>
    <row r="516" spans="1:2">
      <c r="A516" s="32">
        <v>506</v>
      </c>
      <c r="B516" s="90">
        <v>7.8851693788159265</v>
      </c>
    </row>
    <row r="517" spans="1:2">
      <c r="A517" s="32">
        <v>507</v>
      </c>
      <c r="B517" s="90">
        <v>8.4574848811057066</v>
      </c>
    </row>
    <row r="518" spans="1:2">
      <c r="A518" s="32">
        <v>508</v>
      </c>
      <c r="B518" s="90">
        <v>8.663461093935684</v>
      </c>
    </row>
    <row r="519" spans="1:2">
      <c r="A519" s="32">
        <v>509</v>
      </c>
      <c r="B519" s="90">
        <v>8.3344911206679182</v>
      </c>
    </row>
    <row r="520" spans="1:2">
      <c r="A520" s="32">
        <v>510</v>
      </c>
      <c r="B520" s="90">
        <v>7.762487110119233</v>
      </c>
    </row>
    <row r="521" spans="1:2">
      <c r="A521" s="32">
        <v>511</v>
      </c>
      <c r="B521" s="90">
        <v>8.8769750409624386</v>
      </c>
    </row>
    <row r="522" spans="1:2">
      <c r="A522" s="32">
        <v>512</v>
      </c>
      <c r="B522" s="90">
        <v>8.0366687880499299</v>
      </c>
    </row>
    <row r="523" spans="1:2">
      <c r="A523" s="32">
        <v>513</v>
      </c>
      <c r="B523" s="90">
        <v>8.5334889525408197</v>
      </c>
    </row>
    <row r="524" spans="1:2">
      <c r="A524" s="32">
        <v>514</v>
      </c>
      <c r="B524" s="90">
        <v>8.198295492403183</v>
      </c>
    </row>
    <row r="525" spans="1:2">
      <c r="A525" s="32">
        <v>515</v>
      </c>
      <c r="B525" s="90">
        <v>8.6831069275689039</v>
      </c>
    </row>
    <row r="526" spans="1:2">
      <c r="A526" s="32">
        <v>516</v>
      </c>
      <c r="B526" s="90">
        <v>7.9169518865339414</v>
      </c>
    </row>
    <row r="527" spans="1:2">
      <c r="A527" s="32">
        <v>517</v>
      </c>
      <c r="B527" s="90">
        <v>8.6833627288330728</v>
      </c>
    </row>
    <row r="528" spans="1:2">
      <c r="A528" s="32">
        <v>518</v>
      </c>
      <c r="B528" s="90">
        <v>8.311002941718419</v>
      </c>
    </row>
    <row r="529" spans="1:2">
      <c r="A529" s="32">
        <v>519</v>
      </c>
      <c r="B529" s="90">
        <v>8.464972262832644</v>
      </c>
    </row>
    <row r="530" spans="1:2">
      <c r="A530" s="32">
        <v>520</v>
      </c>
      <c r="B530" s="90">
        <v>8.2497248274897821</v>
      </c>
    </row>
    <row r="531" spans="1:2">
      <c r="A531" s="32">
        <v>521</v>
      </c>
      <c r="B531" s="90">
        <v>8.7101095145624079</v>
      </c>
    </row>
    <row r="532" spans="1:2">
      <c r="A532" s="32">
        <v>522</v>
      </c>
      <c r="B532" s="90">
        <v>7.994819346617053</v>
      </c>
    </row>
    <row r="533" spans="1:2">
      <c r="A533" s="32">
        <v>523</v>
      </c>
      <c r="B533" s="90">
        <v>8.5088826007318428</v>
      </c>
    </row>
    <row r="534" spans="1:2">
      <c r="A534" s="32">
        <v>524</v>
      </c>
      <c r="B534" s="90">
        <v>9.1662730656286371</v>
      </c>
    </row>
    <row r="535" spans="1:2">
      <c r="A535" s="32">
        <v>525</v>
      </c>
      <c r="B535" s="90">
        <v>7.6275568332929211</v>
      </c>
    </row>
    <row r="536" spans="1:2">
      <c r="A536" s="32">
        <v>526</v>
      </c>
      <c r="B536" s="90">
        <v>8.100668499445483</v>
      </c>
    </row>
    <row r="537" spans="1:2">
      <c r="A537" s="32">
        <v>527</v>
      </c>
      <c r="B537" s="90">
        <v>8.7104881956891962</v>
      </c>
    </row>
    <row r="538" spans="1:2">
      <c r="A538" s="32">
        <v>528</v>
      </c>
      <c r="B538" s="90">
        <v>8.5392938512929231</v>
      </c>
    </row>
    <row r="539" spans="1:2">
      <c r="A539" s="32">
        <v>529</v>
      </c>
      <c r="B539" s="90">
        <v>8.1428206732471669</v>
      </c>
    </row>
    <row r="540" spans="1:2">
      <c r="A540" s="32">
        <v>530</v>
      </c>
      <c r="B540" s="90">
        <v>8.8018951826942597</v>
      </c>
    </row>
    <row r="541" spans="1:2">
      <c r="A541" s="32">
        <v>531</v>
      </c>
      <c r="B541" s="90">
        <v>8.3256648304794965</v>
      </c>
    </row>
    <row r="542" spans="1:2">
      <c r="A542" s="32">
        <v>532</v>
      </c>
      <c r="B542" s="90">
        <v>8.0518878751637128</v>
      </c>
    </row>
    <row r="543" spans="1:2">
      <c r="A543" s="32">
        <v>533</v>
      </c>
      <c r="B543" s="90">
        <v>8.3180584118416387</v>
      </c>
    </row>
    <row r="544" spans="1:2">
      <c r="A544" s="32">
        <v>534</v>
      </c>
      <c r="B544" s="90">
        <v>9.0218346401555394</v>
      </c>
    </row>
    <row r="545" spans="1:2">
      <c r="A545" s="32">
        <v>535</v>
      </c>
      <c r="B545" s="90">
        <v>7.7710695348099312</v>
      </c>
    </row>
    <row r="546" spans="1:2">
      <c r="A546" s="32">
        <v>536</v>
      </c>
      <c r="B546" s="90">
        <v>8.9056956324376664</v>
      </c>
    </row>
    <row r="547" spans="1:2">
      <c r="A547" s="32">
        <v>537</v>
      </c>
      <c r="B547" s="90">
        <v>7.8584613796178129</v>
      </c>
    </row>
    <row r="548" spans="1:2">
      <c r="A548" s="32">
        <v>538</v>
      </c>
      <c r="B548" s="90">
        <v>8.8266799005356962</v>
      </c>
    </row>
    <row r="549" spans="1:2">
      <c r="A549" s="32">
        <v>539</v>
      </c>
      <c r="B549" s="90">
        <v>7.7063490839353079</v>
      </c>
    </row>
    <row r="550" spans="1:2">
      <c r="A550" s="32">
        <v>540</v>
      </c>
      <c r="B550" s="90">
        <v>8.8117825956338613</v>
      </c>
    </row>
    <row r="551" spans="1:2">
      <c r="A551" s="32">
        <v>541</v>
      </c>
      <c r="B551" s="90">
        <v>8.2064429331832365</v>
      </c>
    </row>
    <row r="552" spans="1:2">
      <c r="A552" s="32">
        <v>542</v>
      </c>
      <c r="B552" s="90">
        <v>8.5219134271577435</v>
      </c>
    </row>
    <row r="553" spans="1:2">
      <c r="A553" s="32">
        <v>543</v>
      </c>
      <c r="B553" s="90">
        <v>8.3801921878973005</v>
      </c>
    </row>
    <row r="554" spans="1:2">
      <c r="A554" s="32">
        <v>544</v>
      </c>
      <c r="B554" s="90">
        <v>8.3692143173693179</v>
      </c>
    </row>
    <row r="555" spans="1:2">
      <c r="A555" s="32">
        <v>545</v>
      </c>
      <c r="B555" s="90">
        <v>8.0066793544822161</v>
      </c>
    </row>
    <row r="556" spans="1:2">
      <c r="A556" s="32">
        <v>546</v>
      </c>
      <c r="B556" s="90">
        <v>8.7584356096944749</v>
      </c>
    </row>
    <row r="557" spans="1:2">
      <c r="A557" s="32">
        <v>547</v>
      </c>
      <c r="B557" s="90">
        <v>8.1141554808458114</v>
      </c>
    </row>
    <row r="558" spans="1:2">
      <c r="A558" s="32">
        <v>548</v>
      </c>
      <c r="B558" s="90">
        <v>8.722237123584522</v>
      </c>
    </row>
    <row r="559" spans="1:2">
      <c r="A559" s="32">
        <v>549</v>
      </c>
      <c r="B559" s="90">
        <v>8.3513254350578539</v>
      </c>
    </row>
    <row r="560" spans="1:2">
      <c r="A560" s="32">
        <v>550</v>
      </c>
      <c r="B560" s="90">
        <v>8.4284395328258235</v>
      </c>
    </row>
    <row r="561" spans="1:2">
      <c r="A561" s="32">
        <v>551</v>
      </c>
      <c r="B561" s="90">
        <v>7.8600393368784305</v>
      </c>
    </row>
    <row r="562" spans="1:2">
      <c r="A562" s="32">
        <v>552</v>
      </c>
      <c r="B562" s="90">
        <v>8.7356391234408548</v>
      </c>
    </row>
    <row r="563" spans="1:2">
      <c r="A563" s="32">
        <v>553</v>
      </c>
      <c r="B563" s="90">
        <v>8.6102481045505641</v>
      </c>
    </row>
    <row r="564" spans="1:2">
      <c r="A564" s="32">
        <v>554</v>
      </c>
      <c r="B564" s="90">
        <v>8.2379033651270976</v>
      </c>
    </row>
    <row r="565" spans="1:2">
      <c r="A565" s="32">
        <v>555</v>
      </c>
      <c r="B565" s="90">
        <v>6.9663437468108773</v>
      </c>
    </row>
    <row r="566" spans="1:2">
      <c r="A566" s="32">
        <v>556</v>
      </c>
      <c r="B566" s="90">
        <v>8.6858302643720648</v>
      </c>
    </row>
    <row r="567" spans="1:2">
      <c r="A567" s="32">
        <v>557</v>
      </c>
      <c r="B567" s="90">
        <v>8.904254086237458</v>
      </c>
    </row>
    <row r="568" spans="1:2">
      <c r="A568" s="32">
        <v>558</v>
      </c>
      <c r="B568" s="90">
        <v>8.3111043991691052</v>
      </c>
    </row>
    <row r="569" spans="1:2">
      <c r="A569" s="32">
        <v>559</v>
      </c>
      <c r="B569" s="90">
        <v>8.8679702050819866</v>
      </c>
    </row>
    <row r="570" spans="1:2">
      <c r="A570" s="32">
        <v>560</v>
      </c>
      <c r="B570" s="90">
        <v>7.5791108334705166</v>
      </c>
    </row>
    <row r="571" spans="1:2">
      <c r="A571" s="32">
        <v>561</v>
      </c>
      <c r="B571" s="90">
        <v>7.9475794315493378</v>
      </c>
    </row>
    <row r="572" spans="1:2">
      <c r="A572" s="32">
        <v>562</v>
      </c>
      <c r="B572" s="90">
        <v>8.0979123286271797</v>
      </c>
    </row>
    <row r="573" spans="1:2">
      <c r="A573" s="32">
        <v>563</v>
      </c>
      <c r="B573" s="90">
        <v>9.018078697192383</v>
      </c>
    </row>
    <row r="574" spans="1:2">
      <c r="A574" s="32">
        <v>564</v>
      </c>
      <c r="B574" s="90">
        <v>8.4453452739903589</v>
      </c>
    </row>
    <row r="575" spans="1:2">
      <c r="A575" s="32">
        <v>565</v>
      </c>
      <c r="B575" s="90">
        <v>8.6378202438574974</v>
      </c>
    </row>
    <row r="576" spans="1:2">
      <c r="A576" s="32">
        <v>566</v>
      </c>
      <c r="B576" s="90">
        <v>7.775686139923808</v>
      </c>
    </row>
    <row r="577" spans="1:2">
      <c r="A577" s="32">
        <v>567</v>
      </c>
      <c r="B577" s="90">
        <v>8.1730194427820138</v>
      </c>
    </row>
    <row r="578" spans="1:2">
      <c r="A578" s="32">
        <v>568</v>
      </c>
      <c r="B578" s="90">
        <v>7.8555062170568988</v>
      </c>
    </row>
    <row r="579" spans="1:2">
      <c r="A579" s="32">
        <v>569</v>
      </c>
      <c r="B579" s="90">
        <v>8.6703199721137736</v>
      </c>
    </row>
    <row r="580" spans="1:2">
      <c r="A580" s="32">
        <v>570</v>
      </c>
      <c r="B580" s="90">
        <v>8.7221074114815451</v>
      </c>
    </row>
    <row r="581" spans="1:2">
      <c r="A581" s="32">
        <v>571</v>
      </c>
      <c r="B581" s="90">
        <v>8.4558567403203515</v>
      </c>
    </row>
    <row r="582" spans="1:2">
      <c r="A582" s="32">
        <v>572</v>
      </c>
      <c r="B582" s="90">
        <v>7.796897650036648</v>
      </c>
    </row>
    <row r="583" spans="1:2">
      <c r="A583" s="32">
        <v>573</v>
      </c>
      <c r="B583" s="90">
        <v>8.0798218953379024</v>
      </c>
    </row>
    <row r="584" spans="1:2">
      <c r="A584" s="32">
        <v>574</v>
      </c>
      <c r="B584" s="90">
        <v>8.4403072802073869</v>
      </c>
    </row>
    <row r="585" spans="1:2">
      <c r="A585" s="32">
        <v>575</v>
      </c>
      <c r="B585" s="90">
        <v>8.5008693405907199</v>
      </c>
    </row>
    <row r="586" spans="1:2">
      <c r="A586" s="32">
        <v>576</v>
      </c>
      <c r="B586" s="90">
        <v>9.1011801044192229</v>
      </c>
    </row>
    <row r="587" spans="1:2">
      <c r="A587" s="32">
        <v>577</v>
      </c>
      <c r="B587" s="90">
        <v>7.7793171038865188</v>
      </c>
    </row>
    <row r="588" spans="1:2">
      <c r="A588" s="32">
        <v>578</v>
      </c>
      <c r="B588" s="90">
        <v>7.7642472132298188</v>
      </c>
    </row>
    <row r="589" spans="1:2">
      <c r="A589" s="32">
        <v>579</v>
      </c>
      <c r="B589" s="90">
        <v>8.1651575234735212</v>
      </c>
    </row>
    <row r="590" spans="1:2">
      <c r="A590" s="32">
        <v>580</v>
      </c>
      <c r="B590" s="90">
        <v>8.6091119147775821</v>
      </c>
    </row>
    <row r="591" spans="1:2">
      <c r="A591" s="32">
        <v>581</v>
      </c>
      <c r="B591" s="90">
        <v>8.9024188035325498</v>
      </c>
    </row>
    <row r="592" spans="1:2">
      <c r="A592" s="32">
        <v>582</v>
      </c>
      <c r="B592" s="90">
        <v>8.5841411504615106</v>
      </c>
    </row>
    <row r="593" spans="1:2">
      <c r="A593" s="32">
        <v>583</v>
      </c>
      <c r="B593" s="90">
        <v>8.1471135580440013</v>
      </c>
    </row>
    <row r="594" spans="1:2">
      <c r="A594" s="32">
        <v>584</v>
      </c>
      <c r="B594" s="90">
        <v>7.1181491161055908</v>
      </c>
    </row>
    <row r="595" spans="1:2">
      <c r="A595" s="32">
        <v>585</v>
      </c>
      <c r="B595" s="90">
        <v>8.7131143110821778</v>
      </c>
    </row>
    <row r="596" spans="1:2">
      <c r="A596" s="32">
        <v>586</v>
      </c>
      <c r="B596" s="90">
        <v>8.656809221717582</v>
      </c>
    </row>
    <row r="597" spans="1:2">
      <c r="A597" s="32">
        <v>587</v>
      </c>
      <c r="B597" s="90">
        <v>8.3649848912771052</v>
      </c>
    </row>
    <row r="598" spans="1:2">
      <c r="A598" s="32">
        <v>588</v>
      </c>
      <c r="B598" s="90">
        <v>8.8189184249968484</v>
      </c>
    </row>
    <row r="599" spans="1:2">
      <c r="A599" s="32">
        <v>589</v>
      </c>
      <c r="B599" s="90">
        <v>8.0850988035336631</v>
      </c>
    </row>
    <row r="600" spans="1:2">
      <c r="A600" s="32">
        <v>590</v>
      </c>
      <c r="B600" s="90">
        <v>7.4284328505367743</v>
      </c>
    </row>
    <row r="601" spans="1:2">
      <c r="A601" s="32">
        <v>591</v>
      </c>
      <c r="B601" s="90">
        <v>8.0230045545951594</v>
      </c>
    </row>
    <row r="602" spans="1:2">
      <c r="A602" s="32">
        <v>592</v>
      </c>
      <c r="B602" s="90">
        <v>9.2457222232124803</v>
      </c>
    </row>
    <row r="603" spans="1:2">
      <c r="A603" s="32">
        <v>593</v>
      </c>
      <c r="B603" s="90">
        <v>8.2476821941453355</v>
      </c>
    </row>
    <row r="604" spans="1:2">
      <c r="A604" s="32">
        <v>594</v>
      </c>
      <c r="B604" s="90">
        <v>8.6554634415793412</v>
      </c>
    </row>
    <row r="605" spans="1:2">
      <c r="A605" s="32">
        <v>595</v>
      </c>
      <c r="B605" s="90">
        <v>7.7239770010276754</v>
      </c>
    </row>
    <row r="606" spans="1:2">
      <c r="A606" s="32">
        <v>596</v>
      </c>
      <c r="B606" s="90">
        <v>8.2287208684798454</v>
      </c>
    </row>
    <row r="607" spans="1:2">
      <c r="A607" s="32">
        <v>597</v>
      </c>
      <c r="B607" s="90">
        <v>7.9620938833720745</v>
      </c>
    </row>
    <row r="608" spans="1:2">
      <c r="A608" s="32">
        <v>598</v>
      </c>
      <c r="B608" s="90">
        <v>9.0035446530473191</v>
      </c>
    </row>
    <row r="609" spans="1:2">
      <c r="A609" s="32">
        <v>599</v>
      </c>
      <c r="B609" s="90">
        <v>8.8060568672842674</v>
      </c>
    </row>
    <row r="610" spans="1:2">
      <c r="A610" s="32">
        <v>600</v>
      </c>
      <c r="B610" s="90">
        <v>8.2520418903240138</v>
      </c>
    </row>
    <row r="611" spans="1:2">
      <c r="A611" s="32">
        <v>601</v>
      </c>
      <c r="B611" s="90">
        <v>7.7024275237007176</v>
      </c>
    </row>
    <row r="612" spans="1:2">
      <c r="A612" s="32">
        <v>602</v>
      </c>
      <c r="B612" s="90">
        <v>8.2317061404800871</v>
      </c>
    </row>
    <row r="613" spans="1:2">
      <c r="A613" s="32">
        <v>603</v>
      </c>
      <c r="B613" s="90">
        <v>8.0682879016487163</v>
      </c>
    </row>
    <row r="614" spans="1:2">
      <c r="A614" s="32">
        <v>604</v>
      </c>
      <c r="B614" s="90">
        <v>8.4726318762118513</v>
      </c>
    </row>
    <row r="615" spans="1:2">
      <c r="A615" s="32">
        <v>605</v>
      </c>
      <c r="B615" s="90">
        <v>9.2520942213985187</v>
      </c>
    </row>
    <row r="616" spans="1:2">
      <c r="A616" s="32">
        <v>606</v>
      </c>
      <c r="B616" s="90">
        <v>7.8948365769732023</v>
      </c>
    </row>
    <row r="617" spans="1:2">
      <c r="A617" s="32">
        <v>607</v>
      </c>
      <c r="B617" s="90">
        <v>7.705774838215194</v>
      </c>
    </row>
    <row r="618" spans="1:2">
      <c r="A618" s="32">
        <v>608</v>
      </c>
      <c r="B618" s="90">
        <v>8.3413159855733969</v>
      </c>
    </row>
    <row r="619" spans="1:2">
      <c r="A619" s="32">
        <v>609</v>
      </c>
      <c r="B619" s="90">
        <v>8.5109833582289234</v>
      </c>
    </row>
    <row r="620" spans="1:2">
      <c r="A620" s="32">
        <v>610</v>
      </c>
      <c r="B620" s="90">
        <v>8.5100089918878403</v>
      </c>
    </row>
    <row r="621" spans="1:2">
      <c r="A621" s="32">
        <v>611</v>
      </c>
      <c r="B621" s="90">
        <v>8.9579629334765354</v>
      </c>
    </row>
    <row r="622" spans="1:2">
      <c r="A622" s="32">
        <v>612</v>
      </c>
      <c r="B622" s="90">
        <v>8.1969949376039093</v>
      </c>
    </row>
    <row r="623" spans="1:2">
      <c r="A623" s="32">
        <v>613</v>
      </c>
      <c r="B623" s="90">
        <v>7.3930974086539596</v>
      </c>
    </row>
    <row r="624" spans="1:2">
      <c r="A624" s="32">
        <v>614</v>
      </c>
      <c r="B624" s="90">
        <v>8.221292297234891</v>
      </c>
    </row>
    <row r="625" spans="1:2">
      <c r="A625" s="32">
        <v>615</v>
      </c>
      <c r="B625" s="90">
        <v>8.8201369707967956</v>
      </c>
    </row>
    <row r="626" spans="1:2">
      <c r="A626" s="32">
        <v>616</v>
      </c>
      <c r="B626" s="90">
        <v>8.5537446385399942</v>
      </c>
    </row>
    <row r="627" spans="1:2">
      <c r="A627" s="32">
        <v>617</v>
      </c>
      <c r="B627" s="90">
        <v>8.6102481045505641</v>
      </c>
    </row>
    <row r="628" spans="1:2">
      <c r="A628" s="32">
        <v>618</v>
      </c>
      <c r="B628" s="90">
        <v>8.2379033651270976</v>
      </c>
    </row>
    <row r="629" spans="1:2">
      <c r="A629" s="32">
        <v>619</v>
      </c>
      <c r="B629" s="90">
        <v>6.9663437468108773</v>
      </c>
    </row>
    <row r="630" spans="1:2">
      <c r="A630" s="32">
        <v>620</v>
      </c>
      <c r="B630" s="90">
        <v>8.6858302643720648</v>
      </c>
    </row>
    <row r="631" spans="1:2">
      <c r="A631" s="32">
        <v>621</v>
      </c>
      <c r="B631" s="90">
        <v>8.904254086237458</v>
      </c>
    </row>
    <row r="632" spans="1:2">
      <c r="A632" s="32">
        <v>622</v>
      </c>
      <c r="B632" s="90">
        <v>8.3111043991691052</v>
      </c>
    </row>
    <row r="633" spans="1:2">
      <c r="A633" s="32">
        <v>623</v>
      </c>
      <c r="B633" s="90">
        <v>8.8679702050819866</v>
      </c>
    </row>
    <row r="634" spans="1:2">
      <c r="A634" s="32">
        <v>624</v>
      </c>
      <c r="B634" s="90">
        <v>7.5791108334705166</v>
      </c>
    </row>
    <row r="635" spans="1:2">
      <c r="A635" s="32">
        <v>625</v>
      </c>
      <c r="B635" s="90">
        <v>7.9475794315493378</v>
      </c>
    </row>
    <row r="636" spans="1:2">
      <c r="A636" s="32">
        <v>626</v>
      </c>
      <c r="B636" s="90">
        <v>8.0979123286271797</v>
      </c>
    </row>
    <row r="637" spans="1:2">
      <c r="A637" s="32">
        <v>627</v>
      </c>
      <c r="B637" s="90">
        <v>9.018078697192383</v>
      </c>
    </row>
    <row r="638" spans="1:2">
      <c r="A638" s="32">
        <v>628</v>
      </c>
      <c r="B638" s="90">
        <v>8.4453452739903589</v>
      </c>
    </row>
    <row r="639" spans="1:2">
      <c r="A639" s="32">
        <v>629</v>
      </c>
      <c r="B639" s="90">
        <v>8.6378202438574974</v>
      </c>
    </row>
    <row r="640" spans="1:2">
      <c r="A640" s="32">
        <v>630</v>
      </c>
      <c r="B640" s="90">
        <v>7.775686139923808</v>
      </c>
    </row>
    <row r="641" spans="1:2">
      <c r="A641" s="32">
        <v>631</v>
      </c>
      <c r="B641" s="90">
        <v>8.1730194427820138</v>
      </c>
    </row>
    <row r="642" spans="1:2">
      <c r="A642" s="32">
        <v>632</v>
      </c>
      <c r="B642" s="90">
        <v>7.8555062170568988</v>
      </c>
    </row>
    <row r="643" spans="1:2">
      <c r="A643" s="32">
        <v>633</v>
      </c>
      <c r="B643" s="90">
        <v>8.6703199721137736</v>
      </c>
    </row>
    <row r="644" spans="1:2">
      <c r="A644" s="32">
        <v>634</v>
      </c>
      <c r="B644" s="90">
        <v>8.7221074114815451</v>
      </c>
    </row>
    <row r="645" spans="1:2">
      <c r="A645" s="32">
        <v>635</v>
      </c>
      <c r="B645" s="90">
        <v>8.4558567403203515</v>
      </c>
    </row>
    <row r="646" spans="1:2">
      <c r="A646" s="32">
        <v>636</v>
      </c>
      <c r="B646" s="90">
        <v>7.796897650036648</v>
      </c>
    </row>
    <row r="647" spans="1:2">
      <c r="A647" s="32">
        <v>637</v>
      </c>
      <c r="B647" s="90">
        <v>8.0798218953379024</v>
      </c>
    </row>
    <row r="648" spans="1:2">
      <c r="A648" s="32">
        <v>638</v>
      </c>
      <c r="B648" s="90">
        <v>8.4403072802073869</v>
      </c>
    </row>
    <row r="649" spans="1:2">
      <c r="A649" s="32">
        <v>639</v>
      </c>
      <c r="B649" s="90">
        <v>8.5008693405907199</v>
      </c>
    </row>
    <row r="650" spans="1:2">
      <c r="A650" s="32">
        <v>640</v>
      </c>
      <c r="B650" s="90">
        <v>9.1011801044192229</v>
      </c>
    </row>
    <row r="651" spans="1:2">
      <c r="A651" s="32">
        <v>641</v>
      </c>
      <c r="B651" s="90">
        <v>7.7793171038865188</v>
      </c>
    </row>
    <row r="652" spans="1:2">
      <c r="A652" s="32">
        <v>642</v>
      </c>
      <c r="B652" s="90">
        <v>7.7642472132298188</v>
      </c>
    </row>
    <row r="653" spans="1:2">
      <c r="A653" s="32">
        <v>643</v>
      </c>
      <c r="B653" s="90">
        <v>8.1651575234735212</v>
      </c>
    </row>
    <row r="654" spans="1:2">
      <c r="A654" s="32">
        <v>644</v>
      </c>
      <c r="B654" s="90">
        <v>8.6091119147775821</v>
      </c>
    </row>
    <row r="655" spans="1:2">
      <c r="A655" s="32">
        <v>645</v>
      </c>
      <c r="B655" s="90">
        <v>8.9024188035325498</v>
      </c>
    </row>
    <row r="656" spans="1:2">
      <c r="A656" s="32">
        <v>646</v>
      </c>
      <c r="B656" s="90">
        <v>8.5841411504615106</v>
      </c>
    </row>
    <row r="657" spans="1:2">
      <c r="A657" s="32">
        <v>647</v>
      </c>
      <c r="B657" s="90">
        <v>8.1471135580440013</v>
      </c>
    </row>
    <row r="658" spans="1:2">
      <c r="A658" s="32">
        <v>648</v>
      </c>
      <c r="B658" s="90">
        <v>7.1181491161055908</v>
      </c>
    </row>
    <row r="659" spans="1:2">
      <c r="A659" s="32">
        <v>649</v>
      </c>
      <c r="B659" s="90">
        <v>8.7131143110821778</v>
      </c>
    </row>
    <row r="660" spans="1:2">
      <c r="A660" s="32">
        <v>650</v>
      </c>
      <c r="B660" s="90">
        <v>8.656809221717582</v>
      </c>
    </row>
    <row r="661" spans="1:2">
      <c r="A661" s="32">
        <v>651</v>
      </c>
      <c r="B661" s="90">
        <v>8.3649848912771052</v>
      </c>
    </row>
    <row r="662" spans="1:2">
      <c r="A662" s="32">
        <v>652</v>
      </c>
      <c r="B662" s="90">
        <v>8.8189184249968484</v>
      </c>
    </row>
    <row r="663" spans="1:2">
      <c r="A663" s="32">
        <v>653</v>
      </c>
      <c r="B663" s="90">
        <v>8.0850988035336631</v>
      </c>
    </row>
    <row r="664" spans="1:2">
      <c r="A664" s="32">
        <v>654</v>
      </c>
      <c r="B664" s="90">
        <v>7.4284328505367743</v>
      </c>
    </row>
    <row r="665" spans="1:2">
      <c r="A665" s="32">
        <v>655</v>
      </c>
      <c r="B665" s="90">
        <v>8.0230045545951594</v>
      </c>
    </row>
    <row r="666" spans="1:2">
      <c r="A666" s="32">
        <v>656</v>
      </c>
      <c r="B666" s="90">
        <v>9.2457222232124803</v>
      </c>
    </row>
    <row r="667" spans="1:2">
      <c r="A667" s="32">
        <v>657</v>
      </c>
      <c r="B667" s="90">
        <v>8.2476821941453355</v>
      </c>
    </row>
    <row r="668" spans="1:2">
      <c r="A668" s="32">
        <v>658</v>
      </c>
      <c r="B668" s="90">
        <v>8.6554634415793412</v>
      </c>
    </row>
    <row r="669" spans="1:2">
      <c r="A669" s="32">
        <v>659</v>
      </c>
      <c r="B669" s="90">
        <v>7.7239770010276754</v>
      </c>
    </row>
    <row r="670" spans="1:2">
      <c r="A670" s="32">
        <v>660</v>
      </c>
      <c r="B670" s="90">
        <v>8.2287208684798454</v>
      </c>
    </row>
    <row r="671" spans="1:2">
      <c r="A671" s="32">
        <v>661</v>
      </c>
      <c r="B671" s="90">
        <v>7.9620938833720745</v>
      </c>
    </row>
    <row r="672" spans="1:2">
      <c r="A672" s="32">
        <v>662</v>
      </c>
      <c r="B672" s="90">
        <v>9.0035446530473191</v>
      </c>
    </row>
    <row r="673" spans="1:2">
      <c r="A673" s="32">
        <v>663</v>
      </c>
      <c r="B673" s="90">
        <v>8.8060568672842674</v>
      </c>
    </row>
    <row r="674" spans="1:2">
      <c r="A674" s="32">
        <v>664</v>
      </c>
      <c r="B674" s="90">
        <v>8.2520418903240138</v>
      </c>
    </row>
    <row r="675" spans="1:2">
      <c r="A675" s="32">
        <v>665</v>
      </c>
      <c r="B675" s="90">
        <v>7.7024275237007176</v>
      </c>
    </row>
    <row r="676" spans="1:2">
      <c r="A676" s="32">
        <v>666</v>
      </c>
      <c r="B676" s="90">
        <v>8.2317061404800871</v>
      </c>
    </row>
    <row r="677" spans="1:2">
      <c r="A677" s="32">
        <v>667</v>
      </c>
      <c r="B677" s="90">
        <v>8.0682879016487163</v>
      </c>
    </row>
    <row r="678" spans="1:2">
      <c r="A678" s="32">
        <v>668</v>
      </c>
      <c r="B678" s="90">
        <v>8.4726318762118513</v>
      </c>
    </row>
    <row r="679" spans="1:2">
      <c r="A679" s="32">
        <v>669</v>
      </c>
      <c r="B679" s="90">
        <v>9.2520942213985187</v>
      </c>
    </row>
    <row r="680" spans="1:2">
      <c r="A680" s="32">
        <v>670</v>
      </c>
      <c r="B680" s="90">
        <v>7.8948365769732023</v>
      </c>
    </row>
    <row r="681" spans="1:2">
      <c r="A681" s="32">
        <v>671</v>
      </c>
      <c r="B681" s="90">
        <v>7.9323198558579335</v>
      </c>
    </row>
    <row r="682" spans="1:2">
      <c r="A682" s="32">
        <v>672</v>
      </c>
      <c r="B682" s="90">
        <v>8.3890317085918813</v>
      </c>
    </row>
    <row r="683" spans="1:2">
      <c r="A683" s="32">
        <v>673</v>
      </c>
      <c r="B683" s="90">
        <v>8.7141114582966246</v>
      </c>
    </row>
    <row r="684" spans="1:2">
      <c r="A684" s="32">
        <v>674</v>
      </c>
      <c r="B684" s="90">
        <v>9.5738739949098814</v>
      </c>
    </row>
    <row r="685" spans="1:2">
      <c r="A685" s="32">
        <v>675</v>
      </c>
      <c r="B685" s="90">
        <v>7.893784582600599</v>
      </c>
    </row>
    <row r="686" spans="1:2">
      <c r="A686" s="32">
        <v>676</v>
      </c>
      <c r="B686" s="90">
        <v>7.7285075677984656</v>
      </c>
    </row>
    <row r="687" spans="1:2">
      <c r="A687" s="32">
        <v>677</v>
      </c>
      <c r="B687" s="90">
        <v>7.9102730413317062</v>
      </c>
    </row>
    <row r="688" spans="1:2">
      <c r="A688" s="32">
        <v>678</v>
      </c>
      <c r="B688" s="90">
        <v>8.2762491827320339</v>
      </c>
    </row>
    <row r="689" spans="1:2">
      <c r="A689" s="32">
        <v>679</v>
      </c>
      <c r="B689" s="90">
        <v>8.6877191757341432</v>
      </c>
    </row>
    <row r="690" spans="1:2">
      <c r="A690" s="32">
        <v>680</v>
      </c>
      <c r="B690" s="90">
        <v>8.9460915585050955</v>
      </c>
    </row>
    <row r="691" spans="1:2">
      <c r="A691" s="32">
        <v>681</v>
      </c>
      <c r="B691" s="90">
        <v>8.1368603653179132</v>
      </c>
    </row>
    <row r="692" spans="1:2">
      <c r="A692" s="32">
        <v>682</v>
      </c>
      <c r="B692" s="90">
        <v>7.8573102532477233</v>
      </c>
    </row>
    <row r="693" spans="1:2">
      <c r="A693" s="32">
        <v>683</v>
      </c>
      <c r="B693" s="90">
        <v>7.7611391762986557</v>
      </c>
    </row>
    <row r="694" spans="1:2">
      <c r="A694" s="32">
        <v>684</v>
      </c>
      <c r="B694" s="90">
        <v>8.3841559033747011</v>
      </c>
    </row>
    <row r="695" spans="1:2">
      <c r="A695" s="32">
        <v>685</v>
      </c>
      <c r="B695" s="90">
        <v>9.8384513229203066</v>
      </c>
    </row>
    <row r="696" spans="1:2">
      <c r="A696" s="32">
        <v>686</v>
      </c>
      <c r="B696" s="90">
        <v>7.772629102653954</v>
      </c>
    </row>
    <row r="697" spans="1:2">
      <c r="A697" s="32">
        <v>687</v>
      </c>
      <c r="B697" s="90">
        <v>8.2341460887544287</v>
      </c>
    </row>
    <row r="698" spans="1:2">
      <c r="A698" s="32">
        <v>688</v>
      </c>
      <c r="B698" s="90">
        <v>7.8732071616202735</v>
      </c>
    </row>
    <row r="699" spans="1:2">
      <c r="A699" s="32">
        <v>689</v>
      </c>
      <c r="B699" s="90">
        <v>7.344233214292033</v>
      </c>
    </row>
    <row r="700" spans="1:2">
      <c r="A700" s="32">
        <v>690</v>
      </c>
      <c r="B700" s="90">
        <v>8.6646596634837554</v>
      </c>
    </row>
    <row r="701" spans="1:2">
      <c r="A701" s="32">
        <v>691</v>
      </c>
      <c r="B701" s="90">
        <v>10.304155883950413</v>
      </c>
    </row>
    <row r="702" spans="1:2">
      <c r="A702" s="32">
        <v>692</v>
      </c>
      <c r="B702" s="90">
        <v>7.7430503149779293</v>
      </c>
    </row>
    <row r="703" spans="1:2">
      <c r="A703" s="32">
        <v>693</v>
      </c>
      <c r="B703" s="90">
        <v>8.237283188188977</v>
      </c>
    </row>
    <row r="704" spans="1:2">
      <c r="A704" s="32">
        <v>694</v>
      </c>
      <c r="B704" s="90">
        <v>7.6679550999637023</v>
      </c>
    </row>
    <row r="705" spans="1:2">
      <c r="A705" s="32">
        <v>695</v>
      </c>
      <c r="B705" s="90">
        <v>7.7904346926398809</v>
      </c>
    </row>
    <row r="706" spans="1:2">
      <c r="A706" s="32">
        <v>696</v>
      </c>
      <c r="B706" s="90">
        <v>8.9728092887263564</v>
      </c>
    </row>
    <row r="707" spans="1:2">
      <c r="A707" s="32">
        <v>697</v>
      </c>
      <c r="B707" s="90">
        <v>9.4224700114271407</v>
      </c>
    </row>
    <row r="708" spans="1:2">
      <c r="A708" s="32">
        <v>698</v>
      </c>
      <c r="B708" s="90">
        <v>8.334071008110616</v>
      </c>
    </row>
    <row r="709" spans="1:2">
      <c r="A709" s="32">
        <v>699</v>
      </c>
      <c r="B709" s="90">
        <v>7.744649969157047</v>
      </c>
    </row>
    <row r="710" spans="1:2">
      <c r="A710" s="32">
        <v>700</v>
      </c>
      <c r="B710" s="90">
        <v>7.6419369020043959</v>
      </c>
    </row>
    <row r="711" spans="1:2">
      <c r="A711" s="32">
        <v>701</v>
      </c>
      <c r="B711" s="90">
        <v>8.1834398965579886</v>
      </c>
    </row>
    <row r="712" spans="1:2">
      <c r="A712" s="32">
        <v>702</v>
      </c>
      <c r="B712" s="90">
        <v>8.8806411689685021</v>
      </c>
    </row>
    <row r="713" spans="1:2">
      <c r="A713" s="32">
        <v>703</v>
      </c>
      <c r="B713" s="90">
        <v>9.5147933042408823</v>
      </c>
    </row>
    <row r="714" spans="1:2">
      <c r="A714" s="32">
        <v>704</v>
      </c>
      <c r="B714" s="90">
        <v>7.9460176166236955</v>
      </c>
    </row>
    <row r="715" spans="1:2">
      <c r="A715" s="32">
        <v>705</v>
      </c>
      <c r="B715" s="90">
        <v>7.7610539067534763</v>
      </c>
    </row>
    <row r="716" spans="1:2">
      <c r="A716" s="32">
        <v>706</v>
      </c>
      <c r="B716" s="90">
        <v>7.6605057703317057</v>
      </c>
    </row>
    <row r="717" spans="1:2">
      <c r="A717" s="32">
        <v>707</v>
      </c>
      <c r="B717" s="90">
        <v>8.2432975599336551</v>
      </c>
    </row>
    <row r="718" spans="1:2">
      <c r="A718" s="32">
        <v>708</v>
      </c>
      <c r="B718" s="90">
        <v>8.4925194501858829</v>
      </c>
    </row>
    <row r="719" spans="1:2">
      <c r="A719" s="32">
        <v>709</v>
      </c>
      <c r="B719" s="90">
        <v>9.6025098909601709</v>
      </c>
    </row>
    <row r="720" spans="1:2">
      <c r="A720" s="32">
        <v>710</v>
      </c>
      <c r="B720" s="90">
        <v>8.4311960404575004</v>
      </c>
    </row>
    <row r="721" spans="1:2">
      <c r="A721" s="32">
        <v>711</v>
      </c>
      <c r="B721" s="90">
        <v>7.7111492563431039</v>
      </c>
    </row>
    <row r="722" spans="1:2">
      <c r="A722" s="32">
        <v>712</v>
      </c>
      <c r="B722" s="90">
        <v>7.7632859966195129</v>
      </c>
    </row>
    <row r="723" spans="1:2">
      <c r="A723" s="32">
        <v>713</v>
      </c>
      <c r="B723" s="90">
        <v>8.067966605931101</v>
      </c>
    </row>
    <row r="724" spans="1:2">
      <c r="A724" s="32">
        <v>714</v>
      </c>
      <c r="B724" s="90">
        <v>9.4357263319195024</v>
      </c>
    </row>
    <row r="725" spans="1:2">
      <c r="A725" s="32">
        <v>715</v>
      </c>
      <c r="B725" s="90">
        <v>8.2646501386876228</v>
      </c>
    </row>
    <row r="726" spans="1:2">
      <c r="A726" s="32">
        <v>716</v>
      </c>
      <c r="B726" s="90">
        <v>8.3691666135105596</v>
      </c>
    </row>
    <row r="727" spans="1:2">
      <c r="A727" s="32">
        <v>717</v>
      </c>
      <c r="B727" s="90">
        <v>7.6333088160864841</v>
      </c>
    </row>
    <row r="728" spans="1:2">
      <c r="A728" s="32">
        <v>718</v>
      </c>
      <c r="B728" s="90">
        <v>7.4907044976071324</v>
      </c>
    </row>
    <row r="729" spans="1:2">
      <c r="A729" s="32">
        <v>719</v>
      </c>
      <c r="B729" s="90">
        <v>8.4969574385884972</v>
      </c>
    </row>
    <row r="730" spans="1:2">
      <c r="A730" s="32">
        <v>720</v>
      </c>
      <c r="B730" s="90">
        <v>10.337587181359472</v>
      </c>
    </row>
    <row r="731" spans="1:2">
      <c r="A731" s="32">
        <v>721</v>
      </c>
      <c r="B731" s="90">
        <v>7.8147115984229973</v>
      </c>
    </row>
    <row r="732" spans="1:2">
      <c r="A732" s="32">
        <v>722</v>
      </c>
      <c r="B732" s="90">
        <v>7.9698264423522316</v>
      </c>
    </row>
    <row r="733" spans="1:2">
      <c r="A733" s="32">
        <v>723</v>
      </c>
      <c r="B733" s="90">
        <v>8.0273488826546071</v>
      </c>
    </row>
    <row r="734" spans="1:2">
      <c r="A734" s="32">
        <v>724</v>
      </c>
      <c r="B734" s="90">
        <v>7.4652466415440069</v>
      </c>
    </row>
    <row r="735" spans="1:2">
      <c r="A735" s="32">
        <v>725</v>
      </c>
      <c r="B735" s="90">
        <v>8.4223502146356264</v>
      </c>
    </row>
    <row r="736" spans="1:2">
      <c r="A736" s="32">
        <v>726</v>
      </c>
      <c r="B736" s="90">
        <v>10.557389542843609</v>
      </c>
    </row>
    <row r="737" spans="1:2">
      <c r="A737" s="32">
        <v>727</v>
      </c>
      <c r="B737" s="90">
        <v>7.950553082751167</v>
      </c>
    </row>
    <row r="738" spans="1:2">
      <c r="A738" s="32">
        <v>728</v>
      </c>
      <c r="B738" s="90">
        <v>7.8967794807539651</v>
      </c>
    </row>
    <row r="739" spans="1:2">
      <c r="A739" s="32">
        <v>729</v>
      </c>
      <c r="B739" s="90">
        <v>7.5617910457116304</v>
      </c>
    </row>
    <row r="740" spans="1:2">
      <c r="A740" s="32">
        <v>730</v>
      </c>
      <c r="B740" s="90">
        <v>8.1899438431359428</v>
      </c>
    </row>
    <row r="741" spans="1:2">
      <c r="A741" s="32">
        <v>731</v>
      </c>
      <c r="B741" s="90">
        <v>8.6987040420214967</v>
      </c>
    </row>
    <row r="742" spans="1:2">
      <c r="A742" s="32">
        <v>732</v>
      </c>
      <c r="B742" s="90">
        <v>9.6966900501456799</v>
      </c>
    </row>
    <row r="743" spans="1:2">
      <c r="A743" s="32">
        <v>733</v>
      </c>
      <c r="B743" s="90">
        <v>8.1596018564523103</v>
      </c>
    </row>
    <row r="744" spans="1:2">
      <c r="A744" s="32">
        <v>734</v>
      </c>
      <c r="B744" s="90">
        <v>7.426632451191721</v>
      </c>
    </row>
    <row r="745" spans="1:2">
      <c r="A745" s="32">
        <v>735</v>
      </c>
      <c r="B745" s="90">
        <v>7.8503420098475312</v>
      </c>
    </row>
    <row r="746" spans="1:2">
      <c r="A746" s="32">
        <v>736</v>
      </c>
      <c r="B746" s="90">
        <v>8.3890317085918813</v>
      </c>
    </row>
    <row r="747" spans="1:2">
      <c r="A747" s="32">
        <v>737</v>
      </c>
      <c r="B747" s="90">
        <v>8.7141114582966246</v>
      </c>
    </row>
    <row r="748" spans="1:2">
      <c r="A748" s="32">
        <v>738</v>
      </c>
      <c r="B748" s="90">
        <v>9.5738739949098814</v>
      </c>
    </row>
    <row r="749" spans="1:2">
      <c r="A749" s="32">
        <v>739</v>
      </c>
      <c r="B749" s="90">
        <v>7.893784582600599</v>
      </c>
    </row>
    <row r="750" spans="1:2">
      <c r="A750" s="32">
        <v>740</v>
      </c>
      <c r="B750" s="90">
        <v>7.7285075677984656</v>
      </c>
    </row>
    <row r="751" spans="1:2">
      <c r="A751" s="32">
        <v>741</v>
      </c>
      <c r="B751" s="90">
        <v>7.9102730413317062</v>
      </c>
    </row>
    <row r="752" spans="1:2">
      <c r="A752" s="32">
        <v>742</v>
      </c>
      <c r="B752" s="90">
        <v>8.2762491827320339</v>
      </c>
    </row>
    <row r="753" spans="1:2">
      <c r="A753" s="32">
        <v>743</v>
      </c>
      <c r="B753" s="90">
        <v>8.6877191757341432</v>
      </c>
    </row>
    <row r="754" spans="1:2">
      <c r="A754" s="32">
        <v>744</v>
      </c>
      <c r="B754" s="90">
        <v>8.9460915585050955</v>
      </c>
    </row>
    <row r="755" spans="1:2">
      <c r="A755" s="32">
        <v>745</v>
      </c>
      <c r="B755" s="90">
        <v>8.1368603653179132</v>
      </c>
    </row>
    <row r="756" spans="1:2">
      <c r="A756" s="32">
        <v>746</v>
      </c>
      <c r="B756" s="90">
        <v>7.8573102532477233</v>
      </c>
    </row>
    <row r="757" spans="1:2">
      <c r="A757" s="32">
        <v>747</v>
      </c>
      <c r="B757" s="90">
        <v>7.7611391762986557</v>
      </c>
    </row>
    <row r="758" spans="1:2">
      <c r="A758" s="32">
        <v>748</v>
      </c>
      <c r="B758" s="90">
        <v>8.3841559033747011</v>
      </c>
    </row>
    <row r="759" spans="1:2">
      <c r="A759" s="32">
        <v>749</v>
      </c>
      <c r="B759" s="90">
        <v>8.6719289810584286</v>
      </c>
    </row>
    <row r="760" spans="1:2">
      <c r="A760" s="32">
        <v>750</v>
      </c>
      <c r="B760" s="90">
        <v>7.2686381875498345</v>
      </c>
    </row>
    <row r="761" spans="1:2">
      <c r="A761" s="32">
        <v>751</v>
      </c>
      <c r="B761" s="90">
        <v>8.5263218642738607</v>
      </c>
    </row>
    <row r="762" spans="1:2">
      <c r="A762" s="32">
        <v>752</v>
      </c>
      <c r="B762" s="90">
        <v>7.6264269654818477</v>
      </c>
    </row>
    <row r="763" spans="1:2">
      <c r="A763" s="32">
        <v>753</v>
      </c>
      <c r="B763" s="90">
        <v>8.587756343498258</v>
      </c>
    </row>
    <row r="764" spans="1:2">
      <c r="A764" s="32">
        <v>754</v>
      </c>
      <c r="B764" s="90">
        <v>8.0510036316952327</v>
      </c>
    </row>
    <row r="765" spans="1:2">
      <c r="A765" s="32">
        <v>755</v>
      </c>
      <c r="B765" s="90">
        <v>8.7550242040797759</v>
      </c>
    </row>
    <row r="766" spans="1:2">
      <c r="A766" s="32">
        <v>756</v>
      </c>
      <c r="B766" s="90">
        <v>7.3910801747740686</v>
      </c>
    </row>
    <row r="767" spans="1:2">
      <c r="A767" s="32">
        <v>757</v>
      </c>
      <c r="B767" s="90">
        <v>8.5352483861364732</v>
      </c>
    </row>
    <row r="768" spans="1:2">
      <c r="A768" s="32">
        <v>758</v>
      </c>
      <c r="B768" s="90">
        <v>7.5856116541194094</v>
      </c>
    </row>
    <row r="769" spans="1:2">
      <c r="A769" s="32">
        <v>759</v>
      </c>
      <c r="B769" s="90">
        <v>9.0116853396284338</v>
      </c>
    </row>
    <row r="770" spans="1:2">
      <c r="A770" s="32">
        <v>760</v>
      </c>
      <c r="B770" s="90">
        <v>7.7257273430785798</v>
      </c>
    </row>
    <row r="771" spans="1:2">
      <c r="A771" s="32">
        <v>761</v>
      </c>
      <c r="B771" s="90">
        <v>8.2667017698896004</v>
      </c>
    </row>
    <row r="772" spans="1:2">
      <c r="A772" s="32">
        <v>762</v>
      </c>
      <c r="B772" s="90">
        <v>7.9586185206178506</v>
      </c>
    </row>
    <row r="773" spans="1:2">
      <c r="A773" s="32">
        <v>763</v>
      </c>
      <c r="B773" s="90">
        <v>8.5889782070928398</v>
      </c>
    </row>
    <row r="774" spans="1:2">
      <c r="A774" s="32">
        <v>764</v>
      </c>
      <c r="B774" s="90">
        <v>7.5204448971979447</v>
      </c>
    </row>
    <row r="775" spans="1:2">
      <c r="A775" s="32">
        <v>765</v>
      </c>
      <c r="B775" s="90">
        <v>8.4526760001458268</v>
      </c>
    </row>
    <row r="776" spans="1:2">
      <c r="A776" s="32">
        <v>766</v>
      </c>
      <c r="B776" s="90">
        <v>8.2072074142767182</v>
      </c>
    </row>
    <row r="777" spans="1:2">
      <c r="A777" s="32">
        <v>767</v>
      </c>
      <c r="B777" s="90">
        <v>8.2139221076758719</v>
      </c>
    </row>
    <row r="778" spans="1:2">
      <c r="A778" s="32">
        <v>768</v>
      </c>
      <c r="B778" s="90">
        <v>8.351070530128105</v>
      </c>
    </row>
    <row r="779" spans="1:2">
      <c r="A779" s="32">
        <v>769</v>
      </c>
      <c r="B779" s="90">
        <v>8.3296323188409289</v>
      </c>
    </row>
    <row r="780" spans="1:2">
      <c r="A780" s="32">
        <v>770</v>
      </c>
      <c r="B780" s="90">
        <v>7.5990222127713158</v>
      </c>
    </row>
    <row r="781" spans="1:2">
      <c r="A781" s="32">
        <v>771</v>
      </c>
      <c r="B781" s="90">
        <v>8.9751733711905892</v>
      </c>
    </row>
    <row r="782" spans="1:2">
      <c r="A782" s="32">
        <v>772</v>
      </c>
      <c r="B782" s="90">
        <v>7.9895679707852523</v>
      </c>
    </row>
    <row r="783" spans="1:2">
      <c r="A783" s="32">
        <v>773</v>
      </c>
      <c r="B783" s="90">
        <v>8.0105916213703505</v>
      </c>
    </row>
    <row r="784" spans="1:2">
      <c r="A784" s="32">
        <v>774</v>
      </c>
      <c r="B784" s="90">
        <v>8.1601312951344909</v>
      </c>
    </row>
    <row r="785" spans="1:2">
      <c r="A785" s="32">
        <v>775</v>
      </c>
      <c r="B785" s="90">
        <v>8.3353325622294232</v>
      </c>
    </row>
    <row r="786" spans="1:2">
      <c r="A786" s="32">
        <v>776</v>
      </c>
      <c r="B786" s="90">
        <v>7.6462860603934848</v>
      </c>
    </row>
    <row r="787" spans="1:2">
      <c r="A787" s="32">
        <v>777</v>
      </c>
      <c r="B787" s="90">
        <v>9.0657032618667159</v>
      </c>
    </row>
    <row r="788" spans="1:2">
      <c r="A788" s="32">
        <v>778</v>
      </c>
      <c r="B788" s="90">
        <v>8.4244591583060853</v>
      </c>
    </row>
    <row r="789" spans="1:2">
      <c r="A789" s="32">
        <v>779</v>
      </c>
      <c r="B789" s="90">
        <v>7.2681845177495923</v>
      </c>
    </row>
    <row r="790" spans="1:2">
      <c r="A790" s="32">
        <v>780</v>
      </c>
      <c r="B790" s="90">
        <v>8.3102282526342428</v>
      </c>
    </row>
    <row r="791" spans="1:2">
      <c r="A791" s="32">
        <v>781</v>
      </c>
      <c r="B791" s="90">
        <v>8.0685807885546303</v>
      </c>
    </row>
    <row r="792" spans="1:2">
      <c r="A792" s="32">
        <v>782</v>
      </c>
      <c r="B792" s="90">
        <v>8.4457264777488401</v>
      </c>
    </row>
    <row r="793" spans="1:2">
      <c r="A793" s="32">
        <v>783</v>
      </c>
      <c r="B793" s="90">
        <v>7.9674223105908739</v>
      </c>
    </row>
    <row r="794" spans="1:2">
      <c r="A794" s="32">
        <v>784</v>
      </c>
      <c r="B794" s="90">
        <v>8.6591501974273939</v>
      </c>
    </row>
    <row r="795" spans="1:2">
      <c r="A795" s="32">
        <v>785</v>
      </c>
      <c r="B795" s="90">
        <v>7.4704093255895447</v>
      </c>
    </row>
    <row r="796" spans="1:2">
      <c r="A796" s="32">
        <v>786</v>
      </c>
      <c r="B796" s="90">
        <v>8.482891379136337</v>
      </c>
    </row>
    <row r="797" spans="1:2">
      <c r="A797" s="32">
        <v>787</v>
      </c>
      <c r="B797" s="90">
        <v>7.4992464582750111</v>
      </c>
    </row>
    <row r="798" spans="1:2">
      <c r="A798" s="32">
        <v>788</v>
      </c>
      <c r="B798" s="90">
        <v>9.14366480983829</v>
      </c>
    </row>
    <row r="799" spans="1:2">
      <c r="A799" s="32">
        <v>789</v>
      </c>
      <c r="B799" s="90">
        <v>7.8996493153187064</v>
      </c>
    </row>
    <row r="800" spans="1:2">
      <c r="A800" s="32">
        <v>790</v>
      </c>
      <c r="B800" s="90">
        <v>8.2988902327524769</v>
      </c>
    </row>
    <row r="801" spans="1:2">
      <c r="A801" s="32">
        <v>791</v>
      </c>
      <c r="B801" s="90">
        <v>7.7670726697074803</v>
      </c>
    </row>
    <row r="802" spans="1:2">
      <c r="A802" s="32">
        <v>792</v>
      </c>
      <c r="B802" s="90">
        <v>8.4010841311180915</v>
      </c>
    </row>
    <row r="803" spans="1:2">
      <c r="A803" s="32">
        <v>793</v>
      </c>
      <c r="B803" s="90">
        <v>7.6137423611419148</v>
      </c>
    </row>
    <row r="804" spans="1:2">
      <c r="A804" s="32">
        <v>794</v>
      </c>
      <c r="B804" s="90">
        <v>8.6560224357144868</v>
      </c>
    </row>
    <row r="805" spans="1:2">
      <c r="A805" s="32">
        <v>795</v>
      </c>
      <c r="B805" s="90">
        <v>8.1093475268885982</v>
      </c>
    </row>
    <row r="806" spans="1:2">
      <c r="A806" s="32">
        <v>796</v>
      </c>
      <c r="B806" s="90">
        <v>8.2505470273485013</v>
      </c>
    </row>
    <row r="807" spans="1:2">
      <c r="A807" s="32">
        <v>797</v>
      </c>
      <c r="B807" s="90">
        <v>7.9927096873615699</v>
      </c>
    </row>
    <row r="808" spans="1:2">
      <c r="A808" s="32">
        <v>798</v>
      </c>
      <c r="B808" s="90">
        <v>8.8944546374047846</v>
      </c>
    </row>
    <row r="809" spans="1:2">
      <c r="A809" s="32">
        <v>799</v>
      </c>
      <c r="B809" s="90">
        <v>7.2495594075933942</v>
      </c>
    </row>
    <row r="810" spans="1:2">
      <c r="A810" s="32">
        <v>800</v>
      </c>
      <c r="B810" s="90">
        <v>8.5981201348979557</v>
      </c>
    </row>
    <row r="811" spans="1:2">
      <c r="A811" s="32">
        <v>801</v>
      </c>
      <c r="B811" s="90">
        <v>8.1817966556839998</v>
      </c>
    </row>
    <row r="812" spans="1:2">
      <c r="A812" s="32">
        <v>802</v>
      </c>
      <c r="B812" s="90">
        <v>8.2915956591219029</v>
      </c>
    </row>
    <row r="813" spans="1:2">
      <c r="A813" s="32">
        <v>803</v>
      </c>
      <c r="B813" s="90">
        <v>8.1859987673952777</v>
      </c>
    </row>
    <row r="814" spans="1:2">
      <c r="A814" s="32">
        <v>804</v>
      </c>
      <c r="B814" s="90">
        <v>8.1306553687806868</v>
      </c>
    </row>
    <row r="815" spans="1:2">
      <c r="A815" s="32">
        <v>805</v>
      </c>
      <c r="B815" s="90">
        <v>7.7743329905205956</v>
      </c>
    </row>
    <row r="816" spans="1:2">
      <c r="A816" s="32">
        <v>806</v>
      </c>
      <c r="B816" s="90">
        <v>8.9678058110926635</v>
      </c>
    </row>
    <row r="817" spans="1:2">
      <c r="A817" s="32">
        <v>807</v>
      </c>
      <c r="B817" s="90">
        <v>8.3120983743100663</v>
      </c>
    </row>
    <row r="818" spans="1:2">
      <c r="A818" s="32">
        <v>808</v>
      </c>
      <c r="B818" s="90">
        <v>7.8906395932850497</v>
      </c>
    </row>
    <row r="819" spans="1:2">
      <c r="A819" s="32">
        <v>809</v>
      </c>
      <c r="B819" s="90">
        <v>7.8179791929255282</v>
      </c>
    </row>
    <row r="820" spans="1:2">
      <c r="A820" s="32">
        <v>810</v>
      </c>
      <c r="B820" s="90">
        <v>8.1193258475938475</v>
      </c>
    </row>
    <row r="821" spans="1:2">
      <c r="A821" s="32">
        <v>811</v>
      </c>
      <c r="B821" s="90">
        <v>7.9539184723991756</v>
      </c>
    </row>
    <row r="822" spans="1:2">
      <c r="A822" s="32">
        <v>812</v>
      </c>
      <c r="B822" s="90">
        <v>8.5350473050834612</v>
      </c>
    </row>
    <row r="823" spans="1:2">
      <c r="A823" s="32">
        <v>813</v>
      </c>
      <c r="B823" s="90">
        <v>8.9292058510513037</v>
      </c>
    </row>
    <row r="824" spans="1:2">
      <c r="A824" s="32">
        <v>814</v>
      </c>
      <c r="B824" s="90">
        <v>7.2686381875498345</v>
      </c>
    </row>
    <row r="825" spans="1:2">
      <c r="A825" s="32">
        <v>815</v>
      </c>
      <c r="B825" s="90">
        <v>8.5263218642738607</v>
      </c>
    </row>
    <row r="826" spans="1:2">
      <c r="A826" s="32">
        <v>816</v>
      </c>
      <c r="B826" s="90">
        <v>7.6264269654818477</v>
      </c>
    </row>
    <row r="827" spans="1:2">
      <c r="A827" s="32">
        <v>817</v>
      </c>
      <c r="B827" s="90">
        <v>8.587756343498258</v>
      </c>
    </row>
    <row r="828" spans="1:2">
      <c r="A828" s="32">
        <v>818</v>
      </c>
      <c r="B828" s="90">
        <v>8.0510036316952327</v>
      </c>
    </row>
    <row r="829" spans="1:2">
      <c r="A829" s="32">
        <v>819</v>
      </c>
      <c r="B829" s="90">
        <v>8.7550242040797759</v>
      </c>
    </row>
    <row r="830" spans="1:2">
      <c r="A830" s="32">
        <v>820</v>
      </c>
      <c r="B830" s="90">
        <v>7.3910801747740686</v>
      </c>
    </row>
    <row r="831" spans="1:2">
      <c r="A831" s="32">
        <v>821</v>
      </c>
      <c r="B831" s="90">
        <v>8.5352483861364732</v>
      </c>
    </row>
    <row r="832" spans="1:2">
      <c r="A832" s="32">
        <v>822</v>
      </c>
      <c r="B832" s="90">
        <v>7.5856116541194094</v>
      </c>
    </row>
    <row r="833" spans="1:2">
      <c r="A833" s="32">
        <v>823</v>
      </c>
      <c r="B833" s="90">
        <v>9.0116853396284338</v>
      </c>
    </row>
    <row r="834" spans="1:2">
      <c r="A834" s="32">
        <v>824</v>
      </c>
      <c r="B834" s="90">
        <v>7.7257273430785798</v>
      </c>
    </row>
    <row r="835" spans="1:2">
      <c r="A835" s="32">
        <v>825</v>
      </c>
      <c r="B835" s="90">
        <v>8.2667017698896004</v>
      </c>
    </row>
    <row r="836" spans="1:2">
      <c r="A836" s="32">
        <v>826</v>
      </c>
      <c r="B836" s="90">
        <v>7.9586185206178506</v>
      </c>
    </row>
    <row r="837" spans="1:2">
      <c r="A837" s="32">
        <v>827</v>
      </c>
      <c r="B837" s="90">
        <v>8.5889782070928398</v>
      </c>
    </row>
    <row r="838" spans="1:2">
      <c r="A838" s="32">
        <v>828</v>
      </c>
      <c r="B838" s="90">
        <v>7.5204448971979447</v>
      </c>
    </row>
    <row r="839" spans="1:2">
      <c r="A839" s="32">
        <v>829</v>
      </c>
      <c r="B839" s="90">
        <v>8.4526760001458268</v>
      </c>
    </row>
    <row r="840" spans="1:2">
      <c r="A840" s="32">
        <v>830</v>
      </c>
      <c r="B840" s="90">
        <v>8.2072074142767182</v>
      </c>
    </row>
    <row r="841" spans="1:2">
      <c r="A841" s="32">
        <v>831</v>
      </c>
      <c r="B841" s="90">
        <v>8.2139221076758719</v>
      </c>
    </row>
    <row r="842" spans="1:2">
      <c r="A842" s="32">
        <v>832</v>
      </c>
      <c r="B842" s="90">
        <v>8.351070530128105</v>
      </c>
    </row>
    <row r="843" spans="1:2">
      <c r="A843" s="32">
        <v>833</v>
      </c>
      <c r="B843" s="90">
        <v>8.2387302366758579</v>
      </c>
    </row>
    <row r="844" spans="1:2">
      <c r="A844" s="32">
        <v>834</v>
      </c>
      <c r="B844" s="90">
        <v>8.5887482947662601</v>
      </c>
    </row>
    <row r="845" spans="1:2">
      <c r="A845" s="32">
        <v>835</v>
      </c>
      <c r="B845" s="90">
        <v>7.1105340571129503</v>
      </c>
    </row>
    <row r="846" spans="1:2">
      <c r="A846" s="32">
        <v>836</v>
      </c>
      <c r="B846" s="90">
        <v>7.5964640995943959</v>
      </c>
    </row>
    <row r="847" spans="1:2">
      <c r="A847" s="32">
        <v>837</v>
      </c>
      <c r="B847" s="90">
        <v>9.6551965483469253</v>
      </c>
    </row>
    <row r="848" spans="1:2">
      <c r="A848" s="32">
        <v>838</v>
      </c>
      <c r="B848" s="90">
        <v>8.2370275445523191</v>
      </c>
    </row>
    <row r="849" spans="1:2">
      <c r="A849" s="32">
        <v>839</v>
      </c>
      <c r="B849" s="90">
        <v>8.4290386360915033</v>
      </c>
    </row>
    <row r="850" spans="1:2">
      <c r="A850" s="32">
        <v>840</v>
      </c>
      <c r="B850" s="90">
        <v>8.4075924212364814</v>
      </c>
    </row>
    <row r="851" spans="1:2">
      <c r="A851" s="32">
        <v>841</v>
      </c>
      <c r="B851" s="90">
        <v>7.4026513256425623</v>
      </c>
    </row>
    <row r="852" spans="1:2">
      <c r="A852" s="32">
        <v>842</v>
      </c>
      <c r="B852" s="90">
        <v>7.6724475099387099</v>
      </c>
    </row>
    <row r="853" spans="1:2">
      <c r="A853" s="32">
        <v>843</v>
      </c>
      <c r="B853" s="90">
        <v>9.2466538496841526</v>
      </c>
    </row>
    <row r="854" spans="1:2">
      <c r="A854" s="32">
        <v>844</v>
      </c>
      <c r="B854" s="90">
        <v>8.4721757795417574</v>
      </c>
    </row>
    <row r="855" spans="1:2">
      <c r="A855" s="32">
        <v>845</v>
      </c>
      <c r="B855" s="90">
        <v>8.3436362532025594</v>
      </c>
    </row>
    <row r="856" spans="1:2">
      <c r="A856" s="32">
        <v>846</v>
      </c>
      <c r="B856" s="90">
        <v>8.4352423406629153</v>
      </c>
    </row>
    <row r="857" spans="1:2">
      <c r="A857" s="32">
        <v>847</v>
      </c>
      <c r="B857" s="90">
        <v>7.3993141486411691</v>
      </c>
    </row>
    <row r="858" spans="1:2">
      <c r="A858" s="32">
        <v>848</v>
      </c>
      <c r="B858" s="90">
        <v>7.7305176342375441</v>
      </c>
    </row>
    <row r="859" spans="1:2">
      <c r="A859" s="32">
        <v>849</v>
      </c>
      <c r="B859" s="90">
        <v>9.2039019194041938</v>
      </c>
    </row>
    <row r="860" spans="1:2">
      <c r="A860" s="32">
        <v>850</v>
      </c>
      <c r="B860" s="90">
        <v>8.3494702541933048</v>
      </c>
    </row>
    <row r="861" spans="1:2">
      <c r="A861" s="32">
        <v>851</v>
      </c>
      <c r="B861" s="90">
        <v>8.6711323593114127</v>
      </c>
    </row>
    <row r="862" spans="1:2">
      <c r="A862" s="32">
        <v>852</v>
      </c>
      <c r="B862" s="90">
        <v>7.5411901860083326</v>
      </c>
    </row>
    <row r="863" spans="1:2">
      <c r="A863" s="32">
        <v>853</v>
      </c>
      <c r="B863" s="90">
        <v>7.7893070665201201</v>
      </c>
    </row>
    <row r="864" spans="1:2">
      <c r="A864" s="32">
        <v>854</v>
      </c>
      <c r="B864" s="90">
        <v>8.1582144242026295</v>
      </c>
    </row>
    <row r="865" spans="1:2">
      <c r="A865" s="32">
        <v>855</v>
      </c>
      <c r="B865" s="90">
        <v>8.7802428859870094</v>
      </c>
    </row>
    <row r="866" spans="1:2">
      <c r="A866" s="32">
        <v>856</v>
      </c>
      <c r="B866" s="90">
        <v>8.7893597172785665</v>
      </c>
    </row>
    <row r="867" spans="1:2">
      <c r="A867" s="32">
        <v>857</v>
      </c>
      <c r="B867" s="90">
        <v>8.3223420925190528</v>
      </c>
    </row>
    <row r="868" spans="1:2">
      <c r="A868" s="32">
        <v>858</v>
      </c>
      <c r="B868" s="90">
        <v>7.401601009827167</v>
      </c>
    </row>
    <row r="869" spans="1:2">
      <c r="A869" s="32">
        <v>859</v>
      </c>
      <c r="B869" s="90">
        <v>7.8462688050846872</v>
      </c>
    </row>
    <row r="870" spans="1:2">
      <c r="A870" s="32">
        <v>860</v>
      </c>
      <c r="B870" s="90">
        <v>8.4631518962130485</v>
      </c>
    </row>
    <row r="871" spans="1:2">
      <c r="A871" s="32">
        <v>861</v>
      </c>
      <c r="B871" s="90">
        <v>8.8503915782434195</v>
      </c>
    </row>
    <row r="872" spans="1:2">
      <c r="A872" s="32">
        <v>862</v>
      </c>
      <c r="B872" s="90">
        <v>8.7423909303211751</v>
      </c>
    </row>
    <row r="873" spans="1:2">
      <c r="A873" s="32">
        <v>863</v>
      </c>
      <c r="B873" s="90">
        <v>8.6111574811524392</v>
      </c>
    </row>
    <row r="874" spans="1:2">
      <c r="A874" s="32">
        <v>864</v>
      </c>
      <c r="B874" s="90">
        <v>7.2124885610929024</v>
      </c>
    </row>
    <row r="875" spans="1:2">
      <c r="A875" s="32">
        <v>865</v>
      </c>
      <c r="B875" s="90">
        <v>7.4435190793463386</v>
      </c>
    </row>
    <row r="876" spans="1:2">
      <c r="A876" s="32">
        <v>866</v>
      </c>
      <c r="B876" s="90">
        <v>9.0980673835972201</v>
      </c>
    </row>
    <row r="877" spans="1:2">
      <c r="A877" s="32">
        <v>867</v>
      </c>
      <c r="B877" s="90">
        <v>8.4901718791163514</v>
      </c>
    </row>
    <row r="878" spans="1:2">
      <c r="A878" s="32">
        <v>868</v>
      </c>
      <c r="B878" s="90">
        <v>8.5430740564554828</v>
      </c>
    </row>
    <row r="879" spans="1:2">
      <c r="A879" s="32">
        <v>869</v>
      </c>
      <c r="B879" s="90">
        <v>8.436662411405381</v>
      </c>
    </row>
    <row r="880" spans="1:2">
      <c r="A880" s="32">
        <v>870</v>
      </c>
      <c r="B880" s="90">
        <v>7.2874561778631843</v>
      </c>
    </row>
    <row r="881" spans="1:2">
      <c r="A881" s="32">
        <v>871</v>
      </c>
      <c r="B881" s="90">
        <v>7.7717945996775253</v>
      </c>
    </row>
    <row r="882" spans="1:2">
      <c r="A882" s="32">
        <v>872</v>
      </c>
      <c r="B882" s="90">
        <v>9.3741423490144395</v>
      </c>
    </row>
    <row r="883" spans="1:2">
      <c r="A883" s="32">
        <v>873</v>
      </c>
      <c r="B883" s="90">
        <v>8.6255283976769572</v>
      </c>
    </row>
    <row r="884" spans="1:2">
      <c r="A884" s="32">
        <v>874</v>
      </c>
      <c r="B884" s="90">
        <v>8.3292899862045999</v>
      </c>
    </row>
    <row r="885" spans="1:2">
      <c r="A885" s="32">
        <v>875</v>
      </c>
      <c r="B885" s="90">
        <v>8.4950097495985109</v>
      </c>
    </row>
    <row r="886" spans="1:2">
      <c r="A886" s="32">
        <v>876</v>
      </c>
      <c r="B886" s="90">
        <v>7.2034185420701098</v>
      </c>
    </row>
    <row r="887" spans="1:2">
      <c r="A887" s="32">
        <v>877</v>
      </c>
      <c r="B887" s="90">
        <v>7.6132429015291176</v>
      </c>
    </row>
    <row r="888" spans="1:2">
      <c r="A888" s="32">
        <v>878</v>
      </c>
      <c r="B888" s="90">
        <v>9.2443207636935316</v>
      </c>
    </row>
    <row r="889" spans="1:2">
      <c r="A889" s="32">
        <v>879</v>
      </c>
      <c r="B889" s="90">
        <v>8.2087147286940443</v>
      </c>
    </row>
    <row r="890" spans="1:2">
      <c r="A890" s="32">
        <v>880</v>
      </c>
      <c r="B890" s="90">
        <v>8.5772001038707675</v>
      </c>
    </row>
    <row r="891" spans="1:2">
      <c r="A891" s="32">
        <v>881</v>
      </c>
      <c r="B891" s="90">
        <v>8.2207390045050044</v>
      </c>
    </row>
    <row r="892" spans="1:2">
      <c r="A892" s="32">
        <v>882</v>
      </c>
      <c r="B892" s="90">
        <v>7.4385689286864007</v>
      </c>
    </row>
    <row r="893" spans="1:2">
      <c r="A893" s="32">
        <v>883</v>
      </c>
      <c r="B893" s="90">
        <v>8.2941715319508678</v>
      </c>
    </row>
    <row r="894" spans="1:2">
      <c r="A894" s="32">
        <v>884</v>
      </c>
      <c r="B894" s="90">
        <v>8.8205174778825235</v>
      </c>
    </row>
    <row r="895" spans="1:2">
      <c r="A895" s="32">
        <v>885</v>
      </c>
      <c r="B895" s="90">
        <v>8.185396056267459</v>
      </c>
    </row>
    <row r="896" spans="1:2">
      <c r="A896" s="32">
        <v>886</v>
      </c>
      <c r="B896" s="90">
        <v>8.6598264978975319</v>
      </c>
    </row>
    <row r="897" spans="1:2">
      <c r="A897" s="32">
        <v>887</v>
      </c>
      <c r="B897" s="90">
        <v>7.6957256338699729</v>
      </c>
    </row>
    <row r="898" spans="1:2">
      <c r="A898" s="32">
        <v>888</v>
      </c>
      <c r="B898" s="90">
        <v>7.5252714090886847</v>
      </c>
    </row>
    <row r="899" spans="1:2">
      <c r="A899" s="32">
        <v>889</v>
      </c>
      <c r="B899" s="90">
        <v>8.5550389667955482</v>
      </c>
    </row>
    <row r="900" spans="1:2">
      <c r="A900" s="32">
        <v>890</v>
      </c>
      <c r="B900" s="90">
        <v>8.8348441494000056</v>
      </c>
    </row>
    <row r="901" spans="1:2">
      <c r="A901" s="32">
        <v>891</v>
      </c>
      <c r="B901" s="90">
        <v>8.6030361818193377</v>
      </c>
    </row>
    <row r="902" spans="1:2">
      <c r="A902" s="32">
        <v>892</v>
      </c>
      <c r="B902" s="90">
        <v>8.8711338986470647</v>
      </c>
    </row>
    <row r="903" spans="1:2">
      <c r="A903" s="32">
        <v>893</v>
      </c>
      <c r="B903" s="90">
        <v>6.9351368050323652</v>
      </c>
    </row>
    <row r="904" spans="1:2">
      <c r="A904" s="32">
        <v>894</v>
      </c>
      <c r="B904" s="90">
        <v>7.5987918571442625</v>
      </c>
    </row>
    <row r="905" spans="1:2">
      <c r="A905" s="32">
        <v>895</v>
      </c>
      <c r="B905" s="90">
        <v>8.8328943736878358</v>
      </c>
    </row>
    <row r="906" spans="1:2">
      <c r="A906" s="32">
        <v>896</v>
      </c>
      <c r="B906" s="90">
        <v>8.5006208851487042</v>
      </c>
    </row>
    <row r="907" spans="1:2">
      <c r="A907" s="32">
        <v>897</v>
      </c>
      <c r="B907" s="90">
        <v>8.9256246480249466</v>
      </c>
    </row>
    <row r="908" spans="1:2">
      <c r="A908" s="32">
        <v>898</v>
      </c>
      <c r="B908" s="90">
        <v>8.5887482947662601</v>
      </c>
    </row>
    <row r="909" spans="1:2">
      <c r="A909" s="32">
        <v>899</v>
      </c>
      <c r="B909" s="90">
        <v>7.1105340571129503</v>
      </c>
    </row>
    <row r="910" spans="1:2">
      <c r="A910" s="32">
        <v>900</v>
      </c>
      <c r="B910" s="90">
        <v>7.5964640995943959</v>
      </c>
    </row>
    <row r="911" spans="1:2">
      <c r="A911" s="32">
        <v>901</v>
      </c>
      <c r="B911" s="90">
        <v>9.6551965483469253</v>
      </c>
    </row>
    <row r="912" spans="1:2">
      <c r="A912" s="32">
        <v>902</v>
      </c>
      <c r="B912" s="90">
        <v>8.2370275445523191</v>
      </c>
    </row>
    <row r="913" spans="1:2">
      <c r="A913" s="32">
        <v>903</v>
      </c>
      <c r="B913" s="90">
        <v>8.4290386360915033</v>
      </c>
    </row>
    <row r="914" spans="1:2">
      <c r="A914" s="32">
        <v>904</v>
      </c>
      <c r="B914" s="90">
        <v>8.4075924212364814</v>
      </c>
    </row>
    <row r="915" spans="1:2">
      <c r="A915" s="32">
        <v>905</v>
      </c>
      <c r="B915" s="90">
        <v>7.4026513256425623</v>
      </c>
    </row>
    <row r="916" spans="1:2">
      <c r="A916" s="32">
        <v>906</v>
      </c>
      <c r="B916" s="90">
        <v>7.6724475099387099</v>
      </c>
    </row>
    <row r="917" spans="1:2">
      <c r="A917" s="32">
        <v>907</v>
      </c>
      <c r="B917" s="90">
        <v>9.2466538496841526</v>
      </c>
    </row>
    <row r="918" spans="1:2">
      <c r="A918" s="32">
        <v>908</v>
      </c>
      <c r="B918" s="90">
        <v>8.4721757795417574</v>
      </c>
    </row>
    <row r="919" spans="1:2">
      <c r="A919" s="32">
        <v>909</v>
      </c>
      <c r="B919" s="90">
        <v>8.3436362532025594</v>
      </c>
    </row>
    <row r="920" spans="1:2">
      <c r="A920" s="32">
        <v>910</v>
      </c>
      <c r="B920" s="90">
        <v>8.4352423406629153</v>
      </c>
    </row>
    <row r="921" spans="1:2">
      <c r="A921" s="32">
        <v>911</v>
      </c>
      <c r="B921" s="90">
        <v>7.3993141486411691</v>
      </c>
    </row>
    <row r="922" spans="1:2">
      <c r="A922" s="32">
        <v>912</v>
      </c>
      <c r="B922" s="90">
        <v>7.7305176342375441</v>
      </c>
    </row>
    <row r="923" spans="1:2">
      <c r="A923" s="32">
        <v>913</v>
      </c>
      <c r="B923" s="90">
        <v>9.2039019194041938</v>
      </c>
    </row>
    <row r="924" spans="1:2">
      <c r="A924" s="32">
        <v>914</v>
      </c>
      <c r="B924" s="90">
        <v>8.3494702541933048</v>
      </c>
    </row>
    <row r="925" spans="1:2">
      <c r="A925" s="32">
        <v>915</v>
      </c>
      <c r="B925" s="90">
        <v>8.6711323593114127</v>
      </c>
    </row>
    <row r="926" spans="1:2">
      <c r="A926" s="32">
        <v>916</v>
      </c>
      <c r="B926" s="90">
        <v>7.5411901860083326</v>
      </c>
    </row>
    <row r="927" spans="1:2">
      <c r="A927" s="32">
        <v>917</v>
      </c>
      <c r="B927" s="90">
        <v>7.7893070665201201</v>
      </c>
    </row>
    <row r="928" spans="1:2">
      <c r="A928" s="32">
        <v>918</v>
      </c>
      <c r="B928" s="90">
        <v>8.1582144242026295</v>
      </c>
    </row>
    <row r="929" spans="1:2">
      <c r="A929" s="32">
        <v>919</v>
      </c>
      <c r="B929" s="90">
        <v>8.7802428859870094</v>
      </c>
    </row>
    <row r="930" spans="1:2">
      <c r="A930" s="32">
        <v>920</v>
      </c>
      <c r="B930" s="90">
        <v>8.7893597172785665</v>
      </c>
    </row>
    <row r="931" spans="1:2">
      <c r="A931" s="32">
        <v>921</v>
      </c>
      <c r="B931" s="90">
        <v>8.3223420925190528</v>
      </c>
    </row>
    <row r="932" spans="1:2">
      <c r="A932" s="32">
        <v>922</v>
      </c>
      <c r="B932" s="90">
        <v>7.401601009827167</v>
      </c>
    </row>
    <row r="933" spans="1:2">
      <c r="A933" s="32">
        <v>923</v>
      </c>
      <c r="B933" s="90">
        <v>7.8462688050846872</v>
      </c>
    </row>
    <row r="934" spans="1:2">
      <c r="A934" s="32">
        <v>924</v>
      </c>
      <c r="B934" s="90">
        <v>8.4631518962130485</v>
      </c>
    </row>
    <row r="935" spans="1:2">
      <c r="A935" s="32">
        <v>925</v>
      </c>
      <c r="B935" s="90">
        <v>8.8503915782434195</v>
      </c>
    </row>
    <row r="936" spans="1:2">
      <c r="A936" s="32">
        <v>926</v>
      </c>
      <c r="B936" s="90">
        <v>8.7423909303211751</v>
      </c>
    </row>
    <row r="937" spans="1:2">
      <c r="A937" s="32">
        <v>927</v>
      </c>
      <c r="B937" s="90">
        <v>8.6111574811524392</v>
      </c>
    </row>
    <row r="938" spans="1:2">
      <c r="A938" s="32">
        <v>928</v>
      </c>
      <c r="B938" s="90">
        <v>7.2124885610929024</v>
      </c>
    </row>
    <row r="939" spans="1:2">
      <c r="A939" s="32">
        <v>929</v>
      </c>
      <c r="B939" s="90">
        <v>7.4435190793463386</v>
      </c>
    </row>
    <row r="940" spans="1:2">
      <c r="A940" s="32">
        <v>930</v>
      </c>
      <c r="B940" s="90">
        <v>9.0980673835972201</v>
      </c>
    </row>
    <row r="941" spans="1:2">
      <c r="A941" s="32">
        <v>931</v>
      </c>
      <c r="B941" s="90">
        <v>8.4901718791163514</v>
      </c>
    </row>
    <row r="942" spans="1:2">
      <c r="A942" s="32">
        <v>932</v>
      </c>
      <c r="B942" s="90">
        <v>8.5430740564554828</v>
      </c>
    </row>
    <row r="943" spans="1:2">
      <c r="A943" s="32">
        <v>933</v>
      </c>
      <c r="B943" s="90">
        <v>8.436662411405381</v>
      </c>
    </row>
    <row r="944" spans="1:2">
      <c r="A944" s="32">
        <v>934</v>
      </c>
      <c r="B944" s="90">
        <v>7.2874561778631843</v>
      </c>
    </row>
    <row r="945" spans="1:2">
      <c r="A945" s="32">
        <v>935</v>
      </c>
      <c r="B945" s="90">
        <v>7.7717945996775253</v>
      </c>
    </row>
    <row r="946" spans="1:2">
      <c r="A946" s="32">
        <v>936</v>
      </c>
      <c r="B946" s="90">
        <v>9.3741423490144395</v>
      </c>
    </row>
    <row r="947" spans="1:2">
      <c r="A947" s="32">
        <v>937</v>
      </c>
      <c r="B947" s="90">
        <v>8.6255283976769572</v>
      </c>
    </row>
    <row r="948" spans="1:2">
      <c r="A948" s="32">
        <v>938</v>
      </c>
      <c r="B948" s="90">
        <v>8.3292899862045999</v>
      </c>
    </row>
    <row r="949" spans="1:2">
      <c r="A949" s="32">
        <v>939</v>
      </c>
      <c r="B949" s="90">
        <v>8.4950097495985109</v>
      </c>
    </row>
    <row r="950" spans="1:2">
      <c r="A950" s="32">
        <v>940</v>
      </c>
      <c r="B950" s="90">
        <v>7.2034185420701098</v>
      </c>
    </row>
    <row r="951" spans="1:2">
      <c r="A951" s="32">
        <v>941</v>
      </c>
      <c r="B951" s="90">
        <v>7.6132429015291176</v>
      </c>
    </row>
    <row r="952" spans="1:2">
      <c r="A952" s="32">
        <v>942</v>
      </c>
      <c r="B952" s="90">
        <v>9.2443207636935316</v>
      </c>
    </row>
    <row r="953" spans="1:2">
      <c r="A953" s="32">
        <v>943</v>
      </c>
      <c r="B953" s="90">
        <v>8.2087147286940443</v>
      </c>
    </row>
    <row r="954" spans="1:2">
      <c r="A954" s="32">
        <v>944</v>
      </c>
      <c r="B954" s="90">
        <v>8.5772001038707675</v>
      </c>
    </row>
    <row r="955" spans="1:2">
      <c r="A955" s="32">
        <v>945</v>
      </c>
      <c r="B955" s="90">
        <v>8.2207390045050044</v>
      </c>
    </row>
    <row r="956" spans="1:2">
      <c r="A956" s="32">
        <v>946</v>
      </c>
      <c r="B956" s="90">
        <v>7.4385689286864007</v>
      </c>
    </row>
    <row r="957" spans="1:2">
      <c r="A957" s="32">
        <v>947</v>
      </c>
      <c r="B957" s="90">
        <v>8.2941715319508678</v>
      </c>
    </row>
    <row r="958" spans="1:2">
      <c r="A958" s="32">
        <v>948</v>
      </c>
      <c r="B958" s="90">
        <v>8.8205174778825235</v>
      </c>
    </row>
    <row r="959" spans="1:2">
      <c r="A959" s="32">
        <v>949</v>
      </c>
      <c r="B959" s="90">
        <v>8.185396056267459</v>
      </c>
    </row>
    <row r="960" spans="1:2">
      <c r="A960" s="32">
        <v>950</v>
      </c>
      <c r="B960" s="90">
        <v>8.6598264978975319</v>
      </c>
    </row>
    <row r="961" spans="1:2">
      <c r="A961" s="32">
        <v>951</v>
      </c>
      <c r="B961" s="90">
        <v>8.2454894306550859</v>
      </c>
    </row>
    <row r="962" spans="1:2">
      <c r="A962" s="32">
        <v>952</v>
      </c>
      <c r="B962" s="90">
        <v>7.820520653217101</v>
      </c>
    </row>
    <row r="963" spans="1:2">
      <c r="A963" s="32">
        <v>953</v>
      </c>
      <c r="B963" s="90">
        <v>7.9553475707178904</v>
      </c>
    </row>
    <row r="964" spans="1:2">
      <c r="A964" s="32">
        <v>954</v>
      </c>
      <c r="B964" s="90">
        <v>9.323001293657633</v>
      </c>
    </row>
    <row r="965" spans="1:2">
      <c r="A965" s="32">
        <v>955</v>
      </c>
      <c r="B965" s="90">
        <v>7.6501735986717474</v>
      </c>
    </row>
    <row r="966" spans="1:2">
      <c r="A966" s="32">
        <v>956</v>
      </c>
      <c r="B966" s="90">
        <v>7.8839489938767553</v>
      </c>
    </row>
    <row r="967" spans="1:2">
      <c r="A967" s="32">
        <v>957</v>
      </c>
      <c r="B967" s="90">
        <v>7.8526703625656253</v>
      </c>
    </row>
    <row r="968" spans="1:2">
      <c r="A968" s="32">
        <v>958</v>
      </c>
      <c r="B968" s="90">
        <v>7.8395226342806739</v>
      </c>
    </row>
    <row r="969" spans="1:2">
      <c r="A969" s="32">
        <v>959</v>
      </c>
      <c r="B969" s="90">
        <v>7.6696367641150269</v>
      </c>
    </row>
    <row r="970" spans="1:2">
      <c r="A970" s="32">
        <v>960</v>
      </c>
      <c r="B970" s="90">
        <v>9.4278498044095116</v>
      </c>
    </row>
    <row r="971" spans="1:2">
      <c r="A971" s="32">
        <v>961</v>
      </c>
      <c r="B971" s="90">
        <v>7.5286385194515013</v>
      </c>
    </row>
    <row r="972" spans="1:2">
      <c r="A972" s="32">
        <v>962</v>
      </c>
      <c r="B972" s="90">
        <v>8.0196555075572178</v>
      </c>
    </row>
    <row r="973" spans="1:2">
      <c r="A973" s="32">
        <v>963</v>
      </c>
      <c r="B973" s="90">
        <v>8.4845452210683803</v>
      </c>
    </row>
    <row r="974" spans="1:2">
      <c r="A974" s="32">
        <v>964</v>
      </c>
      <c r="B974" s="90">
        <v>7.4774159175894477</v>
      </c>
    </row>
    <row r="975" spans="1:2">
      <c r="A975" s="32">
        <v>965</v>
      </c>
      <c r="B975" s="90">
        <v>8.0056997685173688</v>
      </c>
    </row>
    <row r="976" spans="1:2">
      <c r="A976" s="32">
        <v>966</v>
      </c>
      <c r="B976" s="90">
        <v>8.5884501960707897</v>
      </c>
    </row>
    <row r="977" spans="1:2">
      <c r="A977" s="32">
        <v>967</v>
      </c>
      <c r="B977" s="90">
        <v>8.0188337499601552</v>
      </c>
    </row>
    <row r="978" spans="1:2">
      <c r="A978" s="32">
        <v>968</v>
      </c>
      <c r="B978" s="90">
        <v>7.8373300997421973</v>
      </c>
    </row>
    <row r="979" spans="1:2">
      <c r="A979" s="32">
        <v>969</v>
      </c>
      <c r="B979" s="90">
        <v>8.4066977558598079</v>
      </c>
    </row>
    <row r="980" spans="1:2">
      <c r="A980" s="32">
        <v>970</v>
      </c>
      <c r="B980" s="90">
        <v>8.2419197507049393</v>
      </c>
    </row>
    <row r="981" spans="1:2">
      <c r="A981" s="32">
        <v>971</v>
      </c>
      <c r="B981" s="90">
        <v>7.5607748558473604</v>
      </c>
    </row>
    <row r="982" spans="1:2">
      <c r="A982" s="32">
        <v>972</v>
      </c>
      <c r="B982" s="90">
        <v>8.2909389938723272</v>
      </c>
    </row>
    <row r="983" spans="1:2">
      <c r="A983" s="32">
        <v>973</v>
      </c>
      <c r="B983" s="90">
        <v>8.0463241580584413</v>
      </c>
    </row>
    <row r="984" spans="1:2">
      <c r="A984" s="32">
        <v>974</v>
      </c>
      <c r="B984" s="90">
        <v>7.7357809101952677</v>
      </c>
    </row>
    <row r="985" spans="1:2">
      <c r="A985" s="32">
        <v>975</v>
      </c>
      <c r="B985" s="90">
        <v>8.2161103856400395</v>
      </c>
    </row>
    <row r="986" spans="1:2">
      <c r="A986" s="32">
        <v>976</v>
      </c>
      <c r="B986" s="90">
        <v>7.704143703965288</v>
      </c>
    </row>
    <row r="987" spans="1:2">
      <c r="A987" s="32">
        <v>977</v>
      </c>
      <c r="B987" s="90">
        <v>9.0823667442745784</v>
      </c>
    </row>
    <row r="988" spans="1:2">
      <c r="A988" s="32">
        <v>978</v>
      </c>
      <c r="B988" s="90">
        <v>7.7496426276045938</v>
      </c>
    </row>
    <row r="989" spans="1:2">
      <c r="A989" s="32">
        <v>979</v>
      </c>
      <c r="B989" s="90">
        <v>7.9525521945613784</v>
      </c>
    </row>
    <row r="990" spans="1:2">
      <c r="A990" s="32">
        <v>980</v>
      </c>
      <c r="B990" s="90">
        <v>7.9509387293437079</v>
      </c>
    </row>
    <row r="991" spans="1:2">
      <c r="A991" s="32">
        <v>981</v>
      </c>
      <c r="B991" s="90">
        <v>7.9419908843218145</v>
      </c>
    </row>
    <row r="992" spans="1:2">
      <c r="A992" s="32">
        <v>982</v>
      </c>
      <c r="B992" s="90">
        <v>7.6513080357945213</v>
      </c>
    </row>
    <row r="993" spans="1:2">
      <c r="A993" s="32">
        <v>983</v>
      </c>
      <c r="B993" s="90">
        <v>9.2304903927569768</v>
      </c>
    </row>
    <row r="994" spans="1:2">
      <c r="A994" s="32">
        <v>984</v>
      </c>
      <c r="B994" s="90">
        <v>7.9726865156974451</v>
      </c>
    </row>
    <row r="995" spans="1:2">
      <c r="A995" s="32">
        <v>985</v>
      </c>
      <c r="B995" s="90">
        <v>7.5222003060581333</v>
      </c>
    </row>
    <row r="996" spans="1:2">
      <c r="A996" s="32">
        <v>986</v>
      </c>
      <c r="B996" s="90">
        <v>8.3164941471806983</v>
      </c>
    </row>
    <row r="997" spans="1:2">
      <c r="A997" s="32">
        <v>987</v>
      </c>
      <c r="B997" s="90">
        <v>7.7141930065893396</v>
      </c>
    </row>
    <row r="998" spans="1:2">
      <c r="A998" s="32">
        <v>988</v>
      </c>
      <c r="B998" s="90">
        <v>7.7717851977879375</v>
      </c>
    </row>
    <row r="999" spans="1:2">
      <c r="A999" s="32">
        <v>989</v>
      </c>
      <c r="B999" s="90">
        <v>9.4120510760961693</v>
      </c>
    </row>
    <row r="1000" spans="1:2">
      <c r="A1000" s="32">
        <v>990</v>
      </c>
      <c r="B1000" s="90">
        <v>7.6524111205769367</v>
      </c>
    </row>
    <row r="1001" spans="1:2">
      <c r="A1001" s="32">
        <v>991</v>
      </c>
      <c r="B1001" s="90">
        <v>7.7242547795939211</v>
      </c>
    </row>
    <row r="1002" spans="1:2">
      <c r="A1002" s="32">
        <v>992</v>
      </c>
      <c r="B1002" s="90">
        <v>8.2593977002520358</v>
      </c>
    </row>
    <row r="1003" spans="1:2">
      <c r="A1003" s="32">
        <v>993</v>
      </c>
      <c r="B1003" s="90">
        <v>7.6189743503426159</v>
      </c>
    </row>
    <row r="1004" spans="1:2">
      <c r="A1004" s="32">
        <v>994</v>
      </c>
      <c r="B1004" s="90">
        <v>7.9222894476222727</v>
      </c>
    </row>
    <row r="1005" spans="1:2">
      <c r="A1005" s="32">
        <v>995</v>
      </c>
      <c r="B1005" s="90">
        <v>9.1968809679928132</v>
      </c>
    </row>
    <row r="1006" spans="1:2">
      <c r="A1006" s="32">
        <v>996</v>
      </c>
      <c r="B1006" s="90">
        <v>7.5672875916948739</v>
      </c>
    </row>
    <row r="1007" spans="1:2">
      <c r="A1007" s="32">
        <v>997</v>
      </c>
      <c r="B1007" s="90">
        <v>8.0131730570604116</v>
      </c>
    </row>
    <row r="1008" spans="1:2">
      <c r="A1008" s="32">
        <v>998</v>
      </c>
      <c r="B1008" s="90">
        <v>8.3282718135552756</v>
      </c>
    </row>
    <row r="1009" spans="1:2">
      <c r="A1009" s="32">
        <v>999</v>
      </c>
      <c r="B1009" s="90">
        <v>7.9269364618317972</v>
      </c>
    </row>
    <row r="1010" spans="1:2">
      <c r="A1010" s="32">
        <v>1000</v>
      </c>
      <c r="B1010" s="90">
        <v>7.4754425502384692</v>
      </c>
    </row>
    <row r="1011" spans="1:2">
      <c r="A1011" s="32">
        <v>1001</v>
      </c>
      <c r="B1011" s="90">
        <v>8.8193804400621243</v>
      </c>
    </row>
    <row r="1012" spans="1:2">
      <c r="A1012" s="32">
        <v>1002</v>
      </c>
      <c r="B1012" s="90">
        <v>7.8931633080446622</v>
      </c>
    </row>
    <row r="1013" spans="1:2">
      <c r="A1013" s="32">
        <v>1003</v>
      </c>
      <c r="B1013" s="90">
        <v>7.7452061411266895</v>
      </c>
    </row>
    <row r="1014" spans="1:2">
      <c r="A1014" s="32">
        <v>1004</v>
      </c>
      <c r="B1014" s="90">
        <v>8.1674013251789663</v>
      </c>
    </row>
    <row r="1015" spans="1:2">
      <c r="A1015" s="32">
        <v>1005</v>
      </c>
      <c r="B1015" s="90">
        <v>8.1115296120365858</v>
      </c>
    </row>
    <row r="1016" spans="1:2">
      <c r="A1016" s="32">
        <v>1006</v>
      </c>
      <c r="B1016" s="90">
        <v>8.1648643950755737</v>
      </c>
    </row>
    <row r="1017" spans="1:2">
      <c r="A1017" s="32">
        <v>1007</v>
      </c>
      <c r="B1017" s="90">
        <v>8.113599268348203</v>
      </c>
    </row>
    <row r="1018" spans="1:2">
      <c r="A1018" s="32">
        <v>1008</v>
      </c>
      <c r="B1018" s="90">
        <v>8.2052999316754072</v>
      </c>
    </row>
    <row r="1019" spans="1:2">
      <c r="A1019" s="32">
        <v>1009</v>
      </c>
      <c r="B1019" s="90">
        <v>7.6910355233346843</v>
      </c>
    </row>
    <row r="1020" spans="1:2">
      <c r="A1020" s="32">
        <v>1010</v>
      </c>
      <c r="B1020" s="90">
        <v>8.1624409700260081</v>
      </c>
    </row>
    <row r="1021" spans="1:2">
      <c r="A1021" s="32">
        <v>1011</v>
      </c>
      <c r="B1021" s="90">
        <v>7.5101240107344829</v>
      </c>
    </row>
    <row r="1022" spans="1:2">
      <c r="A1022" s="32">
        <v>1012</v>
      </c>
      <c r="B1022" s="90">
        <v>9.3796610564756939</v>
      </c>
    </row>
    <row r="1023" spans="1:2">
      <c r="A1023" s="32">
        <v>1013</v>
      </c>
      <c r="B1023" s="90">
        <v>8.0026852573509526</v>
      </c>
    </row>
    <row r="1024" spans="1:2">
      <c r="A1024" s="32">
        <v>1014</v>
      </c>
      <c r="B1024" s="90">
        <v>7.4650754837087874</v>
      </c>
    </row>
    <row r="1025" spans="1:2">
      <c r="A1025" s="32">
        <v>1015</v>
      </c>
      <c r="B1025" s="90">
        <v>8.041195560173545</v>
      </c>
    </row>
    <row r="1026" spans="1:2">
      <c r="A1026" s="32">
        <v>1016</v>
      </c>
      <c r="B1026" s="90">
        <v>7.820520653217101</v>
      </c>
    </row>
    <row r="1027" spans="1:2">
      <c r="A1027" s="32">
        <v>1017</v>
      </c>
      <c r="B1027" s="90">
        <v>7.9553475707178904</v>
      </c>
    </row>
    <row r="1028" spans="1:2">
      <c r="A1028" s="32">
        <v>1018</v>
      </c>
      <c r="B1028" s="90">
        <v>9.323001293657633</v>
      </c>
    </row>
    <row r="1029" spans="1:2">
      <c r="A1029" s="32">
        <v>1019</v>
      </c>
      <c r="B1029" s="90">
        <v>7.6501735986717474</v>
      </c>
    </row>
    <row r="1030" spans="1:2">
      <c r="A1030" s="32">
        <v>1020</v>
      </c>
      <c r="B1030" s="90">
        <v>7.8839489938767553</v>
      </c>
    </row>
    <row r="1031" spans="1:2">
      <c r="A1031" s="32">
        <v>1021</v>
      </c>
      <c r="B1031" s="90">
        <v>7.8526703625656253</v>
      </c>
    </row>
    <row r="1032" spans="1:2">
      <c r="A1032" s="32">
        <v>1022</v>
      </c>
      <c r="B1032" s="90">
        <v>7.8395226342806739</v>
      </c>
    </row>
    <row r="1033" spans="1:2">
      <c r="A1033" s="32">
        <v>1023</v>
      </c>
      <c r="B1033" s="90">
        <v>7.6696367641150269</v>
      </c>
    </row>
    <row r="1034" spans="1:2">
      <c r="A1034" s="32">
        <v>1024</v>
      </c>
      <c r="B1034" s="90">
        <v>9.4278498044095116</v>
      </c>
    </row>
    <row r="1035" spans="1:2">
      <c r="A1035" s="32">
        <v>1025</v>
      </c>
      <c r="B1035" s="90">
        <v>7.5286385194515013</v>
      </c>
    </row>
    <row r="1036" spans="1:2">
      <c r="A1036" s="32">
        <v>1026</v>
      </c>
      <c r="B1036" s="90">
        <v>8.0196555075572178</v>
      </c>
    </row>
    <row r="1037" spans="1:2">
      <c r="A1037" s="32">
        <v>1027</v>
      </c>
      <c r="B1037" s="90">
        <v>8.4845452210683803</v>
      </c>
    </row>
    <row r="1038" spans="1:2">
      <c r="A1038" s="32">
        <v>1028</v>
      </c>
      <c r="B1038" s="90">
        <v>7.4774159175894477</v>
      </c>
    </row>
    <row r="1039" spans="1:2">
      <c r="A1039" s="32">
        <v>1029</v>
      </c>
      <c r="B1039" s="90">
        <v>8.0056997685173688</v>
      </c>
    </row>
    <row r="1040" spans="1:2">
      <c r="A1040" s="32">
        <v>1030</v>
      </c>
      <c r="B1040" s="90">
        <v>8.5884501960707897</v>
      </c>
    </row>
    <row r="1041" spans="1:2">
      <c r="A1041" s="32">
        <v>1031</v>
      </c>
      <c r="B1041" s="90">
        <v>8.0188337499601552</v>
      </c>
    </row>
    <row r="1042" spans="1:2">
      <c r="A1042" s="32">
        <v>1032</v>
      </c>
      <c r="B1042" s="90">
        <v>7.8373300997421973</v>
      </c>
    </row>
    <row r="1043" spans="1:2">
      <c r="A1043" s="32">
        <v>1033</v>
      </c>
      <c r="B1043" s="90">
        <v>8.4066977558598079</v>
      </c>
    </row>
    <row r="1044" spans="1:2">
      <c r="A1044" s="32">
        <v>1034</v>
      </c>
      <c r="B1044" s="90">
        <v>8.2419197507049393</v>
      </c>
    </row>
    <row r="1045" spans="1:2">
      <c r="A1045" s="32">
        <v>1035</v>
      </c>
      <c r="B1045" s="90">
        <v>7.5607748558473604</v>
      </c>
    </row>
    <row r="1046" spans="1:2">
      <c r="A1046" s="32">
        <v>1036</v>
      </c>
      <c r="B1046" s="90">
        <v>8.2909389938723272</v>
      </c>
    </row>
    <row r="1047" spans="1:2">
      <c r="A1047" s="32">
        <v>1037</v>
      </c>
      <c r="B1047" s="90">
        <v>8.0463241580584413</v>
      </c>
    </row>
    <row r="1048" spans="1:2">
      <c r="A1048" s="32">
        <v>1038</v>
      </c>
      <c r="B1048" s="90">
        <v>7.7357809101952677</v>
      </c>
    </row>
    <row r="1049" spans="1:2">
      <c r="A1049" s="32">
        <v>1039</v>
      </c>
      <c r="B1049" s="90">
        <v>8.2161103856400395</v>
      </c>
    </row>
    <row r="1050" spans="1:2">
      <c r="A1050" s="32">
        <v>1040</v>
      </c>
      <c r="B1050" s="90">
        <v>7.704143703965288</v>
      </c>
    </row>
    <row r="1051" spans="1:2">
      <c r="A1051" s="32">
        <v>1041</v>
      </c>
      <c r="B1051" s="90">
        <v>9.0823667442745784</v>
      </c>
    </row>
    <row r="1052" spans="1:2">
      <c r="A1052" s="32">
        <v>1042</v>
      </c>
      <c r="B1052" s="90">
        <v>7.7496426276045938</v>
      </c>
    </row>
    <row r="1053" spans="1:2">
      <c r="A1053" s="32">
        <v>1043</v>
      </c>
      <c r="B1053" s="90">
        <v>7.9525521945613784</v>
      </c>
    </row>
    <row r="1054" spans="1:2">
      <c r="A1054" s="32">
        <v>1044</v>
      </c>
      <c r="B1054" s="90">
        <v>7.9509387293437079</v>
      </c>
    </row>
    <row r="1055" spans="1:2">
      <c r="A1055" s="32">
        <v>1045</v>
      </c>
      <c r="B1055" s="90">
        <v>7.9419908843218145</v>
      </c>
    </row>
    <row r="1056" spans="1:2">
      <c r="A1056" s="32">
        <v>1046</v>
      </c>
      <c r="B1056" s="90">
        <v>7.6513080357945213</v>
      </c>
    </row>
    <row r="1057" spans="1:2">
      <c r="A1057" s="32">
        <v>1047</v>
      </c>
      <c r="B1057" s="90">
        <v>9.2304903927569768</v>
      </c>
    </row>
    <row r="1058" spans="1:2">
      <c r="A1058" s="32">
        <v>1048</v>
      </c>
      <c r="B1058" s="90">
        <v>7.9726865156974451</v>
      </c>
    </row>
    <row r="1059" spans="1:2">
      <c r="A1059" s="32">
        <v>1049</v>
      </c>
      <c r="B1059" s="90">
        <v>7.5222003060581333</v>
      </c>
    </row>
    <row r="1060" spans="1:2">
      <c r="A1060" s="32">
        <v>1050</v>
      </c>
      <c r="B1060" s="90">
        <v>8.3164941471806983</v>
      </c>
    </row>
    <row r="1061" spans="1:2">
      <c r="A1061" s="32">
        <v>1051</v>
      </c>
      <c r="B1061" s="90">
        <v>7.7141930065893396</v>
      </c>
    </row>
    <row r="1062" spans="1:2">
      <c r="A1062" s="32">
        <v>1052</v>
      </c>
      <c r="B1062" s="90">
        <v>7.7717851977879375</v>
      </c>
    </row>
    <row r="1063" spans="1:2">
      <c r="A1063" s="32">
        <v>1053</v>
      </c>
      <c r="B1063" s="90">
        <v>9.4120510760961693</v>
      </c>
    </row>
    <row r="1064" spans="1:2">
      <c r="A1064" s="32">
        <v>1054</v>
      </c>
      <c r="B1064" s="90">
        <v>7.6524111205769367</v>
      </c>
    </row>
    <row r="1065" spans="1:2">
      <c r="A1065" s="32">
        <v>1055</v>
      </c>
      <c r="B1065" s="90">
        <v>7.7242547795939211</v>
      </c>
    </row>
    <row r="1066" spans="1:2">
      <c r="A1066" s="32">
        <v>1056</v>
      </c>
      <c r="B1066" s="90">
        <v>8.3206412018428484</v>
      </c>
    </row>
    <row r="1067" spans="1:2">
      <c r="A1067" s="32">
        <v>1057</v>
      </c>
      <c r="B1067" s="90">
        <v>8.2675494200366551</v>
      </c>
    </row>
    <row r="1068" spans="1:2">
      <c r="A1068" s="32">
        <v>1058</v>
      </c>
      <c r="B1068" s="90">
        <v>8.3407507331380231</v>
      </c>
    </row>
    <row r="1069" spans="1:2">
      <c r="A1069" s="32">
        <v>1059</v>
      </c>
      <c r="B1069" s="90">
        <v>8.4641322556157021</v>
      </c>
    </row>
    <row r="1070" spans="1:2">
      <c r="A1070" s="32">
        <v>1060</v>
      </c>
      <c r="B1070" s="90">
        <v>7.4842688750887065</v>
      </c>
    </row>
    <row r="1071" spans="1:2">
      <c r="A1071" s="32">
        <v>1061</v>
      </c>
      <c r="B1071" s="90">
        <v>7.0715155941086172</v>
      </c>
    </row>
    <row r="1072" spans="1:2">
      <c r="A1072" s="32">
        <v>1062</v>
      </c>
      <c r="B1072" s="90">
        <v>8.6644271097916974</v>
      </c>
    </row>
    <row r="1073" spans="1:2">
      <c r="A1073" s="32">
        <v>1063</v>
      </c>
      <c r="B1073" s="90">
        <v>8.3758002297312348</v>
      </c>
    </row>
    <row r="1074" spans="1:2">
      <c r="A1074" s="32">
        <v>1064</v>
      </c>
      <c r="B1074" s="90">
        <v>8.1973402859343061</v>
      </c>
    </row>
    <row r="1075" spans="1:2">
      <c r="A1075" s="32">
        <v>1065</v>
      </c>
      <c r="B1075" s="90">
        <v>7.7049533644550889</v>
      </c>
    </row>
    <row r="1076" spans="1:2">
      <c r="A1076" s="32">
        <v>1066</v>
      </c>
      <c r="B1076" s="90">
        <v>8.1788867046826361</v>
      </c>
    </row>
    <row r="1077" spans="1:2">
      <c r="A1077" s="32">
        <v>1067</v>
      </c>
      <c r="B1077" s="90">
        <v>7.4664752010687385</v>
      </c>
    </row>
    <row r="1078" spans="1:2">
      <c r="A1078" s="32">
        <v>1068</v>
      </c>
      <c r="B1078" s="90">
        <v>7.819859704373199</v>
      </c>
    </row>
    <row r="1079" spans="1:2">
      <c r="A1079" s="32">
        <v>1069</v>
      </c>
      <c r="B1079" s="90">
        <v>8.3961279196266627</v>
      </c>
    </row>
    <row r="1080" spans="1:2">
      <c r="A1080" s="32">
        <v>1070</v>
      </c>
      <c r="B1080" s="90">
        <v>8.5462593946027692</v>
      </c>
    </row>
    <row r="1081" spans="1:2">
      <c r="A1081" s="32">
        <v>1071</v>
      </c>
      <c r="B1081" s="90">
        <v>7.008725772803337</v>
      </c>
    </row>
    <row r="1082" spans="1:2">
      <c r="A1082" s="32">
        <v>1072</v>
      </c>
      <c r="B1082" s="90">
        <v>8.7033770226799625</v>
      </c>
    </row>
    <row r="1083" spans="1:2">
      <c r="A1083" s="32">
        <v>1073</v>
      </c>
      <c r="B1083" s="90">
        <v>7.328423500346549</v>
      </c>
    </row>
    <row r="1084" spans="1:2">
      <c r="A1084" s="32">
        <v>1074</v>
      </c>
      <c r="B1084" s="90">
        <v>8.2957785864380256</v>
      </c>
    </row>
    <row r="1085" spans="1:2">
      <c r="A1085" s="32">
        <v>1075</v>
      </c>
      <c r="B1085" s="90">
        <v>8.3975539181347489</v>
      </c>
    </row>
    <row r="1086" spans="1:2">
      <c r="A1086" s="32">
        <v>1076</v>
      </c>
      <c r="B1086" s="90">
        <v>8.1848150940456055</v>
      </c>
    </row>
    <row r="1087" spans="1:2">
      <c r="A1087" s="32">
        <v>1077</v>
      </c>
      <c r="B1087" s="90">
        <v>7.199990282339936</v>
      </c>
    </row>
    <row r="1088" spans="1:2">
      <c r="A1088" s="32">
        <v>1078</v>
      </c>
      <c r="B1088" s="90">
        <v>8.0031621821181691</v>
      </c>
    </row>
    <row r="1089" spans="1:2">
      <c r="A1089" s="32">
        <v>1079</v>
      </c>
      <c r="B1089" s="90">
        <v>7.7574937886728774</v>
      </c>
    </row>
    <row r="1090" spans="1:2">
      <c r="A1090" s="32">
        <v>1080</v>
      </c>
      <c r="B1090" s="90">
        <v>8.6692910795451237</v>
      </c>
    </row>
    <row r="1091" spans="1:2">
      <c r="A1091" s="32">
        <v>1081</v>
      </c>
      <c r="B1091" s="90">
        <v>8.5552756852145535</v>
      </c>
    </row>
    <row r="1092" spans="1:2">
      <c r="A1092" s="32">
        <v>1082</v>
      </c>
      <c r="B1092" s="90">
        <v>7.9464417526661038</v>
      </c>
    </row>
    <row r="1093" spans="1:2">
      <c r="A1093" s="32">
        <v>1083</v>
      </c>
      <c r="B1093" s="90">
        <v>7.0320073697407146</v>
      </c>
    </row>
    <row r="1094" spans="1:2">
      <c r="A1094" s="32">
        <v>1084</v>
      </c>
      <c r="B1094" s="90">
        <v>7.9062319415333491</v>
      </c>
    </row>
    <row r="1095" spans="1:2">
      <c r="A1095" s="32">
        <v>1085</v>
      </c>
      <c r="B1095" s="90">
        <v>8.0503432937882611</v>
      </c>
    </row>
    <row r="1096" spans="1:2">
      <c r="A1096" s="32">
        <v>1086</v>
      </c>
      <c r="B1096" s="90">
        <v>8.0708639993779343</v>
      </c>
    </row>
    <row r="1097" spans="1:2">
      <c r="A1097" s="32">
        <v>1087</v>
      </c>
      <c r="B1097" s="90">
        <v>8.448533523350461</v>
      </c>
    </row>
    <row r="1098" spans="1:2">
      <c r="A1098" s="32">
        <v>1088</v>
      </c>
      <c r="B1098" s="90">
        <v>8.5720485209140058</v>
      </c>
    </row>
    <row r="1099" spans="1:2">
      <c r="A1099" s="32">
        <v>1089</v>
      </c>
      <c r="B1099" s="90">
        <v>7.2537906302632624</v>
      </c>
    </row>
    <row r="1100" spans="1:2">
      <c r="A1100" s="32">
        <v>1090</v>
      </c>
      <c r="B1100" s="90">
        <v>7.4157886297966789</v>
      </c>
    </row>
    <row r="1101" spans="1:2">
      <c r="A1101" s="32">
        <v>1091</v>
      </c>
      <c r="B1101" s="90">
        <v>8.1701700562550243</v>
      </c>
    </row>
    <row r="1102" spans="1:2">
      <c r="A1102" s="32">
        <v>1092</v>
      </c>
      <c r="B1102" s="90">
        <v>8.1369254537269562</v>
      </c>
    </row>
    <row r="1103" spans="1:2">
      <c r="A1103" s="32">
        <v>1093</v>
      </c>
      <c r="B1103" s="90">
        <v>8.6961697516584771</v>
      </c>
    </row>
    <row r="1104" spans="1:2">
      <c r="A1104" s="32">
        <v>1094</v>
      </c>
      <c r="B1104" s="90">
        <v>8.0259969563003537</v>
      </c>
    </row>
    <row r="1105" spans="1:2">
      <c r="A1105" s="32">
        <v>1095</v>
      </c>
      <c r="B1105" s="90">
        <v>7.8324804754721367</v>
      </c>
    </row>
    <row r="1106" spans="1:2">
      <c r="A1106" s="32">
        <v>1096</v>
      </c>
      <c r="B1106" s="90">
        <v>7.324249754116761</v>
      </c>
    </row>
    <row r="1107" spans="1:2">
      <c r="A1107" s="32">
        <v>1097</v>
      </c>
      <c r="B1107" s="90">
        <v>8.1338089140311798</v>
      </c>
    </row>
    <row r="1108" spans="1:2">
      <c r="A1108" s="32">
        <v>1098</v>
      </c>
      <c r="B1108" s="90">
        <v>8.5625474284215599</v>
      </c>
    </row>
    <row r="1109" spans="1:2">
      <c r="A1109" s="32">
        <v>1099</v>
      </c>
      <c r="B1109" s="90">
        <v>8.114406428472952</v>
      </c>
    </row>
    <row r="1110" spans="1:2">
      <c r="A1110" s="32">
        <v>1100</v>
      </c>
      <c r="B1110" s="90">
        <v>7.4065126423515171</v>
      </c>
    </row>
    <row r="1111" spans="1:2">
      <c r="A1111" s="32">
        <v>1101</v>
      </c>
      <c r="B1111" s="90">
        <v>8.1853152012811172</v>
      </c>
    </row>
    <row r="1112" spans="1:2">
      <c r="A1112" s="32">
        <v>1102</v>
      </c>
      <c r="B1112" s="90">
        <v>7.6159590897277418</v>
      </c>
    </row>
    <row r="1113" spans="1:2">
      <c r="A1113" s="32">
        <v>1103</v>
      </c>
      <c r="B1113" s="90">
        <v>8.0395706111171137</v>
      </c>
    </row>
    <row r="1114" spans="1:2">
      <c r="A1114" s="32">
        <v>1104</v>
      </c>
      <c r="B1114" s="90">
        <v>8.4146754017867149</v>
      </c>
    </row>
    <row r="1115" spans="1:2">
      <c r="A1115" s="32">
        <v>1105</v>
      </c>
      <c r="B1115" s="90">
        <v>8.381947169745704</v>
      </c>
    </row>
    <row r="1116" spans="1:2">
      <c r="A1116" s="32">
        <v>1106</v>
      </c>
      <c r="B1116" s="90">
        <v>6.9190735031551931</v>
      </c>
    </row>
    <row r="1117" spans="1:2">
      <c r="A1117" s="32">
        <v>1107</v>
      </c>
      <c r="B1117" s="90">
        <v>8.5135875945475803</v>
      </c>
    </row>
    <row r="1118" spans="1:2">
      <c r="A1118" s="32">
        <v>1108</v>
      </c>
      <c r="B1118" s="90">
        <v>7.4410757398155019</v>
      </c>
    </row>
    <row r="1119" spans="1:2">
      <c r="A1119" s="32">
        <v>1109</v>
      </c>
      <c r="B1119" s="90">
        <v>8.3515813951428761</v>
      </c>
    </row>
    <row r="1120" spans="1:2">
      <c r="A1120" s="32">
        <v>1110</v>
      </c>
      <c r="B1120" s="90">
        <v>8.6575257732702831</v>
      </c>
    </row>
    <row r="1121" spans="1:2">
      <c r="A1121" s="32">
        <v>1111</v>
      </c>
      <c r="B1121" s="90">
        <v>8.2020320558225812</v>
      </c>
    </row>
    <row r="1122" spans="1:2">
      <c r="A1122" s="32">
        <v>1112</v>
      </c>
      <c r="B1122" s="90">
        <v>6.9373666504860969</v>
      </c>
    </row>
    <row r="1123" spans="1:2">
      <c r="A1123" s="32">
        <v>1113</v>
      </c>
      <c r="B1123" s="90">
        <v>8.1068945844323856</v>
      </c>
    </row>
    <row r="1124" spans="1:2">
      <c r="A1124" s="32">
        <v>1114</v>
      </c>
      <c r="B1124" s="90">
        <v>7.7688830081802926</v>
      </c>
    </row>
    <row r="1125" spans="1:2">
      <c r="A1125" s="32">
        <v>1115</v>
      </c>
      <c r="B1125" s="90">
        <v>8.3960890400051618</v>
      </c>
    </row>
    <row r="1126" spans="1:2">
      <c r="A1126" s="32">
        <v>1116</v>
      </c>
      <c r="B1126" s="90">
        <v>8.6249500312405232</v>
      </c>
    </row>
    <row r="1127" spans="1:2">
      <c r="A1127" s="32">
        <v>1117</v>
      </c>
      <c r="B1127" s="90">
        <v>8.1335498454681652</v>
      </c>
    </row>
    <row r="1128" spans="1:2">
      <c r="A1128" s="32">
        <v>1118</v>
      </c>
      <c r="B1128" s="90">
        <v>7.211676864946206</v>
      </c>
    </row>
    <row r="1129" spans="1:2">
      <c r="A1129" s="32">
        <v>1119</v>
      </c>
      <c r="B1129" s="90">
        <v>7.4756968730676974</v>
      </c>
    </row>
    <row r="1130" spans="1:2">
      <c r="A1130" s="32">
        <v>1120</v>
      </c>
      <c r="B1130" s="90">
        <v>8.2683403488383842</v>
      </c>
    </row>
    <row r="1131" spans="1:2">
      <c r="A1131" s="32">
        <v>1121</v>
      </c>
      <c r="B1131" s="90">
        <v>8.2675494200366551</v>
      </c>
    </row>
    <row r="1132" spans="1:2">
      <c r="A1132" s="32">
        <v>1122</v>
      </c>
      <c r="B1132" s="90">
        <v>8.3407507331380231</v>
      </c>
    </row>
    <row r="1133" spans="1:2">
      <c r="A1133" s="32">
        <v>1123</v>
      </c>
      <c r="B1133" s="90">
        <v>8.4641322556157021</v>
      </c>
    </row>
    <row r="1134" spans="1:2">
      <c r="A1134" s="32">
        <v>1124</v>
      </c>
      <c r="B1134" s="90">
        <v>7.4842688750887065</v>
      </c>
    </row>
    <row r="1135" spans="1:2">
      <c r="A1135" s="32">
        <v>1125</v>
      </c>
      <c r="B1135" s="90">
        <v>7.0715155941086172</v>
      </c>
    </row>
    <row r="1136" spans="1:2">
      <c r="A1136" s="32">
        <v>1126</v>
      </c>
      <c r="B1136" s="90">
        <v>8.6644271097916974</v>
      </c>
    </row>
    <row r="1137" spans="1:2">
      <c r="A1137" s="32">
        <v>1127</v>
      </c>
      <c r="B1137" s="90">
        <v>8.3758002297312348</v>
      </c>
    </row>
    <row r="1138" spans="1:2">
      <c r="A1138" s="32">
        <v>1128</v>
      </c>
      <c r="B1138" s="90">
        <v>8.1973402859343061</v>
      </c>
    </row>
    <row r="1139" spans="1:2">
      <c r="A1139" s="32">
        <v>1129</v>
      </c>
      <c r="B1139" s="90">
        <v>7.7049533644550889</v>
      </c>
    </row>
    <row r="1140" spans="1:2">
      <c r="A1140" s="32">
        <v>1130</v>
      </c>
      <c r="B1140" s="90">
        <v>8.1788867046826361</v>
      </c>
    </row>
    <row r="1141" spans="1:2">
      <c r="A1141" s="32">
        <v>1131</v>
      </c>
      <c r="B1141" s="90">
        <v>7.4664752010687385</v>
      </c>
    </row>
    <row r="1142" spans="1:2">
      <c r="A1142" s="32">
        <v>1132</v>
      </c>
      <c r="B1142" s="90">
        <v>7.819859704373199</v>
      </c>
    </row>
    <row r="1143" spans="1:2">
      <c r="A1143" s="32">
        <v>1133</v>
      </c>
      <c r="B1143" s="90">
        <v>8.3961279196266627</v>
      </c>
    </row>
    <row r="1144" spans="1:2">
      <c r="A1144" s="32">
        <v>1134</v>
      </c>
      <c r="B1144" s="90">
        <v>8.5462593946027692</v>
      </c>
    </row>
    <row r="1145" spans="1:2">
      <c r="A1145" s="32">
        <v>1135</v>
      </c>
      <c r="B1145" s="90">
        <v>7.008725772803337</v>
      </c>
    </row>
    <row r="1146" spans="1:2">
      <c r="A1146" s="32">
        <v>1136</v>
      </c>
      <c r="B1146" s="90">
        <v>8.7033770226799625</v>
      </c>
    </row>
    <row r="1147" spans="1:2">
      <c r="A1147" s="32">
        <v>1137</v>
      </c>
      <c r="B1147" s="90">
        <v>7.328423500346549</v>
      </c>
    </row>
    <row r="1148" spans="1:2">
      <c r="A1148" s="32">
        <v>1138</v>
      </c>
      <c r="B1148" s="90">
        <v>8.2957785864380256</v>
      </c>
    </row>
    <row r="1149" spans="1:2">
      <c r="A1149" s="32">
        <v>1139</v>
      </c>
      <c r="B1149" s="90">
        <v>8.3975539181347489</v>
      </c>
    </row>
    <row r="1150" spans="1:2">
      <c r="A1150" s="32">
        <v>1140</v>
      </c>
      <c r="B1150" s="90">
        <v>8.1848150940456055</v>
      </c>
    </row>
    <row r="1151" spans="1:2">
      <c r="A1151" s="32">
        <v>1141</v>
      </c>
      <c r="B1151" s="90">
        <v>7.199990282339936</v>
      </c>
    </row>
    <row r="1152" spans="1:2">
      <c r="A1152" s="32">
        <v>1142</v>
      </c>
      <c r="B1152" s="90">
        <v>8.0031621821181691</v>
      </c>
    </row>
    <row r="1153" spans="1:2">
      <c r="A1153" s="32">
        <v>1143</v>
      </c>
      <c r="B1153" s="90">
        <v>7.7574937886728774</v>
      </c>
    </row>
    <row r="1154" spans="1:2">
      <c r="A1154" s="32">
        <v>1144</v>
      </c>
      <c r="B1154" s="90">
        <v>8.6692910795451237</v>
      </c>
    </row>
    <row r="1155" spans="1:2">
      <c r="A1155" s="32">
        <v>1145</v>
      </c>
      <c r="B1155" s="90">
        <v>8.5552756852145535</v>
      </c>
    </row>
    <row r="1156" spans="1:2">
      <c r="A1156" s="32">
        <v>1146</v>
      </c>
      <c r="B1156" s="90">
        <v>7.9464417526661038</v>
      </c>
    </row>
    <row r="1157" spans="1:2">
      <c r="A1157" s="32">
        <v>1147</v>
      </c>
      <c r="B1157" s="90">
        <v>7.0320073697407146</v>
      </c>
    </row>
    <row r="1158" spans="1:2">
      <c r="A1158" s="32">
        <v>1148</v>
      </c>
      <c r="B1158" s="90">
        <v>8.8967734785999895</v>
      </c>
    </row>
    <row r="1159" spans="1:2">
      <c r="A1159" s="32">
        <v>1149</v>
      </c>
      <c r="B1159" s="90">
        <v>8.3298913616301231</v>
      </c>
    </row>
    <row r="1160" spans="1:2">
      <c r="A1160" s="32">
        <v>1150</v>
      </c>
      <c r="B1160" s="90">
        <v>8.9839609858695777</v>
      </c>
    </row>
    <row r="1161" spans="1:2">
      <c r="A1161" s="32">
        <v>1151</v>
      </c>
      <c r="B1161" s="90">
        <v>7.9562258263322452</v>
      </c>
    </row>
    <row r="1162" spans="1:2">
      <c r="A1162" s="32">
        <v>1152</v>
      </c>
      <c r="B1162" s="90">
        <v>7.616893296325558</v>
      </c>
    </row>
    <row r="1163" spans="1:2">
      <c r="A1163" s="32">
        <v>1153</v>
      </c>
      <c r="B1163" s="90">
        <v>7.6987597794926863</v>
      </c>
    </row>
    <row r="1164" spans="1:2">
      <c r="A1164" s="32">
        <v>1154</v>
      </c>
      <c r="B1164" s="90">
        <v>7.8657239569456303</v>
      </c>
    </row>
    <row r="1165" spans="1:2">
      <c r="A1165" s="32">
        <v>1155</v>
      </c>
      <c r="B1165" s="90">
        <v>9.5155919657587091</v>
      </c>
    </row>
    <row r="1166" spans="1:2">
      <c r="A1166" s="32">
        <v>1156</v>
      </c>
      <c r="B1166" s="90">
        <v>7.6998840273364033</v>
      </c>
    </row>
    <row r="1167" spans="1:2">
      <c r="A1167" s="32">
        <v>1157</v>
      </c>
      <c r="B1167" s="90">
        <v>8.4526240548093803</v>
      </c>
    </row>
    <row r="1168" spans="1:2">
      <c r="A1168" s="32">
        <v>1158</v>
      </c>
      <c r="B1168" s="90">
        <v>7.2157471641265127</v>
      </c>
    </row>
    <row r="1169" spans="1:2">
      <c r="A1169" s="32">
        <v>1159</v>
      </c>
      <c r="B1169" s="90">
        <v>7.8537589408149229</v>
      </c>
    </row>
    <row r="1170" spans="1:2">
      <c r="A1170" s="32">
        <v>1160</v>
      </c>
      <c r="B1170" s="90">
        <v>8.0836467644625856</v>
      </c>
    </row>
    <row r="1171" spans="1:2">
      <c r="A1171" s="32">
        <v>1161</v>
      </c>
      <c r="B1171" s="90">
        <v>9.5368613165388165</v>
      </c>
    </row>
    <row r="1172" spans="1:2">
      <c r="A1172" s="32">
        <v>1162</v>
      </c>
      <c r="B1172" s="90">
        <v>7.5343877357923086</v>
      </c>
    </row>
    <row r="1173" spans="1:2">
      <c r="A1173" s="32">
        <v>1163</v>
      </c>
      <c r="B1173" s="90">
        <v>8.2362756480425467</v>
      </c>
    </row>
    <row r="1174" spans="1:2">
      <c r="A1174" s="32">
        <v>1164</v>
      </c>
      <c r="B1174" s="90">
        <v>7.5522999037318499</v>
      </c>
    </row>
    <row r="1175" spans="1:2">
      <c r="A1175" s="32">
        <v>1165</v>
      </c>
      <c r="B1175" s="90">
        <v>7.8223722777554245</v>
      </c>
    </row>
    <row r="1176" spans="1:2">
      <c r="A1176" s="32">
        <v>1166</v>
      </c>
      <c r="B1176" s="90">
        <v>8.3294979526074133</v>
      </c>
    </row>
    <row r="1177" spans="1:2">
      <c r="A1177" s="32">
        <v>1167</v>
      </c>
      <c r="B1177" s="90">
        <v>8.9485750834483415</v>
      </c>
    </row>
    <row r="1178" spans="1:2">
      <c r="A1178" s="32">
        <v>1168</v>
      </c>
      <c r="B1178" s="90">
        <v>7.8040604819397759</v>
      </c>
    </row>
    <row r="1179" spans="1:2">
      <c r="A1179" s="32">
        <v>1169</v>
      </c>
      <c r="B1179" s="90">
        <v>8.0989490071382413</v>
      </c>
    </row>
    <row r="1180" spans="1:2">
      <c r="A1180" s="32">
        <v>1170</v>
      </c>
      <c r="B1180" s="90">
        <v>7.6197029708807404</v>
      </c>
    </row>
    <row r="1181" spans="1:2">
      <c r="A1181" s="32">
        <v>1171</v>
      </c>
      <c r="B1181" s="90">
        <v>7.8154321819976609</v>
      </c>
    </row>
    <row r="1182" spans="1:2">
      <c r="A1182" s="32">
        <v>1172</v>
      </c>
      <c r="B1182" s="90">
        <v>8.4127929133206703</v>
      </c>
    </row>
    <row r="1183" spans="1:2">
      <c r="A1183" s="32">
        <v>1173</v>
      </c>
      <c r="B1183" s="90">
        <v>9.0247909872156722</v>
      </c>
    </row>
    <row r="1184" spans="1:2">
      <c r="A1184" s="32">
        <v>1174</v>
      </c>
      <c r="B1184" s="90">
        <v>7.8600658372984347</v>
      </c>
    </row>
    <row r="1185" spans="1:2">
      <c r="A1185" s="32">
        <v>1175</v>
      </c>
      <c r="B1185" s="90">
        <v>7.8822162293199218</v>
      </c>
    </row>
    <row r="1186" spans="1:2">
      <c r="A1186" s="32">
        <v>1176</v>
      </c>
      <c r="B1186" s="90">
        <v>7.9742078153146716</v>
      </c>
    </row>
    <row r="1187" spans="1:2">
      <c r="A1187" s="32">
        <v>1177</v>
      </c>
      <c r="B1187" s="90">
        <v>7.586805570879636</v>
      </c>
    </row>
    <row r="1188" spans="1:2">
      <c r="A1188" s="32">
        <v>1178</v>
      </c>
      <c r="B1188" s="90">
        <v>8.4994595510098616</v>
      </c>
    </row>
    <row r="1189" spans="1:2">
      <c r="A1189" s="32">
        <v>1179</v>
      </c>
      <c r="B1189" s="90">
        <v>8.8069552528305799</v>
      </c>
    </row>
    <row r="1190" spans="1:2">
      <c r="A1190" s="32">
        <v>1180</v>
      </c>
      <c r="B1190" s="90">
        <v>7.798320734776337</v>
      </c>
    </row>
    <row r="1191" spans="1:2">
      <c r="A1191" s="32">
        <v>1181</v>
      </c>
      <c r="B1191" s="90">
        <v>7.7902708240306993</v>
      </c>
    </row>
    <row r="1192" spans="1:2">
      <c r="A1192" s="32">
        <v>1182</v>
      </c>
      <c r="B1192" s="90">
        <v>7.9082168063959486</v>
      </c>
    </row>
    <row r="1193" spans="1:2">
      <c r="A1193" s="32">
        <v>1183</v>
      </c>
      <c r="B1193" s="90">
        <v>7.8853239820803935</v>
      </c>
    </row>
    <row r="1194" spans="1:2">
      <c r="A1194" s="32">
        <v>1184</v>
      </c>
      <c r="B1194" s="90">
        <v>8.9014868470280835</v>
      </c>
    </row>
    <row r="1195" spans="1:2">
      <c r="A1195" s="32">
        <v>1185</v>
      </c>
      <c r="B1195" s="90">
        <v>8.3244270202147437</v>
      </c>
    </row>
    <row r="1196" spans="1:2">
      <c r="A1196" s="32">
        <v>1186</v>
      </c>
      <c r="B1196" s="90">
        <v>8.3175092687154955</v>
      </c>
    </row>
    <row r="1197" spans="1:2">
      <c r="A1197" s="32">
        <v>1187</v>
      </c>
      <c r="B1197" s="90">
        <v>7.2345917636596671</v>
      </c>
    </row>
    <row r="1198" spans="1:2">
      <c r="A1198" s="32">
        <v>1188</v>
      </c>
      <c r="B1198" s="90">
        <v>7.5590954936255352</v>
      </c>
    </row>
    <row r="1199" spans="1:2">
      <c r="A1199" s="32">
        <v>1189</v>
      </c>
      <c r="B1199" s="90">
        <v>7.911943235472406</v>
      </c>
    </row>
    <row r="1200" spans="1:2">
      <c r="A1200" s="32">
        <v>1190</v>
      </c>
      <c r="B1200" s="90">
        <v>9.96700500439451</v>
      </c>
    </row>
    <row r="1201" spans="1:2">
      <c r="A1201" s="32">
        <v>1191</v>
      </c>
      <c r="B1201" s="90">
        <v>7.4205287450911426</v>
      </c>
    </row>
    <row r="1202" spans="1:2">
      <c r="A1202" s="32">
        <v>1192</v>
      </c>
      <c r="B1202" s="90">
        <v>8.3933295903546803</v>
      </c>
    </row>
    <row r="1203" spans="1:2">
      <c r="A1203" s="32">
        <v>1193</v>
      </c>
      <c r="B1203" s="90">
        <v>7.3622910616135897</v>
      </c>
    </row>
    <row r="1204" spans="1:2">
      <c r="A1204" s="32">
        <v>1194</v>
      </c>
      <c r="B1204" s="90">
        <v>8.0336035865839808</v>
      </c>
    </row>
    <row r="1205" spans="1:2">
      <c r="A1205" s="32">
        <v>1195</v>
      </c>
      <c r="B1205" s="90">
        <v>8.0677240366691834</v>
      </c>
    </row>
    <row r="1206" spans="1:2">
      <c r="A1206" s="32">
        <v>1196</v>
      </c>
      <c r="B1206" s="90">
        <v>9.452874282262508</v>
      </c>
    </row>
    <row r="1207" spans="1:2">
      <c r="A1207" s="32">
        <v>1197</v>
      </c>
      <c r="B1207" s="90">
        <v>7.5269996707730931</v>
      </c>
    </row>
    <row r="1208" spans="1:2">
      <c r="A1208" s="32">
        <v>1198</v>
      </c>
      <c r="B1208" s="90">
        <v>8.1018638175854711</v>
      </c>
    </row>
    <row r="1209" spans="1:2">
      <c r="A1209" s="32">
        <v>1199</v>
      </c>
      <c r="B1209" s="90">
        <v>7.5868512358497311</v>
      </c>
    </row>
    <row r="1210" spans="1:2">
      <c r="A1210" s="32">
        <v>1200</v>
      </c>
      <c r="B1210" s="90">
        <v>7.8800421268888421</v>
      </c>
    </row>
    <row r="1211" spans="1:2">
      <c r="A1211" s="32">
        <v>1201</v>
      </c>
      <c r="B1211" s="90">
        <v>8.2773905815623507</v>
      </c>
    </row>
    <row r="1212" spans="1:2">
      <c r="A1212" s="32">
        <v>1202</v>
      </c>
      <c r="B1212" s="90">
        <v>8.9921922767692148</v>
      </c>
    </row>
    <row r="1213" spans="1:2">
      <c r="A1213" s="32">
        <v>1203</v>
      </c>
      <c r="B1213" s="90">
        <v>7.7545904624470241</v>
      </c>
    </row>
    <row r="1214" spans="1:2">
      <c r="A1214" s="32">
        <v>1204</v>
      </c>
      <c r="B1214" s="90">
        <v>8.0911084220365073</v>
      </c>
    </row>
    <row r="1215" spans="1:2">
      <c r="A1215" s="32">
        <v>1205</v>
      </c>
      <c r="B1215" s="90">
        <v>7.7652131180496564</v>
      </c>
    </row>
    <row r="1216" spans="1:2">
      <c r="A1216" s="32">
        <v>1206</v>
      </c>
      <c r="B1216" s="90">
        <v>7.7814020353880977</v>
      </c>
    </row>
    <row r="1217" spans="1:2">
      <c r="A1217" s="32">
        <v>1207</v>
      </c>
      <c r="B1217" s="90">
        <v>8.6397545306312704</v>
      </c>
    </row>
    <row r="1218" spans="1:2">
      <c r="A1218" s="32">
        <v>1208</v>
      </c>
      <c r="B1218" s="90">
        <v>8.5997919960853029</v>
      </c>
    </row>
    <row r="1219" spans="1:2">
      <c r="A1219" s="32">
        <v>1209</v>
      </c>
      <c r="B1219" s="90">
        <v>7.8080710536383657</v>
      </c>
    </row>
    <row r="1220" spans="1:2">
      <c r="A1220" s="32">
        <v>1210</v>
      </c>
      <c r="B1220" s="90">
        <v>8.1218672291771608</v>
      </c>
    </row>
    <row r="1221" spans="1:2">
      <c r="A1221" s="32">
        <v>1211</v>
      </c>
      <c r="B1221" s="90">
        <v>7.6387857848856031</v>
      </c>
    </row>
    <row r="1222" spans="1:2">
      <c r="A1222" s="32">
        <v>1212</v>
      </c>
      <c r="B1222" s="90">
        <v>7.8535729041416218</v>
      </c>
    </row>
    <row r="1223" spans="1:2">
      <c r="A1223" s="32">
        <v>1213</v>
      </c>
      <c r="B1223" s="90">
        <v>8.3298913616301231</v>
      </c>
    </row>
    <row r="1224" spans="1:2">
      <c r="A1224" s="32">
        <v>1214</v>
      </c>
      <c r="B1224" s="90">
        <v>8.9839609858695777</v>
      </c>
    </row>
    <row r="1225" spans="1:2">
      <c r="A1225" s="32">
        <v>1215</v>
      </c>
      <c r="B1225" s="90">
        <v>7.9562258263322452</v>
      </c>
    </row>
    <row r="1226" spans="1:2">
      <c r="A1226" s="32">
        <v>1216</v>
      </c>
      <c r="B1226" s="90">
        <v>7.616893296325558</v>
      </c>
    </row>
    <row r="1227" spans="1:2">
      <c r="A1227" s="32">
        <v>1217</v>
      </c>
      <c r="B1227" s="90">
        <v>7.6987597794926863</v>
      </c>
    </row>
    <row r="1228" spans="1:2">
      <c r="A1228" s="32">
        <v>1218</v>
      </c>
      <c r="B1228" s="90">
        <v>7.8657239569456303</v>
      </c>
    </row>
    <row r="1229" spans="1:2">
      <c r="A1229" s="32">
        <v>1219</v>
      </c>
      <c r="B1229" s="90">
        <v>9.5155919657587091</v>
      </c>
    </row>
    <row r="1230" spans="1:2">
      <c r="A1230" s="32">
        <v>1220</v>
      </c>
      <c r="B1230" s="90">
        <v>7.6998840273364033</v>
      </c>
    </row>
    <row r="1231" spans="1:2">
      <c r="A1231" s="32">
        <v>1221</v>
      </c>
      <c r="B1231" s="90">
        <v>8.4526240548093803</v>
      </c>
    </row>
    <row r="1232" spans="1:2">
      <c r="A1232" s="32">
        <v>1222</v>
      </c>
      <c r="B1232" s="90">
        <v>7.2157471641265127</v>
      </c>
    </row>
    <row r="1233" spans="1:2">
      <c r="A1233" s="32">
        <v>1223</v>
      </c>
      <c r="B1233" s="90">
        <v>7.8537589408149229</v>
      </c>
    </row>
    <row r="1234" spans="1:2">
      <c r="A1234" s="32">
        <v>1224</v>
      </c>
      <c r="B1234" s="90">
        <v>8.0836467644625856</v>
      </c>
    </row>
    <row r="1235" spans="1:2">
      <c r="A1235" s="32">
        <v>1225</v>
      </c>
      <c r="B1235" s="90">
        <v>9.5368613165388165</v>
      </c>
    </row>
    <row r="1236" spans="1:2">
      <c r="A1236" s="32">
        <v>1226</v>
      </c>
      <c r="B1236" s="90">
        <v>7.5343877357923086</v>
      </c>
    </row>
    <row r="1237" spans="1:2">
      <c r="A1237" s="32">
        <v>1227</v>
      </c>
      <c r="B1237" s="90">
        <v>8.2362756480425467</v>
      </c>
    </row>
    <row r="1238" spans="1:2">
      <c r="A1238" s="32">
        <v>1228</v>
      </c>
      <c r="B1238" s="90">
        <v>7.5522999037318499</v>
      </c>
    </row>
    <row r="1239" spans="1:2">
      <c r="A1239" s="32">
        <v>1229</v>
      </c>
      <c r="B1239" s="90">
        <v>7.8223722777554245</v>
      </c>
    </row>
    <row r="1240" spans="1:2">
      <c r="A1240" s="32">
        <v>1230</v>
      </c>
      <c r="B1240" s="90">
        <v>8.3294979526074133</v>
      </c>
    </row>
    <row r="1241" spans="1:2">
      <c r="A1241" s="32">
        <v>1231</v>
      </c>
      <c r="B1241" s="90">
        <v>10.090602968301626</v>
      </c>
    </row>
    <row r="1242" spans="1:2">
      <c r="A1242" s="32">
        <v>1232</v>
      </c>
      <c r="B1242" s="90">
        <v>7.6897931770185606</v>
      </c>
    </row>
    <row r="1243" spans="1:2">
      <c r="A1243" s="32">
        <v>1233</v>
      </c>
      <c r="B1243" s="90">
        <v>7.7561971242206047</v>
      </c>
    </row>
    <row r="1244" spans="1:2">
      <c r="A1244" s="32">
        <v>1234</v>
      </c>
      <c r="B1244" s="90">
        <v>8.4626444555691069</v>
      </c>
    </row>
    <row r="1245" spans="1:2">
      <c r="A1245" s="32">
        <v>1235</v>
      </c>
      <c r="B1245" s="90">
        <v>7.2289628832846944</v>
      </c>
    </row>
    <row r="1246" spans="1:2">
      <c r="A1246" s="32">
        <v>1236</v>
      </c>
      <c r="B1246" s="90">
        <v>8.4550035103389032</v>
      </c>
    </row>
    <row r="1247" spans="1:2">
      <c r="A1247" s="32">
        <v>1237</v>
      </c>
      <c r="B1247" s="90">
        <v>8.5858853330147706</v>
      </c>
    </row>
    <row r="1248" spans="1:2">
      <c r="A1248" s="32">
        <v>1238</v>
      </c>
      <c r="B1248" s="90">
        <v>7.8646204806710944</v>
      </c>
    </row>
    <row r="1249" spans="1:2">
      <c r="A1249" s="32">
        <v>1239</v>
      </c>
      <c r="B1249" s="90">
        <v>7.4347440306565824</v>
      </c>
    </row>
    <row r="1250" spans="1:2">
      <c r="A1250" s="32">
        <v>1240</v>
      </c>
      <c r="B1250" s="90">
        <v>8.1131737071013568</v>
      </c>
    </row>
    <row r="1251" spans="1:2">
      <c r="A1251" s="32">
        <v>1241</v>
      </c>
      <c r="B1251" s="90">
        <v>7.8433587685002841</v>
      </c>
    </row>
    <row r="1252" spans="1:2">
      <c r="A1252" s="32">
        <v>1242</v>
      </c>
      <c r="B1252" s="90">
        <v>8.3599046151364789</v>
      </c>
    </row>
    <row r="1253" spans="1:2">
      <c r="A1253" s="32">
        <v>1243</v>
      </c>
      <c r="B1253" s="90">
        <v>8.908491907128667</v>
      </c>
    </row>
    <row r="1254" spans="1:2">
      <c r="A1254" s="32">
        <v>1244</v>
      </c>
      <c r="B1254" s="90">
        <v>7.2125083387303075</v>
      </c>
    </row>
    <row r="1255" spans="1:2">
      <c r="A1255" s="32">
        <v>1245</v>
      </c>
      <c r="B1255" s="90">
        <v>7.965500225996589</v>
      </c>
    </row>
    <row r="1256" spans="1:2">
      <c r="A1256" s="32">
        <v>1246</v>
      </c>
      <c r="B1256" s="90">
        <v>7.9100153309853578</v>
      </c>
    </row>
    <row r="1257" spans="1:2">
      <c r="A1257" s="32">
        <v>1247</v>
      </c>
      <c r="B1257" s="90">
        <v>7.6655022106070358</v>
      </c>
    </row>
    <row r="1258" spans="1:2">
      <c r="A1258" s="32">
        <v>1248</v>
      </c>
      <c r="B1258" s="90">
        <v>8.1720733154948686</v>
      </c>
    </row>
    <row r="1259" spans="1:2">
      <c r="A1259" s="32">
        <v>1249</v>
      </c>
      <c r="B1259" s="90">
        <v>8.6713361962525966</v>
      </c>
    </row>
    <row r="1260" spans="1:2">
      <c r="A1260" s="32">
        <v>1250</v>
      </c>
      <c r="B1260" s="90">
        <v>7.2328639070471583</v>
      </c>
    </row>
    <row r="1261" spans="1:2">
      <c r="A1261" s="32">
        <v>1251</v>
      </c>
      <c r="B1261" s="90">
        <v>8.5324363077531586</v>
      </c>
    </row>
    <row r="1262" spans="1:2">
      <c r="A1262" s="32">
        <v>1252</v>
      </c>
      <c r="B1262" s="90">
        <v>8.1198410612205194</v>
      </c>
    </row>
    <row r="1263" spans="1:2">
      <c r="A1263" s="32">
        <v>1253</v>
      </c>
      <c r="B1263" s="90">
        <v>7.3798555461979962</v>
      </c>
    </row>
    <row r="1264" spans="1:2">
      <c r="A1264" s="32">
        <v>1254</v>
      </c>
      <c r="B1264" s="90">
        <v>8.1806884590522788</v>
      </c>
    </row>
    <row r="1265" spans="1:2">
      <c r="A1265" s="32">
        <v>1255</v>
      </c>
      <c r="B1265" s="90">
        <v>8.0053374150888903</v>
      </c>
    </row>
    <row r="1266" spans="1:2">
      <c r="A1266" s="32">
        <v>1256</v>
      </c>
      <c r="B1266" s="90">
        <v>8.4242943288322092</v>
      </c>
    </row>
    <row r="1267" spans="1:2">
      <c r="A1267" s="32">
        <v>1257</v>
      </c>
      <c r="B1267" s="90">
        <v>8.232017017702784</v>
      </c>
    </row>
    <row r="1268" spans="1:2">
      <c r="A1268" s="32">
        <v>1258</v>
      </c>
      <c r="B1268" s="90">
        <v>7.8446869835922897</v>
      </c>
    </row>
    <row r="1269" spans="1:2">
      <c r="A1269" s="32">
        <v>1259</v>
      </c>
      <c r="B1269" s="90">
        <v>7.3250846058001686</v>
      </c>
    </row>
    <row r="1270" spans="1:2">
      <c r="A1270" s="32">
        <v>1260</v>
      </c>
      <c r="B1270" s="90">
        <v>8.4714392043145015</v>
      </c>
    </row>
    <row r="1271" spans="1:2">
      <c r="A1271" s="32">
        <v>1261</v>
      </c>
      <c r="B1271" s="90">
        <v>8.0038380039462442</v>
      </c>
    </row>
    <row r="1272" spans="1:2">
      <c r="A1272" s="32">
        <v>1262</v>
      </c>
      <c r="B1272" s="90">
        <v>7.7536083103607778</v>
      </c>
    </row>
    <row r="1273" spans="1:2">
      <c r="A1273" s="32">
        <v>1263</v>
      </c>
      <c r="B1273" s="90">
        <v>8.5336791847330389</v>
      </c>
    </row>
    <row r="1274" spans="1:2">
      <c r="A1274" s="32">
        <v>1264</v>
      </c>
      <c r="B1274" s="90">
        <v>7.4682861255335027</v>
      </c>
    </row>
    <row r="1275" spans="1:2">
      <c r="A1275" s="32">
        <v>1265</v>
      </c>
      <c r="B1275" s="90">
        <v>7.9028018807713174</v>
      </c>
    </row>
    <row r="1276" spans="1:2">
      <c r="A1276" s="32">
        <v>1266</v>
      </c>
      <c r="B1276" s="90">
        <v>8.6941151282125873</v>
      </c>
    </row>
    <row r="1277" spans="1:2">
      <c r="A1277" s="32">
        <v>1267</v>
      </c>
      <c r="B1277" s="90">
        <v>7.606519482253133</v>
      </c>
    </row>
    <row r="1278" spans="1:2">
      <c r="A1278" s="32">
        <v>1268</v>
      </c>
      <c r="B1278" s="90">
        <v>7.8090433422588665</v>
      </c>
    </row>
    <row r="1279" spans="1:2">
      <c r="A1279" s="32">
        <v>1269</v>
      </c>
      <c r="B1279" s="90">
        <v>8.4172044491315496</v>
      </c>
    </row>
    <row r="1280" spans="1:2">
      <c r="A1280" s="32">
        <v>1270</v>
      </c>
      <c r="B1280" s="90">
        <v>7.4104655091924316</v>
      </c>
    </row>
    <row r="1281" spans="1:2">
      <c r="A1281" s="32">
        <v>1271</v>
      </c>
      <c r="B1281" s="90">
        <v>8.3619856481166384</v>
      </c>
    </row>
    <row r="1282" spans="1:2">
      <c r="A1282" s="32">
        <v>1272</v>
      </c>
      <c r="B1282" s="90">
        <v>8.9862917252300658</v>
      </c>
    </row>
    <row r="1283" spans="1:2">
      <c r="A1283" s="32">
        <v>1273</v>
      </c>
      <c r="B1283" s="90">
        <v>7.3470283719659593</v>
      </c>
    </row>
    <row r="1284" spans="1:2">
      <c r="A1284" s="32">
        <v>1274</v>
      </c>
      <c r="B1284" s="90">
        <v>7.6680484316091695</v>
      </c>
    </row>
    <row r="1285" spans="1:2">
      <c r="A1285" s="32">
        <v>1275</v>
      </c>
      <c r="B1285" s="90">
        <v>8.1696104561423759</v>
      </c>
    </row>
    <row r="1286" spans="1:2">
      <c r="A1286" s="32">
        <v>1276</v>
      </c>
      <c r="B1286" s="90">
        <v>7.5837909982274336</v>
      </c>
    </row>
    <row r="1287" spans="1:2">
      <c r="A1287" s="32">
        <v>1277</v>
      </c>
      <c r="B1287" s="90">
        <v>8.53070897984521</v>
      </c>
    </row>
    <row r="1288" spans="1:2">
      <c r="A1288" s="32">
        <v>1278</v>
      </c>
      <c r="B1288" s="90">
        <v>8.4110093930734102</v>
      </c>
    </row>
    <row r="1289" spans="1:2">
      <c r="A1289" s="32">
        <v>1279</v>
      </c>
      <c r="B1289" s="90">
        <v>7.3070814661552204</v>
      </c>
    </row>
    <row r="1290" spans="1:2">
      <c r="A1290" s="32">
        <v>1280</v>
      </c>
      <c r="B1290" s="90">
        <v>8.2328457456125399</v>
      </c>
    </row>
    <row r="1291" spans="1:2">
      <c r="A1291" s="32">
        <v>1281</v>
      </c>
      <c r="B1291" s="90">
        <v>8.0874826297817819</v>
      </c>
    </row>
    <row r="1292" spans="1:2">
      <c r="A1292" s="32">
        <v>1282</v>
      </c>
      <c r="B1292" s="90">
        <v>7.4638458325189019</v>
      </c>
    </row>
    <row r="1293" spans="1:2">
      <c r="A1293" s="32">
        <v>1283</v>
      </c>
      <c r="B1293" s="90">
        <v>8.0908809471673866</v>
      </c>
    </row>
    <row r="1294" spans="1:2">
      <c r="A1294" s="32">
        <v>1284</v>
      </c>
      <c r="B1294" s="90">
        <v>8.6471680895175229</v>
      </c>
    </row>
    <row r="1295" spans="1:2">
      <c r="A1295" s="32">
        <v>1285</v>
      </c>
      <c r="B1295" s="90">
        <v>7.6598700569276046</v>
      </c>
    </row>
    <row r="1296" spans="1:2">
      <c r="A1296" s="32">
        <v>1286</v>
      </c>
      <c r="B1296" s="90">
        <v>8.3811547148159207</v>
      </c>
    </row>
    <row r="1297" spans="1:2">
      <c r="A1297" s="32">
        <v>1287</v>
      </c>
      <c r="B1297" s="90">
        <v>8.036868826880303</v>
      </c>
    </row>
    <row r="1298" spans="1:2">
      <c r="A1298" s="32">
        <v>1288</v>
      </c>
      <c r="B1298" s="90">
        <v>7.3635280145874207</v>
      </c>
    </row>
    <row r="1299" spans="1:2">
      <c r="A1299" s="32">
        <v>1289</v>
      </c>
      <c r="B1299" s="90">
        <v>8.2451018636396149</v>
      </c>
    </row>
    <row r="1300" spans="1:2">
      <c r="A1300" s="32">
        <v>1290</v>
      </c>
      <c r="B1300" s="90">
        <v>7.9777480931151619</v>
      </c>
    </row>
    <row r="1301" spans="1:2">
      <c r="A1301" s="32">
        <v>1291</v>
      </c>
      <c r="B1301" s="90">
        <v>8.0879723969945729</v>
      </c>
    </row>
    <row r="1302" spans="1:2">
      <c r="A1302" s="32">
        <v>1292</v>
      </c>
      <c r="B1302" s="90">
        <v>8.3494509236096093</v>
      </c>
    </row>
    <row r="1303" spans="1:2">
      <c r="A1303" s="32">
        <v>1293</v>
      </c>
      <c r="B1303" s="90">
        <v>7.3518017779902971</v>
      </c>
    </row>
    <row r="1304" spans="1:2">
      <c r="A1304" s="32">
        <v>1294</v>
      </c>
      <c r="B1304" s="90">
        <v>7.6927299982747073</v>
      </c>
    </row>
    <row r="1305" spans="1:2">
      <c r="A1305" s="32">
        <v>1295</v>
      </c>
      <c r="B1305" s="90">
        <v>9.1003656139493323</v>
      </c>
    </row>
    <row r="1306" spans="1:2">
      <c r="A1306" s="32">
        <v>1296</v>
      </c>
      <c r="B1306" s="90">
        <v>7.6897931770185606</v>
      </c>
    </row>
    <row r="1307" spans="1:2">
      <c r="A1307" s="32">
        <v>1297</v>
      </c>
      <c r="B1307" s="90">
        <v>7.7561971242206047</v>
      </c>
    </row>
    <row r="1308" spans="1:2">
      <c r="A1308" s="32">
        <v>1298</v>
      </c>
      <c r="B1308" s="90">
        <v>8.4626444555691069</v>
      </c>
    </row>
    <row r="1309" spans="1:2">
      <c r="A1309" s="32">
        <v>1299</v>
      </c>
      <c r="B1309" s="90">
        <v>7.2289628832846944</v>
      </c>
    </row>
    <row r="1310" spans="1:2">
      <c r="A1310" s="32">
        <v>1300</v>
      </c>
      <c r="B1310" s="90">
        <v>8.4550035103389032</v>
      </c>
    </row>
    <row r="1311" spans="1:2">
      <c r="A1311" s="32">
        <v>1301</v>
      </c>
      <c r="B1311" s="90">
        <v>8.5858853330147706</v>
      </c>
    </row>
    <row r="1312" spans="1:2">
      <c r="A1312" s="32">
        <v>1302</v>
      </c>
      <c r="B1312" s="90">
        <v>7.8646204806710944</v>
      </c>
    </row>
    <row r="1313" spans="1:2">
      <c r="A1313" s="32">
        <v>1303</v>
      </c>
      <c r="B1313" s="90">
        <v>7.4347440306565824</v>
      </c>
    </row>
    <row r="1314" spans="1:2">
      <c r="A1314" s="32">
        <v>1304</v>
      </c>
      <c r="B1314" s="90">
        <v>8.1131737071013568</v>
      </c>
    </row>
    <row r="1315" spans="1:2">
      <c r="A1315" s="32">
        <v>1305</v>
      </c>
      <c r="B1315" s="90">
        <v>7.8433587685002841</v>
      </c>
    </row>
    <row r="1316" spans="1:2">
      <c r="A1316" s="32">
        <v>1306</v>
      </c>
      <c r="B1316" s="90">
        <v>8.3599046151364789</v>
      </c>
    </row>
    <row r="1317" spans="1:2">
      <c r="A1317" s="32">
        <v>1307</v>
      </c>
      <c r="B1317" s="90">
        <v>8.908491907128667</v>
      </c>
    </row>
    <row r="1318" spans="1:2">
      <c r="A1318" s="32">
        <v>1308</v>
      </c>
      <c r="B1318" s="90">
        <v>7.2125083387303075</v>
      </c>
    </row>
    <row r="1319" spans="1:2">
      <c r="A1319" s="32">
        <v>1309</v>
      </c>
      <c r="B1319" s="90">
        <v>7.965500225996589</v>
      </c>
    </row>
    <row r="1320" spans="1:2">
      <c r="A1320" s="32">
        <v>1310</v>
      </c>
      <c r="B1320" s="90">
        <v>7.9100153309853578</v>
      </c>
    </row>
    <row r="1321" spans="1:2">
      <c r="A1321" s="32">
        <v>1311</v>
      </c>
      <c r="B1321" s="90">
        <v>7.6655022106070358</v>
      </c>
    </row>
    <row r="1322" spans="1:2">
      <c r="A1322" s="32">
        <v>1312</v>
      </c>
      <c r="B1322" s="90">
        <v>8.1720733154948686</v>
      </c>
    </row>
    <row r="1323" spans="1:2">
      <c r="A1323" s="32">
        <v>1313</v>
      </c>
      <c r="B1323" s="90">
        <v>8.6713361962525966</v>
      </c>
    </row>
    <row r="1324" spans="1:2">
      <c r="A1324" s="32">
        <v>1314</v>
      </c>
      <c r="B1324" s="90">
        <v>7.2328639070471583</v>
      </c>
    </row>
    <row r="1325" spans="1:2">
      <c r="A1325" s="32">
        <v>1315</v>
      </c>
      <c r="B1325" s="90">
        <v>8.5324363077531586</v>
      </c>
    </row>
    <row r="1326" spans="1:2">
      <c r="A1326" s="32">
        <v>1316</v>
      </c>
      <c r="B1326" s="90">
        <v>8.1198410612205194</v>
      </c>
    </row>
    <row r="1327" spans="1:2">
      <c r="A1327" s="32">
        <v>1317</v>
      </c>
      <c r="B1327" s="90">
        <v>7.3798555461979962</v>
      </c>
    </row>
    <row r="1328" spans="1:2">
      <c r="A1328" s="32">
        <v>1318</v>
      </c>
      <c r="B1328" s="90">
        <v>8.1806884590522788</v>
      </c>
    </row>
    <row r="1329" spans="1:2">
      <c r="A1329" s="32">
        <v>1319</v>
      </c>
      <c r="B1329" s="90">
        <v>8.0053374150888903</v>
      </c>
    </row>
    <row r="1330" spans="1:2">
      <c r="A1330" s="32">
        <v>1320</v>
      </c>
      <c r="B1330" s="90">
        <v>8.4242943288322092</v>
      </c>
    </row>
    <row r="1331" spans="1:2">
      <c r="A1331" s="32">
        <v>1321</v>
      </c>
      <c r="B1331" s="90">
        <v>8.232017017702784</v>
      </c>
    </row>
    <row r="1332" spans="1:2">
      <c r="A1332" s="32">
        <v>1322</v>
      </c>
      <c r="B1332" s="90">
        <v>7.8446869835922897</v>
      </c>
    </row>
    <row r="1333" spans="1:2">
      <c r="A1333" s="32">
        <v>1323</v>
      </c>
      <c r="B1333" s="90">
        <v>7.3250846058001686</v>
      </c>
    </row>
    <row r="1334" spans="1:2">
      <c r="A1334" s="32">
        <v>1324</v>
      </c>
      <c r="B1334" s="90">
        <v>8.4714392043145015</v>
      </c>
    </row>
    <row r="1335" spans="1:2">
      <c r="A1335" s="32">
        <v>1325</v>
      </c>
      <c r="B1335" s="90">
        <v>8.0038380039462442</v>
      </c>
    </row>
    <row r="1336" spans="1:2">
      <c r="A1336" s="32">
        <v>1326</v>
      </c>
      <c r="B1336" s="90">
        <v>7.7536083103607778</v>
      </c>
    </row>
    <row r="1337" spans="1:2">
      <c r="A1337" s="32">
        <v>1327</v>
      </c>
      <c r="B1337" s="90">
        <v>8.5336791847330389</v>
      </c>
    </row>
    <row r="1338" spans="1:2">
      <c r="A1338" s="32">
        <v>1328</v>
      </c>
      <c r="B1338" s="90">
        <v>7.4682861255335027</v>
      </c>
    </row>
    <row r="1339" spans="1:2">
      <c r="A1339" s="32">
        <v>1329</v>
      </c>
      <c r="B1339" s="90">
        <v>7.9028018807713174</v>
      </c>
    </row>
    <row r="1340" spans="1:2">
      <c r="A1340" s="32">
        <v>1330</v>
      </c>
      <c r="B1340" s="90">
        <v>8.6941151282125873</v>
      </c>
    </row>
    <row r="1341" spans="1:2">
      <c r="A1341" s="32">
        <v>1331</v>
      </c>
      <c r="B1341" s="90">
        <v>7.606519482253133</v>
      </c>
    </row>
    <row r="1342" spans="1:2">
      <c r="A1342" s="32">
        <v>1332</v>
      </c>
      <c r="B1342" s="90">
        <v>7.8090433422588665</v>
      </c>
    </row>
    <row r="1343" spans="1:2">
      <c r="A1343" s="32">
        <v>1333</v>
      </c>
      <c r="B1343" s="90">
        <v>8.4172044491315496</v>
      </c>
    </row>
    <row r="1344" spans="1:2">
      <c r="A1344" s="32">
        <v>1334</v>
      </c>
      <c r="B1344" s="90">
        <v>7.4104655091924316</v>
      </c>
    </row>
    <row r="1345" spans="1:2">
      <c r="A1345" s="32">
        <v>1335</v>
      </c>
      <c r="B1345" s="90">
        <v>8.3619856481166384</v>
      </c>
    </row>
    <row r="1346" spans="1:2">
      <c r="A1346" s="32">
        <v>1336</v>
      </c>
      <c r="B1346" s="90">
        <v>8.9862917252300658</v>
      </c>
    </row>
    <row r="1347" spans="1:2">
      <c r="A1347" s="32">
        <v>1337</v>
      </c>
      <c r="B1347" s="90">
        <v>7.3470283719659593</v>
      </c>
    </row>
    <row r="1348" spans="1:2">
      <c r="A1348" s="32">
        <v>1338</v>
      </c>
      <c r="B1348" s="90">
        <v>7.6680484316091695</v>
      </c>
    </row>
    <row r="1349" spans="1:2">
      <c r="A1349" s="32">
        <v>1339</v>
      </c>
      <c r="B1349" s="90">
        <v>8.1696104561423759</v>
      </c>
    </row>
    <row r="1350" spans="1:2">
      <c r="A1350" s="32">
        <v>1340</v>
      </c>
      <c r="B1350" s="90">
        <v>7.5837909982274336</v>
      </c>
    </row>
    <row r="1351" spans="1:2">
      <c r="A1351" s="32">
        <v>1341</v>
      </c>
      <c r="B1351" s="90">
        <v>8.53070897984521</v>
      </c>
    </row>
    <row r="1352" spans="1:2">
      <c r="A1352" s="32">
        <v>1342</v>
      </c>
      <c r="B1352" s="90">
        <v>8.4110093930734102</v>
      </c>
    </row>
    <row r="1353" spans="1:2">
      <c r="A1353" s="32">
        <v>1343</v>
      </c>
      <c r="B1353" s="90">
        <v>7.3070814661552204</v>
      </c>
    </row>
    <row r="1354" spans="1:2">
      <c r="A1354" s="32">
        <v>1344</v>
      </c>
      <c r="B1354" s="90">
        <v>8.2328457456125399</v>
      </c>
    </row>
    <row r="1355" spans="1:2">
      <c r="A1355" s="32">
        <v>1345</v>
      </c>
      <c r="B1355" s="90">
        <v>9.0309175340591956</v>
      </c>
    </row>
    <row r="1356" spans="1:2">
      <c r="A1356" s="32">
        <v>1346</v>
      </c>
      <c r="B1356" s="90">
        <v>7.7020485516919264</v>
      </c>
    </row>
    <row r="1357" spans="1:2">
      <c r="A1357" s="32">
        <v>1347</v>
      </c>
      <c r="B1357" s="90">
        <v>7.1006584588728483</v>
      </c>
    </row>
    <row r="1358" spans="1:2">
      <c r="A1358" s="32">
        <v>1348</v>
      </c>
      <c r="B1358" s="90">
        <v>7.5758381565544282</v>
      </c>
    </row>
    <row r="1359" spans="1:2">
      <c r="A1359" s="32">
        <v>1349</v>
      </c>
      <c r="B1359" s="90">
        <v>8.6642976278928696</v>
      </c>
    </row>
    <row r="1360" spans="1:2">
      <c r="A1360" s="32">
        <v>1350</v>
      </c>
      <c r="B1360" s="90">
        <v>8.1046190759249832</v>
      </c>
    </row>
    <row r="1361" spans="1:2">
      <c r="A1361" s="32">
        <v>1351</v>
      </c>
      <c r="B1361" s="90">
        <v>8.1054615539430959</v>
      </c>
    </row>
    <row r="1362" spans="1:2">
      <c r="A1362" s="32">
        <v>1352</v>
      </c>
      <c r="B1362" s="90">
        <v>8.5240383225389742</v>
      </c>
    </row>
    <row r="1363" spans="1:2">
      <c r="A1363" s="32">
        <v>1353</v>
      </c>
      <c r="B1363" s="90">
        <v>6.3317221809964686</v>
      </c>
    </row>
    <row r="1364" spans="1:2">
      <c r="A1364" s="32">
        <v>1354</v>
      </c>
      <c r="B1364" s="90">
        <v>8.8779294357448872</v>
      </c>
    </row>
    <row r="1365" spans="1:2">
      <c r="A1365" s="32">
        <v>1355</v>
      </c>
      <c r="B1365" s="90">
        <v>8.3781796910335569</v>
      </c>
    </row>
    <row r="1366" spans="1:2">
      <c r="A1366" s="32">
        <v>1356</v>
      </c>
      <c r="B1366" s="90">
        <v>8.1207321199233</v>
      </c>
    </row>
    <row r="1367" spans="1:2">
      <c r="A1367" s="32">
        <v>1357</v>
      </c>
      <c r="B1367" s="90">
        <v>7.945914899954361</v>
      </c>
    </row>
    <row r="1368" spans="1:2">
      <c r="A1368" s="32">
        <v>1358</v>
      </c>
      <c r="B1368" s="90">
        <v>8.5360741608649189</v>
      </c>
    </row>
    <row r="1369" spans="1:2">
      <c r="A1369" s="32">
        <v>1359</v>
      </c>
      <c r="B1369" s="90">
        <v>6.2911136766361748</v>
      </c>
    </row>
    <row r="1370" spans="1:2">
      <c r="A1370" s="32">
        <v>1360</v>
      </c>
      <c r="B1370" s="90">
        <v>9.2438771524280554</v>
      </c>
    </row>
    <row r="1371" spans="1:2">
      <c r="A1371" s="32">
        <v>1361</v>
      </c>
      <c r="B1371" s="90">
        <v>8.301262895652755</v>
      </c>
    </row>
    <row r="1372" spans="1:2">
      <c r="A1372" s="32">
        <v>1362</v>
      </c>
      <c r="B1372" s="90">
        <v>8.0680072581688318</v>
      </c>
    </row>
    <row r="1373" spans="1:2">
      <c r="A1373" s="32">
        <v>1363</v>
      </c>
      <c r="B1373" s="90">
        <v>7.7729739769689861</v>
      </c>
    </row>
    <row r="1374" spans="1:2">
      <c r="A1374" s="32">
        <v>1364</v>
      </c>
      <c r="B1374" s="90">
        <v>8.1169756269418674</v>
      </c>
    </row>
    <row r="1375" spans="1:2">
      <c r="A1375" s="32">
        <v>1365</v>
      </c>
      <c r="B1375" s="90">
        <v>6.6497997641452553</v>
      </c>
    </row>
    <row r="1376" spans="1:2">
      <c r="A1376" s="32">
        <v>1366</v>
      </c>
      <c r="B1376" s="90">
        <v>8.9245495007031401</v>
      </c>
    </row>
    <row r="1377" spans="1:2">
      <c r="A1377" s="32">
        <v>1367</v>
      </c>
      <c r="B1377" s="90">
        <v>8.3991245182691081</v>
      </c>
    </row>
    <row r="1378" spans="1:2">
      <c r="A1378" s="32">
        <v>1368</v>
      </c>
      <c r="B1378" s="90">
        <v>8.6423957728454504</v>
      </c>
    </row>
    <row r="1379" spans="1:2">
      <c r="A1379" s="32">
        <v>1369</v>
      </c>
      <c r="B1379" s="90">
        <v>7.6091883544714003</v>
      </c>
    </row>
    <row r="1380" spans="1:2">
      <c r="A1380" s="32">
        <v>1370</v>
      </c>
      <c r="B1380" s="90">
        <v>7.4149637386407807</v>
      </c>
    </row>
    <row r="1381" spans="1:2">
      <c r="A1381" s="32">
        <v>1371</v>
      </c>
      <c r="B1381" s="90">
        <v>7.4356975497981619</v>
      </c>
    </row>
    <row r="1382" spans="1:2">
      <c r="A1382" s="32">
        <v>1372</v>
      </c>
      <c r="B1382" s="90">
        <v>8.3793238326658219</v>
      </c>
    </row>
    <row r="1383" spans="1:2">
      <c r="A1383" s="32">
        <v>1373</v>
      </c>
      <c r="B1383" s="90">
        <v>8.2154277279928447</v>
      </c>
    </row>
    <row r="1384" spans="1:2">
      <c r="A1384" s="32">
        <v>1374</v>
      </c>
      <c r="B1384" s="90">
        <v>8.6966026910646335</v>
      </c>
    </row>
    <row r="1385" spans="1:2">
      <c r="A1385" s="32">
        <v>1375</v>
      </c>
      <c r="B1385" s="90">
        <v>7.7723905054370723</v>
      </c>
    </row>
    <row r="1386" spans="1:2">
      <c r="A1386" s="32">
        <v>1376</v>
      </c>
      <c r="B1386" s="90">
        <v>7.3303660880490336</v>
      </c>
    </row>
    <row r="1387" spans="1:2">
      <c r="A1387" s="32">
        <v>1377</v>
      </c>
      <c r="B1387" s="90">
        <v>7.5968249341605292</v>
      </c>
    </row>
    <row r="1388" spans="1:2">
      <c r="A1388" s="32">
        <v>1378</v>
      </c>
      <c r="B1388" s="90">
        <v>8.3862198862362316</v>
      </c>
    </row>
    <row r="1389" spans="1:2">
      <c r="A1389" s="32">
        <v>1379</v>
      </c>
      <c r="B1389" s="90">
        <v>8.3108416907395029</v>
      </c>
    </row>
    <row r="1390" spans="1:2">
      <c r="A1390" s="32">
        <v>1380</v>
      </c>
      <c r="B1390" s="90">
        <v>7.9644525160606019</v>
      </c>
    </row>
    <row r="1391" spans="1:2">
      <c r="A1391" s="32">
        <v>1381</v>
      </c>
      <c r="B1391" s="90">
        <v>9.0084854006034405</v>
      </c>
    </row>
    <row r="1392" spans="1:2">
      <c r="A1392" s="32">
        <v>1382</v>
      </c>
      <c r="B1392" s="90">
        <v>6.4184169486276268</v>
      </c>
    </row>
    <row r="1393" spans="1:2">
      <c r="A1393" s="32">
        <v>1383</v>
      </c>
      <c r="B1393" s="90">
        <v>8.1234233066111514</v>
      </c>
    </row>
    <row r="1394" spans="1:2">
      <c r="A1394" s="32">
        <v>1384</v>
      </c>
      <c r="B1394" s="90">
        <v>8.6301355400687392</v>
      </c>
    </row>
    <row r="1395" spans="1:2">
      <c r="A1395" s="32">
        <v>1385</v>
      </c>
      <c r="B1395" s="90">
        <v>8.1912444173693011</v>
      </c>
    </row>
    <row r="1396" spans="1:2">
      <c r="A1396" s="32">
        <v>1386</v>
      </c>
      <c r="B1396" s="90">
        <v>7.9315200542844986</v>
      </c>
    </row>
    <row r="1397" spans="1:2">
      <c r="A1397" s="32">
        <v>1387</v>
      </c>
      <c r="B1397" s="90">
        <v>8.3649692379944618</v>
      </c>
    </row>
    <row r="1398" spans="1:2">
      <c r="A1398" s="32">
        <v>1388</v>
      </c>
      <c r="B1398" s="90">
        <v>6.2961566170703263</v>
      </c>
    </row>
    <row r="1399" spans="1:2">
      <c r="A1399" s="32">
        <v>1389</v>
      </c>
      <c r="B1399" s="90">
        <v>9.1864390411204457</v>
      </c>
    </row>
    <row r="1400" spans="1:2">
      <c r="A1400" s="32">
        <v>1390</v>
      </c>
      <c r="B1400" s="90">
        <v>8.17712167740798</v>
      </c>
    </row>
    <row r="1401" spans="1:2">
      <c r="A1401" s="32">
        <v>1391</v>
      </c>
      <c r="B1401" s="90">
        <v>8.6156777438235022</v>
      </c>
    </row>
    <row r="1402" spans="1:2">
      <c r="A1402" s="32">
        <v>1392</v>
      </c>
      <c r="B1402" s="90">
        <v>7.4534500461526205</v>
      </c>
    </row>
    <row r="1403" spans="1:2">
      <c r="A1403" s="32">
        <v>1393</v>
      </c>
      <c r="B1403" s="90">
        <v>8.4188831750186033</v>
      </c>
    </row>
    <row r="1404" spans="1:2">
      <c r="A1404" s="32">
        <v>1394</v>
      </c>
      <c r="B1404" s="90">
        <v>6.5078014381505236</v>
      </c>
    </row>
    <row r="1405" spans="1:2">
      <c r="A1405" s="32">
        <v>1395</v>
      </c>
      <c r="B1405" s="90">
        <v>9.0133957801499847</v>
      </c>
    </row>
    <row r="1406" spans="1:2">
      <c r="A1406" s="32">
        <v>1396</v>
      </c>
      <c r="B1406" s="90">
        <v>8.3307402989209685</v>
      </c>
    </row>
    <row r="1407" spans="1:2">
      <c r="A1407" s="32">
        <v>1397</v>
      </c>
      <c r="B1407" s="90">
        <v>8.5682500611127672</v>
      </c>
    </row>
    <row r="1408" spans="1:2">
      <c r="A1408" s="32">
        <v>1398</v>
      </c>
      <c r="B1408" s="90">
        <v>7.5440220042482826</v>
      </c>
    </row>
    <row r="1409" spans="1:2">
      <c r="A1409" s="32">
        <v>1399</v>
      </c>
      <c r="B1409" s="90">
        <v>7.8869649671264463</v>
      </c>
    </row>
    <row r="1410" spans="1:2">
      <c r="A1410" s="32">
        <v>1400</v>
      </c>
      <c r="B1410" s="90">
        <v>7.0233349176721935</v>
      </c>
    </row>
    <row r="1411" spans="1:2">
      <c r="A1411" s="32">
        <v>1401</v>
      </c>
      <c r="B1411" s="90">
        <v>8.4410919840548981</v>
      </c>
    </row>
    <row r="1412" spans="1:2">
      <c r="A1412" s="32">
        <v>1402</v>
      </c>
      <c r="B1412" s="90">
        <v>8.4462075424366834</v>
      </c>
    </row>
    <row r="1413" spans="1:2">
      <c r="A1413" s="32">
        <v>1403</v>
      </c>
      <c r="B1413" s="90">
        <v>8.2781047989840264</v>
      </c>
    </row>
    <row r="1414" spans="1:2">
      <c r="A1414" s="32">
        <v>1404</v>
      </c>
      <c r="B1414" s="90">
        <v>8.0495411473565159</v>
      </c>
    </row>
    <row r="1415" spans="1:2">
      <c r="A1415" s="32">
        <v>1405</v>
      </c>
      <c r="B1415" s="90">
        <v>7.0021005749003216</v>
      </c>
    </row>
    <row r="1416" spans="1:2">
      <c r="A1416" s="32">
        <v>1406</v>
      </c>
      <c r="B1416" s="90">
        <v>7.8830012668092371</v>
      </c>
    </row>
    <row r="1417" spans="1:2">
      <c r="A1417" s="32">
        <v>1407</v>
      </c>
      <c r="B1417" s="90">
        <v>8.1671528593047604</v>
      </c>
    </row>
    <row r="1418" spans="1:2">
      <c r="A1418" s="32">
        <v>1408</v>
      </c>
      <c r="B1418" s="90">
        <v>8.3002756543008314</v>
      </c>
    </row>
    <row r="1419" spans="1:2">
      <c r="A1419" s="32">
        <v>1409</v>
      </c>
      <c r="B1419" s="90">
        <v>9.1388900146038772</v>
      </c>
    </row>
    <row r="1420" spans="1:2">
      <c r="A1420" s="32">
        <v>1410</v>
      </c>
      <c r="B1420" s="90">
        <v>7.7020485516919264</v>
      </c>
    </row>
    <row r="1421" spans="1:2">
      <c r="A1421" s="32">
        <v>1411</v>
      </c>
      <c r="B1421" s="90">
        <v>7.1006584588728483</v>
      </c>
    </row>
    <row r="1422" spans="1:2">
      <c r="A1422" s="32">
        <v>1412</v>
      </c>
      <c r="B1422" s="90">
        <v>7.5758381565544282</v>
      </c>
    </row>
    <row r="1423" spans="1:2">
      <c r="A1423" s="32">
        <v>1413</v>
      </c>
      <c r="B1423" s="90">
        <v>8.6642976278928696</v>
      </c>
    </row>
    <row r="1424" spans="1:2">
      <c r="A1424" s="32">
        <v>1414</v>
      </c>
      <c r="B1424" s="90">
        <v>8.1046190759249832</v>
      </c>
    </row>
    <row r="1425" spans="1:2">
      <c r="A1425" s="32">
        <v>1415</v>
      </c>
      <c r="B1425" s="90">
        <v>8.1054615539430959</v>
      </c>
    </row>
    <row r="1426" spans="1:2">
      <c r="A1426" s="32">
        <v>1416</v>
      </c>
      <c r="B1426" s="90">
        <v>8.5240383225389742</v>
      </c>
    </row>
    <row r="1427" spans="1:2">
      <c r="A1427" s="32">
        <v>1417</v>
      </c>
      <c r="B1427" s="90">
        <v>6.3317221809964686</v>
      </c>
    </row>
    <row r="1428" spans="1:2">
      <c r="A1428" s="32">
        <v>1418</v>
      </c>
      <c r="B1428" s="90">
        <v>8.8779294357448872</v>
      </c>
    </row>
    <row r="1429" spans="1:2">
      <c r="A1429" s="32">
        <v>1419</v>
      </c>
      <c r="B1429" s="90">
        <v>8.3781796910335569</v>
      </c>
    </row>
    <row r="1430" spans="1:2">
      <c r="A1430" s="32">
        <v>1420</v>
      </c>
      <c r="B1430" s="90">
        <v>8.1207321199233</v>
      </c>
    </row>
    <row r="1431" spans="1:2">
      <c r="A1431" s="32">
        <v>1421</v>
      </c>
      <c r="B1431" s="90">
        <v>7.945914899954361</v>
      </c>
    </row>
    <row r="1432" spans="1:2">
      <c r="A1432" s="32">
        <v>1422</v>
      </c>
      <c r="B1432" s="90">
        <v>8.5360741608649189</v>
      </c>
    </row>
    <row r="1433" spans="1:2">
      <c r="A1433" s="32">
        <v>1423</v>
      </c>
      <c r="B1433" s="90">
        <v>6.4366918295709903</v>
      </c>
    </row>
    <row r="1434" spans="1:2">
      <c r="A1434" s="32">
        <v>1424</v>
      </c>
      <c r="B1434" s="90">
        <v>9.3064582103085343</v>
      </c>
    </row>
    <row r="1435" spans="1:2">
      <c r="A1435" s="32">
        <v>1425</v>
      </c>
      <c r="B1435" s="90">
        <v>7.8739896085730319</v>
      </c>
    </row>
    <row r="1436" spans="1:2">
      <c r="A1436" s="32">
        <v>1426</v>
      </c>
      <c r="B1436" s="90">
        <v>8.2681367354825035</v>
      </c>
    </row>
    <row r="1437" spans="1:2">
      <c r="A1437" s="32">
        <v>1427</v>
      </c>
      <c r="B1437" s="90">
        <v>6.9356127811128312</v>
      </c>
    </row>
    <row r="1438" spans="1:2">
      <c r="A1438" s="32">
        <v>1428</v>
      </c>
      <c r="B1438" s="90">
        <v>7.8723747734759799</v>
      </c>
    </row>
    <row r="1439" spans="1:2">
      <c r="A1439" s="32">
        <v>1429</v>
      </c>
      <c r="B1439" s="90">
        <v>9.1283039754269257</v>
      </c>
    </row>
    <row r="1440" spans="1:2">
      <c r="A1440" s="32">
        <v>1430</v>
      </c>
      <c r="B1440" s="90">
        <v>8.4695139160046988</v>
      </c>
    </row>
    <row r="1441" spans="1:2">
      <c r="A1441" s="32">
        <v>1431</v>
      </c>
      <c r="B1441" s="90">
        <v>8.0465817455614097</v>
      </c>
    </row>
    <row r="1442" spans="1:2">
      <c r="A1442" s="32">
        <v>1432</v>
      </c>
      <c r="B1442" s="90">
        <v>7.6998121559964092</v>
      </c>
    </row>
    <row r="1443" spans="1:2">
      <c r="A1443" s="32">
        <v>1433</v>
      </c>
      <c r="B1443" s="90">
        <v>7.8723166258834683</v>
      </c>
    </row>
    <row r="1444" spans="1:2">
      <c r="A1444" s="32">
        <v>1434</v>
      </c>
      <c r="B1444" s="90">
        <v>6.977448829878675</v>
      </c>
    </row>
    <row r="1445" spans="1:2">
      <c r="A1445" s="32">
        <v>1435</v>
      </c>
      <c r="B1445" s="90">
        <v>10.091788209146515</v>
      </c>
    </row>
    <row r="1446" spans="1:2">
      <c r="A1446" s="32">
        <v>1436</v>
      </c>
      <c r="B1446" s="90">
        <v>7.967704145101572</v>
      </c>
    </row>
    <row r="1447" spans="1:2">
      <c r="A1447" s="32">
        <v>1437</v>
      </c>
      <c r="B1447" s="90">
        <v>8.0396570151146118</v>
      </c>
    </row>
    <row r="1448" spans="1:2">
      <c r="A1448" s="32">
        <v>1438</v>
      </c>
      <c r="B1448" s="90">
        <v>7.6796654769137191</v>
      </c>
    </row>
    <row r="1449" spans="1:2">
      <c r="A1449" s="32">
        <v>1439</v>
      </c>
      <c r="B1449" s="90">
        <v>7.8245505599513789</v>
      </c>
    </row>
    <row r="1450" spans="1:2">
      <c r="A1450" s="32">
        <v>1440</v>
      </c>
      <c r="B1450" s="90">
        <v>7.4501427721300404</v>
      </c>
    </row>
    <row r="1451" spans="1:2">
      <c r="A1451" s="32">
        <v>1441</v>
      </c>
      <c r="B1451" s="90">
        <v>9.4699662787234473</v>
      </c>
    </row>
    <row r="1452" spans="1:2">
      <c r="A1452" s="32">
        <v>1442</v>
      </c>
      <c r="B1452" s="90">
        <v>8.0073379476756639</v>
      </c>
    </row>
    <row r="1453" spans="1:2">
      <c r="A1453" s="32">
        <v>1443</v>
      </c>
      <c r="B1453" s="90">
        <v>8.4341388640207757</v>
      </c>
    </row>
    <row r="1454" spans="1:2">
      <c r="A1454" s="32">
        <v>1444</v>
      </c>
      <c r="B1454" s="90">
        <v>7.3200357468910573</v>
      </c>
    </row>
    <row r="1455" spans="1:2">
      <c r="A1455" s="32">
        <v>1445</v>
      </c>
      <c r="B1455" s="90">
        <v>7.9028232370475884</v>
      </c>
    </row>
    <row r="1456" spans="1:2">
      <c r="A1456" s="32">
        <v>1446</v>
      </c>
      <c r="B1456" s="90">
        <v>7.5327392041538266</v>
      </c>
    </row>
    <row r="1457" spans="1:2">
      <c r="A1457" s="32">
        <v>1447</v>
      </c>
      <c r="B1457" s="90">
        <v>9.8170570610184118</v>
      </c>
    </row>
    <row r="1458" spans="1:2">
      <c r="A1458" s="32">
        <v>1448</v>
      </c>
      <c r="B1458" s="90">
        <v>7.9216930252335613</v>
      </c>
    </row>
    <row r="1459" spans="1:2">
      <c r="A1459" s="32">
        <v>1449</v>
      </c>
      <c r="B1459" s="90">
        <v>8.3875332764379991</v>
      </c>
    </row>
    <row r="1460" spans="1:2">
      <c r="A1460" s="32">
        <v>1450</v>
      </c>
      <c r="B1460" s="90">
        <v>6.8872411147082948</v>
      </c>
    </row>
    <row r="1461" spans="1:2">
      <c r="A1461" s="32">
        <v>1451</v>
      </c>
      <c r="B1461" s="90">
        <v>7.6925281066622606</v>
      </c>
    </row>
    <row r="1462" spans="1:2">
      <c r="A1462" s="32">
        <v>1452</v>
      </c>
      <c r="B1462" s="90">
        <v>8.1734601239945928</v>
      </c>
    </row>
    <row r="1463" spans="1:2">
      <c r="A1463" s="32">
        <v>1453</v>
      </c>
      <c r="B1463" s="90">
        <v>9.5380816537689537</v>
      </c>
    </row>
    <row r="1464" spans="1:2">
      <c r="A1464" s="32">
        <v>1454</v>
      </c>
      <c r="B1464" s="90">
        <v>7.8426506359975274</v>
      </c>
    </row>
    <row r="1465" spans="1:2">
      <c r="A1465" s="32">
        <v>1455</v>
      </c>
      <c r="B1465" s="90">
        <v>8.6181878179824682</v>
      </c>
    </row>
    <row r="1466" spans="1:2">
      <c r="A1466" s="32">
        <v>1456</v>
      </c>
      <c r="B1466" s="90">
        <v>6.6539738600895966</v>
      </c>
    </row>
    <row r="1467" spans="1:2">
      <c r="A1467" s="32">
        <v>1457</v>
      </c>
      <c r="B1467" s="90">
        <v>7.8727069252414728</v>
      </c>
    </row>
    <row r="1468" spans="1:2">
      <c r="A1468" s="32">
        <v>1458</v>
      </c>
      <c r="B1468" s="90">
        <v>8.7358193076336157</v>
      </c>
    </row>
    <row r="1469" spans="1:2">
      <c r="A1469" s="32">
        <v>1459</v>
      </c>
      <c r="B1469" s="90">
        <v>8.8901358120970837</v>
      </c>
    </row>
    <row r="1470" spans="1:2">
      <c r="A1470" s="32">
        <v>1460</v>
      </c>
      <c r="B1470" s="90">
        <v>7.9499568756717602</v>
      </c>
    </row>
    <row r="1471" spans="1:2">
      <c r="A1471" s="32">
        <v>1461</v>
      </c>
      <c r="B1471" s="90">
        <v>7.9944486400354373</v>
      </c>
    </row>
    <row r="1472" spans="1:2">
      <c r="A1472" s="32">
        <v>1462</v>
      </c>
      <c r="B1472" s="90">
        <v>7.3163601935358891</v>
      </c>
    </row>
    <row r="1473" spans="1:2">
      <c r="A1473" s="32">
        <v>1463</v>
      </c>
      <c r="B1473" s="90">
        <v>7.6728443155601775</v>
      </c>
    </row>
    <row r="1474" spans="1:2">
      <c r="A1474" s="32">
        <v>1464</v>
      </c>
      <c r="B1474" s="90">
        <v>9.6666265016397546</v>
      </c>
    </row>
    <row r="1475" spans="1:2">
      <c r="A1475" s="32">
        <v>1465</v>
      </c>
      <c r="B1475" s="90">
        <v>8.000345911949605</v>
      </c>
    </row>
    <row r="1476" spans="1:2">
      <c r="A1476" s="32">
        <v>1466</v>
      </c>
      <c r="B1476" s="90">
        <v>7.8539986873980396</v>
      </c>
    </row>
    <row r="1477" spans="1:2">
      <c r="A1477" s="32">
        <v>1467</v>
      </c>
      <c r="B1477" s="90">
        <v>7.8800602564182345</v>
      </c>
    </row>
    <row r="1478" spans="1:2">
      <c r="A1478" s="32">
        <v>1468</v>
      </c>
      <c r="B1478" s="90">
        <v>7.6370998027220445</v>
      </c>
    </row>
    <row r="1479" spans="1:2">
      <c r="A1479" s="32">
        <v>1469</v>
      </c>
      <c r="B1479" s="90">
        <v>7.3561250029267988</v>
      </c>
    </row>
    <row r="1480" spans="1:2">
      <c r="A1480" s="32">
        <v>1470</v>
      </c>
      <c r="B1480" s="90">
        <v>9.711644958615171</v>
      </c>
    </row>
    <row r="1481" spans="1:2">
      <c r="A1481" s="32">
        <v>1471</v>
      </c>
      <c r="B1481" s="90">
        <v>7.7854727012807459</v>
      </c>
    </row>
    <row r="1482" spans="1:2">
      <c r="A1482" s="32">
        <v>1472</v>
      </c>
      <c r="B1482" s="90">
        <v>8.4110660179988894</v>
      </c>
    </row>
    <row r="1483" spans="1:2">
      <c r="A1483" s="32">
        <v>1473</v>
      </c>
      <c r="B1483" s="90">
        <v>7.6427748653605798</v>
      </c>
    </row>
    <row r="1484" spans="1:2">
      <c r="A1484" s="32">
        <v>1474</v>
      </c>
      <c r="B1484" s="90">
        <v>7.6890745537629144</v>
      </c>
    </row>
    <row r="1485" spans="1:2">
      <c r="A1485" s="32">
        <v>1475</v>
      </c>
      <c r="B1485" s="90">
        <v>7.4353804885534611</v>
      </c>
    </row>
    <row r="1486" spans="1:2">
      <c r="A1486" s="32">
        <v>1476</v>
      </c>
      <c r="B1486" s="90">
        <v>9.8400586183852869</v>
      </c>
    </row>
    <row r="1487" spans="1:2">
      <c r="A1487" s="32">
        <v>1477</v>
      </c>
      <c r="B1487" s="90">
        <v>7.812375781364187</v>
      </c>
    </row>
    <row r="1488" spans="1:2">
      <c r="A1488" s="32">
        <v>1478</v>
      </c>
      <c r="B1488" s="90">
        <v>8.6318290633256165</v>
      </c>
    </row>
    <row r="1489" spans="1:2">
      <c r="A1489" s="32">
        <v>1479</v>
      </c>
      <c r="B1489" s="90">
        <v>7.0436029727367551</v>
      </c>
    </row>
    <row r="1490" spans="1:2">
      <c r="A1490" s="32">
        <v>1480</v>
      </c>
      <c r="B1490" s="90">
        <v>7.8788944572305777</v>
      </c>
    </row>
    <row r="1491" spans="1:2">
      <c r="A1491" s="32">
        <v>1481</v>
      </c>
      <c r="B1491" s="90">
        <v>7.7381632621659309</v>
      </c>
    </row>
    <row r="1492" spans="1:2">
      <c r="A1492" s="32">
        <v>1482</v>
      </c>
      <c r="B1492" s="90">
        <v>9.3049612391296286</v>
      </c>
    </row>
    <row r="1493" spans="1:2">
      <c r="A1493" s="32">
        <v>1483</v>
      </c>
      <c r="B1493" s="90">
        <v>8.0762050839931572</v>
      </c>
    </row>
    <row r="1494" spans="1:2">
      <c r="A1494" s="32">
        <v>1484</v>
      </c>
      <c r="B1494" s="90">
        <v>8.4010746786174462</v>
      </c>
    </row>
    <row r="1495" spans="1:2">
      <c r="A1495" s="32">
        <v>1485</v>
      </c>
      <c r="B1495" s="90">
        <v>6.9707195324203672</v>
      </c>
    </row>
    <row r="1496" spans="1:2">
      <c r="A1496" s="32">
        <v>1486</v>
      </c>
      <c r="B1496" s="90">
        <v>7.8272237969921132</v>
      </c>
    </row>
    <row r="1497" spans="1:2">
      <c r="A1497" s="32">
        <v>1487</v>
      </c>
      <c r="B1497" s="90">
        <v>8.3276118532939307</v>
      </c>
    </row>
    <row r="1498" spans="1:2">
      <c r="A1498" s="32">
        <v>1488</v>
      </c>
      <c r="B1498" s="90">
        <v>9.3064582103085343</v>
      </c>
    </row>
    <row r="1499" spans="1:2">
      <c r="A1499" s="32">
        <v>1489</v>
      </c>
      <c r="B1499" s="90">
        <v>7.8739896085730319</v>
      </c>
    </row>
    <row r="1500" spans="1:2">
      <c r="A1500" s="32">
        <v>1490</v>
      </c>
      <c r="B1500" s="90">
        <v>8.2681367354825035</v>
      </c>
    </row>
    <row r="1501" spans="1:2">
      <c r="A1501" s="32">
        <v>1491</v>
      </c>
      <c r="B1501" s="90">
        <v>6.9356127811128312</v>
      </c>
    </row>
    <row r="1502" spans="1:2">
      <c r="A1502" s="32">
        <v>1492</v>
      </c>
      <c r="B1502" s="90">
        <v>7.8723747734759799</v>
      </c>
    </row>
    <row r="1503" spans="1:2">
      <c r="A1503" s="32">
        <v>1493</v>
      </c>
      <c r="B1503" s="90">
        <v>9.1283039754269257</v>
      </c>
    </row>
    <row r="1504" spans="1:2">
      <c r="A1504" s="32">
        <v>1494</v>
      </c>
      <c r="B1504" s="90">
        <v>8.4695139160046988</v>
      </c>
    </row>
    <row r="1505" spans="1:2">
      <c r="A1505" s="32">
        <v>1495</v>
      </c>
      <c r="B1505" s="90">
        <v>8.0465817455614097</v>
      </c>
    </row>
    <row r="1506" spans="1:2">
      <c r="A1506" s="32">
        <v>1496</v>
      </c>
      <c r="B1506" s="90">
        <v>7.6998121559964092</v>
      </c>
    </row>
    <row r="1507" spans="1:2">
      <c r="A1507" s="32">
        <v>1497</v>
      </c>
      <c r="B1507" s="90">
        <v>7.8723166258834683</v>
      </c>
    </row>
    <row r="1508" spans="1:2">
      <c r="A1508" s="32">
        <v>1498</v>
      </c>
      <c r="B1508" s="90">
        <v>6.977448829878675</v>
      </c>
    </row>
    <row r="1509" spans="1:2">
      <c r="A1509" s="32">
        <v>1499</v>
      </c>
      <c r="B1509" s="90">
        <v>10.091788209146515</v>
      </c>
    </row>
    <row r="1510" spans="1:2">
      <c r="A1510" s="32">
        <v>1500</v>
      </c>
      <c r="B1510" s="90">
        <v>7.967704145101572</v>
      </c>
    </row>
    <row r="1511" spans="1:2">
      <c r="A1511" s="32">
        <v>1501</v>
      </c>
      <c r="B1511" s="90">
        <v>8.0396570151146118</v>
      </c>
    </row>
    <row r="1512" spans="1:2">
      <c r="A1512" s="32">
        <v>1502</v>
      </c>
      <c r="B1512" s="90">
        <v>8.5935057632745604</v>
      </c>
    </row>
    <row r="1513" spans="1:2">
      <c r="A1513" s="32">
        <v>1503</v>
      </c>
      <c r="B1513" s="90">
        <v>8.6072891158986007</v>
      </c>
    </row>
    <row r="1514" spans="1:2">
      <c r="A1514" s="32">
        <v>1504</v>
      </c>
      <c r="B1514" s="90">
        <v>8.1770913936153775</v>
      </c>
    </row>
    <row r="1515" spans="1:2">
      <c r="A1515" s="32">
        <v>1505</v>
      </c>
      <c r="B1515" s="90">
        <v>7.639303710211812</v>
      </c>
    </row>
    <row r="1516" spans="1:2">
      <c r="A1516" s="32">
        <v>1506</v>
      </c>
      <c r="B1516" s="90">
        <v>7.1568659208360117</v>
      </c>
    </row>
    <row r="1517" spans="1:2">
      <c r="A1517" s="32">
        <v>1507</v>
      </c>
      <c r="B1517" s="90">
        <v>8.2750020219541387</v>
      </c>
    </row>
    <row r="1518" spans="1:2">
      <c r="A1518" s="32">
        <v>1508</v>
      </c>
      <c r="B1518" s="90">
        <v>9.1035051781859195</v>
      </c>
    </row>
    <row r="1519" spans="1:2">
      <c r="A1519" s="32">
        <v>1509</v>
      </c>
      <c r="B1519" s="90">
        <v>8.6919190599579927</v>
      </c>
    </row>
    <row r="1520" spans="1:2">
      <c r="A1520" s="32">
        <v>1510</v>
      </c>
      <c r="B1520" s="90">
        <v>7.9488621140035089</v>
      </c>
    </row>
    <row r="1521" spans="1:2">
      <c r="A1521" s="32">
        <v>1511</v>
      </c>
      <c r="B1521" s="90">
        <v>7.5883049161797462</v>
      </c>
    </row>
    <row r="1522" spans="1:2">
      <c r="A1522" s="32">
        <v>1512</v>
      </c>
      <c r="B1522" s="90">
        <v>6.7387657736073603</v>
      </c>
    </row>
    <row r="1523" spans="1:2">
      <c r="A1523" s="32">
        <v>1513</v>
      </c>
      <c r="B1523" s="90">
        <v>9.4321545165178549</v>
      </c>
    </row>
    <row r="1524" spans="1:2">
      <c r="A1524" s="32">
        <v>1514</v>
      </c>
      <c r="B1524" s="90">
        <v>9.0191449351100275</v>
      </c>
    </row>
    <row r="1525" spans="1:2">
      <c r="A1525" s="32">
        <v>1515</v>
      </c>
      <c r="B1525" s="90">
        <v>8.7399278295011396</v>
      </c>
    </row>
    <row r="1526" spans="1:2">
      <c r="A1526" s="32">
        <v>1516</v>
      </c>
      <c r="B1526" s="90">
        <v>7.5793373715216541</v>
      </c>
    </row>
    <row r="1527" spans="1:2">
      <c r="A1527" s="32">
        <v>1517</v>
      </c>
      <c r="B1527" s="90">
        <v>7.7142946810526194</v>
      </c>
    </row>
    <row r="1528" spans="1:2">
      <c r="A1528" s="32">
        <v>1518</v>
      </c>
      <c r="B1528" s="90">
        <v>6.8880537278461542</v>
      </c>
    </row>
    <row r="1529" spans="1:2">
      <c r="A1529" s="32">
        <v>1519</v>
      </c>
      <c r="B1529" s="90">
        <v>8.8306660037967308</v>
      </c>
    </row>
    <row r="1530" spans="1:2">
      <c r="A1530" s="32">
        <v>1520</v>
      </c>
      <c r="B1530" s="90">
        <v>9.5966433103856517</v>
      </c>
    </row>
    <row r="1531" spans="1:2">
      <c r="A1531" s="32">
        <v>1521</v>
      </c>
      <c r="B1531" s="90">
        <v>8.6624285672709362</v>
      </c>
    </row>
    <row r="1532" spans="1:2">
      <c r="A1532" s="32">
        <v>1522</v>
      </c>
      <c r="B1532" s="90">
        <v>7.313595031103385</v>
      </c>
    </row>
    <row r="1533" spans="1:2">
      <c r="A1533" s="32">
        <v>1523</v>
      </c>
      <c r="B1533" s="90">
        <v>7.3440434817645288</v>
      </c>
    </row>
    <row r="1534" spans="1:2">
      <c r="A1534" s="32">
        <v>1524</v>
      </c>
      <c r="B1534" s="90">
        <v>7.3720642272561205</v>
      </c>
    </row>
    <row r="1535" spans="1:2">
      <c r="A1535" s="32">
        <v>1525</v>
      </c>
      <c r="B1535" s="90">
        <v>9.2999758603019824</v>
      </c>
    </row>
    <row r="1536" spans="1:2">
      <c r="A1536" s="32">
        <v>1526</v>
      </c>
      <c r="B1536" s="90">
        <v>8.8160200366706061</v>
      </c>
    </row>
    <row r="1537" spans="1:2">
      <c r="A1537" s="32">
        <v>1527</v>
      </c>
      <c r="B1537" s="90">
        <v>9.6618427662469681</v>
      </c>
    </row>
    <row r="1538" spans="1:2">
      <c r="A1538" s="32">
        <v>1528</v>
      </c>
      <c r="B1538" s="90">
        <v>6.4924643355439651</v>
      </c>
    </row>
    <row r="1539" spans="1:2">
      <c r="A1539" s="32">
        <v>1529</v>
      </c>
      <c r="B1539" s="90">
        <v>7.6250741383313967</v>
      </c>
    </row>
    <row r="1540" spans="1:2">
      <c r="A1540" s="32">
        <v>1530</v>
      </c>
      <c r="B1540" s="90">
        <v>7.6931034165447434</v>
      </c>
    </row>
    <row r="1541" spans="1:2">
      <c r="A1541" s="32">
        <v>1531</v>
      </c>
      <c r="B1541" s="90">
        <v>9.2956683909543543</v>
      </c>
    </row>
    <row r="1542" spans="1:2">
      <c r="A1542" s="32">
        <v>1532</v>
      </c>
      <c r="B1542" s="90">
        <v>8.6634456011982142</v>
      </c>
    </row>
    <row r="1543" spans="1:2">
      <c r="A1543" s="32">
        <v>1533</v>
      </c>
      <c r="B1543" s="90">
        <v>8.7053362896209379</v>
      </c>
    </row>
    <row r="1544" spans="1:2">
      <c r="A1544" s="32">
        <v>1534</v>
      </c>
      <c r="B1544" s="90">
        <v>7.0218293293209939</v>
      </c>
    </row>
    <row r="1545" spans="1:2">
      <c r="A1545" s="32">
        <v>1535</v>
      </c>
      <c r="B1545" s="90">
        <v>7.3937665245194504</v>
      </c>
    </row>
    <row r="1546" spans="1:2">
      <c r="A1546" s="32">
        <v>1536</v>
      </c>
      <c r="B1546" s="90">
        <v>8.2945035546039954</v>
      </c>
    </row>
    <row r="1547" spans="1:2">
      <c r="A1547" s="32">
        <v>1537</v>
      </c>
      <c r="B1547" s="90">
        <v>9.0437622347473017</v>
      </c>
    </row>
    <row r="1548" spans="1:2">
      <c r="A1548" s="32">
        <v>1538</v>
      </c>
      <c r="B1548" s="90">
        <v>8.5100816980017715</v>
      </c>
    </row>
    <row r="1549" spans="1:2">
      <c r="A1549" s="32">
        <v>1539</v>
      </c>
      <c r="B1549" s="90">
        <v>7.9915801502514698</v>
      </c>
    </row>
    <row r="1550" spans="1:2">
      <c r="A1550" s="32">
        <v>1540</v>
      </c>
      <c r="B1550" s="90">
        <v>7.881964057018398</v>
      </c>
    </row>
    <row r="1551" spans="1:2">
      <c r="A1551" s="32">
        <v>1541</v>
      </c>
      <c r="B1551" s="90">
        <v>6.7293349964386335</v>
      </c>
    </row>
    <row r="1552" spans="1:2">
      <c r="A1552" s="32">
        <v>1542</v>
      </c>
      <c r="B1552" s="90">
        <v>9.2707252837555156</v>
      </c>
    </row>
    <row r="1553" spans="1:2">
      <c r="A1553" s="32">
        <v>1543</v>
      </c>
      <c r="B1553" s="90">
        <v>8.6437414832067372</v>
      </c>
    </row>
    <row r="1554" spans="1:2">
      <c r="A1554" s="32">
        <v>1544</v>
      </c>
      <c r="B1554" s="90">
        <v>8.9473962096268984</v>
      </c>
    </row>
    <row r="1555" spans="1:2">
      <c r="A1555" s="32">
        <v>1545</v>
      </c>
      <c r="B1555" s="90">
        <v>7.7473253683766012</v>
      </c>
    </row>
    <row r="1556" spans="1:2">
      <c r="A1556" s="32">
        <v>1546</v>
      </c>
      <c r="B1556" s="90">
        <v>7.6903531278386188</v>
      </c>
    </row>
    <row r="1557" spans="1:2">
      <c r="A1557" s="32">
        <v>1547</v>
      </c>
      <c r="B1557" s="90">
        <v>6.9138668391928748</v>
      </c>
    </row>
    <row r="1558" spans="1:2">
      <c r="A1558" s="32">
        <v>1548</v>
      </c>
      <c r="B1558" s="90">
        <v>8.7671485883996407</v>
      </c>
    </row>
    <row r="1559" spans="1:2">
      <c r="A1559" s="32">
        <v>1549</v>
      </c>
      <c r="B1559" s="90">
        <v>9.1207314466371709</v>
      </c>
    </row>
    <row r="1560" spans="1:2">
      <c r="A1560" s="32">
        <v>1550</v>
      </c>
      <c r="B1560" s="90">
        <v>8.9181385616736293</v>
      </c>
    </row>
    <row r="1561" spans="1:2">
      <c r="A1561" s="32">
        <v>1551</v>
      </c>
      <c r="B1561" s="90">
        <v>7.5458669246596246</v>
      </c>
    </row>
    <row r="1562" spans="1:2">
      <c r="A1562" s="32">
        <v>1552</v>
      </c>
      <c r="B1562" s="90">
        <v>7.1667717191306126</v>
      </c>
    </row>
    <row r="1563" spans="1:2">
      <c r="A1563" s="32">
        <v>1553</v>
      </c>
      <c r="B1563" s="90">
        <v>7.3493231086791706</v>
      </c>
    </row>
    <row r="1564" spans="1:2">
      <c r="A1564" s="32">
        <v>1554</v>
      </c>
      <c r="B1564" s="90">
        <v>9.1062763443708352</v>
      </c>
    </row>
    <row r="1565" spans="1:2">
      <c r="A1565" s="32">
        <v>1555</v>
      </c>
      <c r="B1565" s="90">
        <v>8.9787007503871266</v>
      </c>
    </row>
    <row r="1566" spans="1:2">
      <c r="A1566" s="32">
        <v>1556</v>
      </c>
      <c r="B1566" s="90">
        <v>9.3314704013254381</v>
      </c>
    </row>
    <row r="1567" spans="1:2">
      <c r="A1567" s="32">
        <v>1557</v>
      </c>
      <c r="B1567" s="90">
        <v>7.0584643110979375</v>
      </c>
    </row>
    <row r="1568" spans="1:2">
      <c r="A1568" s="32">
        <v>1558</v>
      </c>
      <c r="B1568" s="90">
        <v>7.3168487377401918</v>
      </c>
    </row>
    <row r="1569" spans="1:2">
      <c r="A1569" s="32">
        <v>1559</v>
      </c>
      <c r="B1569" s="90">
        <v>7.5980516013887538</v>
      </c>
    </row>
    <row r="1570" spans="1:2">
      <c r="A1570" s="32">
        <v>1560</v>
      </c>
      <c r="B1570" s="90">
        <v>9.4887823880259035</v>
      </c>
    </row>
    <row r="1571" spans="1:2">
      <c r="A1571" s="32">
        <v>1561</v>
      </c>
      <c r="B1571" s="90">
        <v>8.8617966127219479</v>
      </c>
    </row>
    <row r="1572" spans="1:2">
      <c r="A1572" s="32">
        <v>1562</v>
      </c>
      <c r="B1572" s="90">
        <v>8.6848067369932238</v>
      </c>
    </row>
    <row r="1573" spans="1:2">
      <c r="A1573" s="32">
        <v>1563</v>
      </c>
      <c r="B1573" s="90">
        <v>6.9315663595719688</v>
      </c>
    </row>
    <row r="1574" spans="1:2">
      <c r="A1574" s="32">
        <v>1564</v>
      </c>
      <c r="B1574" s="90">
        <v>7.2288047312193582</v>
      </c>
    </row>
    <row r="1575" spans="1:2">
      <c r="A1575" s="32">
        <v>1565</v>
      </c>
      <c r="B1575" s="90">
        <v>8.3421285534041125</v>
      </c>
    </row>
    <row r="1576" spans="1:2">
      <c r="A1576" s="32">
        <v>1566</v>
      </c>
      <c r="B1576" s="90">
        <v>8.9568886727510417</v>
      </c>
    </row>
    <row r="1577" spans="1:2">
      <c r="A1577" s="32">
        <v>1567</v>
      </c>
      <c r="B1577" s="90">
        <v>8.6072891158986007</v>
      </c>
    </row>
    <row r="1578" spans="1:2">
      <c r="A1578" s="32">
        <v>1568</v>
      </c>
      <c r="B1578" s="90">
        <v>8.1770913936153775</v>
      </c>
    </row>
    <row r="1579" spans="1:2">
      <c r="A1579" s="32">
        <v>1569</v>
      </c>
      <c r="B1579" s="90">
        <v>7.639303710211812</v>
      </c>
    </row>
    <row r="1580" spans="1:2">
      <c r="A1580" s="32">
        <v>1570</v>
      </c>
      <c r="B1580" s="90">
        <v>7.1568659208360117</v>
      </c>
    </row>
    <row r="1581" spans="1:2">
      <c r="A1581" s="32">
        <v>1571</v>
      </c>
      <c r="B1581" s="90">
        <v>8.2750020219541387</v>
      </c>
    </row>
    <row r="1582" spans="1:2">
      <c r="A1582" s="32">
        <v>1572</v>
      </c>
      <c r="B1582" s="90">
        <v>9.1035051781859195</v>
      </c>
    </row>
    <row r="1583" spans="1:2">
      <c r="A1583" s="32">
        <v>1573</v>
      </c>
      <c r="B1583" s="90">
        <v>8.6919190599579927</v>
      </c>
    </row>
    <row r="1584" spans="1:2">
      <c r="A1584" s="32">
        <v>1574</v>
      </c>
      <c r="B1584" s="90">
        <v>7.9488621140035089</v>
      </c>
    </row>
    <row r="1585" spans="1:2">
      <c r="A1585" s="32">
        <v>1575</v>
      </c>
      <c r="B1585" s="90">
        <v>7.5883049161797462</v>
      </c>
    </row>
    <row r="1586" spans="1:2">
      <c r="A1586" s="32">
        <v>1576</v>
      </c>
      <c r="B1586" s="90">
        <v>6.7387657736073603</v>
      </c>
    </row>
    <row r="1587" spans="1:2">
      <c r="A1587" s="32">
        <v>1577</v>
      </c>
      <c r="B1587" s="90">
        <v>9.4321545165178549</v>
      </c>
    </row>
    <row r="1588" spans="1:2">
      <c r="A1588" s="32">
        <v>1578</v>
      </c>
      <c r="B1588" s="90">
        <v>9.0191449351100275</v>
      </c>
    </row>
    <row r="1589" spans="1:2">
      <c r="A1589" s="32">
        <v>1579</v>
      </c>
      <c r="B1589" s="90">
        <v>8.7399278295011396</v>
      </c>
    </row>
    <row r="1590" spans="1:2">
      <c r="A1590" s="32">
        <v>1580</v>
      </c>
      <c r="B1590" s="90">
        <v>7.5793373715216541</v>
      </c>
    </row>
    <row r="1591" spans="1:2">
      <c r="A1591" s="32">
        <v>1581</v>
      </c>
      <c r="B1591" s="90">
        <v>7.7142946810526194</v>
      </c>
    </row>
    <row r="1592" spans="1:2">
      <c r="A1592" s="32">
        <v>1582</v>
      </c>
      <c r="B1592" s="90">
        <v>6.8880537278461542</v>
      </c>
    </row>
    <row r="1593" spans="1:2">
      <c r="A1593" s="32">
        <v>1583</v>
      </c>
      <c r="B1593" s="90">
        <v>8.8306660037967308</v>
      </c>
    </row>
    <row r="1594" spans="1:2">
      <c r="A1594" s="32">
        <v>1584</v>
      </c>
      <c r="B1594" s="90">
        <v>9.5966433103856517</v>
      </c>
    </row>
    <row r="1595" spans="1:2">
      <c r="A1595" s="32">
        <v>1585</v>
      </c>
      <c r="B1595" s="90">
        <v>8.6624285672709362</v>
      </c>
    </row>
    <row r="1596" spans="1:2">
      <c r="A1596" s="32">
        <v>1586</v>
      </c>
      <c r="B1596" s="90">
        <v>7.313595031103385</v>
      </c>
    </row>
    <row r="1597" spans="1:2">
      <c r="A1597" s="32">
        <v>1587</v>
      </c>
      <c r="B1597" s="90">
        <v>7.3440434817645288</v>
      </c>
    </row>
    <row r="1598" spans="1:2">
      <c r="A1598" s="32">
        <v>1588</v>
      </c>
      <c r="B1598" s="90">
        <v>7.3720642272561205</v>
      </c>
    </row>
    <row r="1599" spans="1:2">
      <c r="A1599" s="32">
        <v>1589</v>
      </c>
      <c r="B1599" s="90">
        <v>9.2999758603019824</v>
      </c>
    </row>
    <row r="1600" spans="1:2">
      <c r="A1600" s="32">
        <v>1590</v>
      </c>
      <c r="B1600" s="90">
        <v>8.8160200366706061</v>
      </c>
    </row>
    <row r="1601" spans="1:2">
      <c r="A1601" s="32">
        <v>1591</v>
      </c>
      <c r="B1601" s="90">
        <v>9.6618427662469681</v>
      </c>
    </row>
    <row r="1602" spans="1:2">
      <c r="A1602" s="32">
        <v>1592</v>
      </c>
      <c r="B1602" s="90">
        <v>6.4924643355439651</v>
      </c>
    </row>
    <row r="1603" spans="1:2">
      <c r="A1603" s="32">
        <v>1593</v>
      </c>
      <c r="B1603" s="90">
        <v>7.6250741383313967</v>
      </c>
    </row>
    <row r="1604" spans="1:2">
      <c r="A1604" s="32">
        <v>1594</v>
      </c>
      <c r="B1604" s="90">
        <v>7.6931034165447434</v>
      </c>
    </row>
    <row r="1605" spans="1:2">
      <c r="A1605" s="32">
        <v>1595</v>
      </c>
      <c r="B1605" s="90">
        <v>9.2956683909543543</v>
      </c>
    </row>
    <row r="1606" spans="1:2">
      <c r="A1606" s="32">
        <v>1596</v>
      </c>
      <c r="B1606" s="90">
        <v>8.6634456011982142</v>
      </c>
    </row>
    <row r="1607" spans="1:2">
      <c r="A1607" s="32">
        <v>1597</v>
      </c>
      <c r="B1607" s="90">
        <v>8.7053362896209379</v>
      </c>
    </row>
    <row r="1608" spans="1:2">
      <c r="A1608" s="32">
        <v>1598</v>
      </c>
      <c r="B1608" s="90">
        <v>7.0218293293209939</v>
      </c>
    </row>
    <row r="1609" spans="1:2">
      <c r="A1609" s="32">
        <v>1599</v>
      </c>
      <c r="B1609" s="90">
        <v>7.6889297453667442</v>
      </c>
    </row>
    <row r="1610" spans="1:2">
      <c r="A1610" s="32">
        <v>1600</v>
      </c>
      <c r="B1610" s="90">
        <v>8.0210252747161999</v>
      </c>
    </row>
    <row r="1611" spans="1:2">
      <c r="A1611" s="32">
        <v>1601</v>
      </c>
      <c r="B1611" s="90">
        <v>8.1503085047516599</v>
      </c>
    </row>
    <row r="1612" spans="1:2">
      <c r="A1612" s="32">
        <v>1602</v>
      </c>
      <c r="B1612" s="90">
        <v>7.9671358759772328</v>
      </c>
    </row>
    <row r="1613" spans="1:2">
      <c r="A1613" s="32">
        <v>1603</v>
      </c>
      <c r="B1613" s="90">
        <v>7.1223214162958328</v>
      </c>
    </row>
    <row r="1614" spans="1:2">
      <c r="A1614" s="32">
        <v>1604</v>
      </c>
      <c r="B1614" s="90">
        <v>8.9423917264830273</v>
      </c>
    </row>
    <row r="1615" spans="1:2">
      <c r="A1615" s="32">
        <v>1605</v>
      </c>
      <c r="B1615" s="90">
        <v>8.6347281313286626</v>
      </c>
    </row>
    <row r="1616" spans="1:2">
      <c r="A1616" s="32">
        <v>1606</v>
      </c>
      <c r="B1616" s="90">
        <v>7.829361712045892</v>
      </c>
    </row>
    <row r="1617" spans="1:2">
      <c r="A1617" s="32">
        <v>1607</v>
      </c>
      <c r="B1617" s="90">
        <v>7.9614559339223474</v>
      </c>
    </row>
    <row r="1618" spans="1:2">
      <c r="A1618" s="32">
        <v>1608</v>
      </c>
      <c r="B1618" s="90">
        <v>7.9612369152372144</v>
      </c>
    </row>
    <row r="1619" spans="1:2">
      <c r="A1619" s="32">
        <v>1609</v>
      </c>
      <c r="B1619" s="90">
        <v>7.6838937643867027</v>
      </c>
    </row>
    <row r="1620" spans="1:2">
      <c r="A1620" s="32">
        <v>1610</v>
      </c>
      <c r="B1620" s="90">
        <v>8.6344446761634046</v>
      </c>
    </row>
    <row r="1621" spans="1:2">
      <c r="A1621" s="32">
        <v>1611</v>
      </c>
      <c r="B1621" s="90">
        <v>8.3965799899299576</v>
      </c>
    </row>
    <row r="1622" spans="1:2">
      <c r="A1622" s="32">
        <v>1612</v>
      </c>
      <c r="B1622" s="90">
        <v>7.9995848055589747</v>
      </c>
    </row>
    <row r="1623" spans="1:2">
      <c r="A1623" s="32">
        <v>1613</v>
      </c>
      <c r="B1623" s="90">
        <v>8.3819820319210674</v>
      </c>
    </row>
    <row r="1624" spans="1:2">
      <c r="A1624" s="32">
        <v>1614</v>
      </c>
      <c r="B1624" s="90">
        <v>7.3948568436904933</v>
      </c>
    </row>
    <row r="1625" spans="1:2">
      <c r="A1625" s="32">
        <v>1615</v>
      </c>
      <c r="B1625" s="90">
        <v>7.7116743909218082</v>
      </c>
    </row>
    <row r="1626" spans="1:2">
      <c r="A1626" s="32">
        <v>1616</v>
      </c>
      <c r="B1626" s="90">
        <v>8.8905434044838056</v>
      </c>
    </row>
    <row r="1627" spans="1:2">
      <c r="A1627" s="32">
        <v>1617</v>
      </c>
      <c r="B1627" s="90">
        <v>8.499532421425716</v>
      </c>
    </row>
    <row r="1628" spans="1:2">
      <c r="A1628" s="32">
        <v>1618</v>
      </c>
      <c r="B1628" s="90">
        <v>8.1629228473013367</v>
      </c>
    </row>
    <row r="1629" spans="1:2">
      <c r="A1629" s="32">
        <v>1619</v>
      </c>
      <c r="B1629" s="90">
        <v>7.6144069901301021</v>
      </c>
    </row>
    <row r="1630" spans="1:2">
      <c r="A1630" s="32">
        <v>1620</v>
      </c>
      <c r="B1630" s="90">
        <v>7.7565242210727199</v>
      </c>
    </row>
    <row r="1631" spans="1:2">
      <c r="A1631" s="32">
        <v>1621</v>
      </c>
      <c r="B1631" s="90">
        <v>7.7242439527720608</v>
      </c>
    </row>
    <row r="1632" spans="1:2">
      <c r="A1632" s="32">
        <v>1622</v>
      </c>
      <c r="B1632" s="90">
        <v>8.8466304784036041</v>
      </c>
    </row>
    <row r="1633" spans="1:2">
      <c r="A1633" s="32">
        <v>1623</v>
      </c>
      <c r="B1633" s="90">
        <v>8.4672390368208728</v>
      </c>
    </row>
    <row r="1634" spans="1:2">
      <c r="A1634" s="32">
        <v>1624</v>
      </c>
      <c r="B1634" s="90">
        <v>8.0446182908305417</v>
      </c>
    </row>
    <row r="1635" spans="1:2">
      <c r="A1635" s="32">
        <v>1625</v>
      </c>
      <c r="B1635" s="90">
        <v>7.2327460011339317</v>
      </c>
    </row>
    <row r="1636" spans="1:2">
      <c r="A1636" s="32">
        <v>1626</v>
      </c>
      <c r="B1636" s="90">
        <v>8.03888717049756</v>
      </c>
    </row>
    <row r="1637" spans="1:2">
      <c r="A1637" s="32">
        <v>1627</v>
      </c>
      <c r="B1637" s="90">
        <v>7.8656077708593193</v>
      </c>
    </row>
    <row r="1638" spans="1:2">
      <c r="A1638" s="32">
        <v>1628</v>
      </c>
      <c r="B1638" s="90">
        <v>9.0522523857741035</v>
      </c>
    </row>
    <row r="1639" spans="1:2">
      <c r="A1639" s="32">
        <v>1629</v>
      </c>
      <c r="B1639" s="90">
        <v>8.1874728349600367</v>
      </c>
    </row>
    <row r="1640" spans="1:2">
      <c r="A1640" s="32">
        <v>1630</v>
      </c>
      <c r="B1640" s="90">
        <v>8.2141088896868073</v>
      </c>
    </row>
    <row r="1641" spans="1:2">
      <c r="A1641" s="32">
        <v>1631</v>
      </c>
      <c r="B1641" s="90">
        <v>7.9638511838904567</v>
      </c>
    </row>
    <row r="1642" spans="1:2">
      <c r="A1642" s="32">
        <v>1632</v>
      </c>
      <c r="B1642" s="90">
        <v>7.144514557818658</v>
      </c>
    </row>
    <row r="1643" spans="1:2">
      <c r="A1643" s="32">
        <v>1633</v>
      </c>
      <c r="B1643" s="90">
        <v>8.5902805313315618</v>
      </c>
    </row>
    <row r="1644" spans="1:2">
      <c r="A1644" s="32">
        <v>1634</v>
      </c>
      <c r="B1644" s="90">
        <v>8.6681836987091891</v>
      </c>
    </row>
    <row r="1645" spans="1:2">
      <c r="A1645" s="32">
        <v>1635</v>
      </c>
      <c r="B1645" s="90">
        <v>7.8958639374801285</v>
      </c>
    </row>
    <row r="1646" spans="1:2">
      <c r="A1646" s="32">
        <v>1636</v>
      </c>
      <c r="B1646" s="90">
        <v>8.1953951890625181</v>
      </c>
    </row>
    <row r="1647" spans="1:2">
      <c r="A1647" s="32">
        <v>1637</v>
      </c>
      <c r="B1647" s="90">
        <v>7.8155278427943315</v>
      </c>
    </row>
    <row r="1648" spans="1:2">
      <c r="A1648" s="32">
        <v>1638</v>
      </c>
      <c r="B1648" s="90">
        <v>7.7534717726891058</v>
      </c>
    </row>
    <row r="1649" spans="1:2">
      <c r="A1649" s="32">
        <v>1639</v>
      </c>
      <c r="B1649" s="90">
        <v>8.4667242947760037</v>
      </c>
    </row>
    <row r="1650" spans="1:2">
      <c r="A1650" s="32">
        <v>1640</v>
      </c>
      <c r="B1650" s="90">
        <v>8.6653173752485166</v>
      </c>
    </row>
    <row r="1651" spans="1:2">
      <c r="A1651" s="32">
        <v>1641</v>
      </c>
      <c r="B1651" s="90">
        <v>7.9176627102936195</v>
      </c>
    </row>
    <row r="1652" spans="1:2">
      <c r="A1652" s="32">
        <v>1642</v>
      </c>
      <c r="B1652" s="90">
        <v>7.9416318424385013</v>
      </c>
    </row>
    <row r="1653" spans="1:2">
      <c r="A1653" s="32">
        <v>1643</v>
      </c>
      <c r="B1653" s="90">
        <v>8.0770146767186919</v>
      </c>
    </row>
    <row r="1654" spans="1:2">
      <c r="A1654" s="32">
        <v>1644</v>
      </c>
      <c r="B1654" s="90">
        <v>7.4657037004326172</v>
      </c>
    </row>
    <row r="1655" spans="1:2">
      <c r="A1655" s="32">
        <v>1645</v>
      </c>
      <c r="B1655" s="90">
        <v>8.710414595395255</v>
      </c>
    </row>
    <row r="1656" spans="1:2">
      <c r="A1656" s="32">
        <v>1646</v>
      </c>
      <c r="B1656" s="90">
        <v>8.887819137296221</v>
      </c>
    </row>
    <row r="1657" spans="1:2">
      <c r="A1657" s="32">
        <v>1647</v>
      </c>
      <c r="B1657" s="90">
        <v>7.8572145860738347</v>
      </c>
    </row>
    <row r="1658" spans="1:2">
      <c r="A1658" s="32">
        <v>1648</v>
      </c>
      <c r="B1658" s="90">
        <v>7.5995628018867398</v>
      </c>
    </row>
    <row r="1659" spans="1:2">
      <c r="A1659" s="32">
        <v>1649</v>
      </c>
      <c r="B1659" s="90">
        <v>7.8561430180862173</v>
      </c>
    </row>
    <row r="1660" spans="1:2">
      <c r="A1660" s="32">
        <v>1650</v>
      </c>
      <c r="B1660" s="90">
        <v>7.7785062094208204</v>
      </c>
    </row>
    <row r="1661" spans="1:2">
      <c r="A1661" s="32">
        <v>1651</v>
      </c>
      <c r="B1661" s="90">
        <v>9.0286426215584896</v>
      </c>
    </row>
    <row r="1662" spans="1:2">
      <c r="A1662" s="32">
        <v>1652</v>
      </c>
      <c r="B1662" s="90">
        <v>8.1189735006605019</v>
      </c>
    </row>
    <row r="1663" spans="1:2">
      <c r="A1663" s="32">
        <v>1653</v>
      </c>
      <c r="B1663" s="90">
        <v>8.3788080088708412</v>
      </c>
    </row>
    <row r="1664" spans="1:2">
      <c r="A1664" s="32">
        <v>1654</v>
      </c>
      <c r="B1664" s="90">
        <v>7.2484135105830747</v>
      </c>
    </row>
    <row r="1665" spans="1:2">
      <c r="A1665" s="32">
        <v>1655</v>
      </c>
      <c r="B1665" s="90">
        <v>7.8853089194800789</v>
      </c>
    </row>
    <row r="1666" spans="1:2">
      <c r="A1666" s="32">
        <v>1656</v>
      </c>
      <c r="B1666" s="90">
        <v>7.8423013680125404</v>
      </c>
    </row>
    <row r="1667" spans="1:2">
      <c r="A1667" s="32">
        <v>1657</v>
      </c>
      <c r="B1667" s="90">
        <v>9.0172114096518712</v>
      </c>
    </row>
    <row r="1668" spans="1:2">
      <c r="A1668" s="32">
        <v>1658</v>
      </c>
      <c r="B1668" s="90">
        <v>8.1269264518302684</v>
      </c>
    </row>
    <row r="1669" spans="1:2">
      <c r="A1669" s="32">
        <v>1659</v>
      </c>
      <c r="B1669" s="90">
        <v>8.1544974189200872</v>
      </c>
    </row>
    <row r="1670" spans="1:2">
      <c r="A1670" s="32">
        <v>1660</v>
      </c>
      <c r="B1670" s="90">
        <v>7.373478784070052</v>
      </c>
    </row>
    <row r="1671" spans="1:2">
      <c r="A1671" s="32">
        <v>1661</v>
      </c>
      <c r="B1671" s="90">
        <v>7.7777299641867472</v>
      </c>
    </row>
    <row r="1672" spans="1:2">
      <c r="A1672" s="32">
        <v>1662</v>
      </c>
      <c r="B1672" s="90">
        <v>8.4344306734035488</v>
      </c>
    </row>
    <row r="1673" spans="1:2">
      <c r="A1673" s="32">
        <v>1663</v>
      </c>
      <c r="B1673" s="90">
        <v>8.8634995515969308</v>
      </c>
    </row>
    <row r="1674" spans="1:2">
      <c r="A1674" s="32">
        <v>1664</v>
      </c>
      <c r="B1674" s="90">
        <v>8.0210252747161999</v>
      </c>
    </row>
    <row r="1675" spans="1:2">
      <c r="A1675" s="32">
        <v>1665</v>
      </c>
      <c r="B1675" s="90">
        <v>8.1503085047516599</v>
      </c>
    </row>
    <row r="1676" spans="1:2">
      <c r="A1676" s="32">
        <v>1666</v>
      </c>
      <c r="B1676" s="90">
        <v>7.9671358759772328</v>
      </c>
    </row>
    <row r="1677" spans="1:2">
      <c r="A1677" s="32">
        <v>1667</v>
      </c>
      <c r="B1677" s="90">
        <v>7.1223214162958328</v>
      </c>
    </row>
    <row r="1678" spans="1:2">
      <c r="A1678" s="32">
        <v>1668</v>
      </c>
      <c r="B1678" s="90">
        <v>8.9423917264830273</v>
      </c>
    </row>
    <row r="1679" spans="1:2">
      <c r="A1679" s="32">
        <v>1669</v>
      </c>
      <c r="B1679" s="90">
        <v>8.6347281313286626</v>
      </c>
    </row>
    <row r="1680" spans="1:2">
      <c r="A1680" s="32">
        <v>1670</v>
      </c>
      <c r="B1680" s="90">
        <v>7.829361712045892</v>
      </c>
    </row>
    <row r="1681" spans="1:2">
      <c r="A1681" s="32">
        <v>1671</v>
      </c>
      <c r="B1681" s="90">
        <v>7.9614559339223474</v>
      </c>
    </row>
    <row r="1682" spans="1:2">
      <c r="A1682" s="32">
        <v>1672</v>
      </c>
      <c r="B1682" s="90">
        <v>7.9612369152372144</v>
      </c>
    </row>
    <row r="1683" spans="1:2">
      <c r="A1683" s="32">
        <v>1673</v>
      </c>
      <c r="B1683" s="90">
        <v>7.6838937643867027</v>
      </c>
    </row>
    <row r="1684" spans="1:2">
      <c r="A1684" s="32">
        <v>1674</v>
      </c>
      <c r="B1684" s="90">
        <v>8.6344446761634046</v>
      </c>
    </row>
    <row r="1685" spans="1:2">
      <c r="A1685" s="32">
        <v>1675</v>
      </c>
      <c r="B1685" s="90">
        <v>8.3965799899299576</v>
      </c>
    </row>
    <row r="1686" spans="1:2">
      <c r="A1686" s="32">
        <v>1676</v>
      </c>
      <c r="B1686" s="90">
        <v>7.9995848055589747</v>
      </c>
    </row>
    <row r="1687" spans="1:2">
      <c r="A1687" s="32">
        <v>1677</v>
      </c>
      <c r="B1687" s="90">
        <v>8.3819820319210674</v>
      </c>
    </row>
    <row r="1688" spans="1:2">
      <c r="A1688" s="32">
        <v>1678</v>
      </c>
      <c r="B1688" s="90">
        <v>7.3948568436904933</v>
      </c>
    </row>
    <row r="1689" spans="1:2">
      <c r="A1689" s="32">
        <v>1679</v>
      </c>
      <c r="B1689" s="90">
        <v>7.7116743909218082</v>
      </c>
    </row>
    <row r="1690" spans="1:2">
      <c r="A1690" s="32">
        <v>1680</v>
      </c>
      <c r="B1690" s="90">
        <v>8.8905434044838056</v>
      </c>
    </row>
    <row r="1691" spans="1:2">
      <c r="A1691" s="32">
        <v>1681</v>
      </c>
      <c r="B1691" s="90">
        <v>8.499532421425716</v>
      </c>
    </row>
    <row r="1692" spans="1:2">
      <c r="A1692" s="32">
        <v>1682</v>
      </c>
      <c r="B1692" s="90">
        <v>8.1629228473013367</v>
      </c>
    </row>
    <row r="1693" spans="1:2">
      <c r="A1693" s="32">
        <v>1683</v>
      </c>
      <c r="B1693" s="90">
        <v>7.6144069901301021</v>
      </c>
    </row>
    <row r="1694" spans="1:2">
      <c r="A1694" s="32">
        <v>1684</v>
      </c>
      <c r="B1694" s="90">
        <v>7.7565242210727199</v>
      </c>
    </row>
    <row r="1695" spans="1:2">
      <c r="A1695" s="32">
        <v>1685</v>
      </c>
      <c r="B1695" s="90">
        <v>7.7242439527720608</v>
      </c>
    </row>
    <row r="1696" spans="1:2">
      <c r="A1696" s="32">
        <v>1686</v>
      </c>
      <c r="B1696" s="90">
        <v>8.8466304784036041</v>
      </c>
    </row>
    <row r="1697" spans="1:2">
      <c r="A1697" s="32">
        <v>1687</v>
      </c>
      <c r="B1697" s="90">
        <v>8.4672390368208728</v>
      </c>
    </row>
    <row r="1698" spans="1:2">
      <c r="A1698" s="32">
        <v>1688</v>
      </c>
      <c r="B1698" s="90">
        <v>8.0446182908305417</v>
      </c>
    </row>
    <row r="1699" spans="1:2">
      <c r="A1699" s="32">
        <v>1689</v>
      </c>
      <c r="B1699" s="90">
        <v>7.2327460011339317</v>
      </c>
    </row>
    <row r="1700" spans="1:2">
      <c r="A1700" s="32">
        <v>1690</v>
      </c>
      <c r="B1700" s="90">
        <v>8.03888717049756</v>
      </c>
    </row>
    <row r="1701" spans="1:2">
      <c r="A1701" s="32">
        <v>1691</v>
      </c>
      <c r="B1701" s="90">
        <v>7.8656077708593193</v>
      </c>
    </row>
    <row r="1702" spans="1:2">
      <c r="A1702" s="32">
        <v>1692</v>
      </c>
      <c r="B1702" s="90">
        <v>9.0522523857741035</v>
      </c>
    </row>
    <row r="1703" spans="1:2">
      <c r="A1703" s="32">
        <v>1693</v>
      </c>
      <c r="B1703" s="90">
        <v>8.1874728349600367</v>
      </c>
    </row>
    <row r="1704" spans="1:2">
      <c r="A1704" s="32">
        <v>1694</v>
      </c>
      <c r="B1704" s="90">
        <v>8.2141088896868073</v>
      </c>
    </row>
    <row r="1705" spans="1:2">
      <c r="A1705" s="32">
        <v>1695</v>
      </c>
      <c r="B1705" s="90">
        <v>7.9638511838904567</v>
      </c>
    </row>
    <row r="1706" spans="1:2">
      <c r="A1706" s="32">
        <v>1696</v>
      </c>
      <c r="B1706" s="90">
        <v>7.144514557818658</v>
      </c>
    </row>
    <row r="1707" spans="1:2">
      <c r="A1707" s="32">
        <v>1697</v>
      </c>
      <c r="B1707" s="90">
        <v>8.5902805313315618</v>
      </c>
    </row>
    <row r="1708" spans="1:2">
      <c r="A1708" s="32">
        <v>1698</v>
      </c>
      <c r="B1708" s="90">
        <v>8.6681836987091891</v>
      </c>
    </row>
    <row r="1709" spans="1:2">
      <c r="A1709" s="32">
        <v>1699</v>
      </c>
      <c r="B1709" s="90">
        <v>7.8958639374801285</v>
      </c>
    </row>
    <row r="1710" spans="1:2">
      <c r="A1710" s="32">
        <v>1700</v>
      </c>
      <c r="B1710" s="90">
        <v>8.1953951890625181</v>
      </c>
    </row>
    <row r="1711" spans="1:2">
      <c r="A1711" s="32">
        <v>1701</v>
      </c>
      <c r="B1711" s="90">
        <v>7.8155278427943315</v>
      </c>
    </row>
    <row r="1712" spans="1:2">
      <c r="A1712" s="32">
        <v>1702</v>
      </c>
      <c r="B1712" s="90">
        <v>7.7534717726891058</v>
      </c>
    </row>
    <row r="1713" spans="1:2">
      <c r="A1713" s="32">
        <v>1703</v>
      </c>
      <c r="B1713" s="90">
        <v>8.4667242947760037</v>
      </c>
    </row>
    <row r="1714" spans="1:2">
      <c r="A1714" s="32">
        <v>1704</v>
      </c>
      <c r="B1714" s="90">
        <v>8.6653173752485166</v>
      </c>
    </row>
    <row r="1715" spans="1:2">
      <c r="A1715" s="32">
        <v>1705</v>
      </c>
      <c r="B1715" s="90">
        <v>7.9176627102936195</v>
      </c>
    </row>
    <row r="1716" spans="1:2">
      <c r="A1716" s="32">
        <v>1706</v>
      </c>
      <c r="B1716" s="90">
        <v>7.9416318424385013</v>
      </c>
    </row>
    <row r="1717" spans="1:2">
      <c r="A1717" s="32">
        <v>1707</v>
      </c>
      <c r="B1717" s="90">
        <v>8.0770146767186919</v>
      </c>
    </row>
    <row r="1718" spans="1:2">
      <c r="A1718" s="32">
        <v>1708</v>
      </c>
      <c r="B1718" s="90">
        <v>7.4657037004326172</v>
      </c>
    </row>
    <row r="1719" spans="1:2">
      <c r="A1719" s="32">
        <v>1709</v>
      </c>
      <c r="B1719" s="90">
        <v>8.710414595395255</v>
      </c>
    </row>
    <row r="1720" spans="1:2">
      <c r="A1720" s="32">
        <v>1710</v>
      </c>
      <c r="B1720" s="90">
        <v>8.887819137296221</v>
      </c>
    </row>
    <row r="1721" spans="1:2">
      <c r="A1721" s="32">
        <v>1711</v>
      </c>
      <c r="B1721" s="90">
        <v>7.8572145860738347</v>
      </c>
    </row>
    <row r="1722" spans="1:2">
      <c r="A1722" s="32">
        <v>1712</v>
      </c>
      <c r="B1722" s="90">
        <v>7.5995628018867398</v>
      </c>
    </row>
    <row r="1723" spans="1:2">
      <c r="A1723" s="32">
        <v>1713</v>
      </c>
      <c r="B1723" s="90">
        <v>7.8561430180862173</v>
      </c>
    </row>
    <row r="1724" spans="1:2">
      <c r="A1724" s="32">
        <v>1714</v>
      </c>
      <c r="B1724" s="90">
        <v>7.7785062094208204</v>
      </c>
    </row>
    <row r="1725" spans="1:2">
      <c r="A1725" s="32">
        <v>1715</v>
      </c>
      <c r="B1725" s="90">
        <v>9.0286426215584896</v>
      </c>
    </row>
    <row r="1726" spans="1:2">
      <c r="A1726" s="32">
        <v>1716</v>
      </c>
      <c r="B1726" s="90">
        <v>8.1189735006605019</v>
      </c>
    </row>
    <row r="1727" spans="1:2">
      <c r="A1727" s="32">
        <v>1717</v>
      </c>
      <c r="B1727" s="90">
        <v>8.3788080088708412</v>
      </c>
    </row>
    <row r="1728" spans="1:2">
      <c r="A1728" s="32">
        <v>1718</v>
      </c>
      <c r="B1728" s="90">
        <v>7.2484135105830747</v>
      </c>
    </row>
    <row r="1729" spans="1:2">
      <c r="A1729" s="32">
        <v>1719</v>
      </c>
      <c r="B1729" s="90">
        <v>8.0789548117726628</v>
      </c>
    </row>
    <row r="1730" spans="1:2">
      <c r="A1730" s="32">
        <v>1720</v>
      </c>
      <c r="B1730" s="90">
        <v>7.8583208888098195</v>
      </c>
    </row>
    <row r="1731" spans="1:2">
      <c r="A1731" s="32">
        <v>1721</v>
      </c>
      <c r="B1731" s="90">
        <v>8.1659164902984447</v>
      </c>
    </row>
    <row r="1732" spans="1:2">
      <c r="A1732" s="32">
        <v>1722</v>
      </c>
      <c r="B1732" s="90">
        <v>8.9020118665425478</v>
      </c>
    </row>
    <row r="1733" spans="1:2">
      <c r="A1733" s="32">
        <v>1723</v>
      </c>
      <c r="B1733" s="90">
        <v>8.2074894609552089</v>
      </c>
    </row>
    <row r="1734" spans="1:2">
      <c r="A1734" s="32">
        <v>1724</v>
      </c>
      <c r="B1734" s="90">
        <v>8.6038153134207889</v>
      </c>
    </row>
    <row r="1735" spans="1:2">
      <c r="A1735" s="32">
        <v>1725</v>
      </c>
      <c r="B1735" s="90">
        <v>8.0416459138772129</v>
      </c>
    </row>
    <row r="1736" spans="1:2">
      <c r="A1736" s="32">
        <v>1726</v>
      </c>
      <c r="B1736" s="90">
        <v>7.3259065568311978</v>
      </c>
    </row>
    <row r="1737" spans="1:2">
      <c r="A1737" s="32">
        <v>1727</v>
      </c>
      <c r="B1737" s="90">
        <v>8.9689590541027808</v>
      </c>
    </row>
    <row r="1738" spans="1:2">
      <c r="A1738" s="32">
        <v>1728</v>
      </c>
      <c r="B1738" s="90">
        <v>8.7628855161254258</v>
      </c>
    </row>
    <row r="1739" spans="1:2">
      <c r="A1739" s="32">
        <v>1729</v>
      </c>
      <c r="B1739" s="90">
        <v>8.3998513914343036</v>
      </c>
    </row>
    <row r="1740" spans="1:2">
      <c r="A1740" s="32">
        <v>1730</v>
      </c>
      <c r="B1740" s="90">
        <v>7.7680743510596182</v>
      </c>
    </row>
    <row r="1741" spans="1:2">
      <c r="A1741" s="32">
        <v>1731</v>
      </c>
      <c r="B1741" s="90">
        <v>8.4487223362662025</v>
      </c>
    </row>
    <row r="1742" spans="1:2">
      <c r="A1742" s="32">
        <v>1732</v>
      </c>
      <c r="B1742" s="90">
        <v>7.1090374467897925</v>
      </c>
    </row>
    <row r="1743" spans="1:2">
      <c r="A1743" s="32">
        <v>1733</v>
      </c>
      <c r="B1743" s="90">
        <v>9.0845903114371644</v>
      </c>
    </row>
    <row r="1744" spans="1:2">
      <c r="A1744" s="32">
        <v>1734</v>
      </c>
      <c r="B1744" s="90">
        <v>9.3659473390440926</v>
      </c>
    </row>
    <row r="1745" spans="1:2">
      <c r="A1745" s="32">
        <v>1735</v>
      </c>
      <c r="B1745" s="90">
        <v>8.0596844614388559</v>
      </c>
    </row>
    <row r="1746" spans="1:2">
      <c r="A1746" s="32">
        <v>1736</v>
      </c>
      <c r="B1746" s="90">
        <v>8.0452358191460558</v>
      </c>
    </row>
    <row r="1747" spans="1:2">
      <c r="A1747" s="32">
        <v>1737</v>
      </c>
      <c r="B1747" s="90">
        <v>7.7117026118112566</v>
      </c>
    </row>
    <row r="1748" spans="1:2">
      <c r="A1748" s="32">
        <v>1738</v>
      </c>
      <c r="B1748" s="90">
        <v>7.5117765616465393</v>
      </c>
    </row>
    <row r="1749" spans="1:2">
      <c r="A1749" s="32">
        <v>1739</v>
      </c>
      <c r="B1749" s="90">
        <v>9.6190174229150021</v>
      </c>
    </row>
    <row r="1750" spans="1:2">
      <c r="A1750" s="32">
        <v>1740</v>
      </c>
      <c r="B1750" s="90">
        <v>8.6147741510933376</v>
      </c>
    </row>
    <row r="1751" spans="1:2">
      <c r="A1751" s="32">
        <v>1741</v>
      </c>
      <c r="B1751" s="90">
        <v>8.5491605143340603</v>
      </c>
    </row>
    <row r="1752" spans="1:2">
      <c r="A1752" s="32">
        <v>1742</v>
      </c>
      <c r="B1752" s="90">
        <v>7.4911960079270878</v>
      </c>
    </row>
    <row r="1753" spans="1:2">
      <c r="A1753" s="32">
        <v>1743</v>
      </c>
      <c r="B1753" s="90">
        <v>7.9894227054209894</v>
      </c>
    </row>
    <row r="1754" spans="1:2">
      <c r="A1754" s="32">
        <v>1744</v>
      </c>
      <c r="B1754" s="90">
        <v>7.8086101305921698</v>
      </c>
    </row>
    <row r="1755" spans="1:2">
      <c r="A1755" s="32">
        <v>1745</v>
      </c>
      <c r="B1755" s="90">
        <v>8.9109621999331594</v>
      </c>
    </row>
    <row r="1756" spans="1:2">
      <c r="A1756" s="32">
        <v>1746</v>
      </c>
      <c r="B1756" s="90">
        <v>8.8412352774162564</v>
      </c>
    </row>
    <row r="1757" spans="1:2">
      <c r="A1757" s="32">
        <v>1747</v>
      </c>
      <c r="B1757" s="90">
        <v>8.6825442412602172</v>
      </c>
    </row>
    <row r="1758" spans="1:2">
      <c r="A1758" s="32">
        <v>1748</v>
      </c>
      <c r="B1758" s="90">
        <v>7.5901825383237496</v>
      </c>
    </row>
    <row r="1759" spans="1:2">
      <c r="A1759" s="32">
        <v>1749</v>
      </c>
      <c r="B1759" s="90">
        <v>7.8149884191369781</v>
      </c>
    </row>
    <row r="1760" spans="1:2">
      <c r="A1760" s="32">
        <v>1750</v>
      </c>
      <c r="B1760" s="90">
        <v>8.3504214604094678</v>
      </c>
    </row>
    <row r="1761" spans="1:2">
      <c r="A1761" s="32">
        <v>1751</v>
      </c>
      <c r="B1761" s="90">
        <v>8.739786637586958</v>
      </c>
    </row>
    <row r="1762" spans="1:2">
      <c r="A1762" s="32">
        <v>1752</v>
      </c>
      <c r="B1762" s="90">
        <v>8.1815913519616377</v>
      </c>
    </row>
    <row r="1763" spans="1:2">
      <c r="A1763" s="32">
        <v>1753</v>
      </c>
      <c r="B1763" s="90">
        <v>8.978333649239957</v>
      </c>
    </row>
    <row r="1764" spans="1:2">
      <c r="A1764" s="32">
        <v>1754</v>
      </c>
      <c r="B1764" s="90">
        <v>7.4649472293686427</v>
      </c>
    </row>
    <row r="1765" spans="1:2">
      <c r="A1765" s="32">
        <v>1755</v>
      </c>
      <c r="B1765" s="90">
        <v>7.8330388334739807</v>
      </c>
    </row>
    <row r="1766" spans="1:2">
      <c r="A1766" s="32">
        <v>1756</v>
      </c>
      <c r="B1766" s="90">
        <v>8.4696008563982517</v>
      </c>
    </row>
    <row r="1767" spans="1:2">
      <c r="A1767" s="32">
        <v>1757</v>
      </c>
      <c r="B1767" s="90">
        <v>9.1612020477088318</v>
      </c>
    </row>
    <row r="1768" spans="1:2">
      <c r="A1768" s="32">
        <v>1758</v>
      </c>
      <c r="B1768" s="90">
        <v>8.0858658387140636</v>
      </c>
    </row>
    <row r="1769" spans="1:2">
      <c r="A1769" s="32">
        <v>1759</v>
      </c>
      <c r="B1769" s="90">
        <v>8.09070844862371</v>
      </c>
    </row>
    <row r="1770" spans="1:2">
      <c r="A1770" s="32">
        <v>1760</v>
      </c>
      <c r="B1770" s="90">
        <v>8.243567898590328</v>
      </c>
    </row>
    <row r="1771" spans="1:2">
      <c r="A1771" s="32">
        <v>1761</v>
      </c>
      <c r="B1771" s="90">
        <v>7.4349163913930205</v>
      </c>
    </row>
    <row r="1772" spans="1:2">
      <c r="A1772" s="32">
        <v>1762</v>
      </c>
      <c r="B1772" s="90">
        <v>8.8839493198494459</v>
      </c>
    </row>
    <row r="1773" spans="1:2">
      <c r="A1773" s="32">
        <v>1763</v>
      </c>
      <c r="B1773" s="90">
        <v>8.821927622699274</v>
      </c>
    </row>
    <row r="1774" spans="1:2">
      <c r="A1774" s="32">
        <v>1764</v>
      </c>
      <c r="B1774" s="90">
        <v>8.441534132891789</v>
      </c>
    </row>
    <row r="1775" spans="1:2">
      <c r="A1775" s="32">
        <v>1765</v>
      </c>
      <c r="B1775" s="90">
        <v>8.1649889025545939</v>
      </c>
    </row>
    <row r="1776" spans="1:2">
      <c r="A1776" s="32">
        <v>1766</v>
      </c>
      <c r="B1776" s="90">
        <v>7.7354922798715</v>
      </c>
    </row>
    <row r="1777" spans="1:2">
      <c r="A1777" s="32">
        <v>1767</v>
      </c>
      <c r="B1777" s="90">
        <v>7.2945535227592968</v>
      </c>
    </row>
    <row r="1778" spans="1:2">
      <c r="A1778" s="32">
        <v>1768</v>
      </c>
      <c r="B1778" s="90">
        <v>9.5562143348751132</v>
      </c>
    </row>
    <row r="1779" spans="1:2">
      <c r="A1779" s="32">
        <v>1769</v>
      </c>
      <c r="B1779" s="90">
        <v>8.8223546276152796</v>
      </c>
    </row>
    <row r="1780" spans="1:2">
      <c r="A1780" s="32">
        <v>1770</v>
      </c>
      <c r="B1780" s="90">
        <v>8.4019418382382334</v>
      </c>
    </row>
    <row r="1781" spans="1:2">
      <c r="A1781" s="32">
        <v>1771</v>
      </c>
      <c r="B1781" s="90">
        <v>7.8074195773164732</v>
      </c>
    </row>
    <row r="1782" spans="1:2">
      <c r="A1782" s="32">
        <v>1772</v>
      </c>
      <c r="B1782" s="90">
        <v>7.6778379131856838</v>
      </c>
    </row>
    <row r="1783" spans="1:2">
      <c r="A1783" s="32">
        <v>1773</v>
      </c>
      <c r="B1783" s="90">
        <v>7.6025638670015656</v>
      </c>
    </row>
    <row r="1784" spans="1:2">
      <c r="A1784" s="32">
        <v>1774</v>
      </c>
      <c r="B1784" s="90">
        <v>9.7495584514113212</v>
      </c>
    </row>
    <row r="1785" spans="1:2">
      <c r="A1785" s="32">
        <v>1775</v>
      </c>
      <c r="B1785" s="90">
        <v>8.3493256987023656</v>
      </c>
    </row>
    <row r="1786" spans="1:2">
      <c r="A1786" s="32">
        <v>1776</v>
      </c>
      <c r="B1786" s="90">
        <v>8.5324801211165084</v>
      </c>
    </row>
    <row r="1787" spans="1:2">
      <c r="A1787" s="32">
        <v>1777</v>
      </c>
      <c r="B1787" s="90">
        <v>7.8010451149822737</v>
      </c>
    </row>
    <row r="1788" spans="1:2">
      <c r="A1788" s="32">
        <v>1778</v>
      </c>
      <c r="B1788" s="90">
        <v>7.5883311419809782</v>
      </c>
    </row>
    <row r="1789" spans="1:2">
      <c r="A1789" s="32">
        <v>1779</v>
      </c>
      <c r="B1789" s="90">
        <v>8.0414189283538349</v>
      </c>
    </row>
    <row r="1790" spans="1:2">
      <c r="A1790" s="32">
        <v>1780</v>
      </c>
      <c r="B1790" s="90">
        <v>8.6154364486791533</v>
      </c>
    </row>
    <row r="1791" spans="1:2">
      <c r="A1791" s="32">
        <v>1781</v>
      </c>
      <c r="B1791" s="90">
        <v>9.1200164732958964</v>
      </c>
    </row>
    <row r="1792" spans="1:2">
      <c r="A1792" s="32">
        <v>1782</v>
      </c>
      <c r="B1792" s="90">
        <v>8.7257344399085657</v>
      </c>
    </row>
    <row r="1793" spans="1:2">
      <c r="A1793" s="32">
        <v>1783</v>
      </c>
      <c r="B1793" s="90">
        <v>7.576158052228803</v>
      </c>
    </row>
    <row r="1794" spans="1:2">
      <c r="A1794" s="32">
        <v>1784</v>
      </c>
      <c r="B1794" s="90">
        <v>7.8583208888098195</v>
      </c>
    </row>
    <row r="1795" spans="1:2">
      <c r="A1795" s="32">
        <v>1785</v>
      </c>
      <c r="B1795" s="90">
        <v>8.1659164902984447</v>
      </c>
    </row>
    <row r="1796" spans="1:2">
      <c r="A1796" s="32">
        <v>1786</v>
      </c>
      <c r="B1796" s="90">
        <v>8.9020118665425478</v>
      </c>
    </row>
    <row r="1797" spans="1:2">
      <c r="A1797" s="32">
        <v>1787</v>
      </c>
      <c r="B1797" s="90">
        <v>8.2074894609552089</v>
      </c>
    </row>
    <row r="1798" spans="1:2">
      <c r="A1798" s="32">
        <v>1788</v>
      </c>
      <c r="B1798" s="90">
        <v>8.6038153134207889</v>
      </c>
    </row>
    <row r="1799" spans="1:2">
      <c r="A1799" s="32">
        <v>1789</v>
      </c>
      <c r="B1799" s="90">
        <v>8.0416459138772129</v>
      </c>
    </row>
    <row r="1800" spans="1:2">
      <c r="A1800" s="32">
        <v>1790</v>
      </c>
      <c r="B1800" s="90">
        <v>7.3259065568311978</v>
      </c>
    </row>
    <row r="1801" spans="1:2">
      <c r="A1801" s="32">
        <v>1791</v>
      </c>
      <c r="B1801" s="90">
        <v>8.9689590541027808</v>
      </c>
    </row>
    <row r="1802" spans="1:2">
      <c r="A1802" s="32">
        <v>1792</v>
      </c>
      <c r="B1802" s="90">
        <v>8.7628855161254258</v>
      </c>
    </row>
    <row r="1803" spans="1:2">
      <c r="A1803" s="32">
        <v>1793</v>
      </c>
      <c r="B1803" s="90">
        <v>8.3998513914343036</v>
      </c>
    </row>
    <row r="1804" spans="1:2">
      <c r="A1804" s="32">
        <v>1794</v>
      </c>
      <c r="B1804" s="90">
        <v>7.7680743510596182</v>
      </c>
    </row>
    <row r="1805" spans="1:2">
      <c r="A1805" s="32">
        <v>1795</v>
      </c>
      <c r="B1805" s="90">
        <v>8.4487223362662025</v>
      </c>
    </row>
    <row r="1806" spans="1:2">
      <c r="A1806" s="32">
        <v>1796</v>
      </c>
      <c r="B1806" s="90">
        <v>7.1090374467897925</v>
      </c>
    </row>
    <row r="1807" spans="1:2">
      <c r="A1807" s="32">
        <v>1797</v>
      </c>
      <c r="B1807" s="90">
        <v>9.0845903114371644</v>
      </c>
    </row>
    <row r="1808" spans="1:2">
      <c r="A1808" s="32">
        <v>1798</v>
      </c>
      <c r="B1808" s="90">
        <v>9.3659473390440926</v>
      </c>
    </row>
    <row r="1809" spans="1:2">
      <c r="A1809" s="32">
        <v>1799</v>
      </c>
      <c r="B1809" s="90">
        <v>8.0123809839490399</v>
      </c>
    </row>
    <row r="1810" spans="1:2">
      <c r="A1810" s="32">
        <v>1800</v>
      </c>
      <c r="B1810" s="90">
        <v>8.5839591008133773</v>
      </c>
    </row>
    <row r="1811" spans="1:2">
      <c r="A1811" s="32">
        <v>1801</v>
      </c>
      <c r="B1811" s="90">
        <v>7.5894415162180264</v>
      </c>
    </row>
    <row r="1812" spans="1:2">
      <c r="A1812" s="32">
        <v>1802</v>
      </c>
      <c r="B1812" s="90">
        <v>8.4996122904872955</v>
      </c>
    </row>
    <row r="1813" spans="1:2">
      <c r="A1813" s="32">
        <v>1803</v>
      </c>
      <c r="B1813" s="90">
        <v>7.5284113097748433</v>
      </c>
    </row>
    <row r="1814" spans="1:2">
      <c r="A1814" s="32">
        <v>1804</v>
      </c>
      <c r="B1814" s="90">
        <v>8.9703660083553736</v>
      </c>
    </row>
    <row r="1815" spans="1:2">
      <c r="A1815" s="32">
        <v>1805</v>
      </c>
      <c r="B1815" s="90">
        <v>8.1395646853528056</v>
      </c>
    </row>
    <row r="1816" spans="1:2">
      <c r="A1816" s="32">
        <v>1806</v>
      </c>
      <c r="B1816" s="90">
        <v>8.902672547060563</v>
      </c>
    </row>
    <row r="1817" spans="1:2">
      <c r="A1817" s="32">
        <v>1807</v>
      </c>
      <c r="B1817" s="90">
        <v>7.6012001046715785</v>
      </c>
    </row>
    <row r="1818" spans="1:2">
      <c r="A1818" s="32">
        <v>1808</v>
      </c>
      <c r="B1818" s="90">
        <v>7.9341862665710741</v>
      </c>
    </row>
    <row r="1819" spans="1:2">
      <c r="A1819" s="32">
        <v>1809</v>
      </c>
      <c r="B1819" s="90">
        <v>8.3486178649381575</v>
      </c>
    </row>
    <row r="1820" spans="1:2">
      <c r="A1820" s="32">
        <v>1810</v>
      </c>
      <c r="B1820" s="90">
        <v>8.4752203003721984</v>
      </c>
    </row>
    <row r="1821" spans="1:2">
      <c r="A1821" s="32">
        <v>1811</v>
      </c>
      <c r="B1821" s="90">
        <v>8.6551884570239235</v>
      </c>
    </row>
    <row r="1822" spans="1:2">
      <c r="A1822" s="32">
        <v>1812</v>
      </c>
      <c r="B1822" s="90">
        <v>7.9091229192088992</v>
      </c>
    </row>
    <row r="1823" spans="1:2">
      <c r="A1823" s="32">
        <v>1813</v>
      </c>
      <c r="B1823" s="90">
        <v>8.1814204192515447</v>
      </c>
    </row>
    <row r="1824" spans="1:2">
      <c r="A1824" s="32">
        <v>1814</v>
      </c>
      <c r="B1824" s="90">
        <v>7.8361022787523442</v>
      </c>
    </row>
    <row r="1825" spans="1:2">
      <c r="A1825" s="32">
        <v>1815</v>
      </c>
      <c r="B1825" s="90">
        <v>8.9085451812572387</v>
      </c>
    </row>
    <row r="1826" spans="1:2">
      <c r="A1826" s="32">
        <v>1816</v>
      </c>
      <c r="B1826" s="90">
        <v>7.8694256606351107</v>
      </c>
    </row>
    <row r="1827" spans="1:2">
      <c r="A1827" s="32">
        <v>1817</v>
      </c>
      <c r="B1827" s="90">
        <v>8.1611614877640815</v>
      </c>
    </row>
    <row r="1828" spans="1:2">
      <c r="A1828" s="32">
        <v>1818</v>
      </c>
      <c r="B1828" s="90">
        <v>8.0246674800866078</v>
      </c>
    </row>
    <row r="1829" spans="1:2">
      <c r="A1829" s="32">
        <v>1819</v>
      </c>
      <c r="B1829" s="90">
        <v>8.4227837177331857</v>
      </c>
    </row>
    <row r="1830" spans="1:2">
      <c r="A1830" s="32">
        <v>1820</v>
      </c>
      <c r="B1830" s="90">
        <v>7.5554904134515821</v>
      </c>
    </row>
    <row r="1831" spans="1:2">
      <c r="A1831" s="32">
        <v>1821</v>
      </c>
      <c r="B1831" s="90">
        <v>9.6339604074766161</v>
      </c>
    </row>
    <row r="1832" spans="1:2">
      <c r="A1832" s="32">
        <v>1822</v>
      </c>
      <c r="B1832" s="90">
        <v>7.5329004920625895</v>
      </c>
    </row>
    <row r="1833" spans="1:2">
      <c r="A1833" s="32">
        <v>1823</v>
      </c>
      <c r="B1833" s="90">
        <v>8.8341104820139034</v>
      </c>
    </row>
    <row r="1834" spans="1:2">
      <c r="A1834" s="32">
        <v>1824</v>
      </c>
      <c r="B1834" s="90">
        <v>7.4797492370406351</v>
      </c>
    </row>
    <row r="1835" spans="1:2">
      <c r="A1835" s="32">
        <v>1825</v>
      </c>
      <c r="B1835" s="90">
        <v>8.9328085974203262</v>
      </c>
    </row>
    <row r="1836" spans="1:2">
      <c r="A1836" s="32">
        <v>1826</v>
      </c>
      <c r="B1836" s="90">
        <v>6.9238102707125631</v>
      </c>
    </row>
    <row r="1837" spans="1:2">
      <c r="A1837" s="32">
        <v>1827</v>
      </c>
      <c r="B1837" s="90">
        <v>9.5033803015723013</v>
      </c>
    </row>
    <row r="1838" spans="1:2">
      <c r="A1838" s="32">
        <v>1828</v>
      </c>
      <c r="B1838" s="90">
        <v>7.9635747194230024</v>
      </c>
    </row>
    <row r="1839" spans="1:2">
      <c r="A1839" s="32">
        <v>1829</v>
      </c>
      <c r="B1839" s="90">
        <v>8.5805999122716763</v>
      </c>
    </row>
    <row r="1840" spans="1:2">
      <c r="A1840" s="32">
        <v>1830</v>
      </c>
      <c r="B1840" s="90">
        <v>7.602182989273083</v>
      </c>
    </row>
    <row r="1841" spans="1:2">
      <c r="A1841" s="32">
        <v>1831</v>
      </c>
      <c r="B1841" s="90">
        <v>8.8935449326632998</v>
      </c>
    </row>
    <row r="1842" spans="1:2">
      <c r="A1842" s="32">
        <v>1832</v>
      </c>
      <c r="B1842" s="90">
        <v>7.1384013831967437</v>
      </c>
    </row>
    <row r="1843" spans="1:2">
      <c r="A1843" s="32">
        <v>1833</v>
      </c>
      <c r="B1843" s="90">
        <v>9.0926381222427306</v>
      </c>
    </row>
    <row r="1844" spans="1:2">
      <c r="A1844" s="32">
        <v>1834</v>
      </c>
      <c r="B1844" s="90">
        <v>7.9388634382984415</v>
      </c>
    </row>
    <row r="1845" spans="1:2">
      <c r="A1845" s="32">
        <v>1835</v>
      </c>
      <c r="B1845" s="90">
        <v>9.4878623909605722</v>
      </c>
    </row>
    <row r="1846" spans="1:2">
      <c r="A1846" s="32">
        <v>1836</v>
      </c>
      <c r="B1846" s="90">
        <v>7.2149435480520179</v>
      </c>
    </row>
    <row r="1847" spans="1:2">
      <c r="A1847" s="32">
        <v>1837</v>
      </c>
      <c r="B1847" s="90">
        <v>8.1290143005083753</v>
      </c>
    </row>
    <row r="1848" spans="1:2">
      <c r="A1848" s="32">
        <v>1838</v>
      </c>
      <c r="B1848" s="90">
        <v>8.0319817511092335</v>
      </c>
    </row>
    <row r="1849" spans="1:2">
      <c r="A1849" s="32">
        <v>1839</v>
      </c>
      <c r="B1849" s="90">
        <v>8.503401030188682</v>
      </c>
    </row>
    <row r="1850" spans="1:2">
      <c r="A1850" s="32">
        <v>1840</v>
      </c>
      <c r="B1850" s="90">
        <v>8.4944115194344025</v>
      </c>
    </row>
    <row r="1851" spans="1:2">
      <c r="A1851" s="32">
        <v>1841</v>
      </c>
      <c r="B1851" s="90">
        <v>8.4943249818045601</v>
      </c>
    </row>
    <row r="1852" spans="1:2">
      <c r="A1852" s="32">
        <v>1842</v>
      </c>
      <c r="B1852" s="90">
        <v>7.8113305501924764</v>
      </c>
    </row>
    <row r="1853" spans="1:2">
      <c r="A1853" s="32">
        <v>1843</v>
      </c>
      <c r="B1853" s="90">
        <v>7.9385994380852027</v>
      </c>
    </row>
    <row r="1854" spans="1:2">
      <c r="A1854" s="32">
        <v>1844</v>
      </c>
      <c r="B1854" s="90">
        <v>8.5902021754484039</v>
      </c>
    </row>
    <row r="1855" spans="1:2">
      <c r="A1855" s="32">
        <v>1845</v>
      </c>
      <c r="B1855" s="90">
        <v>8.0987205673295275</v>
      </c>
    </row>
    <row r="1856" spans="1:2">
      <c r="A1856" s="32">
        <v>1846</v>
      </c>
      <c r="B1856" s="90">
        <v>8.2428776762015268</v>
      </c>
    </row>
    <row r="1857" spans="1:2">
      <c r="A1857" s="32">
        <v>1847</v>
      </c>
      <c r="B1857" s="90">
        <v>8.2346325061151084</v>
      </c>
    </row>
    <row r="1858" spans="1:2">
      <c r="A1858" s="32">
        <v>1848</v>
      </c>
      <c r="B1858" s="90">
        <v>8.187254100903731</v>
      </c>
    </row>
    <row r="1859" spans="1:2">
      <c r="A1859" s="32">
        <v>1849</v>
      </c>
      <c r="B1859" s="90">
        <v>8.023446843012815</v>
      </c>
    </row>
    <row r="1860" spans="1:2">
      <c r="A1860" s="32">
        <v>1850</v>
      </c>
      <c r="B1860" s="90">
        <v>8.95992021779354</v>
      </c>
    </row>
    <row r="1861" spans="1:2">
      <c r="A1861" s="32">
        <v>1851</v>
      </c>
      <c r="B1861" s="90">
        <v>7.6429721712440681</v>
      </c>
    </row>
    <row r="1862" spans="1:2">
      <c r="A1862" s="32">
        <v>1852</v>
      </c>
      <c r="B1862" s="90">
        <v>8.5562436496333643</v>
      </c>
    </row>
    <row r="1863" spans="1:2">
      <c r="A1863" s="32">
        <v>1853</v>
      </c>
      <c r="B1863" s="90">
        <v>7.6360078829939138</v>
      </c>
    </row>
    <row r="1864" spans="1:2">
      <c r="A1864" s="32">
        <v>1854</v>
      </c>
      <c r="B1864" s="90">
        <v>9.0816347328426517</v>
      </c>
    </row>
    <row r="1865" spans="1:2">
      <c r="A1865" s="32">
        <v>1855</v>
      </c>
      <c r="B1865" s="90">
        <v>6.7241946949237246</v>
      </c>
    </row>
    <row r="1866" spans="1:2">
      <c r="A1866" s="32">
        <v>1856</v>
      </c>
      <c r="B1866" s="90">
        <v>9.9165094074330682</v>
      </c>
    </row>
    <row r="1867" spans="1:2">
      <c r="A1867" s="32">
        <v>1857</v>
      </c>
      <c r="B1867" s="90">
        <v>7.6506146629436333</v>
      </c>
    </row>
    <row r="1868" spans="1:2">
      <c r="A1868" s="32">
        <v>1858</v>
      </c>
      <c r="B1868" s="90">
        <v>8.9949681323516035</v>
      </c>
    </row>
    <row r="1869" spans="1:2">
      <c r="A1869" s="32">
        <v>1859</v>
      </c>
      <c r="B1869" s="90">
        <v>7.29994497466343</v>
      </c>
    </row>
    <row r="1870" spans="1:2">
      <c r="A1870" s="32">
        <v>1860</v>
      </c>
      <c r="B1870" s="90">
        <v>8.4930966731145041</v>
      </c>
    </row>
    <row r="1871" spans="1:2">
      <c r="A1871" s="32">
        <v>1861</v>
      </c>
      <c r="B1871" s="90">
        <v>8.0878094093690418</v>
      </c>
    </row>
    <row r="1872" spans="1:2">
      <c r="A1872" s="32">
        <v>1862</v>
      </c>
      <c r="B1872" s="90">
        <v>7.4516079320890976</v>
      </c>
    </row>
    <row r="1873" spans="1:2">
      <c r="A1873" s="32">
        <v>1863</v>
      </c>
      <c r="B1873" s="90">
        <v>9.5543890519400865</v>
      </c>
    </row>
    <row r="1874" spans="1:2">
      <c r="A1874" s="32">
        <v>1864</v>
      </c>
      <c r="B1874" s="90">
        <v>8.6034443592814469</v>
      </c>
    </row>
    <row r="1875" spans="1:2">
      <c r="A1875" s="32">
        <v>1865</v>
      </c>
      <c r="B1875" s="90">
        <v>8.0020363588659738</v>
      </c>
    </row>
    <row r="1876" spans="1:2">
      <c r="A1876" s="32">
        <v>1866</v>
      </c>
      <c r="B1876" s="90">
        <v>8.086278297932294</v>
      </c>
    </row>
    <row r="1877" spans="1:2">
      <c r="A1877" s="32">
        <v>1867</v>
      </c>
      <c r="B1877" s="90">
        <v>8.1199141335113296</v>
      </c>
    </row>
    <row r="1878" spans="1:2">
      <c r="A1878" s="32">
        <v>1868</v>
      </c>
      <c r="B1878" s="90">
        <v>7.7946329004697965</v>
      </c>
    </row>
    <row r="1879" spans="1:2">
      <c r="A1879" s="32">
        <v>1869</v>
      </c>
      <c r="B1879" s="90">
        <v>8.9969787336534459</v>
      </c>
    </row>
    <row r="1880" spans="1:2">
      <c r="A1880" s="32">
        <v>1870</v>
      </c>
      <c r="B1880" s="90">
        <v>8.980859487178499</v>
      </c>
    </row>
    <row r="1881" spans="1:2">
      <c r="A1881" s="32">
        <v>1871</v>
      </c>
      <c r="B1881" s="90">
        <v>8.1608308145212316</v>
      </c>
    </row>
    <row r="1882" spans="1:2">
      <c r="A1882" s="32">
        <v>1872</v>
      </c>
      <c r="B1882" s="90">
        <v>8.066193590777532</v>
      </c>
    </row>
    <row r="1883" spans="1:2">
      <c r="A1883" s="32">
        <v>1873</v>
      </c>
      <c r="B1883" s="90">
        <v>7.8564737476104023</v>
      </c>
    </row>
    <row r="1884" spans="1:2">
      <c r="A1884" s="32">
        <v>1874</v>
      </c>
      <c r="B1884" s="90">
        <v>8.251018290836555</v>
      </c>
    </row>
    <row r="1885" spans="1:2">
      <c r="A1885" s="32">
        <v>1875</v>
      </c>
      <c r="B1885" s="90">
        <v>8.2807442371686051</v>
      </c>
    </row>
    <row r="1886" spans="1:2">
      <c r="A1886" s="32">
        <v>1876</v>
      </c>
      <c r="B1886" s="90">
        <v>8.7199970122858748</v>
      </c>
    </row>
    <row r="1887" spans="1:2">
      <c r="A1887" s="32">
        <v>1877</v>
      </c>
      <c r="B1887" s="90">
        <v>8.2028025728134288</v>
      </c>
    </row>
    <row r="1888" spans="1:2">
      <c r="A1888" s="32">
        <v>1878</v>
      </c>
      <c r="B1888" s="90">
        <v>8.4309289477620055</v>
      </c>
    </row>
    <row r="1889" spans="1:2">
      <c r="A1889" s="32">
        <v>1879</v>
      </c>
      <c r="B1889" s="90">
        <v>7.942410226807417</v>
      </c>
    </row>
    <row r="1890" spans="1:2">
      <c r="A1890" s="32">
        <v>1880</v>
      </c>
      <c r="B1890" s="90">
        <v>8.7143702874386051</v>
      </c>
    </row>
    <row r="1891" spans="1:2">
      <c r="A1891" s="32">
        <v>1881</v>
      </c>
      <c r="B1891" s="90">
        <v>8.0292124037121564</v>
      </c>
    </row>
    <row r="1892" spans="1:2">
      <c r="A1892" s="32">
        <v>1882</v>
      </c>
      <c r="B1892" s="90">
        <v>8.8274106288243868</v>
      </c>
    </row>
    <row r="1893" spans="1:2">
      <c r="A1893" s="32">
        <v>1883</v>
      </c>
      <c r="B1893" s="90">
        <v>8.2427899326165814</v>
      </c>
    </row>
    <row r="1894" spans="1:2">
      <c r="A1894" s="32">
        <v>1884</v>
      </c>
      <c r="B1894" s="90">
        <v>8.2475692157700671</v>
      </c>
    </row>
    <row r="1895" spans="1:2">
      <c r="A1895" s="32">
        <v>1885</v>
      </c>
      <c r="B1895" s="90">
        <v>7.4881349227241998</v>
      </c>
    </row>
    <row r="1896" spans="1:2">
      <c r="A1896" s="32">
        <v>1886</v>
      </c>
      <c r="B1896" s="90">
        <v>9.4907572894992231</v>
      </c>
    </row>
    <row r="1897" spans="1:2">
      <c r="A1897" s="32">
        <v>1887</v>
      </c>
      <c r="B1897" s="90">
        <v>7.8999456827977994</v>
      </c>
    </row>
    <row r="1898" spans="1:2">
      <c r="A1898" s="32">
        <v>1888</v>
      </c>
      <c r="B1898" s="90">
        <v>8.5122194822992903</v>
      </c>
    </row>
    <row r="1899" spans="1:2">
      <c r="A1899" s="32">
        <v>1889</v>
      </c>
      <c r="B1899" s="90">
        <v>8.309555750299733</v>
      </c>
    </row>
    <row r="1900" spans="1:2">
      <c r="A1900" s="32">
        <v>1890</v>
      </c>
      <c r="B1900" s="90">
        <v>8.0755426827185239</v>
      </c>
    </row>
    <row r="1901" spans="1:2">
      <c r="A1901" s="32">
        <v>1891</v>
      </c>
      <c r="B1901" s="90">
        <v>7.5848110823684936</v>
      </c>
    </row>
    <row r="1902" spans="1:2">
      <c r="A1902" s="32">
        <v>1892</v>
      </c>
      <c r="B1902" s="90">
        <v>9.6794236180209214</v>
      </c>
    </row>
    <row r="1903" spans="1:2">
      <c r="A1903" s="32">
        <v>1893</v>
      </c>
      <c r="B1903" s="90">
        <v>8.2276414523777142</v>
      </c>
    </row>
    <row r="1904" spans="1:2">
      <c r="A1904" s="32">
        <v>1894</v>
      </c>
      <c r="B1904" s="90">
        <v>8.1574918952606001</v>
      </c>
    </row>
    <row r="1905" spans="1:2">
      <c r="A1905" s="32">
        <v>1895</v>
      </c>
      <c r="B1905" s="90">
        <v>8.2389033339787936</v>
      </c>
    </row>
    <row r="1906" spans="1:2">
      <c r="A1906" s="32">
        <v>1896</v>
      </c>
      <c r="B1906" s="90">
        <v>8.1926928668626715</v>
      </c>
    </row>
    <row r="1907" spans="1:2">
      <c r="A1907" s="32">
        <v>1897</v>
      </c>
      <c r="B1907" s="90">
        <v>7.6833746396491165</v>
      </c>
    </row>
    <row r="1908" spans="1:2">
      <c r="A1908" s="32">
        <v>1898</v>
      </c>
      <c r="B1908" s="90">
        <v>8.9033749429289859</v>
      </c>
    </row>
    <row r="1909" spans="1:2">
      <c r="A1909" s="32">
        <v>1899</v>
      </c>
      <c r="B1909" s="90">
        <v>9.0726378906668455</v>
      </c>
    </row>
    <row r="1910" spans="1:2">
      <c r="A1910" s="32">
        <v>1900</v>
      </c>
      <c r="B1910" s="90">
        <v>8.3083162993787614</v>
      </c>
    </row>
    <row r="1911" spans="1:2">
      <c r="A1911" s="32">
        <v>1901</v>
      </c>
      <c r="B1911" s="90">
        <v>7.5862579236214325</v>
      </c>
    </row>
    <row r="1912" spans="1:2">
      <c r="A1912" s="32">
        <v>1902</v>
      </c>
      <c r="B1912" s="90">
        <v>8.2811115033834461</v>
      </c>
    </row>
    <row r="1913" spans="1:2">
      <c r="A1913" s="32">
        <v>1903</v>
      </c>
      <c r="B1913" s="90">
        <v>7.8686126134116208</v>
      </c>
    </row>
    <row r="1914" spans="1:2">
      <c r="A1914" s="32">
        <v>1904</v>
      </c>
      <c r="B1914" s="90">
        <v>8.5954369338659973</v>
      </c>
    </row>
    <row r="1915" spans="1:2">
      <c r="A1915" s="32">
        <v>1905</v>
      </c>
      <c r="B1915" s="90">
        <v>8.6762886926098908</v>
      </c>
    </row>
    <row r="1916" spans="1:2">
      <c r="A1916" s="32">
        <v>1906</v>
      </c>
      <c r="B1916" s="90">
        <v>8.2933880425914612</v>
      </c>
    </row>
    <row r="1917" spans="1:2">
      <c r="A1917" s="32">
        <v>1907</v>
      </c>
      <c r="B1917" s="90">
        <v>8.3360022695128499</v>
      </c>
    </row>
    <row r="1918" spans="1:2">
      <c r="A1918" s="32">
        <v>1908</v>
      </c>
      <c r="B1918" s="90">
        <v>7.8168950605799594</v>
      </c>
    </row>
    <row r="1919" spans="1:2">
      <c r="A1919" s="32">
        <v>1909</v>
      </c>
      <c r="B1919" s="90">
        <v>8.7756142185757948</v>
      </c>
    </row>
    <row r="1920" spans="1:2">
      <c r="A1920" s="32">
        <v>1910</v>
      </c>
      <c r="B1920" s="90">
        <v>8.1268347610606728</v>
      </c>
    </row>
    <row r="1921" spans="1:2">
      <c r="A1921" s="32">
        <v>1911</v>
      </c>
      <c r="B1921" s="90">
        <v>8.5438723399815864</v>
      </c>
    </row>
    <row r="1922" spans="1:2">
      <c r="A1922" s="32">
        <v>1912</v>
      </c>
      <c r="B1922" s="90">
        <v>8.1745383874613218</v>
      </c>
    </row>
    <row r="1923" spans="1:2">
      <c r="A1923" s="32">
        <v>1913</v>
      </c>
      <c r="B1923" s="90">
        <v>8.2043236030796809</v>
      </c>
    </row>
    <row r="1924" spans="1:2">
      <c r="A1924" s="32">
        <v>1914</v>
      </c>
      <c r="B1924" s="90">
        <v>7.8898701956573705</v>
      </c>
    </row>
    <row r="1925" spans="1:2">
      <c r="A1925" s="32">
        <v>1915</v>
      </c>
      <c r="B1925" s="90">
        <v>9.45316014224138</v>
      </c>
    </row>
    <row r="1926" spans="1:2">
      <c r="A1926" s="32">
        <v>1916</v>
      </c>
      <c r="B1926" s="90">
        <v>7.7822337579703831</v>
      </c>
    </row>
    <row r="1927" spans="1:2">
      <c r="A1927" s="32">
        <v>1917</v>
      </c>
      <c r="B1927" s="90">
        <v>8.6655209372637607</v>
      </c>
    </row>
    <row r="1928" spans="1:2">
      <c r="A1928" s="32">
        <v>1918</v>
      </c>
      <c r="B1928" s="90">
        <v>8.1175371421086293</v>
      </c>
    </row>
    <row r="1929" spans="1:2">
      <c r="A1929" s="32">
        <v>1919</v>
      </c>
      <c r="B1929" s="90">
        <v>8.1488971448086485</v>
      </c>
    </row>
    <row r="1930" spans="1:2">
      <c r="A1930" s="32">
        <v>1920</v>
      </c>
      <c r="B1930" s="90">
        <v>8.2257289857076525</v>
      </c>
    </row>
    <row r="1931" spans="1:2">
      <c r="A1931" s="32">
        <v>1921</v>
      </c>
      <c r="B1931" s="90">
        <v>7.9765482615410166</v>
      </c>
    </row>
    <row r="1932" spans="1:2">
      <c r="A1932" s="32">
        <v>1922</v>
      </c>
      <c r="B1932" s="90">
        <v>8.3655183750381052</v>
      </c>
    </row>
    <row r="1933" spans="1:2">
      <c r="A1933" s="32">
        <v>1923</v>
      </c>
      <c r="B1933" s="90">
        <v>8.3769622757373625</v>
      </c>
    </row>
    <row r="1934" spans="1:2">
      <c r="A1934" s="32">
        <v>1924</v>
      </c>
      <c r="B1934" s="90">
        <v>8.8601926350448768</v>
      </c>
    </row>
    <row r="1935" spans="1:2">
      <c r="A1935" s="32">
        <v>1925</v>
      </c>
      <c r="B1935" s="90">
        <v>8.5779375894139189</v>
      </c>
    </row>
    <row r="1936" spans="1:2">
      <c r="A1936" s="32">
        <v>1926</v>
      </c>
      <c r="B1936" s="90">
        <v>8.1106954235546187</v>
      </c>
    </row>
    <row r="1937" spans="1:2">
      <c r="A1937" s="32">
        <v>1927</v>
      </c>
      <c r="B1937" s="90">
        <v>8.134425654648739</v>
      </c>
    </row>
    <row r="1938" spans="1:2">
      <c r="A1938" s="32">
        <v>1928</v>
      </c>
      <c r="B1938" s="90">
        <v>8.4146102460411214</v>
      </c>
    </row>
    <row r="1939" spans="1:2">
      <c r="A1939" s="32">
        <v>1929</v>
      </c>
      <c r="B1939" s="90">
        <v>8.1329809704627856</v>
      </c>
    </row>
    <row r="1940" spans="1:2">
      <c r="A1940" s="32">
        <v>1930</v>
      </c>
      <c r="B1940" s="90">
        <v>9.0683256978508417</v>
      </c>
    </row>
    <row r="1941" spans="1:2">
      <c r="A1941" s="32">
        <v>1931</v>
      </c>
      <c r="B1941" s="90">
        <v>8.4590058748319574</v>
      </c>
    </row>
    <row r="1942" spans="1:2">
      <c r="A1942" s="32">
        <v>1932</v>
      </c>
      <c r="B1942" s="90">
        <v>7.7941400113904358</v>
      </c>
    </row>
    <row r="1943" spans="1:2">
      <c r="A1943" s="32">
        <v>1933</v>
      </c>
      <c r="B1943" s="90">
        <v>8.4699485400129824</v>
      </c>
    </row>
    <row r="1944" spans="1:2">
      <c r="A1944" s="32">
        <v>1934</v>
      </c>
      <c r="B1944" s="90">
        <v>8.3393730403268389</v>
      </c>
    </row>
    <row r="1945" spans="1:2">
      <c r="A1945" s="32">
        <v>1935</v>
      </c>
      <c r="B1945" s="90">
        <v>8.7466567864297922</v>
      </c>
    </row>
    <row r="1946" spans="1:2">
      <c r="A1946" s="32">
        <v>1936</v>
      </c>
      <c r="B1946" s="90">
        <v>8.2779293749710519</v>
      </c>
    </row>
    <row r="1947" spans="1:2">
      <c r="A1947" s="32">
        <v>1937</v>
      </c>
      <c r="B1947" s="90">
        <v>8.6784218345219433</v>
      </c>
    </row>
    <row r="1948" spans="1:2">
      <c r="A1948" s="32">
        <v>1938</v>
      </c>
      <c r="B1948" s="90">
        <v>7.3759066105909135</v>
      </c>
    </row>
    <row r="1949" spans="1:2">
      <c r="A1949" s="32">
        <v>1939</v>
      </c>
      <c r="B1949" s="90">
        <v>8.9852217761626001</v>
      </c>
    </row>
    <row r="1950" spans="1:2">
      <c r="A1950" s="32">
        <v>1940</v>
      </c>
      <c r="B1950" s="90">
        <v>8.4266381834829236</v>
      </c>
    </row>
    <row r="1951" spans="1:2">
      <c r="A1951" s="32">
        <v>1941</v>
      </c>
      <c r="B1951" s="90">
        <v>8.6468105518993479</v>
      </c>
    </row>
    <row r="1952" spans="1:2">
      <c r="A1952" s="32">
        <v>1942</v>
      </c>
      <c r="B1952" s="90">
        <v>8.3385434948015362</v>
      </c>
    </row>
    <row r="1953" spans="1:2">
      <c r="A1953" s="32">
        <v>1943</v>
      </c>
      <c r="B1953" s="90">
        <v>9.3361860763285023</v>
      </c>
    </row>
    <row r="1954" spans="1:2">
      <c r="A1954" s="32">
        <v>1944</v>
      </c>
      <c r="B1954" s="90">
        <v>6.7744040084016826</v>
      </c>
    </row>
    <row r="1955" spans="1:2">
      <c r="A1955" s="32">
        <v>1945</v>
      </c>
      <c r="B1955" s="90">
        <v>8.5785266479928808</v>
      </c>
    </row>
    <row r="1956" spans="1:2">
      <c r="A1956" s="32">
        <v>1946</v>
      </c>
      <c r="B1956" s="90">
        <v>8.8727028922708087</v>
      </c>
    </row>
    <row r="1957" spans="1:2">
      <c r="A1957" s="32">
        <v>1947</v>
      </c>
      <c r="B1957" s="90">
        <v>8.5706550201201832</v>
      </c>
    </row>
    <row r="1958" spans="1:2">
      <c r="A1958" s="32">
        <v>1948</v>
      </c>
      <c r="B1958" s="90">
        <v>8.58116539059254</v>
      </c>
    </row>
    <row r="1959" spans="1:2">
      <c r="A1959" s="32">
        <v>1949</v>
      </c>
      <c r="B1959" s="90">
        <v>8.6038486722568166</v>
      </c>
    </row>
    <row r="1960" spans="1:2">
      <c r="A1960" s="32">
        <v>1950</v>
      </c>
      <c r="B1960" s="90">
        <v>7.3590411232294386</v>
      </c>
    </row>
    <row r="1961" spans="1:2">
      <c r="A1961" s="32">
        <v>1951</v>
      </c>
      <c r="B1961" s="90">
        <v>8.5343106044240731</v>
      </c>
    </row>
    <row r="1962" spans="1:2">
      <c r="A1962" s="32">
        <v>1952</v>
      </c>
      <c r="B1962" s="90">
        <v>8.8884399330624824</v>
      </c>
    </row>
    <row r="1963" spans="1:2">
      <c r="A1963" s="32">
        <v>1953</v>
      </c>
      <c r="B1963" s="90">
        <v>8.3742150482616609</v>
      </c>
    </row>
    <row r="1964" spans="1:2">
      <c r="A1964" s="32">
        <v>1954</v>
      </c>
      <c r="B1964" s="90">
        <v>8.5310441923773954</v>
      </c>
    </row>
    <row r="1965" spans="1:2">
      <c r="A1965" s="32">
        <v>1955</v>
      </c>
      <c r="B1965" s="90">
        <v>8.2627224763485803</v>
      </c>
    </row>
    <row r="1966" spans="1:2">
      <c r="A1966" s="32">
        <v>1956</v>
      </c>
      <c r="B1966" s="90">
        <v>8.0713439328376282</v>
      </c>
    </row>
    <row r="1967" spans="1:2">
      <c r="A1967" s="32">
        <v>1957</v>
      </c>
      <c r="B1967" s="90">
        <v>8.3305957256560159</v>
      </c>
    </row>
    <row r="1968" spans="1:2">
      <c r="A1968" s="32">
        <v>1958</v>
      </c>
      <c r="B1968" s="90">
        <v>8.4286245229242667</v>
      </c>
    </row>
    <row r="1969" spans="1:2">
      <c r="A1969" s="32">
        <v>1959</v>
      </c>
      <c r="B1969" s="90">
        <v>8.6388182102176749</v>
      </c>
    </row>
    <row r="1970" spans="1:2">
      <c r="A1970" s="32">
        <v>1960</v>
      </c>
      <c r="B1970" s="90">
        <v>8.7117259551167034</v>
      </c>
    </row>
    <row r="1971" spans="1:2">
      <c r="A1971" s="32">
        <v>1961</v>
      </c>
      <c r="B1971" s="90">
        <v>8.0546104110316357</v>
      </c>
    </row>
    <row r="1972" spans="1:2">
      <c r="A1972" s="32">
        <v>1962</v>
      </c>
      <c r="B1972" s="90">
        <v>8.3190438505484554</v>
      </c>
    </row>
    <row r="1973" spans="1:2">
      <c r="A1973" s="32">
        <v>1963</v>
      </c>
      <c r="B1973" s="90">
        <v>8.0305766192084267</v>
      </c>
    </row>
    <row r="1974" spans="1:2">
      <c r="A1974" s="32">
        <v>1964</v>
      </c>
      <c r="B1974" s="90">
        <v>8.512147382993442</v>
      </c>
    </row>
    <row r="1975" spans="1:2">
      <c r="A1975" s="32">
        <v>1965</v>
      </c>
      <c r="B1975" s="90">
        <v>8.84507771885702</v>
      </c>
    </row>
    <row r="1976" spans="1:2">
      <c r="A1976" s="32">
        <v>1966</v>
      </c>
      <c r="B1976" s="90">
        <v>8.619428741384338</v>
      </c>
    </row>
    <row r="1977" spans="1:2">
      <c r="A1977" s="32">
        <v>1967</v>
      </c>
      <c r="B1977" s="90">
        <v>7.4802873164825963</v>
      </c>
    </row>
    <row r="1978" spans="1:2">
      <c r="A1978" s="32">
        <v>1968</v>
      </c>
      <c r="B1978" s="90">
        <v>8.555946862558212</v>
      </c>
    </row>
    <row r="1979" spans="1:2">
      <c r="A1979" s="32">
        <v>1969</v>
      </c>
      <c r="B1979" s="90">
        <v>8.5093697235668078</v>
      </c>
    </row>
    <row r="1980" spans="1:2">
      <c r="A1980" s="32">
        <v>1970</v>
      </c>
      <c r="B1980" s="90">
        <v>8.6474834826296902</v>
      </c>
    </row>
    <row r="1981" spans="1:2">
      <c r="A1981" s="32">
        <v>1971</v>
      </c>
      <c r="B1981" s="90">
        <v>8.6790626569863321</v>
      </c>
    </row>
    <row r="1982" spans="1:2">
      <c r="A1982" s="32">
        <v>1972</v>
      </c>
      <c r="B1982" s="90">
        <v>8.5333376656357256</v>
      </c>
    </row>
    <row r="1983" spans="1:2">
      <c r="A1983" s="32">
        <v>1973</v>
      </c>
      <c r="B1983" s="90">
        <v>7.2988805985729188</v>
      </c>
    </row>
    <row r="1984" spans="1:2">
      <c r="A1984" s="32">
        <v>1974</v>
      </c>
      <c r="B1984" s="90">
        <v>8.6039351552122252</v>
      </c>
    </row>
    <row r="1985" spans="1:2">
      <c r="A1985" s="32">
        <v>1975</v>
      </c>
      <c r="B1985" s="90">
        <v>8.7895144620500236</v>
      </c>
    </row>
    <row r="1986" spans="1:2">
      <c r="A1986" s="32">
        <v>1976</v>
      </c>
      <c r="B1986" s="90">
        <v>8.4662147696353269</v>
      </c>
    </row>
    <row r="1987" spans="1:2">
      <c r="A1987" s="32">
        <v>1977</v>
      </c>
      <c r="B1987" s="90">
        <v>9.0269842863659022</v>
      </c>
    </row>
    <row r="1988" spans="1:2">
      <c r="A1988" s="32">
        <v>1978</v>
      </c>
      <c r="B1988" s="90">
        <v>8.67398832995333</v>
      </c>
    </row>
    <row r="1989" spans="1:2">
      <c r="A1989" s="32">
        <v>1979</v>
      </c>
      <c r="B1989" s="90">
        <v>6.8394424080728795</v>
      </c>
    </row>
    <row r="1990" spans="1:2">
      <c r="A1990" s="32">
        <v>1980</v>
      </c>
      <c r="B1990" s="90">
        <v>8.7389148822157932</v>
      </c>
    </row>
    <row r="1991" spans="1:2">
      <c r="A1991" s="32">
        <v>1981</v>
      </c>
      <c r="B1991" s="90">
        <v>8.6398188917160059</v>
      </c>
    </row>
    <row r="1992" spans="1:2">
      <c r="A1992" s="32">
        <v>1982</v>
      </c>
      <c r="B1992" s="90">
        <v>8.5686204600541984</v>
      </c>
    </row>
    <row r="1993" spans="1:2">
      <c r="A1993" s="32">
        <v>1983</v>
      </c>
      <c r="B1993" s="90">
        <v>8.8908896494489138</v>
      </c>
    </row>
    <row r="1994" spans="1:2">
      <c r="A1994" s="32">
        <v>1984</v>
      </c>
      <c r="B1994" s="90">
        <v>7.9341024140339922</v>
      </c>
    </row>
    <row r="1995" spans="1:2">
      <c r="A1995" s="32">
        <v>1985</v>
      </c>
      <c r="B1995" s="90">
        <v>7.9765482615410166</v>
      </c>
    </row>
    <row r="1996" spans="1:2">
      <c r="A1996" s="32">
        <v>1986</v>
      </c>
      <c r="B1996" s="90">
        <v>8.3655183750381052</v>
      </c>
    </row>
    <row r="1997" spans="1:2">
      <c r="A1997" s="32">
        <v>1987</v>
      </c>
      <c r="B1997" s="90">
        <v>8.3769622757373625</v>
      </c>
    </row>
    <row r="1998" spans="1:2">
      <c r="A1998" s="32">
        <v>1988</v>
      </c>
      <c r="B1998" s="90">
        <v>8.8601926350448768</v>
      </c>
    </row>
    <row r="1999" spans="1:2">
      <c r="A1999" s="32">
        <v>1989</v>
      </c>
      <c r="B1999" s="90">
        <v>8.5779375894139189</v>
      </c>
    </row>
    <row r="2000" spans="1:2">
      <c r="A2000" s="32">
        <v>1990</v>
      </c>
      <c r="B2000" s="90">
        <v>8.1106954235546187</v>
      </c>
    </row>
    <row r="2001" spans="1:2">
      <c r="A2001" s="32">
        <v>1991</v>
      </c>
      <c r="B2001" s="90">
        <v>8.134425654648739</v>
      </c>
    </row>
    <row r="2002" spans="1:2">
      <c r="A2002" s="32">
        <v>1992</v>
      </c>
      <c r="B2002" s="90">
        <v>8.4146102460411214</v>
      </c>
    </row>
    <row r="2003" spans="1:2">
      <c r="A2003" s="32">
        <v>1993</v>
      </c>
      <c r="B2003" s="90">
        <v>8.1329809704627856</v>
      </c>
    </row>
    <row r="2004" spans="1:2">
      <c r="A2004" s="32">
        <v>1994</v>
      </c>
      <c r="B2004" s="90">
        <v>9.0683256978508417</v>
      </c>
    </row>
    <row r="2005" spans="1:2">
      <c r="A2005" s="32">
        <v>1995</v>
      </c>
      <c r="B2005" s="90">
        <v>8.4590058748319574</v>
      </c>
    </row>
    <row r="2006" spans="1:2">
      <c r="A2006" s="32">
        <v>1996</v>
      </c>
      <c r="B2006" s="90">
        <v>7.7941400113904358</v>
      </c>
    </row>
    <row r="2007" spans="1:2">
      <c r="A2007" s="32">
        <v>1997</v>
      </c>
      <c r="B2007" s="90">
        <v>8.4699485400129824</v>
      </c>
    </row>
    <row r="2008" spans="1:2">
      <c r="A2008" s="32">
        <v>1998</v>
      </c>
      <c r="B2008" s="90">
        <v>8.3393730403268389</v>
      </c>
    </row>
    <row r="2009" spans="1:2">
      <c r="A2009" s="32">
        <v>1999</v>
      </c>
      <c r="B2009" s="90">
        <v>8.1574322948878777</v>
      </c>
    </row>
    <row r="2010" spans="1:2">
      <c r="A2010" s="32">
        <v>2000</v>
      </c>
      <c r="B2010" s="90">
        <v>9.1228149539334726</v>
      </c>
    </row>
    <row r="2011" spans="1:2">
      <c r="A2011" s="32">
        <v>2001</v>
      </c>
      <c r="B2011" s="90">
        <v>8.3896765775418487</v>
      </c>
    </row>
    <row r="2012" spans="1:2">
      <c r="A2012" s="32">
        <v>2002</v>
      </c>
      <c r="B2012" s="90">
        <v>7.6372717087692124</v>
      </c>
    </row>
    <row r="2013" spans="1:2">
      <c r="A2013" s="32">
        <v>2003</v>
      </c>
      <c r="B2013" s="90">
        <v>9.6238732801124378</v>
      </c>
    </row>
    <row r="2014" spans="1:2">
      <c r="A2014" s="32">
        <v>2004</v>
      </c>
      <c r="B2014" s="90">
        <v>7.5265074347919763</v>
      </c>
    </row>
    <row r="2015" spans="1:2">
      <c r="A2015" s="32">
        <v>2005</v>
      </c>
      <c r="B2015" s="90">
        <v>7.9543534755077117</v>
      </c>
    </row>
    <row r="2016" spans="1:2">
      <c r="A2016" s="32">
        <v>2006</v>
      </c>
      <c r="B2016" s="90">
        <v>9.1361812056627016</v>
      </c>
    </row>
    <row r="2017" spans="1:2">
      <c r="A2017" s="32">
        <v>2007</v>
      </c>
      <c r="B2017" s="90">
        <v>8.1534381174247983</v>
      </c>
    </row>
    <row r="2018" spans="1:2">
      <c r="A2018" s="32">
        <v>2008</v>
      </c>
      <c r="B2018" s="90">
        <v>7.9254094333825771</v>
      </c>
    </row>
    <row r="2019" spans="1:2">
      <c r="A2019" s="32">
        <v>2009</v>
      </c>
      <c r="B2019" s="90">
        <v>9.0589618925290001</v>
      </c>
    </row>
    <row r="2020" spans="1:2">
      <c r="A2020" s="32">
        <v>2010</v>
      </c>
      <c r="B2020" s="90">
        <v>7.4433093263548464</v>
      </c>
    </row>
    <row r="2021" spans="1:2">
      <c r="A2021" s="32">
        <v>2011</v>
      </c>
      <c r="B2021" s="90">
        <v>8.7627811968921243</v>
      </c>
    </row>
    <row r="2022" spans="1:2">
      <c r="A2022" s="32">
        <v>2012</v>
      </c>
      <c r="B2022" s="90">
        <v>8.1845467718240119</v>
      </c>
    </row>
    <row r="2023" spans="1:2">
      <c r="A2023" s="32">
        <v>2013</v>
      </c>
      <c r="B2023" s="90">
        <v>8.6098998289180191</v>
      </c>
    </row>
    <row r="2024" spans="1:2">
      <c r="A2024" s="32">
        <v>2014</v>
      </c>
      <c r="B2024" s="90">
        <v>7.8613955848994204</v>
      </c>
    </row>
    <row r="2025" spans="1:2">
      <c r="A2025" s="32">
        <v>2015</v>
      </c>
      <c r="B2025" s="90">
        <v>8.7178653566584323</v>
      </c>
    </row>
    <row r="2026" spans="1:2">
      <c r="A2026" s="32">
        <v>2016</v>
      </c>
      <c r="B2026" s="90">
        <v>7.6797345033760882</v>
      </c>
    </row>
    <row r="2027" spans="1:2">
      <c r="A2027" s="32">
        <v>2017</v>
      </c>
      <c r="B2027" s="90">
        <v>9.0276661053954914</v>
      </c>
    </row>
    <row r="2028" spans="1:2">
      <c r="A2028" s="32">
        <v>2018</v>
      </c>
      <c r="B2028" s="90">
        <v>8.1500871767556351</v>
      </c>
    </row>
    <row r="2029" spans="1:2">
      <c r="A2029" s="32">
        <v>2019</v>
      </c>
      <c r="B2029" s="90">
        <v>8.3006930133120154</v>
      </c>
    </row>
    <row r="2030" spans="1:2">
      <c r="A2030" s="32">
        <v>2020</v>
      </c>
      <c r="B2030" s="90">
        <v>8.0708659262940028</v>
      </c>
    </row>
    <row r="2031" spans="1:2">
      <c r="A2031" s="32">
        <v>2021</v>
      </c>
      <c r="B2031" s="90">
        <v>8.6340814118934333</v>
      </c>
    </row>
    <row r="2032" spans="1:2">
      <c r="A2032" s="32">
        <v>2022</v>
      </c>
      <c r="B2032" s="90">
        <v>7.6671778411040226</v>
      </c>
    </row>
    <row r="2033" spans="1:2">
      <c r="A2033" s="32">
        <v>2023</v>
      </c>
      <c r="B2033" s="90">
        <v>8.7075886117932875</v>
      </c>
    </row>
    <row r="2034" spans="1:2">
      <c r="A2034" s="32">
        <v>2024</v>
      </c>
      <c r="B2034" s="90">
        <v>8.5114772338509965</v>
      </c>
    </row>
    <row r="2035" spans="1:2">
      <c r="A2035" s="32">
        <v>2025</v>
      </c>
      <c r="B2035" s="90">
        <v>8.4606165087085117</v>
      </c>
    </row>
    <row r="2036" spans="1:2">
      <c r="A2036" s="32">
        <v>2026</v>
      </c>
      <c r="B2036" s="90">
        <v>8.1278818748236752</v>
      </c>
    </row>
    <row r="2037" spans="1:2">
      <c r="A2037" s="32">
        <v>2027</v>
      </c>
      <c r="B2037" s="90">
        <v>8.0009975426456936</v>
      </c>
    </row>
    <row r="2038" spans="1:2">
      <c r="A2038" s="32">
        <v>2028</v>
      </c>
      <c r="B2038" s="90">
        <v>8.0601324414320707</v>
      </c>
    </row>
    <row r="2039" spans="1:2">
      <c r="A2039" s="32">
        <v>2029</v>
      </c>
      <c r="B2039" s="90">
        <v>8.9252166427691098</v>
      </c>
    </row>
    <row r="2040" spans="1:2">
      <c r="A2040" s="32">
        <v>2030</v>
      </c>
      <c r="B2040" s="90">
        <v>8.3791287926744769</v>
      </c>
    </row>
    <row r="2041" spans="1:2">
      <c r="A2041" s="32">
        <v>2031</v>
      </c>
      <c r="B2041" s="90">
        <v>8.0918963550191663</v>
      </c>
    </row>
    <row r="2042" spans="1:2">
      <c r="A2042" s="32">
        <v>2032</v>
      </c>
      <c r="B2042" s="90">
        <v>8.9739801490448787</v>
      </c>
    </row>
    <row r="2043" spans="1:2">
      <c r="A2043" s="32">
        <v>2033</v>
      </c>
      <c r="B2043" s="90">
        <v>7.5692625133691021</v>
      </c>
    </row>
    <row r="2044" spans="1:2">
      <c r="A2044" s="32">
        <v>2034</v>
      </c>
      <c r="B2044" s="90">
        <v>8.1807037104081939</v>
      </c>
    </row>
    <row r="2045" spans="1:2">
      <c r="A2045" s="32">
        <v>2035</v>
      </c>
      <c r="B2045" s="90">
        <v>8.8841173396838133</v>
      </c>
    </row>
    <row r="2046" spans="1:2">
      <c r="A2046" s="32">
        <v>2036</v>
      </c>
      <c r="B2046" s="90">
        <v>8.278529020218226</v>
      </c>
    </row>
    <row r="2047" spans="1:2">
      <c r="A2047" s="32">
        <v>2037</v>
      </c>
      <c r="B2047" s="90">
        <v>7.8142305580856757</v>
      </c>
    </row>
    <row r="2048" spans="1:2">
      <c r="A2048" s="32">
        <v>2038</v>
      </c>
      <c r="B2048" s="90">
        <v>9.5326607390490565</v>
      </c>
    </row>
    <row r="2049" spans="1:2">
      <c r="A2049" s="32">
        <v>2039</v>
      </c>
      <c r="B2049" s="90">
        <v>7.5317777936250394</v>
      </c>
    </row>
    <row r="2050" spans="1:2">
      <c r="A2050" s="32">
        <v>2040</v>
      </c>
      <c r="B2050" s="90">
        <v>8.3657861910164382</v>
      </c>
    </row>
    <row r="2051" spans="1:2">
      <c r="A2051" s="32">
        <v>2041</v>
      </c>
      <c r="B2051" s="90">
        <v>8.4483679902630762</v>
      </c>
    </row>
    <row r="2052" spans="1:2">
      <c r="A2052" s="32">
        <v>2042</v>
      </c>
      <c r="B2052" s="90">
        <v>8.4558569784834585</v>
      </c>
    </row>
    <row r="2053" spans="1:2">
      <c r="A2053" s="32">
        <v>2043</v>
      </c>
      <c r="B2053" s="90">
        <v>7.7342284472716694</v>
      </c>
    </row>
    <row r="2054" spans="1:2">
      <c r="A2054" s="32">
        <v>2044</v>
      </c>
      <c r="B2054" s="90">
        <v>9.1439201299324289</v>
      </c>
    </row>
    <row r="2055" spans="1:2">
      <c r="A2055" s="32">
        <v>2045</v>
      </c>
      <c r="B2055" s="90">
        <v>7.2446831756858998</v>
      </c>
    </row>
    <row r="2056" spans="1:2">
      <c r="A2056" s="32">
        <v>2046</v>
      </c>
      <c r="B2056" s="90">
        <v>9.0411644017385786</v>
      </c>
    </row>
    <row r="2057" spans="1:2">
      <c r="A2057" s="32">
        <v>2047</v>
      </c>
      <c r="B2057" s="90">
        <v>8.3167532565118023</v>
      </c>
    </row>
    <row r="2058" spans="1:2">
      <c r="A2058" s="32">
        <v>2048</v>
      </c>
      <c r="B2058" s="90">
        <v>8.4398926243709749</v>
      </c>
    </row>
    <row r="2059" spans="1:2">
      <c r="A2059" s="32">
        <v>2049</v>
      </c>
      <c r="B2059" s="90">
        <v>7.8771038544196639</v>
      </c>
    </row>
    <row r="2060" spans="1:2">
      <c r="A2060" s="32">
        <v>2050</v>
      </c>
      <c r="B2060" s="90">
        <v>8.6147315205161785</v>
      </c>
    </row>
    <row r="2061" spans="1:2">
      <c r="A2061" s="32">
        <v>2051</v>
      </c>
      <c r="B2061" s="90">
        <v>7.6272343888242542</v>
      </c>
    </row>
    <row r="2062" spans="1:2">
      <c r="A2062" s="32">
        <v>2052</v>
      </c>
      <c r="B2062" s="90">
        <v>8.8654666577088062</v>
      </c>
    </row>
    <row r="2063" spans="1:2">
      <c r="A2063" s="32">
        <v>2053</v>
      </c>
      <c r="B2063" s="90">
        <v>8.3815687043508831</v>
      </c>
    </row>
    <row r="2064" spans="1:2">
      <c r="A2064" s="32">
        <v>2054</v>
      </c>
      <c r="B2064" s="90">
        <v>8.2238450724271726</v>
      </c>
    </row>
    <row r="2065" spans="1:2">
      <c r="A2065" s="32">
        <v>2055</v>
      </c>
      <c r="B2065" s="90">
        <v>8.4893867260266909</v>
      </c>
    </row>
    <row r="2066" spans="1:2">
      <c r="A2066" s="32">
        <v>2056</v>
      </c>
      <c r="B2066" s="90">
        <v>8.0806211443500242</v>
      </c>
    </row>
    <row r="2067" spans="1:2">
      <c r="A2067" s="32">
        <v>2057</v>
      </c>
      <c r="B2067" s="90">
        <v>8.092596717700193</v>
      </c>
    </row>
    <row r="2068" spans="1:2">
      <c r="A2068" s="32">
        <v>2058</v>
      </c>
      <c r="B2068" s="90">
        <v>8.5152625755725424</v>
      </c>
    </row>
    <row r="2069" spans="1:2">
      <c r="A2069" s="32">
        <v>2059</v>
      </c>
      <c r="B2069" s="90">
        <v>8.4066355444428389</v>
      </c>
    </row>
    <row r="2070" spans="1:2">
      <c r="A2070" s="32">
        <v>2060</v>
      </c>
      <c r="B2070" s="90">
        <v>8.4835787156845051</v>
      </c>
    </row>
    <row r="2071" spans="1:2">
      <c r="A2071" s="32">
        <v>2061</v>
      </c>
      <c r="B2071" s="90">
        <v>8.7086029702173899</v>
      </c>
    </row>
    <row r="2072" spans="1:2">
      <c r="A2072" s="32">
        <v>2062</v>
      </c>
      <c r="B2072" s="90">
        <v>7.501477044676915</v>
      </c>
    </row>
    <row r="2073" spans="1:2">
      <c r="A2073" s="32">
        <v>2063</v>
      </c>
      <c r="B2073" s="90">
        <v>8.1574322948878777</v>
      </c>
    </row>
    <row r="2074" spans="1:2">
      <c r="A2074" s="32">
        <v>2064</v>
      </c>
      <c r="B2074" s="90">
        <v>9.1228149539334726</v>
      </c>
    </row>
    <row r="2075" spans="1:2">
      <c r="A2075" s="32">
        <v>2065</v>
      </c>
      <c r="B2075" s="90">
        <v>8.3896765775418487</v>
      </c>
    </row>
    <row r="2076" spans="1:2">
      <c r="A2076" s="32">
        <v>2066</v>
      </c>
      <c r="B2076" s="90">
        <v>7.6372717087692124</v>
      </c>
    </row>
    <row r="2077" spans="1:2">
      <c r="A2077" s="32">
        <v>2067</v>
      </c>
      <c r="B2077" s="90">
        <v>9.6238732801124378</v>
      </c>
    </row>
    <row r="2078" spans="1:2">
      <c r="A2078" s="32">
        <v>2068</v>
      </c>
      <c r="B2078" s="90">
        <v>7.5265074347919763</v>
      </c>
    </row>
    <row r="2079" spans="1:2">
      <c r="A2079" s="32">
        <v>2069</v>
      </c>
      <c r="B2079" s="90">
        <v>7.9543534755077117</v>
      </c>
    </row>
    <row r="2080" spans="1:2">
      <c r="A2080" s="32">
        <v>2070</v>
      </c>
      <c r="B2080" s="90">
        <v>9.1361812056627016</v>
      </c>
    </row>
    <row r="2081" spans="1:2">
      <c r="A2081" s="32">
        <v>2071</v>
      </c>
      <c r="B2081" s="90">
        <v>8.1534381174247983</v>
      </c>
    </row>
    <row r="2082" spans="1:2">
      <c r="A2082" s="32">
        <v>2072</v>
      </c>
      <c r="B2082" s="90">
        <v>7.9254094333825771</v>
      </c>
    </row>
    <row r="2083" spans="1:2">
      <c r="A2083" s="32">
        <v>2073</v>
      </c>
      <c r="B2083" s="90">
        <v>9.0589618925290001</v>
      </c>
    </row>
    <row r="2084" spans="1:2">
      <c r="A2084" s="32">
        <v>2074</v>
      </c>
      <c r="B2084" s="90">
        <v>7.4433093263548464</v>
      </c>
    </row>
    <row r="2085" spans="1:2">
      <c r="A2085" s="32">
        <v>2075</v>
      </c>
      <c r="B2085" s="90">
        <v>8.4574023315137659</v>
      </c>
    </row>
    <row r="2086" spans="1:2">
      <c r="A2086" s="32">
        <v>2076</v>
      </c>
      <c r="B2086" s="90">
        <v>7.9475389093204409</v>
      </c>
    </row>
    <row r="2087" spans="1:2">
      <c r="A2087" s="32">
        <v>2077</v>
      </c>
      <c r="B2087" s="90">
        <v>7.3828539586106228</v>
      </c>
    </row>
    <row r="2088" spans="1:2">
      <c r="A2088" s="32">
        <v>2078</v>
      </c>
      <c r="B2088" s="90">
        <v>7.6371130739475079</v>
      </c>
    </row>
    <row r="2089" spans="1:2">
      <c r="A2089" s="32">
        <v>2079</v>
      </c>
      <c r="B2089" s="90">
        <v>8.5335715488827617</v>
      </c>
    </row>
    <row r="2090" spans="1:2">
      <c r="A2090" s="32">
        <v>2080</v>
      </c>
      <c r="B2090" s="90">
        <v>8.7380405433791193</v>
      </c>
    </row>
    <row r="2091" spans="1:2">
      <c r="A2091" s="32">
        <v>2081</v>
      </c>
      <c r="B2091" s="90">
        <v>8.5500925349719257</v>
      </c>
    </row>
    <row r="2092" spans="1:2">
      <c r="A2092" s="32">
        <v>2082</v>
      </c>
      <c r="B2092" s="90">
        <v>7.5573271142982348</v>
      </c>
    </row>
    <row r="2093" spans="1:2">
      <c r="A2093" s="32">
        <v>2083</v>
      </c>
      <c r="B2093" s="90">
        <v>7.2733187218599138</v>
      </c>
    </row>
    <row r="2094" spans="1:2">
      <c r="A2094" s="32">
        <v>2084</v>
      </c>
      <c r="B2094" s="90">
        <v>8.0363628828864986</v>
      </c>
    </row>
    <row r="2095" spans="1:2">
      <c r="A2095" s="32">
        <v>2085</v>
      </c>
      <c r="B2095" s="90">
        <v>8.6959016866369776</v>
      </c>
    </row>
    <row r="2096" spans="1:2">
      <c r="A2096" s="32">
        <v>2086</v>
      </c>
      <c r="B2096" s="90">
        <v>8.3399913172515721</v>
      </c>
    </row>
    <row r="2097" spans="1:2">
      <c r="A2097" s="32">
        <v>2087</v>
      </c>
      <c r="B2097" s="90">
        <v>8.4476091595303338</v>
      </c>
    </row>
    <row r="2098" spans="1:2">
      <c r="A2098" s="32">
        <v>2088</v>
      </c>
      <c r="B2098" s="90">
        <v>8.0329159776728467</v>
      </c>
    </row>
    <row r="2099" spans="1:2">
      <c r="A2099" s="32">
        <v>2089</v>
      </c>
      <c r="B2099" s="90">
        <v>7.01262959496799</v>
      </c>
    </row>
    <row r="2100" spans="1:2">
      <c r="A2100" s="32">
        <v>2090</v>
      </c>
      <c r="B2100" s="90">
        <v>8.3854261951764055</v>
      </c>
    </row>
    <row r="2101" spans="1:2">
      <c r="A2101" s="32">
        <v>2091</v>
      </c>
      <c r="B2101" s="90">
        <v>8.7152268241786732</v>
      </c>
    </row>
    <row r="2102" spans="1:2">
      <c r="A2102" s="32">
        <v>2092</v>
      </c>
      <c r="B2102" s="90">
        <v>8.575510975729431</v>
      </c>
    </row>
    <row r="2103" spans="1:2">
      <c r="A2103" s="32">
        <v>2093</v>
      </c>
      <c r="B2103" s="90">
        <v>7.6525189512334375</v>
      </c>
    </row>
    <row r="2104" spans="1:2">
      <c r="A2104" s="32">
        <v>2094</v>
      </c>
      <c r="B2104" s="90">
        <v>8.3010857403508318</v>
      </c>
    </row>
    <row r="2105" spans="1:2">
      <c r="A2105" s="32">
        <v>2095</v>
      </c>
      <c r="B2105" s="90">
        <v>7.2177435219139587</v>
      </c>
    </row>
    <row r="2106" spans="1:2">
      <c r="A2106" s="32">
        <v>2096</v>
      </c>
      <c r="B2106" s="90">
        <v>8.1515647325920195</v>
      </c>
    </row>
    <row r="2107" spans="1:2">
      <c r="A2107" s="32">
        <v>2097</v>
      </c>
      <c r="B2107" s="90">
        <v>8.2715484203198475</v>
      </c>
    </row>
    <row r="2108" spans="1:2">
      <c r="A2108" s="32">
        <v>2098</v>
      </c>
      <c r="B2108" s="90">
        <v>8.6977067297048727</v>
      </c>
    </row>
    <row r="2109" spans="1:2">
      <c r="A2109" s="32">
        <v>2099</v>
      </c>
      <c r="B2109" s="90">
        <v>8.7263412656406629</v>
      </c>
    </row>
    <row r="2110" spans="1:2">
      <c r="A2110" s="32">
        <v>2100</v>
      </c>
      <c r="B2110" s="90">
        <v>7.1759660224009769</v>
      </c>
    </row>
    <row r="2111" spans="1:2">
      <c r="A2111" s="32">
        <v>2101</v>
      </c>
      <c r="B2111" s="90">
        <v>7.7134486022512228</v>
      </c>
    </row>
    <row r="2112" spans="1:2">
      <c r="A2112" s="32">
        <v>2102</v>
      </c>
      <c r="B2112" s="90">
        <v>7.9002425046293085</v>
      </c>
    </row>
    <row r="2113" spans="1:2">
      <c r="A2113" s="32">
        <v>2103</v>
      </c>
      <c r="B2113" s="90">
        <v>8.4739808770251166</v>
      </c>
    </row>
    <row r="2114" spans="1:2">
      <c r="A2114" s="32">
        <v>2104</v>
      </c>
      <c r="B2114" s="90">
        <v>8.8013401587162274</v>
      </c>
    </row>
    <row r="2115" spans="1:2">
      <c r="A2115" s="32">
        <v>2105</v>
      </c>
      <c r="B2115" s="90">
        <v>8.2242521235119561</v>
      </c>
    </row>
    <row r="2116" spans="1:2">
      <c r="A2116" s="32">
        <v>2106</v>
      </c>
      <c r="B2116" s="90">
        <v>7.2669204902930469</v>
      </c>
    </row>
    <row r="2117" spans="1:2">
      <c r="A2117" s="32">
        <v>2107</v>
      </c>
      <c r="B2117" s="90">
        <v>7.697557211240321</v>
      </c>
    </row>
    <row r="2118" spans="1:2">
      <c r="A2118" s="32">
        <v>2108</v>
      </c>
      <c r="B2118" s="90">
        <v>8.4971883575076088</v>
      </c>
    </row>
    <row r="2119" spans="1:2">
      <c r="A2119" s="32">
        <v>2109</v>
      </c>
      <c r="B2119" s="90">
        <v>8.3999978878551325</v>
      </c>
    </row>
    <row r="2120" spans="1:2">
      <c r="A2120" s="32">
        <v>2110</v>
      </c>
      <c r="B2120" s="90">
        <v>8.8244197817615007</v>
      </c>
    </row>
    <row r="2121" spans="1:2">
      <c r="A2121" s="32">
        <v>2111</v>
      </c>
      <c r="B2121" s="90">
        <v>7.8661120467047443</v>
      </c>
    </row>
    <row r="2122" spans="1:2">
      <c r="A2122" s="32">
        <v>2112</v>
      </c>
      <c r="B2122" s="90">
        <v>7.0495654591342616</v>
      </c>
    </row>
    <row r="2123" spans="1:2">
      <c r="A2123" s="32">
        <v>2113</v>
      </c>
      <c r="B2123" s="90">
        <v>7.9285933669555515</v>
      </c>
    </row>
    <row r="2124" spans="1:2">
      <c r="A2124" s="32">
        <v>2114</v>
      </c>
      <c r="B2124" s="90">
        <v>8.4681769425451083</v>
      </c>
    </row>
    <row r="2125" spans="1:2">
      <c r="A2125" s="32">
        <v>2115</v>
      </c>
      <c r="B2125" s="90">
        <v>8.7971379262666662</v>
      </c>
    </row>
    <row r="2126" spans="1:2">
      <c r="A2126" s="32">
        <v>2116</v>
      </c>
      <c r="B2126" s="90">
        <v>8.5717153413686855</v>
      </c>
    </row>
    <row r="2127" spans="1:2">
      <c r="A2127" s="32">
        <v>2117</v>
      </c>
      <c r="B2127" s="90">
        <v>7.6795003012619594</v>
      </c>
    </row>
    <row r="2128" spans="1:2">
      <c r="A2128" s="32">
        <v>2118</v>
      </c>
      <c r="B2128" s="90">
        <v>7.1694896066450049</v>
      </c>
    </row>
    <row r="2129" spans="1:2">
      <c r="A2129" s="32">
        <v>2119</v>
      </c>
      <c r="B2129" s="90">
        <v>8.1650864280006932</v>
      </c>
    </row>
    <row r="2130" spans="1:2">
      <c r="A2130" s="32">
        <v>2120</v>
      </c>
      <c r="B2130" s="90">
        <v>8.6602351974857896</v>
      </c>
    </row>
    <row r="2131" spans="1:2">
      <c r="A2131" s="32">
        <v>2121</v>
      </c>
      <c r="B2131" s="90">
        <v>8.4589812423235511</v>
      </c>
    </row>
    <row r="2132" spans="1:2">
      <c r="A2132" s="32">
        <v>2122</v>
      </c>
      <c r="B2132" s="90">
        <v>8.1079933552801489</v>
      </c>
    </row>
    <row r="2133" spans="1:2">
      <c r="A2133" s="32">
        <v>2123</v>
      </c>
      <c r="B2133" s="90">
        <v>8.3052977290036551</v>
      </c>
    </row>
    <row r="2134" spans="1:2">
      <c r="A2134" s="32">
        <v>2124</v>
      </c>
      <c r="B2134" s="90">
        <v>6.886381138294662</v>
      </c>
    </row>
    <row r="2135" spans="1:2">
      <c r="A2135" s="32">
        <v>2125</v>
      </c>
      <c r="B2135" s="90">
        <v>8.2779568785370135</v>
      </c>
    </row>
    <row r="2136" spans="1:2">
      <c r="A2136" s="32">
        <v>2126</v>
      </c>
      <c r="B2136" s="90">
        <v>8.5899946263917748</v>
      </c>
    </row>
    <row r="2137" spans="1:2">
      <c r="A2137" s="32">
        <v>2127</v>
      </c>
      <c r="B2137" s="90">
        <v>8.8009093819098325</v>
      </c>
    </row>
    <row r="2138" spans="1:2">
      <c r="A2138" s="32">
        <v>2128</v>
      </c>
      <c r="B2138" s="90">
        <v>8.0840991669786302</v>
      </c>
    </row>
    <row r="2139" spans="1:2">
      <c r="A2139" s="32">
        <v>2129</v>
      </c>
      <c r="B2139" s="90">
        <v>7.7210163304237991</v>
      </c>
    </row>
    <row r="2140" spans="1:2">
      <c r="A2140" s="32">
        <v>2130</v>
      </c>
      <c r="B2140" s="90">
        <v>7.3325060322387685</v>
      </c>
    </row>
    <row r="2141" spans="1:2">
      <c r="A2141" s="32">
        <v>2131</v>
      </c>
      <c r="B2141" s="90">
        <v>8.0573114151967431</v>
      </c>
    </row>
    <row r="2142" spans="1:2">
      <c r="A2142" s="32">
        <v>2132</v>
      </c>
      <c r="B2142" s="90">
        <v>8.4282653356326698</v>
      </c>
    </row>
    <row r="2143" spans="1:2">
      <c r="A2143" s="32">
        <v>2133</v>
      </c>
      <c r="B2143" s="90">
        <v>8.6167958969609177</v>
      </c>
    </row>
    <row r="2144" spans="1:2">
      <c r="A2144" s="32">
        <v>2134</v>
      </c>
      <c r="B2144" s="90">
        <v>8.567567014616305</v>
      </c>
    </row>
    <row r="2145" spans="1:2">
      <c r="A2145" s="32">
        <v>2135</v>
      </c>
      <c r="B2145" s="90">
        <v>7.0134286900985598</v>
      </c>
    </row>
    <row r="2146" spans="1:2">
      <c r="A2146" s="32">
        <v>2136</v>
      </c>
      <c r="B2146" s="90">
        <v>8.051279180817362</v>
      </c>
    </row>
    <row r="2147" spans="1:2">
      <c r="A2147" s="32">
        <v>2137</v>
      </c>
      <c r="B2147" s="90">
        <v>8.0344226442298776</v>
      </c>
    </row>
    <row r="2148" spans="1:2">
      <c r="A2148" s="32">
        <v>2138</v>
      </c>
      <c r="B2148" s="90">
        <v>8.6604433496530628</v>
      </c>
    </row>
    <row r="2149" spans="1:2">
      <c r="A2149" s="32">
        <v>2139</v>
      </c>
      <c r="B2149" s="90">
        <v>8.6559237242936895</v>
      </c>
    </row>
    <row r="2150" spans="1:2">
      <c r="A2150" s="32">
        <v>2140</v>
      </c>
      <c r="B2150" s="90">
        <v>7.9475389093204409</v>
      </c>
    </row>
    <row r="2151" spans="1:2">
      <c r="A2151" s="32">
        <v>2141</v>
      </c>
      <c r="B2151" s="90">
        <v>7.3828539586106228</v>
      </c>
    </row>
    <row r="2152" spans="1:2">
      <c r="A2152" s="32">
        <v>2142</v>
      </c>
      <c r="B2152" s="90">
        <v>7.6371130739475079</v>
      </c>
    </row>
    <row r="2153" spans="1:2">
      <c r="A2153" s="32">
        <v>2143</v>
      </c>
      <c r="B2153" s="90">
        <v>8.5335715488827617</v>
      </c>
    </row>
    <row r="2154" spans="1:2">
      <c r="A2154" s="32">
        <v>2144</v>
      </c>
      <c r="B2154" s="90">
        <v>8.7380405433791193</v>
      </c>
    </row>
    <row r="2155" spans="1:2">
      <c r="A2155" s="32">
        <v>2145</v>
      </c>
      <c r="B2155" s="90">
        <v>8.5500925349719257</v>
      </c>
    </row>
    <row r="2156" spans="1:2">
      <c r="A2156" s="32">
        <v>2146</v>
      </c>
      <c r="B2156" s="90">
        <v>7.5573271142982348</v>
      </c>
    </row>
    <row r="2157" spans="1:2">
      <c r="A2157" s="32">
        <v>2147</v>
      </c>
      <c r="B2157" s="90">
        <v>7.2733187218599138</v>
      </c>
    </row>
    <row r="2158" spans="1:2">
      <c r="A2158" s="32">
        <v>2148</v>
      </c>
      <c r="B2158" s="90">
        <v>8.0363628828864986</v>
      </c>
    </row>
    <row r="2159" spans="1:2">
      <c r="A2159" s="32">
        <v>2149</v>
      </c>
      <c r="B2159" s="90">
        <v>8.6959016866369776</v>
      </c>
    </row>
    <row r="2160" spans="1:2">
      <c r="A2160" s="32">
        <v>2150</v>
      </c>
      <c r="B2160" s="90">
        <v>8.3399913172515721</v>
      </c>
    </row>
    <row r="2161" spans="1:2">
      <c r="A2161" s="32">
        <v>2151</v>
      </c>
      <c r="B2161" s="90">
        <v>8.4476091595303338</v>
      </c>
    </row>
    <row r="2162" spans="1:2">
      <c r="A2162" s="32">
        <v>2152</v>
      </c>
      <c r="B2162" s="90">
        <v>8.0329159776728467</v>
      </c>
    </row>
    <row r="2163" spans="1:2">
      <c r="A2163" s="32">
        <v>2153</v>
      </c>
      <c r="B2163" s="90">
        <v>7.2831158049952354</v>
      </c>
    </row>
    <row r="2164" spans="1:2">
      <c r="A2164" s="32">
        <v>2154</v>
      </c>
      <c r="B2164" s="90">
        <v>7.8187898420979769</v>
      </c>
    </row>
    <row r="2165" spans="1:2">
      <c r="A2165" s="32">
        <v>2155</v>
      </c>
      <c r="B2165" s="90">
        <v>8.6012883947830261</v>
      </c>
    </row>
    <row r="2166" spans="1:2">
      <c r="A2166" s="32">
        <v>2156</v>
      </c>
      <c r="B2166" s="90">
        <v>8.2634684873460511</v>
      </c>
    </row>
    <row r="2167" spans="1:2">
      <c r="A2167" s="32">
        <v>2157</v>
      </c>
      <c r="B2167" s="90">
        <v>9.0266097312327851</v>
      </c>
    </row>
    <row r="2168" spans="1:2">
      <c r="A2168" s="32">
        <v>2158</v>
      </c>
      <c r="B2168" s="90">
        <v>7.8121189230926289</v>
      </c>
    </row>
    <row r="2169" spans="1:2">
      <c r="A2169" s="32">
        <v>2159</v>
      </c>
      <c r="B2169" s="90">
        <v>7.6107808122949088</v>
      </c>
    </row>
    <row r="2170" spans="1:2">
      <c r="A2170" s="32">
        <v>2160</v>
      </c>
      <c r="B2170" s="90">
        <v>8.1192175339011481</v>
      </c>
    </row>
    <row r="2171" spans="1:2">
      <c r="A2171" s="32">
        <v>2161</v>
      </c>
      <c r="B2171" s="90">
        <v>9.1222107746955299</v>
      </c>
    </row>
    <row r="2172" spans="1:2">
      <c r="A2172" s="32">
        <v>2162</v>
      </c>
      <c r="B2172" s="90">
        <v>7.8284236041397328</v>
      </c>
    </row>
    <row r="2173" spans="1:2">
      <c r="A2173" s="32">
        <v>2163</v>
      </c>
      <c r="B2173" s="90">
        <v>8.4193151595891145</v>
      </c>
    </row>
    <row r="2174" spans="1:2">
      <c r="A2174" s="32">
        <v>2164</v>
      </c>
      <c r="B2174" s="90">
        <v>7.9542655049606426</v>
      </c>
    </row>
    <row r="2175" spans="1:2">
      <c r="A2175" s="32">
        <v>2165</v>
      </c>
      <c r="B2175" s="90">
        <v>7.5696712421894299</v>
      </c>
    </row>
    <row r="2176" spans="1:2">
      <c r="A2176" s="32">
        <v>2166</v>
      </c>
      <c r="B2176" s="90">
        <v>8.8090792676941447</v>
      </c>
    </row>
    <row r="2177" spans="1:2">
      <c r="A2177" s="32">
        <v>2167</v>
      </c>
      <c r="B2177" s="90">
        <v>8.7661758724789909</v>
      </c>
    </row>
    <row r="2178" spans="1:2">
      <c r="A2178" s="32">
        <v>2168</v>
      </c>
      <c r="B2178" s="90">
        <v>7.6041029364748036</v>
      </c>
    </row>
    <row r="2179" spans="1:2">
      <c r="A2179" s="32">
        <v>2169</v>
      </c>
      <c r="B2179" s="90">
        <v>8.6759499131723032</v>
      </c>
    </row>
    <row r="2180" spans="1:2">
      <c r="A2180" s="32">
        <v>2170</v>
      </c>
      <c r="B2180" s="90">
        <v>7.5564355103992256</v>
      </c>
    </row>
    <row r="2181" spans="1:2">
      <c r="A2181" s="32">
        <v>2171</v>
      </c>
      <c r="B2181" s="90">
        <v>8.4928883572018758</v>
      </c>
    </row>
    <row r="2182" spans="1:2">
      <c r="A2182" s="32">
        <v>2172</v>
      </c>
      <c r="B2182" s="90">
        <v>8.4346466074344502</v>
      </c>
    </row>
    <row r="2183" spans="1:2">
      <c r="A2183" s="32">
        <v>2173</v>
      </c>
      <c r="B2183" s="90">
        <v>7.365685420808517</v>
      </c>
    </row>
    <row r="2184" spans="1:2">
      <c r="A2184" s="32">
        <v>2174</v>
      </c>
      <c r="B2184" s="90">
        <v>8.5370565530795695</v>
      </c>
    </row>
    <row r="2185" spans="1:2">
      <c r="A2185" s="32">
        <v>2175</v>
      </c>
      <c r="B2185" s="90">
        <v>8.6542275955064394</v>
      </c>
    </row>
    <row r="2186" spans="1:2">
      <c r="A2186" s="32">
        <v>2176</v>
      </c>
      <c r="B2186" s="90">
        <v>7.4426261115497372</v>
      </c>
    </row>
    <row r="2187" spans="1:2">
      <c r="A2187" s="32">
        <v>2177</v>
      </c>
      <c r="B2187" s="90">
        <v>8.0257917954023323</v>
      </c>
    </row>
    <row r="2188" spans="1:2">
      <c r="A2188" s="32">
        <v>2178</v>
      </c>
      <c r="B2188" s="90">
        <v>9.160783611500829</v>
      </c>
    </row>
    <row r="2189" spans="1:2">
      <c r="A2189" s="32">
        <v>2179</v>
      </c>
      <c r="B2189" s="90">
        <v>7.6248728048974348</v>
      </c>
    </row>
    <row r="2190" spans="1:2">
      <c r="A2190" s="32">
        <v>2180</v>
      </c>
      <c r="B2190" s="90">
        <v>9.1332275304662485</v>
      </c>
    </row>
    <row r="2191" spans="1:2">
      <c r="A2191" s="32">
        <v>2181</v>
      </c>
      <c r="B2191" s="90">
        <v>7.8466610382024928</v>
      </c>
    </row>
    <row r="2192" spans="1:2">
      <c r="A2192" s="32">
        <v>2182</v>
      </c>
      <c r="B2192" s="90">
        <v>7.2483696009356642</v>
      </c>
    </row>
    <row r="2193" spans="1:2">
      <c r="A2193" s="32">
        <v>2183</v>
      </c>
      <c r="B2193" s="90">
        <v>7.9634223696405044</v>
      </c>
    </row>
    <row r="2194" spans="1:2">
      <c r="A2194" s="32">
        <v>2184</v>
      </c>
      <c r="B2194" s="90">
        <v>8.9938452199095664</v>
      </c>
    </row>
    <row r="2195" spans="1:2">
      <c r="A2195" s="32">
        <v>2185</v>
      </c>
      <c r="B2195" s="90">
        <v>7.956064027123964</v>
      </c>
    </row>
    <row r="2196" spans="1:2">
      <c r="A2196" s="32">
        <v>2186</v>
      </c>
      <c r="B2196" s="90">
        <v>9.0549278701789842</v>
      </c>
    </row>
    <row r="2197" spans="1:2">
      <c r="A2197" s="32">
        <v>2187</v>
      </c>
      <c r="B2197" s="90">
        <v>7.7476118741919375</v>
      </c>
    </row>
    <row r="2198" spans="1:2">
      <c r="A2198" s="32">
        <v>2188</v>
      </c>
      <c r="B2198" s="90">
        <v>7.7552085615506545</v>
      </c>
    </row>
    <row r="2199" spans="1:2">
      <c r="A2199" s="32">
        <v>2189</v>
      </c>
      <c r="B2199" s="90">
        <v>7.8573702576864148</v>
      </c>
    </row>
    <row r="2200" spans="1:2">
      <c r="A2200" s="32">
        <v>2190</v>
      </c>
      <c r="B2200" s="90">
        <v>8.9715974520634951</v>
      </c>
    </row>
    <row r="2201" spans="1:2">
      <c r="A2201" s="32">
        <v>2191</v>
      </c>
      <c r="B2201" s="90">
        <v>7.717919697433282</v>
      </c>
    </row>
    <row r="2202" spans="1:2">
      <c r="A2202" s="32">
        <v>2192</v>
      </c>
      <c r="B2202" s="90">
        <v>9.0290855972282049</v>
      </c>
    </row>
    <row r="2203" spans="1:2">
      <c r="A2203" s="32">
        <v>2193</v>
      </c>
      <c r="B2203" s="90">
        <v>7.8930081202948648</v>
      </c>
    </row>
    <row r="2204" spans="1:2">
      <c r="A2204" s="32">
        <v>2194</v>
      </c>
      <c r="B2204" s="90">
        <v>7.6431309287936751</v>
      </c>
    </row>
    <row r="2205" spans="1:2">
      <c r="A2205" s="32">
        <v>2195</v>
      </c>
      <c r="B2205" s="90">
        <v>8.2805876943331338</v>
      </c>
    </row>
    <row r="2206" spans="1:2">
      <c r="A2206" s="32">
        <v>2196</v>
      </c>
      <c r="B2206" s="90">
        <v>9.0045687957718918</v>
      </c>
    </row>
    <row r="2207" spans="1:2">
      <c r="A2207" s="32">
        <v>2197</v>
      </c>
      <c r="B2207" s="90">
        <v>7.8509636174039272</v>
      </c>
    </row>
    <row r="2208" spans="1:2">
      <c r="A2208" s="32">
        <v>2198</v>
      </c>
      <c r="B2208" s="90">
        <v>8.5576308056031927</v>
      </c>
    </row>
    <row r="2209" spans="1:2">
      <c r="A2209" s="32">
        <v>2199</v>
      </c>
      <c r="B2209" s="90">
        <v>7.5397788197800297</v>
      </c>
    </row>
    <row r="2210" spans="1:2">
      <c r="A2210" s="32">
        <v>2200</v>
      </c>
      <c r="B2210" s="90">
        <v>8.0366730141596765</v>
      </c>
    </row>
    <row r="2211" spans="1:2">
      <c r="A2211" s="32">
        <v>2201</v>
      </c>
      <c r="B2211" s="90">
        <v>8.6167641765036418</v>
      </c>
    </row>
    <row r="2212" spans="1:2">
      <c r="A2212" s="32">
        <v>2202</v>
      </c>
      <c r="B2212" s="90">
        <v>8.2336981889690719</v>
      </c>
    </row>
    <row r="2213" spans="1:2">
      <c r="A2213" s="32">
        <v>2203</v>
      </c>
      <c r="B2213" s="90">
        <v>8.0125592764275027</v>
      </c>
    </row>
    <row r="2214" spans="1:2">
      <c r="A2214" s="32">
        <v>2204</v>
      </c>
      <c r="B2214" s="90">
        <v>8.5791585299171604</v>
      </c>
    </row>
    <row r="2215" spans="1:2">
      <c r="A2215" s="32">
        <v>2205</v>
      </c>
      <c r="B2215" s="90">
        <v>7.5396165291369526</v>
      </c>
    </row>
    <row r="2216" spans="1:2">
      <c r="A2216" s="32">
        <v>2206</v>
      </c>
      <c r="B2216" s="90">
        <v>8.1923060705007185</v>
      </c>
    </row>
    <row r="2217" spans="1:2">
      <c r="A2217" s="32">
        <v>2207</v>
      </c>
      <c r="B2217" s="90">
        <v>8.8804565736976979</v>
      </c>
    </row>
    <row r="2218" spans="1:2">
      <c r="A2218" s="32">
        <v>2208</v>
      </c>
      <c r="B2218" s="90">
        <v>7.2080351451055735</v>
      </c>
    </row>
    <row r="2219" spans="1:2">
      <c r="A2219" s="32">
        <v>2209</v>
      </c>
      <c r="B2219" s="90">
        <v>8.9243880309939847</v>
      </c>
    </row>
    <row r="2220" spans="1:2">
      <c r="A2220" s="32">
        <v>2210</v>
      </c>
      <c r="B2220" s="90">
        <v>8.131442611889053</v>
      </c>
    </row>
    <row r="2221" spans="1:2">
      <c r="A2221" s="32">
        <v>2211</v>
      </c>
      <c r="B2221" s="90">
        <v>7.7407944217426898</v>
      </c>
    </row>
    <row r="2222" spans="1:2">
      <c r="A2222" s="32">
        <v>2212</v>
      </c>
      <c r="B2222" s="90">
        <v>7.7022175386884717</v>
      </c>
    </row>
    <row r="2223" spans="1:2">
      <c r="A2223" s="32">
        <v>2213</v>
      </c>
      <c r="B2223" s="90">
        <v>9.5686667696423839</v>
      </c>
    </row>
    <row r="2224" spans="1:2">
      <c r="A2224" s="32">
        <v>2214</v>
      </c>
      <c r="B2224" s="90">
        <v>7.4475231691514745</v>
      </c>
    </row>
    <row r="2225" spans="1:2">
      <c r="A2225" s="32">
        <v>2215</v>
      </c>
      <c r="B2225" s="90">
        <v>8.9557954886033304</v>
      </c>
    </row>
    <row r="2226" spans="1:2">
      <c r="A2226" s="32">
        <v>2216</v>
      </c>
      <c r="B2226" s="90">
        <v>8.1803905893431939</v>
      </c>
    </row>
    <row r="2227" spans="1:2">
      <c r="A2227" s="32">
        <v>2217</v>
      </c>
      <c r="B2227" s="90">
        <v>7.3503644373319732</v>
      </c>
    </row>
    <row r="2228" spans="1:2">
      <c r="A2228" s="32">
        <v>2218</v>
      </c>
      <c r="B2228" s="90">
        <v>7.8187898420979769</v>
      </c>
    </row>
    <row r="2229" spans="1:2">
      <c r="A2229" s="32">
        <v>2219</v>
      </c>
      <c r="B2229" s="90">
        <v>8.6012883947830261</v>
      </c>
    </row>
    <row r="2230" spans="1:2">
      <c r="A2230" s="32">
        <v>2220</v>
      </c>
      <c r="B2230" s="90">
        <v>8.2634684873460511</v>
      </c>
    </row>
    <row r="2231" spans="1:2">
      <c r="A2231" s="32">
        <v>2221</v>
      </c>
      <c r="B2231" s="90">
        <v>9.0266097312327851</v>
      </c>
    </row>
    <row r="2232" spans="1:2">
      <c r="A2232" s="32">
        <v>2222</v>
      </c>
      <c r="B2232" s="90">
        <v>7.8121189230926289</v>
      </c>
    </row>
    <row r="2233" spans="1:2">
      <c r="A2233" s="32">
        <v>2223</v>
      </c>
      <c r="B2233" s="90">
        <v>7.6107808122949088</v>
      </c>
    </row>
    <row r="2234" spans="1:2">
      <c r="A2234" s="32">
        <v>2224</v>
      </c>
      <c r="B2234" s="90">
        <v>8.1192175339011481</v>
      </c>
    </row>
    <row r="2235" spans="1:2">
      <c r="A2235" s="32">
        <v>2225</v>
      </c>
      <c r="B2235" s="90">
        <v>8.6668126395953315</v>
      </c>
    </row>
    <row r="2236" spans="1:2">
      <c r="A2236" s="32">
        <v>2226</v>
      </c>
      <c r="B2236" s="90">
        <v>8.1654856737299184</v>
      </c>
    </row>
    <row r="2237" spans="1:2">
      <c r="A2237" s="32">
        <v>2227</v>
      </c>
      <c r="B2237" s="90">
        <v>7.3026541477943177</v>
      </c>
    </row>
    <row r="2238" spans="1:2">
      <c r="A2238" s="32">
        <v>2228</v>
      </c>
      <c r="B2238" s="90">
        <v>7.8477164225332343</v>
      </c>
    </row>
    <row r="2239" spans="1:2">
      <c r="A2239" s="32">
        <v>2229</v>
      </c>
      <c r="B2239" s="90">
        <v>7.9679193618055848</v>
      </c>
    </row>
    <row r="2240" spans="1:2">
      <c r="A2240" s="32">
        <v>2230</v>
      </c>
      <c r="B2240" s="90">
        <v>7.9582897025811379</v>
      </c>
    </row>
    <row r="2241" spans="1:2">
      <c r="A2241" s="32">
        <v>2231</v>
      </c>
      <c r="B2241" s="90">
        <v>8.9109162759538307</v>
      </c>
    </row>
    <row r="2242" spans="1:2">
      <c r="A2242" s="32">
        <v>2232</v>
      </c>
      <c r="B2242" s="90">
        <v>8.4987309231217036</v>
      </c>
    </row>
    <row r="2243" spans="1:2">
      <c r="A2243" s="32">
        <v>2233</v>
      </c>
      <c r="B2243" s="90">
        <v>7.0586147124039629</v>
      </c>
    </row>
    <row r="2244" spans="1:2">
      <c r="A2244" s="32">
        <v>2234</v>
      </c>
      <c r="B2244" s="90">
        <v>7.8150606842142896</v>
      </c>
    </row>
    <row r="2245" spans="1:2">
      <c r="A2245" s="32">
        <v>2235</v>
      </c>
      <c r="B2245" s="90">
        <v>8.6870869985336832</v>
      </c>
    </row>
    <row r="2246" spans="1:2">
      <c r="A2246" s="32">
        <v>2236</v>
      </c>
      <c r="B2246" s="90">
        <v>8.1155286973991227</v>
      </c>
    </row>
    <row r="2247" spans="1:2">
      <c r="A2247" s="32">
        <v>2237</v>
      </c>
      <c r="B2247" s="90">
        <v>7.9394187907673803</v>
      </c>
    </row>
    <row r="2248" spans="1:2">
      <c r="A2248" s="32">
        <v>2238</v>
      </c>
      <c r="B2248" s="90">
        <v>8.735493974010657</v>
      </c>
    </row>
    <row r="2249" spans="1:2">
      <c r="A2249" s="32">
        <v>2239</v>
      </c>
      <c r="B2249" s="90">
        <v>7.1579430242329023</v>
      </c>
    </row>
    <row r="2250" spans="1:2">
      <c r="A2250" s="32">
        <v>2240</v>
      </c>
      <c r="B2250" s="90">
        <v>8.0176521939167902</v>
      </c>
    </row>
    <row r="2251" spans="1:2">
      <c r="A2251" s="32">
        <v>2241</v>
      </c>
      <c r="B2251" s="90">
        <v>8.8987753063702524</v>
      </c>
    </row>
    <row r="2252" spans="1:2">
      <c r="A2252" s="32">
        <v>2242</v>
      </c>
      <c r="B2252" s="90">
        <v>7.9929111238344568</v>
      </c>
    </row>
    <row r="2253" spans="1:2">
      <c r="A2253" s="32">
        <v>2243</v>
      </c>
      <c r="B2253" s="90">
        <v>7.6708111133753691</v>
      </c>
    </row>
    <row r="2254" spans="1:2">
      <c r="A2254" s="32">
        <v>2244</v>
      </c>
      <c r="B2254" s="90">
        <v>8.6136205417887712</v>
      </c>
    </row>
    <row r="2255" spans="1:2">
      <c r="A2255" s="32">
        <v>2245</v>
      </c>
      <c r="B2255" s="90">
        <v>7.4825240908882371</v>
      </c>
    </row>
    <row r="2256" spans="1:2">
      <c r="A2256" s="32">
        <v>2246</v>
      </c>
      <c r="B2256" s="90">
        <v>7.738808281544749</v>
      </c>
    </row>
    <row r="2257" spans="1:2">
      <c r="A2257" s="32">
        <v>2247</v>
      </c>
      <c r="B2257" s="90">
        <v>8.5381002452286854</v>
      </c>
    </row>
    <row r="2258" spans="1:2">
      <c r="A2258" s="32">
        <v>2248</v>
      </c>
      <c r="B2258" s="90">
        <v>8.8515850586337024</v>
      </c>
    </row>
    <row r="2259" spans="1:2">
      <c r="A2259" s="32">
        <v>2249</v>
      </c>
      <c r="B2259" s="90">
        <v>7.1749836619243368</v>
      </c>
    </row>
    <row r="2260" spans="1:2">
      <c r="A2260" s="32">
        <v>2250</v>
      </c>
      <c r="B2260" s="90">
        <v>8.5172855877754969</v>
      </c>
    </row>
    <row r="2261" spans="1:2">
      <c r="A2261" s="32">
        <v>2251</v>
      </c>
      <c r="B2261" s="90">
        <v>7.9816700088182939</v>
      </c>
    </row>
    <row r="2262" spans="1:2">
      <c r="A2262" s="32">
        <v>2252</v>
      </c>
      <c r="B2262" s="90">
        <v>7.3419959421406054</v>
      </c>
    </row>
    <row r="2263" spans="1:2">
      <c r="A2263" s="32">
        <v>2253</v>
      </c>
      <c r="B2263" s="90">
        <v>8.3376656752167229</v>
      </c>
    </row>
    <row r="2264" spans="1:2">
      <c r="A2264" s="32">
        <v>2254</v>
      </c>
      <c r="B2264" s="90">
        <v>9.7211044563682663</v>
      </c>
    </row>
    <row r="2265" spans="1:2">
      <c r="A2265" s="32">
        <v>2255</v>
      </c>
      <c r="B2265" s="90">
        <v>7.614327785356231</v>
      </c>
    </row>
    <row r="2266" spans="1:2">
      <c r="A2266" s="32">
        <v>2256</v>
      </c>
      <c r="B2266" s="90">
        <v>7.6069095672971025</v>
      </c>
    </row>
    <row r="2267" spans="1:2">
      <c r="A2267" s="32">
        <v>2257</v>
      </c>
      <c r="B2267" s="90">
        <v>7.9954684286846973</v>
      </c>
    </row>
    <row r="2268" spans="1:2">
      <c r="A2268" s="32">
        <v>2258</v>
      </c>
      <c r="B2268" s="90">
        <v>7.5715596555491018</v>
      </c>
    </row>
    <row r="2269" spans="1:2">
      <c r="A2269" s="32">
        <v>2259</v>
      </c>
      <c r="B2269" s="90">
        <v>8.2972978682132297</v>
      </c>
    </row>
    <row r="2270" spans="1:2">
      <c r="A2270" s="32">
        <v>2260</v>
      </c>
      <c r="B2270" s="90">
        <v>9.01985663325069</v>
      </c>
    </row>
    <row r="2271" spans="1:2">
      <c r="A2271" s="32">
        <v>2261</v>
      </c>
      <c r="B2271" s="90">
        <v>8.425074972593567</v>
      </c>
    </row>
    <row r="2272" spans="1:2">
      <c r="A2272" s="32">
        <v>2262</v>
      </c>
      <c r="B2272" s="90">
        <v>6.9044953722701798</v>
      </c>
    </row>
    <row r="2273" spans="1:2">
      <c r="A2273" s="32">
        <v>2263</v>
      </c>
      <c r="B2273" s="90">
        <v>7.9320691475139062</v>
      </c>
    </row>
    <row r="2274" spans="1:2">
      <c r="A2274" s="32">
        <v>2264</v>
      </c>
      <c r="B2274" s="90">
        <v>8.3953352572298972</v>
      </c>
    </row>
    <row r="2275" spans="1:2">
      <c r="A2275" s="32">
        <v>2265</v>
      </c>
      <c r="B2275" s="90">
        <v>7.9286779210631382</v>
      </c>
    </row>
    <row r="2276" spans="1:2">
      <c r="A2276" s="32">
        <v>2266</v>
      </c>
      <c r="B2276" s="90">
        <v>8.5428692739672698</v>
      </c>
    </row>
    <row r="2277" spans="1:2">
      <c r="A2277" s="32">
        <v>2267</v>
      </c>
      <c r="B2277" s="90">
        <v>8.4544890435514315</v>
      </c>
    </row>
    <row r="2278" spans="1:2">
      <c r="A2278" s="32">
        <v>2268</v>
      </c>
      <c r="B2278" s="90">
        <v>6.9665270258886212</v>
      </c>
    </row>
    <row r="2279" spans="1:2">
      <c r="A2279" s="32">
        <v>2269</v>
      </c>
      <c r="B2279" s="90">
        <v>8.1661772392505352</v>
      </c>
    </row>
    <row r="2280" spans="1:2">
      <c r="A2280" s="32">
        <v>2270</v>
      </c>
      <c r="B2280" s="90">
        <v>8.5640886136776722</v>
      </c>
    </row>
    <row r="2281" spans="1:2">
      <c r="A2281" s="32">
        <v>2271</v>
      </c>
      <c r="B2281" s="90">
        <v>8.4594629447517988</v>
      </c>
    </row>
    <row r="2282" spans="1:2">
      <c r="A2282" s="32">
        <v>2272</v>
      </c>
      <c r="B2282" s="90">
        <v>7.7603565201219551</v>
      </c>
    </row>
    <row r="2283" spans="1:2">
      <c r="A2283" s="32">
        <v>2273</v>
      </c>
      <c r="B2283" s="90">
        <v>8.5260523106118455</v>
      </c>
    </row>
    <row r="2284" spans="1:2">
      <c r="A2284" s="32">
        <v>2274</v>
      </c>
      <c r="B2284" s="90">
        <v>7.4845639940259652</v>
      </c>
    </row>
    <row r="2285" spans="1:2">
      <c r="A2285" s="32">
        <v>2275</v>
      </c>
      <c r="B2285" s="90">
        <v>7.5989798653852283</v>
      </c>
    </row>
    <row r="2286" spans="1:2">
      <c r="A2286" s="32">
        <v>2276</v>
      </c>
      <c r="B2286" s="90">
        <v>8.5479184185677788</v>
      </c>
    </row>
    <row r="2287" spans="1:2">
      <c r="A2287" s="32">
        <v>2277</v>
      </c>
      <c r="B2287" s="90">
        <v>8.9342757831853312</v>
      </c>
    </row>
    <row r="2288" spans="1:2">
      <c r="A2288" s="32">
        <v>2278</v>
      </c>
      <c r="B2288" s="90">
        <v>7.1759543835953066</v>
      </c>
    </row>
    <row r="2289" spans="1:2">
      <c r="A2289" s="32">
        <v>2279</v>
      </c>
      <c r="B2289" s="90">
        <v>8.8423714279102814</v>
      </c>
    </row>
    <row r="2290" spans="1:2">
      <c r="A2290" s="32">
        <v>2280</v>
      </c>
      <c r="B2290" s="90">
        <v>7.4432633702376751</v>
      </c>
    </row>
    <row r="2291" spans="1:2">
      <c r="A2291" s="32">
        <v>2281</v>
      </c>
      <c r="B2291" s="90">
        <v>7.4604001346897748</v>
      </c>
    </row>
    <row r="2292" spans="1:2">
      <c r="A2292" s="32">
        <v>2282</v>
      </c>
      <c r="B2292" s="90">
        <v>8.6056443504881663</v>
      </c>
    </row>
    <row r="2293" spans="1:2">
      <c r="A2293" s="32">
        <v>2283</v>
      </c>
      <c r="B2293" s="90">
        <v>9.391613575067991</v>
      </c>
    </row>
    <row r="2294" spans="1:2">
      <c r="A2294" s="32">
        <v>2284</v>
      </c>
      <c r="B2294" s="90">
        <v>7.5157786674357059</v>
      </c>
    </row>
    <row r="2295" spans="1:2">
      <c r="A2295" s="32">
        <v>2285</v>
      </c>
      <c r="B2295" s="90">
        <v>7.7943780112231442</v>
      </c>
    </row>
    <row r="2296" spans="1:2">
      <c r="A2296" s="32">
        <v>2286</v>
      </c>
      <c r="B2296" s="90">
        <v>7.911117609405701</v>
      </c>
    </row>
    <row r="2297" spans="1:2">
      <c r="A2297" s="32">
        <v>2287</v>
      </c>
      <c r="B2297" s="90">
        <v>7.1882975274909473</v>
      </c>
    </row>
    <row r="2298" spans="1:2">
      <c r="A2298" s="32">
        <v>2288</v>
      </c>
      <c r="B2298" s="90">
        <v>8.6827081080056576</v>
      </c>
    </row>
    <row r="2299" spans="1:2">
      <c r="A2299" s="32">
        <v>2289</v>
      </c>
      <c r="B2299" s="90">
        <v>9.2526681802766646</v>
      </c>
    </row>
    <row r="2300" spans="1:2">
      <c r="A2300" s="32">
        <v>2290</v>
      </c>
      <c r="B2300" s="90">
        <v>8.1654856737299184</v>
      </c>
    </row>
    <row r="2301" spans="1:2">
      <c r="A2301" s="32">
        <v>2291</v>
      </c>
      <c r="B2301" s="90">
        <v>7.3026541477943177</v>
      </c>
    </row>
    <row r="2302" spans="1:2">
      <c r="A2302" s="32">
        <v>2292</v>
      </c>
      <c r="B2302" s="90">
        <v>7.8477164225332343</v>
      </c>
    </row>
    <row r="2303" spans="1:2">
      <c r="A2303" s="32">
        <v>2293</v>
      </c>
      <c r="B2303" s="90">
        <v>7.9679193618055848</v>
      </c>
    </row>
    <row r="2304" spans="1:2">
      <c r="A2304" s="32">
        <v>2294</v>
      </c>
      <c r="B2304" s="90">
        <v>7.9582897025811379</v>
      </c>
    </row>
    <row r="2305" spans="1:2">
      <c r="A2305" s="32">
        <v>2295</v>
      </c>
      <c r="B2305" s="90">
        <v>8.9109162759538307</v>
      </c>
    </row>
    <row r="2306" spans="1:2">
      <c r="A2306" s="32">
        <v>2296</v>
      </c>
      <c r="B2306" s="90">
        <v>8.4987309231217036</v>
      </c>
    </row>
    <row r="2307" spans="1:2">
      <c r="A2307" s="32">
        <v>2297</v>
      </c>
      <c r="B2307" s="90">
        <v>7.0586147124039629</v>
      </c>
    </row>
    <row r="2308" spans="1:2">
      <c r="A2308" s="32">
        <v>2298</v>
      </c>
      <c r="B2308" s="90">
        <v>7.8150606842142896</v>
      </c>
    </row>
    <row r="2309" spans="1:2">
      <c r="A2309" s="32">
        <v>2299</v>
      </c>
      <c r="B2309" s="90">
        <v>8.6870869985336832</v>
      </c>
    </row>
    <row r="2310" spans="1:2">
      <c r="A2310" s="32">
        <v>2300</v>
      </c>
      <c r="B2310" s="90">
        <v>8.1155286973991227</v>
      </c>
    </row>
    <row r="2311" spans="1:2">
      <c r="A2311" s="32">
        <v>2301</v>
      </c>
      <c r="B2311" s="90">
        <v>7.9394187907673803</v>
      </c>
    </row>
    <row r="2312" spans="1:2">
      <c r="A2312" s="32">
        <v>2302</v>
      </c>
      <c r="B2312" s="90">
        <v>8.735493974010657</v>
      </c>
    </row>
    <row r="2313" spans="1:2">
      <c r="A2313" s="32">
        <v>2303</v>
      </c>
      <c r="B2313" s="90">
        <v>7.1579430242329023</v>
      </c>
    </row>
    <row r="2314" spans="1:2">
      <c r="A2314" s="32">
        <v>2304</v>
      </c>
      <c r="B2314" s="90">
        <v>8.0176521939167902</v>
      </c>
    </row>
    <row r="2315" spans="1:2">
      <c r="A2315" s="32">
        <v>2305</v>
      </c>
      <c r="B2315" s="90">
        <v>8.8987753063702524</v>
      </c>
    </row>
    <row r="2316" spans="1:2">
      <c r="A2316" s="32">
        <v>2306</v>
      </c>
      <c r="B2316" s="90">
        <v>7.9929111238344568</v>
      </c>
    </row>
    <row r="2317" spans="1:2">
      <c r="A2317" s="32">
        <v>2307</v>
      </c>
      <c r="B2317" s="90">
        <v>7.6708111133753691</v>
      </c>
    </row>
    <row r="2318" spans="1:2">
      <c r="A2318" s="32">
        <v>2308</v>
      </c>
      <c r="B2318" s="90">
        <v>8.6136205417887712</v>
      </c>
    </row>
    <row r="2319" spans="1:2">
      <c r="A2319" s="32">
        <v>2309</v>
      </c>
      <c r="B2319" s="90">
        <v>7.4825240908882371</v>
      </c>
    </row>
    <row r="2320" spans="1:2">
      <c r="A2320" s="32">
        <v>2310</v>
      </c>
      <c r="B2320" s="90">
        <v>7.738808281544749</v>
      </c>
    </row>
    <row r="2321" spans="1:2">
      <c r="A2321" s="32">
        <v>2311</v>
      </c>
      <c r="B2321" s="90">
        <v>8.5381002452286854</v>
      </c>
    </row>
    <row r="2322" spans="1:2">
      <c r="A2322" s="32">
        <v>2312</v>
      </c>
      <c r="B2322" s="90">
        <v>8.8515850586337024</v>
      </c>
    </row>
    <row r="2323" spans="1:2">
      <c r="A2323" s="32">
        <v>2313</v>
      </c>
      <c r="B2323" s="90">
        <v>7.1749836619243368</v>
      </c>
    </row>
    <row r="2324" spans="1:2">
      <c r="A2324" s="32">
        <v>2314</v>
      </c>
      <c r="B2324" s="90">
        <v>8.5172855877754969</v>
      </c>
    </row>
    <row r="2325" spans="1:2">
      <c r="A2325" s="32">
        <v>2315</v>
      </c>
      <c r="B2325" s="90">
        <v>7.9816700088182939</v>
      </c>
    </row>
    <row r="2326" spans="1:2">
      <c r="A2326" s="32">
        <v>2316</v>
      </c>
      <c r="B2326" s="90">
        <v>7.3419959421406054</v>
      </c>
    </row>
    <row r="2327" spans="1:2">
      <c r="A2327" s="32">
        <v>2317</v>
      </c>
      <c r="B2327" s="90">
        <v>8.3376656752167229</v>
      </c>
    </row>
    <row r="2328" spans="1:2">
      <c r="A2328" s="32">
        <v>2318</v>
      </c>
      <c r="B2328" s="90">
        <v>9.7211044563682663</v>
      </c>
    </row>
    <row r="2329" spans="1:2">
      <c r="A2329" s="32">
        <v>2319</v>
      </c>
      <c r="B2329" s="90">
        <v>7.614327785356231</v>
      </c>
    </row>
    <row r="2330" spans="1:2">
      <c r="A2330" s="32">
        <v>2320</v>
      </c>
      <c r="B2330" s="90">
        <v>7.6069095672971025</v>
      </c>
    </row>
    <row r="2331" spans="1:2">
      <c r="A2331" s="32">
        <v>2321</v>
      </c>
      <c r="B2331" s="90">
        <v>7.9954684286846973</v>
      </c>
    </row>
    <row r="2332" spans="1:2">
      <c r="A2332" s="32">
        <v>2322</v>
      </c>
      <c r="B2332" s="90">
        <v>7.5715596555491018</v>
      </c>
    </row>
    <row r="2333" spans="1:2">
      <c r="A2333" s="32">
        <v>2323</v>
      </c>
      <c r="B2333" s="90">
        <v>8.2972978682132297</v>
      </c>
    </row>
    <row r="2334" spans="1:2">
      <c r="A2334" s="32">
        <v>2324</v>
      </c>
      <c r="B2334" s="90">
        <v>9.01985663325069</v>
      </c>
    </row>
    <row r="2335" spans="1:2">
      <c r="A2335" s="32">
        <v>2325</v>
      </c>
      <c r="B2335" s="90">
        <v>8.425074972593567</v>
      </c>
    </row>
    <row r="2336" spans="1:2">
      <c r="A2336" s="32">
        <v>2326</v>
      </c>
      <c r="B2336" s="90">
        <v>6.9044953722701798</v>
      </c>
    </row>
    <row r="2337" spans="1:2">
      <c r="A2337" s="32">
        <v>2327</v>
      </c>
      <c r="B2337" s="90">
        <v>7.9320691475139062</v>
      </c>
    </row>
    <row r="2338" spans="1:2">
      <c r="A2338" s="32">
        <v>2328</v>
      </c>
      <c r="B2338" s="90">
        <v>8.3953352572298972</v>
      </c>
    </row>
    <row r="2339" spans="1:2">
      <c r="A2339" s="32">
        <v>2329</v>
      </c>
      <c r="B2339" s="90">
        <v>7.9286779210631382</v>
      </c>
    </row>
    <row r="2340" spans="1:2">
      <c r="A2340" s="32">
        <v>2330</v>
      </c>
      <c r="B2340" s="90">
        <v>8.5428692739672698</v>
      </c>
    </row>
    <row r="2341" spans="1:2">
      <c r="A2341" s="32">
        <v>2331</v>
      </c>
      <c r="B2341" s="90">
        <v>8.4544890435514315</v>
      </c>
    </row>
    <row r="2342" spans="1:2">
      <c r="A2342" s="32">
        <v>2332</v>
      </c>
      <c r="B2342" s="90">
        <v>6.9665270258886212</v>
      </c>
    </row>
    <row r="2343" spans="1:2">
      <c r="A2343" s="32">
        <v>2333</v>
      </c>
      <c r="B2343" s="90">
        <v>8.1661772392505352</v>
      </c>
    </row>
    <row r="2344" spans="1:2">
      <c r="A2344" s="32">
        <v>2334</v>
      </c>
      <c r="B2344" s="90">
        <v>8.5640886136776722</v>
      </c>
    </row>
    <row r="2345" spans="1:2">
      <c r="A2345" s="32">
        <v>2335</v>
      </c>
      <c r="B2345" s="90">
        <v>8.4594629447517988</v>
      </c>
    </row>
    <row r="2346" spans="1:2">
      <c r="A2346" s="32">
        <v>2336</v>
      </c>
      <c r="B2346" s="90">
        <v>7.7603565201219551</v>
      </c>
    </row>
    <row r="2347" spans="1:2">
      <c r="A2347" s="32">
        <v>2337</v>
      </c>
      <c r="B2347" s="90">
        <v>8.5260523106118455</v>
      </c>
    </row>
    <row r="2348" spans="1:2">
      <c r="A2348" s="32">
        <v>2338</v>
      </c>
      <c r="B2348" s="90">
        <v>7.4845639940259652</v>
      </c>
    </row>
    <row r="2349" spans="1:2">
      <c r="A2349" s="32">
        <v>2339</v>
      </c>
      <c r="B2349" s="90">
        <v>7.5989798653852283</v>
      </c>
    </row>
    <row r="2350" spans="1:2">
      <c r="A2350" s="32">
        <v>2340</v>
      </c>
      <c r="B2350" s="90">
        <v>8.5479184185677788</v>
      </c>
    </row>
    <row r="2351" spans="1:2">
      <c r="A2351" s="32">
        <v>2341</v>
      </c>
      <c r="B2351" s="90">
        <v>8.9342757831853312</v>
      </c>
    </row>
    <row r="2352" spans="1:2">
      <c r="A2352" s="32">
        <v>2342</v>
      </c>
      <c r="B2352" s="90">
        <v>7.1759543835953066</v>
      </c>
    </row>
    <row r="2353" spans="1:2">
      <c r="A2353" s="32">
        <v>2343</v>
      </c>
      <c r="B2353" s="90">
        <v>8.8423714279102814</v>
      </c>
    </row>
    <row r="2354" spans="1:2">
      <c r="A2354" s="32">
        <v>2344</v>
      </c>
      <c r="B2354" s="90">
        <v>7.4432633702376751</v>
      </c>
    </row>
    <row r="2355" spans="1:2">
      <c r="A2355" s="32">
        <v>2345</v>
      </c>
      <c r="B2355" s="90">
        <v>7.4604001346897748</v>
      </c>
    </row>
    <row r="2356" spans="1:2">
      <c r="A2356" s="32">
        <v>2346</v>
      </c>
      <c r="B2356" s="90">
        <v>8.277428929288174</v>
      </c>
    </row>
    <row r="2357" spans="1:2">
      <c r="A2357" s="32">
        <v>2347</v>
      </c>
      <c r="B2357" s="90">
        <v>8.361903942419838</v>
      </c>
    </row>
    <row r="2358" spans="1:2">
      <c r="A2358" s="32">
        <v>2348</v>
      </c>
      <c r="B2358" s="90">
        <v>7.8881992613817449</v>
      </c>
    </row>
    <row r="2359" spans="1:2">
      <c r="A2359" s="32">
        <v>2349</v>
      </c>
      <c r="B2359" s="90">
        <v>8.2522205135185853</v>
      </c>
    </row>
    <row r="2360" spans="1:2">
      <c r="A2360" s="32">
        <v>2350</v>
      </c>
      <c r="B2360" s="90">
        <v>8.8188706286719913</v>
      </c>
    </row>
    <row r="2361" spans="1:2">
      <c r="A2361" s="32">
        <v>2351</v>
      </c>
      <c r="B2361" s="90">
        <v>7.3066117975323222</v>
      </c>
    </row>
    <row r="2362" spans="1:2">
      <c r="A2362" s="32">
        <v>2352</v>
      </c>
      <c r="B2362" s="90">
        <v>7.2640275329796982</v>
      </c>
    </row>
    <row r="2363" spans="1:2">
      <c r="A2363" s="32">
        <v>2353</v>
      </c>
      <c r="B2363" s="90">
        <v>8.0492785946976984</v>
      </c>
    </row>
    <row r="2364" spans="1:2">
      <c r="A2364" s="32">
        <v>2354</v>
      </c>
      <c r="B2364" s="90">
        <v>7.8343129729288536</v>
      </c>
    </row>
    <row r="2365" spans="1:2">
      <c r="A2365" s="32">
        <v>2355</v>
      </c>
      <c r="B2365" s="90">
        <v>8.4788468916720898</v>
      </c>
    </row>
    <row r="2366" spans="1:2">
      <c r="A2366" s="32">
        <v>2356</v>
      </c>
      <c r="B2366" s="90">
        <v>9.0749903769100033</v>
      </c>
    </row>
    <row r="2367" spans="1:2">
      <c r="A2367" s="32">
        <v>2357</v>
      </c>
      <c r="B2367" s="90">
        <v>6.9113592058165425</v>
      </c>
    </row>
    <row r="2368" spans="1:2">
      <c r="A2368" s="32">
        <v>2358</v>
      </c>
      <c r="B2368" s="90">
        <v>7.3225431826152425</v>
      </c>
    </row>
    <row r="2369" spans="1:2">
      <c r="A2369" s="32">
        <v>2359</v>
      </c>
      <c r="B2369" s="90">
        <v>8.5919720019577817</v>
      </c>
    </row>
    <row r="2370" spans="1:2">
      <c r="A2370" s="32">
        <v>2360</v>
      </c>
      <c r="B2370" s="90">
        <v>7.4658223301290256</v>
      </c>
    </row>
    <row r="2371" spans="1:2">
      <c r="A2371" s="32">
        <v>2361</v>
      </c>
      <c r="B2371" s="90">
        <v>8.8488969393110875</v>
      </c>
    </row>
    <row r="2372" spans="1:2">
      <c r="A2372" s="32">
        <v>2362</v>
      </c>
      <c r="B2372" s="90">
        <v>8.2908633603028239</v>
      </c>
    </row>
    <row r="2373" spans="1:2">
      <c r="A2373" s="32">
        <v>2363</v>
      </c>
      <c r="B2373" s="90">
        <v>7.1262118089944178</v>
      </c>
    </row>
    <row r="2374" spans="1:2">
      <c r="A2374" s="32">
        <v>2364</v>
      </c>
      <c r="B2374" s="90">
        <v>7.7237193804147308</v>
      </c>
    </row>
    <row r="2375" spans="1:2">
      <c r="A2375" s="32">
        <v>2365</v>
      </c>
      <c r="B2375" s="90">
        <v>8.1224499869424047</v>
      </c>
    </row>
    <row r="2376" spans="1:2">
      <c r="A2376" s="32">
        <v>2366</v>
      </c>
      <c r="B2376" s="90">
        <v>7.3079731660657705</v>
      </c>
    </row>
    <row r="2377" spans="1:2">
      <c r="A2377" s="32">
        <v>2367</v>
      </c>
      <c r="B2377" s="90">
        <v>8.9649952253656942</v>
      </c>
    </row>
    <row r="2378" spans="1:2">
      <c r="A2378" s="32">
        <v>2368</v>
      </c>
      <c r="B2378" s="90">
        <v>8.0251959108309396</v>
      </c>
    </row>
    <row r="2379" spans="1:2">
      <c r="A2379" s="32">
        <v>2369</v>
      </c>
      <c r="B2379" s="90">
        <v>7.4580598779691165</v>
      </c>
    </row>
    <row r="2380" spans="1:2">
      <c r="A2380" s="32">
        <v>2370</v>
      </c>
      <c r="B2380" s="90">
        <v>8.0828262858067177</v>
      </c>
    </row>
    <row r="2381" spans="1:2">
      <c r="A2381" s="32">
        <v>2371</v>
      </c>
      <c r="B2381" s="90">
        <v>7.6999038448172952</v>
      </c>
    </row>
    <row r="2382" spans="1:2">
      <c r="A2382" s="32">
        <v>2372</v>
      </c>
      <c r="B2382" s="90">
        <v>7.7118952086014421</v>
      </c>
    </row>
    <row r="2383" spans="1:2">
      <c r="A2383" s="32">
        <v>2373</v>
      </c>
      <c r="B2383" s="90">
        <v>9.2443839696107659</v>
      </c>
    </row>
    <row r="2384" spans="1:2">
      <c r="A2384" s="32">
        <v>2374</v>
      </c>
      <c r="B2384" s="90">
        <v>7.7153449866333261</v>
      </c>
    </row>
    <row r="2385" spans="1:2">
      <c r="A2385" s="32">
        <v>2375</v>
      </c>
      <c r="B2385" s="90">
        <v>6.9788282516007278</v>
      </c>
    </row>
    <row r="2386" spans="1:2">
      <c r="A2386" s="32">
        <v>2376</v>
      </c>
      <c r="B2386" s="90">
        <v>8.3892756283639063</v>
      </c>
    </row>
    <row r="2387" spans="1:2">
      <c r="A2387" s="32">
        <v>2377</v>
      </c>
      <c r="B2387" s="90">
        <v>8.2356151936281989</v>
      </c>
    </row>
    <row r="2388" spans="1:2">
      <c r="A2388" s="32">
        <v>2378</v>
      </c>
      <c r="B2388" s="90">
        <v>7.6490516998972362</v>
      </c>
    </row>
    <row r="2389" spans="1:2">
      <c r="A2389" s="32">
        <v>2379</v>
      </c>
      <c r="B2389" s="90">
        <v>8.8543987552658567</v>
      </c>
    </row>
    <row r="2390" spans="1:2">
      <c r="A2390" s="32">
        <v>2380</v>
      </c>
      <c r="B2390" s="90">
        <v>7.5579239938216558</v>
      </c>
    </row>
    <row r="2391" spans="1:2">
      <c r="A2391" s="32">
        <v>2381</v>
      </c>
      <c r="B2391" s="90">
        <v>7.0665687295838779</v>
      </c>
    </row>
    <row r="2392" spans="1:2">
      <c r="A2392" s="32">
        <v>2382</v>
      </c>
      <c r="B2392" s="90">
        <v>8.3391587558263538</v>
      </c>
    </row>
    <row r="2393" spans="1:2">
      <c r="A2393" s="32">
        <v>2383</v>
      </c>
      <c r="B2393" s="90">
        <v>7.9214504063465858</v>
      </c>
    </row>
    <row r="2394" spans="1:2">
      <c r="A2394" s="32">
        <v>2384</v>
      </c>
      <c r="B2394" s="90">
        <v>8.0060715271121587</v>
      </c>
    </row>
    <row r="2395" spans="1:2">
      <c r="A2395" s="32">
        <v>2385</v>
      </c>
      <c r="B2395" s="90">
        <v>9.3893220350833975</v>
      </c>
    </row>
    <row r="2396" spans="1:2">
      <c r="A2396" s="32">
        <v>2386</v>
      </c>
      <c r="B2396" s="90">
        <v>7.0307391973450493</v>
      </c>
    </row>
    <row r="2397" spans="1:2">
      <c r="A2397" s="32">
        <v>2387</v>
      </c>
      <c r="B2397" s="90">
        <v>7.1167522927937359</v>
      </c>
    </row>
    <row r="2398" spans="1:2">
      <c r="A2398" s="32">
        <v>2388</v>
      </c>
      <c r="B2398" s="90">
        <v>8.4176713197424231</v>
      </c>
    </row>
    <row r="2399" spans="1:2">
      <c r="A2399" s="32">
        <v>2389</v>
      </c>
      <c r="B2399" s="90">
        <v>7.7933189138964956</v>
      </c>
    </row>
    <row r="2400" spans="1:2">
      <c r="A2400" s="32">
        <v>2390</v>
      </c>
      <c r="B2400" s="90">
        <v>8.5896861055916816</v>
      </c>
    </row>
    <row r="2401" spans="1:2">
      <c r="A2401" s="32">
        <v>2391</v>
      </c>
      <c r="B2401" s="90">
        <v>8.9196691546272078</v>
      </c>
    </row>
    <row r="2402" spans="1:2">
      <c r="A2402" s="32">
        <v>2392</v>
      </c>
      <c r="B2402" s="90">
        <v>6.937980299208216</v>
      </c>
    </row>
    <row r="2403" spans="1:2">
      <c r="A2403" s="32">
        <v>2393</v>
      </c>
      <c r="B2403" s="90">
        <v>7.3085067020931209</v>
      </c>
    </row>
    <row r="2404" spans="1:2">
      <c r="A2404" s="32">
        <v>2394</v>
      </c>
      <c r="B2404" s="90">
        <v>8.5395649922576737</v>
      </c>
    </row>
    <row r="2405" spans="1:2">
      <c r="A2405" s="32">
        <v>2395</v>
      </c>
      <c r="B2405" s="90">
        <v>7.3704477742606151</v>
      </c>
    </row>
    <row r="2406" spans="1:2">
      <c r="A2406" s="32">
        <v>2396</v>
      </c>
      <c r="B2406" s="90">
        <v>8.7811189129331968</v>
      </c>
    </row>
    <row r="2407" spans="1:2">
      <c r="A2407" s="32">
        <v>2397</v>
      </c>
      <c r="B2407" s="90">
        <v>8.2245840867929694</v>
      </c>
    </row>
    <row r="2408" spans="1:2">
      <c r="A2408" s="32">
        <v>2398</v>
      </c>
      <c r="B2408" s="90">
        <v>7.3206170131163795</v>
      </c>
    </row>
    <row r="2409" spans="1:2">
      <c r="A2409" s="32">
        <v>2399</v>
      </c>
      <c r="B2409" s="90">
        <v>8.0938893762693862</v>
      </c>
    </row>
    <row r="2410" spans="1:2">
      <c r="A2410" s="32">
        <v>2400</v>
      </c>
      <c r="B2410" s="90">
        <v>7.7218814916315281</v>
      </c>
    </row>
    <row r="2411" spans="1:2">
      <c r="A2411" s="32">
        <v>2401</v>
      </c>
      <c r="B2411" s="90">
        <v>7.546833943416952</v>
      </c>
    </row>
    <row r="2412" spans="1:2">
      <c r="A2412" s="32">
        <v>2402</v>
      </c>
      <c r="B2412" s="90">
        <v>8.6301982218356628</v>
      </c>
    </row>
    <row r="2413" spans="1:2">
      <c r="A2413" s="32">
        <v>2403</v>
      </c>
      <c r="B2413" s="90">
        <v>8.1932503861713464</v>
      </c>
    </row>
    <row r="2414" spans="1:2">
      <c r="A2414" s="32">
        <v>2404</v>
      </c>
      <c r="B2414" s="90">
        <v>7.0650601099895747</v>
      </c>
    </row>
    <row r="2415" spans="1:2">
      <c r="A2415" s="32">
        <v>2405</v>
      </c>
      <c r="B2415" s="90">
        <v>8.3058934038869854</v>
      </c>
    </row>
    <row r="2416" spans="1:2">
      <c r="A2416" s="32">
        <v>2406</v>
      </c>
      <c r="B2416" s="90">
        <v>7.9711127345249162</v>
      </c>
    </row>
    <row r="2417" spans="1:2">
      <c r="A2417" s="32">
        <v>2407</v>
      </c>
      <c r="B2417" s="90">
        <v>7.6627973193111307</v>
      </c>
    </row>
    <row r="2418" spans="1:2">
      <c r="A2418" s="32">
        <v>2408</v>
      </c>
      <c r="B2418" s="90">
        <v>9.1028329851583845</v>
      </c>
    </row>
    <row r="2419" spans="1:2">
      <c r="A2419" s="32">
        <v>2409</v>
      </c>
      <c r="B2419" s="90">
        <v>7.8219389914357995</v>
      </c>
    </row>
    <row r="2420" spans="1:2">
      <c r="A2420" s="32">
        <v>2410</v>
      </c>
      <c r="B2420" s="90">
        <v>6.8530291854559717</v>
      </c>
    </row>
    <row r="2421" spans="1:2">
      <c r="A2421" s="32">
        <v>2411</v>
      </c>
      <c r="B2421" s="90">
        <v>8.361903942419838</v>
      </c>
    </row>
    <row r="2422" spans="1:2">
      <c r="A2422" s="32">
        <v>2412</v>
      </c>
      <c r="B2422" s="90">
        <v>7.8881992613817449</v>
      </c>
    </row>
    <row r="2423" spans="1:2">
      <c r="A2423" s="32">
        <v>2413</v>
      </c>
      <c r="B2423" s="90">
        <v>8.2522205135185853</v>
      </c>
    </row>
    <row r="2424" spans="1:2">
      <c r="A2424" s="32">
        <v>2414</v>
      </c>
      <c r="B2424" s="90">
        <v>8.8188706286719913</v>
      </c>
    </row>
    <row r="2425" spans="1:2">
      <c r="A2425" s="32">
        <v>2415</v>
      </c>
      <c r="B2425" s="90">
        <v>7.3066117975323222</v>
      </c>
    </row>
    <row r="2426" spans="1:2">
      <c r="A2426" s="32">
        <v>2416</v>
      </c>
      <c r="B2426" s="90">
        <v>7.2640275329796982</v>
      </c>
    </row>
    <row r="2427" spans="1:2">
      <c r="A2427" s="32">
        <v>2417</v>
      </c>
      <c r="B2427" s="90">
        <v>8.0492785946976984</v>
      </c>
    </row>
    <row r="2428" spans="1:2">
      <c r="A2428" s="32">
        <v>2418</v>
      </c>
      <c r="B2428" s="90">
        <v>7.8343129729288536</v>
      </c>
    </row>
    <row r="2429" spans="1:2">
      <c r="A2429" s="32">
        <v>2419</v>
      </c>
      <c r="B2429" s="90">
        <v>8.4788468916720898</v>
      </c>
    </row>
    <row r="2430" spans="1:2">
      <c r="A2430" s="32">
        <v>2420</v>
      </c>
      <c r="B2430" s="90">
        <v>9.0749903769100033</v>
      </c>
    </row>
    <row r="2431" spans="1:2">
      <c r="A2431" s="32">
        <v>2421</v>
      </c>
      <c r="B2431" s="90">
        <v>6.9113592058165425</v>
      </c>
    </row>
    <row r="2432" spans="1:2">
      <c r="A2432" s="32">
        <v>2422</v>
      </c>
      <c r="B2432" s="90">
        <v>7.3225431826152425</v>
      </c>
    </row>
    <row r="2433" spans="1:2">
      <c r="A2433" s="32">
        <v>2423</v>
      </c>
      <c r="B2433" s="90">
        <v>8.5919720019577817</v>
      </c>
    </row>
    <row r="2434" spans="1:2">
      <c r="A2434" s="32">
        <v>2424</v>
      </c>
      <c r="B2434" s="90">
        <v>7.4658223301290256</v>
      </c>
    </row>
    <row r="2435" spans="1:2">
      <c r="A2435" s="32">
        <v>2425</v>
      </c>
      <c r="B2435" s="90">
        <v>8.8488969393110875</v>
      </c>
    </row>
    <row r="2436" spans="1:2">
      <c r="A2436" s="32">
        <v>2426</v>
      </c>
      <c r="B2436" s="90">
        <v>8.2908633603028239</v>
      </c>
    </row>
    <row r="2437" spans="1:2">
      <c r="A2437" s="32">
        <v>2427</v>
      </c>
      <c r="B2437" s="90">
        <v>7.1262118089944178</v>
      </c>
    </row>
    <row r="2438" spans="1:2">
      <c r="A2438" s="32">
        <v>2428</v>
      </c>
      <c r="B2438" s="90">
        <v>6.8942844238240273</v>
      </c>
    </row>
    <row r="2439" spans="1:2">
      <c r="A2439" s="32">
        <v>2429</v>
      </c>
      <c r="B2439" s="90">
        <v>7.4093280263469303</v>
      </c>
    </row>
    <row r="2440" spans="1:2">
      <c r="A2440" s="32">
        <v>2430</v>
      </c>
      <c r="B2440" s="90">
        <v>8.0982263341569514</v>
      </c>
    </row>
    <row r="2441" spans="1:2">
      <c r="A2441" s="32">
        <v>2431</v>
      </c>
      <c r="B2441" s="90">
        <v>7.9980747969583375</v>
      </c>
    </row>
    <row r="2442" spans="1:2">
      <c r="A2442" s="32">
        <v>2432</v>
      </c>
      <c r="B2442" s="90">
        <v>7.9314087986133721</v>
      </c>
    </row>
    <row r="2443" spans="1:2">
      <c r="A2443" s="32">
        <v>2433</v>
      </c>
      <c r="B2443" s="90">
        <v>8.4100772030519142</v>
      </c>
    </row>
    <row r="2444" spans="1:2">
      <c r="A2444" s="32">
        <v>2434</v>
      </c>
      <c r="B2444" s="90">
        <v>7.0518530258986409</v>
      </c>
    </row>
    <row r="2445" spans="1:2">
      <c r="A2445" s="32">
        <v>2435</v>
      </c>
      <c r="B2445" s="90">
        <v>7.4617954567925455</v>
      </c>
    </row>
    <row r="2446" spans="1:2">
      <c r="A2446" s="32">
        <v>2436</v>
      </c>
      <c r="B2446" s="90">
        <v>8.0376365814124906</v>
      </c>
    </row>
    <row r="2447" spans="1:2">
      <c r="A2447" s="32">
        <v>2437</v>
      </c>
      <c r="B2447" s="90">
        <v>8.3201249440739513</v>
      </c>
    </row>
    <row r="2448" spans="1:2">
      <c r="A2448" s="32">
        <v>2438</v>
      </c>
      <c r="B2448" s="90">
        <v>7.492047235443736</v>
      </c>
    </row>
    <row r="2449" spans="1:2">
      <c r="A2449" s="32">
        <v>2439</v>
      </c>
      <c r="B2449" s="90">
        <v>8.909885399427024</v>
      </c>
    </row>
    <row r="2450" spans="1:2">
      <c r="A2450" s="32">
        <v>2440</v>
      </c>
      <c r="B2450" s="90">
        <v>7.2118457937126923</v>
      </c>
    </row>
    <row r="2451" spans="1:2">
      <c r="A2451" s="32">
        <v>2441</v>
      </c>
      <c r="B2451" s="90">
        <v>7.2696910177855889</v>
      </c>
    </row>
    <row r="2452" spans="1:2">
      <c r="A2452" s="32">
        <v>2442</v>
      </c>
      <c r="B2452" s="90">
        <v>8.0893795524925522</v>
      </c>
    </row>
    <row r="2453" spans="1:2">
      <c r="A2453" s="32">
        <v>2443</v>
      </c>
      <c r="B2453" s="90">
        <v>8.6156150179333899</v>
      </c>
    </row>
    <row r="2454" spans="1:2">
      <c r="A2454" s="32">
        <v>2444</v>
      </c>
      <c r="B2454" s="90">
        <v>7.2857778476000812</v>
      </c>
    </row>
    <row r="2455" spans="1:2">
      <c r="A2455" s="32">
        <v>2445</v>
      </c>
      <c r="B2455" s="90">
        <v>7.8589744537901733</v>
      </c>
    </row>
    <row r="2456" spans="1:2">
      <c r="A2456" s="32">
        <v>2446</v>
      </c>
      <c r="B2456" s="90">
        <v>7.7992992241972798</v>
      </c>
    </row>
    <row r="2457" spans="1:2">
      <c r="A2457" s="32">
        <v>2447</v>
      </c>
      <c r="B2457" s="90">
        <v>7.6927069360356413</v>
      </c>
    </row>
    <row r="2458" spans="1:2">
      <c r="A2458" s="32">
        <v>2448</v>
      </c>
      <c r="B2458" s="90">
        <v>7.730129783429355</v>
      </c>
    </row>
    <row r="2459" spans="1:2">
      <c r="A2459" s="32">
        <v>2449</v>
      </c>
      <c r="B2459" s="90">
        <v>8.4203359334739716</v>
      </c>
    </row>
    <row r="2460" spans="1:2">
      <c r="A2460" s="32">
        <v>2450</v>
      </c>
      <c r="B2460" s="90">
        <v>7.4393260266268069</v>
      </c>
    </row>
    <row r="2461" spans="1:2">
      <c r="A2461" s="32">
        <v>2451</v>
      </c>
      <c r="B2461" s="90">
        <v>8.4953762799188404</v>
      </c>
    </row>
    <row r="2462" spans="1:2">
      <c r="A2462" s="32">
        <v>2452</v>
      </c>
      <c r="B2462" s="90">
        <v>7.2243003339306497</v>
      </c>
    </row>
    <row r="2463" spans="1:2">
      <c r="A2463" s="32">
        <v>2453</v>
      </c>
      <c r="B2463" s="90">
        <v>7.6978819795912869</v>
      </c>
    </row>
    <row r="2464" spans="1:2">
      <c r="A2464" s="32">
        <v>2454</v>
      </c>
      <c r="B2464" s="90">
        <v>8.1233819902315059</v>
      </c>
    </row>
    <row r="2465" spans="1:2">
      <c r="A2465" s="32">
        <v>2455</v>
      </c>
      <c r="B2465" s="90">
        <v>7.9555732154171608</v>
      </c>
    </row>
    <row r="2466" spans="1:2">
      <c r="A2466" s="32">
        <v>2456</v>
      </c>
      <c r="B2466" s="90">
        <v>7.9881370540713075</v>
      </c>
    </row>
    <row r="2467" spans="1:2">
      <c r="A2467" s="32">
        <v>2457</v>
      </c>
      <c r="B2467" s="90">
        <v>8.0609195865501633</v>
      </c>
    </row>
    <row r="2468" spans="1:2">
      <c r="A2468" s="32">
        <v>2458</v>
      </c>
      <c r="B2468" s="90">
        <v>6.9748098452690988</v>
      </c>
    </row>
    <row r="2469" spans="1:2">
      <c r="A2469" s="32">
        <v>2459</v>
      </c>
      <c r="B2469" s="90">
        <v>8.2565249630540993</v>
      </c>
    </row>
    <row r="2470" spans="1:2">
      <c r="A2470" s="32">
        <v>2460</v>
      </c>
      <c r="B2470" s="90">
        <v>7.6397481257663955</v>
      </c>
    </row>
    <row r="2471" spans="1:2">
      <c r="A2471" s="32">
        <v>2461</v>
      </c>
      <c r="B2471" s="90">
        <v>8.257368266613609</v>
      </c>
    </row>
    <row r="2472" spans="1:2">
      <c r="A2472" s="32">
        <v>2462</v>
      </c>
      <c r="B2472" s="90">
        <v>8.4483472120897964</v>
      </c>
    </row>
    <row r="2473" spans="1:2">
      <c r="A2473" s="32">
        <v>2463</v>
      </c>
      <c r="B2473" s="90">
        <v>7.3426811971540458</v>
      </c>
    </row>
    <row r="2474" spans="1:2">
      <c r="A2474" s="32">
        <v>2464</v>
      </c>
      <c r="B2474" s="90">
        <v>7.7003538230347042</v>
      </c>
    </row>
    <row r="2475" spans="1:2">
      <c r="A2475" s="32">
        <v>2465</v>
      </c>
      <c r="B2475" s="90">
        <v>7.6354331169043244</v>
      </c>
    </row>
    <row r="2476" spans="1:2">
      <c r="A2476" s="32">
        <v>2466</v>
      </c>
      <c r="B2476" s="90">
        <v>8.253942379758934</v>
      </c>
    </row>
    <row r="2477" spans="1:2">
      <c r="A2477" s="32">
        <v>2467</v>
      </c>
      <c r="B2477" s="90">
        <v>7.619468126707261</v>
      </c>
    </row>
    <row r="2478" spans="1:2">
      <c r="A2478" s="32">
        <v>2468</v>
      </c>
      <c r="B2478" s="90">
        <v>8.953550835875598</v>
      </c>
    </row>
    <row r="2479" spans="1:2">
      <c r="A2479" s="32">
        <v>2469</v>
      </c>
      <c r="B2479" s="90">
        <v>6.9723936260317156</v>
      </c>
    </row>
    <row r="2480" spans="1:2">
      <c r="A2480" s="32">
        <v>2470</v>
      </c>
      <c r="B2480" s="90">
        <v>7.4891043406645581</v>
      </c>
    </row>
    <row r="2481" spans="1:2">
      <c r="A2481" s="32">
        <v>2471</v>
      </c>
      <c r="B2481" s="90">
        <v>7.8909159766542647</v>
      </c>
    </row>
    <row r="2482" spans="1:2">
      <c r="A2482" s="32">
        <v>2472</v>
      </c>
      <c r="B2482" s="90">
        <v>8.7919261112284861</v>
      </c>
    </row>
    <row r="2483" spans="1:2">
      <c r="A2483" s="32">
        <v>2473</v>
      </c>
      <c r="B2483" s="90">
        <v>7.1610674280939648</v>
      </c>
    </row>
    <row r="2484" spans="1:2">
      <c r="A2484" s="32">
        <v>2474</v>
      </c>
      <c r="B2484" s="90">
        <v>8.4712349927225112</v>
      </c>
    </row>
    <row r="2485" spans="1:2">
      <c r="A2485" s="32">
        <v>2475</v>
      </c>
      <c r="B2485" s="90">
        <v>7.4616075377139834</v>
      </c>
    </row>
    <row r="2486" spans="1:2">
      <c r="A2486" s="32">
        <v>2476</v>
      </c>
      <c r="B2486" s="90">
        <v>7.3263651252016784</v>
      </c>
    </row>
    <row r="2487" spans="1:2">
      <c r="A2487" s="32">
        <v>2477</v>
      </c>
      <c r="B2487" s="90">
        <v>7.9645605132310067</v>
      </c>
    </row>
    <row r="2488" spans="1:2">
      <c r="A2488" s="32">
        <v>2478</v>
      </c>
      <c r="B2488" s="90">
        <v>8.4970429097290641</v>
      </c>
    </row>
    <row r="2489" spans="1:2">
      <c r="A2489" s="32">
        <v>2479</v>
      </c>
      <c r="B2489" s="90">
        <v>7.4802624391555899</v>
      </c>
    </row>
    <row r="2490" spans="1:2">
      <c r="A2490" s="32">
        <v>2480</v>
      </c>
      <c r="B2490" s="90">
        <v>8.0805043696013588</v>
      </c>
    </row>
    <row r="2491" spans="1:2">
      <c r="A2491" s="32">
        <v>2481</v>
      </c>
      <c r="B2491" s="90">
        <v>7.6289005759781094</v>
      </c>
    </row>
    <row r="2492" spans="1:2">
      <c r="A2492" s="32">
        <v>2482</v>
      </c>
      <c r="B2492" s="90">
        <v>7.8327990028678141</v>
      </c>
    </row>
    <row r="2493" spans="1:2">
      <c r="A2493" s="32">
        <v>2483</v>
      </c>
      <c r="B2493" s="90">
        <v>7.7821302241688564</v>
      </c>
    </row>
    <row r="2494" spans="1:2">
      <c r="A2494" s="32">
        <v>2484</v>
      </c>
      <c r="B2494" s="90">
        <v>8.1263491615439456</v>
      </c>
    </row>
    <row r="2495" spans="1:2">
      <c r="A2495" s="32">
        <v>2485</v>
      </c>
      <c r="B2495" s="90">
        <v>7.7018744134457666</v>
      </c>
    </row>
    <row r="2496" spans="1:2">
      <c r="A2496" s="32">
        <v>2486</v>
      </c>
      <c r="B2496" s="90">
        <v>8.2723376198186607</v>
      </c>
    </row>
    <row r="2497" spans="1:2">
      <c r="A2497" s="32">
        <v>2487</v>
      </c>
      <c r="B2497" s="90">
        <v>6.9895118597635362</v>
      </c>
    </row>
    <row r="2498" spans="1:2">
      <c r="A2498" s="32">
        <v>2488</v>
      </c>
      <c r="B2498" s="90">
        <v>8.3944742548257043</v>
      </c>
    </row>
    <row r="2499" spans="1:2">
      <c r="A2499" s="32">
        <v>2489</v>
      </c>
      <c r="B2499" s="90">
        <v>7.7594535205888917</v>
      </c>
    </row>
    <row r="2500" spans="1:2">
      <c r="A2500" s="32">
        <v>2490</v>
      </c>
      <c r="B2500" s="90">
        <v>7.7778199540567128</v>
      </c>
    </row>
    <row r="2501" spans="1:2">
      <c r="A2501" s="32">
        <v>2491</v>
      </c>
      <c r="B2501" s="90">
        <v>8.2718072587551745</v>
      </c>
    </row>
    <row r="2502" spans="1:2">
      <c r="A2502" s="32">
        <v>2492</v>
      </c>
      <c r="B2502" s="90">
        <v>7.7752842733024012</v>
      </c>
    </row>
    <row r="2503" spans="1:2">
      <c r="A2503" s="32">
        <v>2493</v>
      </c>
      <c r="B2503" s="90">
        <v>7.4093280263469303</v>
      </c>
    </row>
    <row r="2504" spans="1:2">
      <c r="A2504" s="32">
        <v>2494</v>
      </c>
      <c r="B2504" s="90">
        <v>8.0982263341569514</v>
      </c>
    </row>
    <row r="2505" spans="1:2">
      <c r="A2505" s="32">
        <v>2495</v>
      </c>
      <c r="B2505" s="90">
        <v>7.9980747969583375</v>
      </c>
    </row>
    <row r="2506" spans="1:2">
      <c r="A2506" s="32">
        <v>2496</v>
      </c>
      <c r="B2506" s="90">
        <v>7.9314087986133721</v>
      </c>
    </row>
    <row r="2507" spans="1:2">
      <c r="A2507" s="32">
        <v>2497</v>
      </c>
      <c r="B2507" s="90">
        <v>8.4100772030519142</v>
      </c>
    </row>
    <row r="2508" spans="1:2">
      <c r="A2508" s="32">
        <v>2498</v>
      </c>
      <c r="B2508" s="90">
        <v>7.0518530258986409</v>
      </c>
    </row>
    <row r="2509" spans="1:2">
      <c r="A2509" s="32">
        <v>2499</v>
      </c>
      <c r="B2509" s="90">
        <v>7.4617954567925455</v>
      </c>
    </row>
    <row r="2510" spans="1:2">
      <c r="A2510" s="32">
        <v>2500</v>
      </c>
      <c r="B2510" s="90">
        <v>8.0376365814124906</v>
      </c>
    </row>
    <row r="2511" spans="1:2">
      <c r="A2511" s="32">
        <v>2501</v>
      </c>
      <c r="B2511" s="90">
        <v>8.3201249440739513</v>
      </c>
    </row>
    <row r="2512" spans="1:2">
      <c r="A2512" s="32">
        <v>2502</v>
      </c>
      <c r="B2512" s="90">
        <v>7.492047235443736</v>
      </c>
    </row>
    <row r="2513" spans="1:2">
      <c r="A2513" s="32">
        <v>2503</v>
      </c>
      <c r="B2513" s="90">
        <v>8.909885399427024</v>
      </c>
    </row>
    <row r="2514" spans="1:2">
      <c r="A2514" s="32">
        <v>2504</v>
      </c>
      <c r="B2514" s="90">
        <v>7.2118457937126923</v>
      </c>
    </row>
    <row r="2515" spans="1:2">
      <c r="A2515" s="32">
        <v>2505</v>
      </c>
      <c r="B2515" s="90">
        <v>7.2696910177855889</v>
      </c>
    </row>
    <row r="2516" spans="1:2">
      <c r="A2516" s="32">
        <v>2506</v>
      </c>
      <c r="B2516" s="90">
        <v>8.0893795524925522</v>
      </c>
    </row>
    <row r="2517" spans="1:2">
      <c r="A2517" s="32">
        <v>2507</v>
      </c>
      <c r="B2517" s="90">
        <v>8.6156150179333899</v>
      </c>
    </row>
    <row r="2518" spans="1:2">
      <c r="A2518" s="32">
        <v>2508</v>
      </c>
      <c r="B2518" s="90">
        <v>7.2857778476000812</v>
      </c>
    </row>
    <row r="2519" spans="1:2">
      <c r="A2519" s="32">
        <v>2509</v>
      </c>
      <c r="B2519" s="90">
        <v>7.8589744537901733</v>
      </c>
    </row>
    <row r="2520" spans="1:2">
      <c r="A2520" s="32">
        <v>2510</v>
      </c>
      <c r="B2520" s="90">
        <v>7.7992992241972798</v>
      </c>
    </row>
    <row r="2521" spans="1:2">
      <c r="A2521" s="32">
        <v>2511</v>
      </c>
      <c r="B2521" s="90">
        <v>7.6927069360356413</v>
      </c>
    </row>
    <row r="2522" spans="1:2">
      <c r="A2522" s="32">
        <v>2512</v>
      </c>
      <c r="B2522" s="90">
        <v>7.730129783429355</v>
      </c>
    </row>
    <row r="2523" spans="1:2">
      <c r="A2523" s="32">
        <v>2513</v>
      </c>
      <c r="B2523" s="90">
        <v>8.4203359334739716</v>
      </c>
    </row>
    <row r="2524" spans="1:2">
      <c r="A2524" s="32">
        <v>2514</v>
      </c>
      <c r="B2524" s="90">
        <v>7.4393260266268069</v>
      </c>
    </row>
    <row r="2525" spans="1:2">
      <c r="A2525" s="32">
        <v>2515</v>
      </c>
      <c r="B2525" s="90">
        <v>8.4953762799188404</v>
      </c>
    </row>
    <row r="2526" spans="1:2">
      <c r="A2526" s="32">
        <v>2516</v>
      </c>
      <c r="B2526" s="90">
        <v>7.2243003339306497</v>
      </c>
    </row>
    <row r="2527" spans="1:2">
      <c r="A2527" s="32">
        <v>2517</v>
      </c>
      <c r="B2527" s="90">
        <v>7.6978819795912869</v>
      </c>
    </row>
    <row r="2528" spans="1:2">
      <c r="A2528" s="32">
        <v>2518</v>
      </c>
      <c r="B2528" s="90">
        <v>8.1233819902315059</v>
      </c>
    </row>
    <row r="2529" spans="1:2">
      <c r="A2529" s="32">
        <v>2519</v>
      </c>
      <c r="B2529" s="90">
        <v>7.9555732154171608</v>
      </c>
    </row>
    <row r="2530" spans="1:2">
      <c r="A2530" s="32">
        <v>2520</v>
      </c>
      <c r="B2530" s="90">
        <v>7.9881370540713075</v>
      </c>
    </row>
    <row r="2531" spans="1:2">
      <c r="A2531" s="32">
        <v>2521</v>
      </c>
      <c r="B2531" s="90">
        <v>8.0609195865501633</v>
      </c>
    </row>
    <row r="2532" spans="1:2">
      <c r="A2532" s="32">
        <v>2522</v>
      </c>
      <c r="B2532" s="90">
        <v>6.9748098452690988</v>
      </c>
    </row>
    <row r="2533" spans="1:2">
      <c r="A2533" s="32">
        <v>2523</v>
      </c>
      <c r="B2533" s="90">
        <v>8.2565249630540993</v>
      </c>
    </row>
    <row r="2534" spans="1:2">
      <c r="A2534" s="32">
        <v>2524</v>
      </c>
      <c r="B2534" s="90">
        <v>7.6397481257663955</v>
      </c>
    </row>
    <row r="2535" spans="1:2">
      <c r="A2535" s="32">
        <v>2525</v>
      </c>
      <c r="B2535" s="90">
        <v>8.257368266613609</v>
      </c>
    </row>
    <row r="2536" spans="1:2">
      <c r="A2536" s="32">
        <v>2526</v>
      </c>
      <c r="B2536" s="90">
        <v>8.4483472120897964</v>
      </c>
    </row>
    <row r="2537" spans="1:2">
      <c r="A2537" s="32">
        <v>2527</v>
      </c>
      <c r="B2537" s="90">
        <v>7.3426811971540458</v>
      </c>
    </row>
    <row r="2538" spans="1:2">
      <c r="A2538" s="32">
        <v>2528</v>
      </c>
      <c r="B2538" s="90">
        <v>7.7003538230347042</v>
      </c>
    </row>
    <row r="2539" spans="1:2">
      <c r="A2539" s="32">
        <v>2529</v>
      </c>
      <c r="B2539" s="90">
        <v>7.6354331169043244</v>
      </c>
    </row>
    <row r="2540" spans="1:2">
      <c r="A2540" s="32">
        <v>2530</v>
      </c>
      <c r="B2540" s="90">
        <v>8.253942379758934</v>
      </c>
    </row>
    <row r="2541" spans="1:2">
      <c r="A2541" s="32">
        <v>2531</v>
      </c>
      <c r="B2541" s="90">
        <v>7.619468126707261</v>
      </c>
    </row>
    <row r="2542" spans="1:2">
      <c r="A2542" s="32">
        <v>2532</v>
      </c>
      <c r="B2542" s="90">
        <v>8.953550835875598</v>
      </c>
    </row>
    <row r="2543" spans="1:2">
      <c r="A2543" s="32">
        <v>2533</v>
      </c>
      <c r="B2543" s="90">
        <v>6.9723936260317156</v>
      </c>
    </row>
    <row r="2544" spans="1:2">
      <c r="A2544" s="32">
        <v>2534</v>
      </c>
      <c r="B2544" s="90">
        <v>7.4891043406645581</v>
      </c>
    </row>
    <row r="2545" spans="1:2">
      <c r="A2545" s="32">
        <v>2535</v>
      </c>
      <c r="B2545" s="90">
        <v>7.8909159766542647</v>
      </c>
    </row>
    <row r="2546" spans="1:2">
      <c r="A2546" s="32">
        <v>2536</v>
      </c>
      <c r="B2546" s="90">
        <v>8.7919261112284861</v>
      </c>
    </row>
    <row r="2547" spans="1:2">
      <c r="A2547" s="32">
        <v>2537</v>
      </c>
      <c r="B2547" s="90">
        <v>7.1610674280939648</v>
      </c>
    </row>
    <row r="2548" spans="1:2">
      <c r="A2548" s="32">
        <v>2538</v>
      </c>
      <c r="B2548" s="90">
        <v>8.4712349927225112</v>
      </c>
    </row>
    <row r="2549" spans="1:2">
      <c r="A2549" s="32">
        <v>2539</v>
      </c>
      <c r="B2549" s="90">
        <v>7.4616075377139834</v>
      </c>
    </row>
    <row r="2550" spans="1:2">
      <c r="A2550" s="32">
        <v>2540</v>
      </c>
      <c r="B2550" s="90">
        <v>7.3263651252016784</v>
      </c>
    </row>
    <row r="2551" spans="1:2">
      <c r="A2551" s="32">
        <v>2541</v>
      </c>
      <c r="B2551" s="90">
        <v>7.9645605132310067</v>
      </c>
    </row>
    <row r="2552" spans="1:2">
      <c r="A2552" s="32">
        <v>2542</v>
      </c>
      <c r="B2552" s="90">
        <v>8.4970429097290641</v>
      </c>
    </row>
    <row r="2553" spans="1:2">
      <c r="A2553" s="32">
        <v>2543</v>
      </c>
      <c r="B2553" s="90">
        <v>7.4802624391555899</v>
      </c>
    </row>
    <row r="2554" spans="1:2">
      <c r="A2554" s="32">
        <v>2544</v>
      </c>
      <c r="B2554" s="90">
        <v>8.0805043696013588</v>
      </c>
    </row>
    <row r="2555" spans="1:2">
      <c r="A2555" s="32">
        <v>2545</v>
      </c>
      <c r="B2555" s="90">
        <v>7.6289005759781094</v>
      </c>
    </row>
    <row r="2556" spans="1:2">
      <c r="A2556" s="32">
        <v>2546</v>
      </c>
      <c r="B2556" s="90">
        <v>7.8327990028678141</v>
      </c>
    </row>
    <row r="2557" spans="1:2">
      <c r="A2557" s="32">
        <v>2547</v>
      </c>
      <c r="B2557" s="90">
        <v>7.3776626560975638</v>
      </c>
    </row>
    <row r="2558" spans="1:2">
      <c r="A2558" s="32">
        <v>2548</v>
      </c>
      <c r="B2558" s="90">
        <v>8.3467178393825314</v>
      </c>
    </row>
    <row r="2559" spans="1:2">
      <c r="A2559" s="32">
        <v>2549</v>
      </c>
      <c r="B2559" s="90">
        <v>7.5295568511998443</v>
      </c>
    </row>
    <row r="2560" spans="1:2">
      <c r="A2560" s="32">
        <v>2550</v>
      </c>
      <c r="B2560" s="90">
        <v>7.4408398917695928</v>
      </c>
    </row>
    <row r="2561" spans="1:2">
      <c r="A2561" s="32">
        <v>2551</v>
      </c>
      <c r="B2561" s="90">
        <v>8.131477873491864</v>
      </c>
    </row>
    <row r="2562" spans="1:2">
      <c r="A2562" s="32">
        <v>2552</v>
      </c>
      <c r="B2562" s="90">
        <v>8.8645776657402102</v>
      </c>
    </row>
    <row r="2563" spans="1:2">
      <c r="A2563" s="32">
        <v>2553</v>
      </c>
      <c r="B2563" s="90">
        <v>7.2689695180302696</v>
      </c>
    </row>
    <row r="2564" spans="1:2">
      <c r="A2564" s="32">
        <v>2554</v>
      </c>
      <c r="B2564" s="90">
        <v>8.527304647716436</v>
      </c>
    </row>
    <row r="2565" spans="1:2">
      <c r="A2565" s="32">
        <v>2555</v>
      </c>
      <c r="B2565" s="90">
        <v>7.115137021956139</v>
      </c>
    </row>
    <row r="2566" spans="1:2">
      <c r="A2566" s="32">
        <v>2556</v>
      </c>
      <c r="B2566" s="90">
        <v>7.8455915456581202</v>
      </c>
    </row>
    <row r="2567" spans="1:2">
      <c r="A2567" s="32">
        <v>2557</v>
      </c>
      <c r="B2567" s="90">
        <v>7.9824933088815326</v>
      </c>
    </row>
    <row r="2568" spans="1:2">
      <c r="A2568" s="32">
        <v>2558</v>
      </c>
      <c r="B2568" s="90">
        <v>8.9848099809383672</v>
      </c>
    </row>
    <row r="2569" spans="1:2">
      <c r="A2569" s="32">
        <v>2559</v>
      </c>
      <c r="B2569" s="90">
        <v>7.5773177138812624</v>
      </c>
    </row>
    <row r="2570" spans="1:2">
      <c r="A2570" s="32">
        <v>2560</v>
      </c>
      <c r="B2570" s="90">
        <v>7.8955592924340658</v>
      </c>
    </row>
    <row r="2571" spans="1:2">
      <c r="A2571" s="32">
        <v>2561</v>
      </c>
      <c r="B2571" s="90">
        <v>7.6856409347476733</v>
      </c>
    </row>
    <row r="2572" spans="1:2">
      <c r="A2572" s="32">
        <v>2562</v>
      </c>
      <c r="B2572" s="90">
        <v>7.3145239991360906</v>
      </c>
    </row>
    <row r="2573" spans="1:2">
      <c r="A2573" s="32">
        <v>2563</v>
      </c>
      <c r="B2573" s="90">
        <v>8.7145431653723247</v>
      </c>
    </row>
    <row r="2574" spans="1:2">
      <c r="A2574" s="32">
        <v>2564</v>
      </c>
      <c r="B2574" s="90">
        <v>8.2757393889289581</v>
      </c>
    </row>
    <row r="2575" spans="1:2">
      <c r="A2575" s="32">
        <v>2565</v>
      </c>
      <c r="B2575" s="90">
        <v>8.0919751456959155</v>
      </c>
    </row>
    <row r="2576" spans="1:2">
      <c r="A2576" s="32">
        <v>2566</v>
      </c>
      <c r="B2576" s="90">
        <v>7.1611606156483614</v>
      </c>
    </row>
    <row r="2577" spans="1:2">
      <c r="A2577" s="32">
        <v>2567</v>
      </c>
      <c r="B2577" s="90">
        <v>7.9038025525714275</v>
      </c>
    </row>
    <row r="2578" spans="1:2">
      <c r="A2578" s="32">
        <v>2568</v>
      </c>
      <c r="B2578" s="90">
        <v>7.4893833876780302</v>
      </c>
    </row>
    <row r="2579" spans="1:2">
      <c r="A2579" s="32">
        <v>2569</v>
      </c>
      <c r="B2579" s="90">
        <v>8.2440444904587711</v>
      </c>
    </row>
    <row r="2580" spans="1:2">
      <c r="A2580" s="32">
        <v>2570</v>
      </c>
      <c r="B2580" s="90">
        <v>8.1878504222567958</v>
      </c>
    </row>
    <row r="2581" spans="1:2">
      <c r="A2581" s="32">
        <v>2571</v>
      </c>
      <c r="B2581" s="90">
        <v>8.309350643744466</v>
      </c>
    </row>
    <row r="2582" spans="1:2">
      <c r="A2582" s="32">
        <v>2572</v>
      </c>
      <c r="B2582" s="90">
        <v>7.5320741089630099</v>
      </c>
    </row>
    <row r="2583" spans="1:2">
      <c r="A2583" s="32">
        <v>2573</v>
      </c>
      <c r="B2583" s="90">
        <v>7.4302849548288341</v>
      </c>
    </row>
    <row r="2584" spans="1:2">
      <c r="A2584" s="32">
        <v>2574</v>
      </c>
      <c r="B2584" s="90">
        <v>8.1063573860380789</v>
      </c>
    </row>
    <row r="2585" spans="1:2">
      <c r="A2585" s="32">
        <v>2575</v>
      </c>
      <c r="B2585" s="90">
        <v>8.7431917379956037</v>
      </c>
    </row>
    <row r="2586" spans="1:2">
      <c r="A2586" s="32">
        <v>2576</v>
      </c>
      <c r="B2586" s="90">
        <v>7.6087609816666548</v>
      </c>
    </row>
    <row r="2587" spans="1:2">
      <c r="A2587" s="32">
        <v>2577</v>
      </c>
      <c r="B2587" s="90">
        <v>8.1096801829958824</v>
      </c>
    </row>
    <row r="2588" spans="1:2">
      <c r="A2588" s="32">
        <v>2578</v>
      </c>
      <c r="B2588" s="90">
        <v>7.4150529317648575</v>
      </c>
    </row>
    <row r="2589" spans="1:2">
      <c r="A2589" s="32">
        <v>2579</v>
      </c>
      <c r="B2589" s="90">
        <v>7.4831999609223372</v>
      </c>
    </row>
    <row r="2590" spans="1:2">
      <c r="A2590" s="32">
        <v>2580</v>
      </c>
      <c r="B2590" s="90">
        <v>8.3041845987533307</v>
      </c>
    </row>
    <row r="2591" spans="1:2">
      <c r="A2591" s="32">
        <v>2581</v>
      </c>
      <c r="B2591" s="90">
        <v>8.6053022314465295</v>
      </c>
    </row>
    <row r="2592" spans="1:2">
      <c r="A2592" s="32">
        <v>2582</v>
      </c>
      <c r="B2592" s="90">
        <v>7.4412334535586586</v>
      </c>
    </row>
    <row r="2593" spans="1:2">
      <c r="A2593" s="32">
        <v>2583</v>
      </c>
      <c r="B2593" s="90">
        <v>8.518628938221271</v>
      </c>
    </row>
    <row r="2594" spans="1:2">
      <c r="A2594" s="32">
        <v>2584</v>
      </c>
      <c r="B2594" s="90">
        <v>7.2195326158715822</v>
      </c>
    </row>
    <row r="2595" spans="1:2">
      <c r="A2595" s="32">
        <v>2585</v>
      </c>
      <c r="B2595" s="90">
        <v>7.6218107571565232</v>
      </c>
    </row>
    <row r="2596" spans="1:2">
      <c r="A2596" s="32">
        <v>2586</v>
      </c>
      <c r="B2596" s="90">
        <v>8.1169986458768193</v>
      </c>
    </row>
    <row r="2597" spans="1:2">
      <c r="A2597" s="32">
        <v>2587</v>
      </c>
      <c r="B2597" s="90">
        <v>8.5645357490193526</v>
      </c>
    </row>
    <row r="2598" spans="1:2">
      <c r="A2598" s="32">
        <v>2588</v>
      </c>
      <c r="B2598" s="90">
        <v>7.7793466487901375</v>
      </c>
    </row>
    <row r="2599" spans="1:2">
      <c r="A2599" s="32">
        <v>2589</v>
      </c>
      <c r="B2599" s="90">
        <v>8.3519654220336719</v>
      </c>
    </row>
    <row r="2600" spans="1:2">
      <c r="A2600" s="32">
        <v>2590</v>
      </c>
      <c r="B2600" s="90">
        <v>7.2942163103001008</v>
      </c>
    </row>
    <row r="2601" spans="1:2">
      <c r="A2601" s="32">
        <v>2591</v>
      </c>
      <c r="B2601" s="90">
        <v>7.5915017259307236</v>
      </c>
    </row>
    <row r="2602" spans="1:2">
      <c r="A2602" s="32">
        <v>2592</v>
      </c>
      <c r="B2602" s="90">
        <v>8.4286526750228763</v>
      </c>
    </row>
    <row r="2603" spans="1:2">
      <c r="A2603" s="32">
        <v>2593</v>
      </c>
      <c r="B2603" s="90">
        <v>8.4444331745829171</v>
      </c>
    </row>
    <row r="2604" spans="1:2">
      <c r="A2604" s="32">
        <v>2594</v>
      </c>
      <c r="B2604" s="90">
        <v>8.0778570031953798</v>
      </c>
    </row>
    <row r="2605" spans="1:2">
      <c r="A2605" s="32">
        <v>2595</v>
      </c>
      <c r="B2605" s="90">
        <v>7.2742442427038316</v>
      </c>
    </row>
    <row r="2606" spans="1:2">
      <c r="A2606" s="32">
        <v>2596</v>
      </c>
      <c r="B2606" s="90">
        <v>7.917882897657976</v>
      </c>
    </row>
    <row r="2607" spans="1:2">
      <c r="A2607" s="32">
        <v>2597</v>
      </c>
      <c r="B2607" s="90">
        <v>7.285048118019005</v>
      </c>
    </row>
    <row r="2608" spans="1:2">
      <c r="A2608" s="32">
        <v>2598</v>
      </c>
      <c r="B2608" s="90">
        <v>8.3389472331257828</v>
      </c>
    </row>
    <row r="2609" spans="1:2">
      <c r="A2609" s="32">
        <v>2599</v>
      </c>
      <c r="B2609" s="90">
        <v>8.1286497782328553</v>
      </c>
    </row>
    <row r="2610" spans="1:2">
      <c r="A2610" s="32">
        <v>2600</v>
      </c>
      <c r="B2610" s="90">
        <v>8.6797800000490373</v>
      </c>
    </row>
    <row r="2611" spans="1:2">
      <c r="A2611" s="32">
        <v>2601</v>
      </c>
      <c r="B2611" s="90">
        <v>7.1521551870390763</v>
      </c>
    </row>
    <row r="2612" spans="1:2">
      <c r="A2612" s="32">
        <v>2602</v>
      </c>
      <c r="B2612" s="90">
        <v>7.7690844773544061</v>
      </c>
    </row>
    <row r="2613" spans="1:2">
      <c r="A2613" s="32">
        <v>2603</v>
      </c>
      <c r="B2613" s="90">
        <v>7.8254932881474373</v>
      </c>
    </row>
    <row r="2614" spans="1:2">
      <c r="A2614" s="32">
        <v>2604</v>
      </c>
      <c r="B2614" s="90">
        <v>8.247015172032059</v>
      </c>
    </row>
    <row r="2615" spans="1:2">
      <c r="A2615" s="32">
        <v>2605</v>
      </c>
      <c r="B2615" s="90">
        <v>8.1624883984740446</v>
      </c>
    </row>
    <row r="2616" spans="1:2">
      <c r="A2616" s="32">
        <v>2606</v>
      </c>
      <c r="B2616" s="90">
        <v>8.3800023896419855</v>
      </c>
    </row>
    <row r="2617" spans="1:2">
      <c r="A2617" s="32">
        <v>2607</v>
      </c>
      <c r="B2617" s="90">
        <v>7.1910104256014149</v>
      </c>
    </row>
    <row r="2618" spans="1:2">
      <c r="A2618" s="32">
        <v>2608</v>
      </c>
      <c r="B2618" s="90">
        <v>7.7289868183309594</v>
      </c>
    </row>
    <row r="2619" spans="1:2">
      <c r="A2619" s="32">
        <v>2609</v>
      </c>
      <c r="B2619" s="90">
        <v>7.9929225880605772</v>
      </c>
    </row>
    <row r="2620" spans="1:2">
      <c r="A2620" s="32">
        <v>2610</v>
      </c>
      <c r="B2620" s="90">
        <v>8.5274569356465406</v>
      </c>
    </row>
    <row r="2621" spans="1:2">
      <c r="A2621" s="32">
        <v>2611</v>
      </c>
      <c r="B2621" s="90">
        <v>7.589454123539169</v>
      </c>
    </row>
    <row r="2622" spans="1:2">
      <c r="A2622" s="32">
        <v>2612</v>
      </c>
      <c r="B2622" s="90">
        <v>8.3467178393825314</v>
      </c>
    </row>
    <row r="2623" spans="1:2">
      <c r="A2623" s="32">
        <v>2613</v>
      </c>
      <c r="B2623" s="90">
        <v>7.5295568511998443</v>
      </c>
    </row>
    <row r="2624" spans="1:2">
      <c r="A2624" s="32">
        <v>2614</v>
      </c>
      <c r="B2624" s="90">
        <v>7.4408398917695928</v>
      </c>
    </row>
    <row r="2625" spans="1:2">
      <c r="A2625" s="32">
        <v>2615</v>
      </c>
      <c r="B2625" s="90">
        <v>8.131477873491864</v>
      </c>
    </row>
    <row r="2626" spans="1:2">
      <c r="A2626" s="32">
        <v>2616</v>
      </c>
      <c r="B2626" s="90">
        <v>8.8645776657402102</v>
      </c>
    </row>
    <row r="2627" spans="1:2">
      <c r="A2627" s="32">
        <v>2617</v>
      </c>
      <c r="B2627" s="90">
        <v>7.2689695180302696</v>
      </c>
    </row>
    <row r="2628" spans="1:2">
      <c r="A2628" s="32">
        <v>2618</v>
      </c>
      <c r="B2628" s="90">
        <v>8.527304647716436</v>
      </c>
    </row>
    <row r="2629" spans="1:2">
      <c r="A2629" s="32">
        <v>2619</v>
      </c>
      <c r="B2629" s="90">
        <v>7.115137021956139</v>
      </c>
    </row>
    <row r="2630" spans="1:2">
      <c r="A2630" s="32">
        <v>2620</v>
      </c>
      <c r="B2630" s="90">
        <v>7.8455915456581202</v>
      </c>
    </row>
    <row r="2631" spans="1:2">
      <c r="A2631" s="32">
        <v>2621</v>
      </c>
      <c r="B2631" s="90">
        <v>7.9824933088815326</v>
      </c>
    </row>
    <row r="2632" spans="1:2">
      <c r="A2632" s="32">
        <v>2622</v>
      </c>
      <c r="B2632" s="90">
        <v>8.9848099809383672</v>
      </c>
    </row>
    <row r="2633" spans="1:2">
      <c r="A2633" s="32">
        <v>2623</v>
      </c>
      <c r="B2633" s="90">
        <v>7.5773177138812624</v>
      </c>
    </row>
    <row r="2634" spans="1:2">
      <c r="A2634" s="32">
        <v>2624</v>
      </c>
      <c r="B2634" s="90">
        <v>7.8955592924340658</v>
      </c>
    </row>
    <row r="2635" spans="1:2">
      <c r="A2635" s="32">
        <v>2625</v>
      </c>
      <c r="B2635" s="90">
        <v>7.6856409347476733</v>
      </c>
    </row>
    <row r="2636" spans="1:2">
      <c r="A2636" s="32">
        <v>2626</v>
      </c>
      <c r="B2636" s="90">
        <v>7.3145239991360906</v>
      </c>
    </row>
    <row r="2637" spans="1:2">
      <c r="A2637" s="32">
        <v>2627</v>
      </c>
      <c r="B2637" s="90">
        <v>8.3193815883426296</v>
      </c>
    </row>
    <row r="2638" spans="1:2">
      <c r="A2638" s="32">
        <v>2628</v>
      </c>
      <c r="B2638" s="90">
        <v>9.1702927282407671</v>
      </c>
    </row>
    <row r="2639" spans="1:2">
      <c r="A2639" s="32">
        <v>2629</v>
      </c>
      <c r="B2639" s="90">
        <v>7.3643035604110665</v>
      </c>
    </row>
    <row r="2640" spans="1:2">
      <c r="A2640" s="32">
        <v>2630</v>
      </c>
      <c r="B2640" s="90">
        <v>6.4513573407389506</v>
      </c>
    </row>
    <row r="2641" spans="1:2">
      <c r="A2641" s="32">
        <v>2631</v>
      </c>
      <c r="B2641" s="90">
        <v>8.7802903768427143</v>
      </c>
    </row>
    <row r="2642" spans="1:2">
      <c r="A2642" s="32">
        <v>2632</v>
      </c>
      <c r="B2642" s="90">
        <v>7.7699317908210421</v>
      </c>
    </row>
    <row r="2643" spans="1:2">
      <c r="A2643" s="32">
        <v>2633</v>
      </c>
      <c r="B2643" s="90">
        <v>8.1604989374004742</v>
      </c>
    </row>
    <row r="2644" spans="1:2">
      <c r="A2644" s="32">
        <v>2634</v>
      </c>
      <c r="B2644" s="90">
        <v>9.0527464715589296</v>
      </c>
    </row>
    <row r="2645" spans="1:2">
      <c r="A2645" s="32">
        <v>2635</v>
      </c>
      <c r="B2645" s="90">
        <v>6.8793547213738657</v>
      </c>
    </row>
    <row r="2646" spans="1:2">
      <c r="A2646" s="32">
        <v>2636</v>
      </c>
      <c r="B2646" s="90">
        <v>6.9363158014974688</v>
      </c>
    </row>
    <row r="2647" spans="1:2">
      <c r="A2647" s="32">
        <v>2637</v>
      </c>
      <c r="B2647" s="90">
        <v>8.5957045112383828</v>
      </c>
    </row>
    <row r="2648" spans="1:2">
      <c r="A2648" s="32">
        <v>2638</v>
      </c>
      <c r="B2648" s="90">
        <v>8.0349389445054022</v>
      </c>
    </row>
    <row r="2649" spans="1:2">
      <c r="A2649" s="32">
        <v>2639</v>
      </c>
      <c r="B2649" s="90">
        <v>8.3095324040884186</v>
      </c>
    </row>
    <row r="2650" spans="1:2">
      <c r="A2650" s="32">
        <v>2640</v>
      </c>
      <c r="B2650" s="90">
        <v>8.6396086443948992</v>
      </c>
    </row>
    <row r="2651" spans="1:2">
      <c r="A2651" s="32">
        <v>2641</v>
      </c>
      <c r="B2651" s="90">
        <v>6.365938564721267</v>
      </c>
    </row>
    <row r="2652" spans="1:2">
      <c r="A2652" s="32">
        <v>2642</v>
      </c>
      <c r="B2652" s="90">
        <v>7.4225976328704988</v>
      </c>
    </row>
    <row r="2653" spans="1:2">
      <c r="A2653" s="32">
        <v>2643</v>
      </c>
      <c r="B2653" s="90">
        <v>8.7513897273249448</v>
      </c>
    </row>
    <row r="2654" spans="1:2">
      <c r="A2654" s="32">
        <v>2644</v>
      </c>
      <c r="B2654" s="90">
        <v>8.1040305820851355</v>
      </c>
    </row>
    <row r="2655" spans="1:2">
      <c r="A2655" s="32">
        <v>2645</v>
      </c>
      <c r="B2655" s="90">
        <v>8.175359380444462</v>
      </c>
    </row>
    <row r="2656" spans="1:2">
      <c r="A2656" s="32">
        <v>2646</v>
      </c>
      <c r="B2656" s="90">
        <v>8.888497641261317</v>
      </c>
    </row>
    <row r="2657" spans="1:2">
      <c r="A2657" s="32">
        <v>2647</v>
      </c>
      <c r="B2657" s="90">
        <v>6.1382653851496505</v>
      </c>
    </row>
    <row r="2658" spans="1:2">
      <c r="A2658" s="32">
        <v>2648</v>
      </c>
      <c r="B2658" s="90">
        <v>7.633822672259571</v>
      </c>
    </row>
    <row r="2659" spans="1:2">
      <c r="A2659" s="32">
        <v>2649</v>
      </c>
      <c r="B2659" s="90">
        <v>8.682916719091887</v>
      </c>
    </row>
    <row r="2660" spans="1:2">
      <c r="A2660" s="32">
        <v>2650</v>
      </c>
      <c r="B2660" s="90">
        <v>7.6854656650559905</v>
      </c>
    </row>
    <row r="2661" spans="1:2">
      <c r="A2661" s="32">
        <v>2651</v>
      </c>
      <c r="B2661" s="90">
        <v>8.6168519571592359</v>
      </c>
    </row>
    <row r="2662" spans="1:2">
      <c r="A2662" s="32">
        <v>2652</v>
      </c>
      <c r="B2662" s="90">
        <v>8.3962071029560992</v>
      </c>
    </row>
    <row r="2663" spans="1:2">
      <c r="A2663" s="32">
        <v>2653</v>
      </c>
      <c r="B2663" s="90">
        <v>6.3489262887648081</v>
      </c>
    </row>
    <row r="2664" spans="1:2">
      <c r="A2664" s="32">
        <v>2654</v>
      </c>
      <c r="B2664" s="90">
        <v>7.6438554863172836</v>
      </c>
    </row>
    <row r="2665" spans="1:2">
      <c r="A2665" s="32">
        <v>2655</v>
      </c>
      <c r="B2665" s="90">
        <v>8.2795800697024546</v>
      </c>
    </row>
    <row r="2666" spans="1:2">
      <c r="A2666" s="32">
        <v>2656</v>
      </c>
      <c r="B2666" s="90">
        <v>8.0568226985865294</v>
      </c>
    </row>
    <row r="2667" spans="1:2">
      <c r="A2667" s="32">
        <v>2657</v>
      </c>
      <c r="B2667" s="90">
        <v>9.0685602748776617</v>
      </c>
    </row>
    <row r="2668" spans="1:2">
      <c r="A2668" s="32">
        <v>2658</v>
      </c>
      <c r="B2668" s="90">
        <v>8.1940215473676528</v>
      </c>
    </row>
    <row r="2669" spans="1:2">
      <c r="A2669" s="32">
        <v>2659</v>
      </c>
      <c r="B2669" s="90">
        <v>6.0815380765148976</v>
      </c>
    </row>
    <row r="2670" spans="1:2">
      <c r="A2670" s="32">
        <v>2660</v>
      </c>
      <c r="B2670" s="90">
        <v>8.5527008183198863</v>
      </c>
    </row>
    <row r="2671" spans="1:2">
      <c r="A2671" s="32">
        <v>2661</v>
      </c>
      <c r="B2671" s="90">
        <v>7.4879738257558426</v>
      </c>
    </row>
    <row r="2672" spans="1:2">
      <c r="A2672" s="32">
        <v>2662</v>
      </c>
      <c r="B2672" s="90">
        <v>8.5470619084136388</v>
      </c>
    </row>
    <row r="2673" spans="1:2">
      <c r="A2673" s="32">
        <v>2663</v>
      </c>
      <c r="B2673" s="90">
        <v>8.9771114906390039</v>
      </c>
    </row>
    <row r="2674" spans="1:2">
      <c r="A2674" s="32">
        <v>2664</v>
      </c>
      <c r="B2674" s="90">
        <v>7.0589949018152405</v>
      </c>
    </row>
    <row r="2675" spans="1:2">
      <c r="A2675" s="32">
        <v>2665</v>
      </c>
      <c r="B2675" s="90">
        <v>6.7289739482882824</v>
      </c>
    </row>
    <row r="2676" spans="1:2">
      <c r="A2676" s="32">
        <v>2666</v>
      </c>
      <c r="B2676" s="90">
        <v>8.7472473126261008</v>
      </c>
    </row>
    <row r="2677" spans="1:2">
      <c r="A2677" s="32">
        <v>2667</v>
      </c>
      <c r="B2677" s="90">
        <v>7.738935244177501</v>
      </c>
    </row>
    <row r="2678" spans="1:2">
      <c r="A2678" s="32">
        <v>2668</v>
      </c>
      <c r="B2678" s="90">
        <v>8.3132111923827967</v>
      </c>
    </row>
    <row r="2679" spans="1:2">
      <c r="A2679" s="32">
        <v>2669</v>
      </c>
      <c r="B2679" s="90">
        <v>9.0935708669779203</v>
      </c>
    </row>
    <row r="2680" spans="1:2">
      <c r="A2680" s="32">
        <v>2670</v>
      </c>
      <c r="B2680" s="90">
        <v>6.5178384436455481</v>
      </c>
    </row>
    <row r="2681" spans="1:2">
      <c r="A2681" s="32">
        <v>2671</v>
      </c>
      <c r="B2681" s="90">
        <v>7.3383008646373851</v>
      </c>
    </row>
    <row r="2682" spans="1:2">
      <c r="A2682" s="32">
        <v>2672</v>
      </c>
      <c r="B2682" s="90">
        <v>8.6426945924590299</v>
      </c>
    </row>
    <row r="2683" spans="1:2">
      <c r="A2683" s="32">
        <v>2673</v>
      </c>
      <c r="B2683" s="90">
        <v>7.8794562254511327</v>
      </c>
    </row>
    <row r="2684" spans="1:2">
      <c r="A2684" s="32">
        <v>2674</v>
      </c>
      <c r="B2684" s="90">
        <v>8.1331525566268041</v>
      </c>
    </row>
    <row r="2685" spans="1:2">
      <c r="A2685" s="32">
        <v>2675</v>
      </c>
      <c r="B2685" s="90">
        <v>8.6567080467309623</v>
      </c>
    </row>
    <row r="2686" spans="1:2">
      <c r="A2686" s="32">
        <v>2676</v>
      </c>
      <c r="B2686" s="90">
        <v>6.317209715518735</v>
      </c>
    </row>
    <row r="2687" spans="1:2">
      <c r="A2687" s="32">
        <v>2677</v>
      </c>
      <c r="B2687" s="90">
        <v>7.6994754057801273</v>
      </c>
    </row>
    <row r="2688" spans="1:2">
      <c r="A2688" s="32">
        <v>2678</v>
      </c>
      <c r="B2688" s="90">
        <v>8.7112388715307372</v>
      </c>
    </row>
    <row r="2689" spans="1:2">
      <c r="A2689" s="32">
        <v>2679</v>
      </c>
      <c r="B2689" s="90">
        <v>7.7080726531881405</v>
      </c>
    </row>
    <row r="2690" spans="1:2">
      <c r="A2690" s="32">
        <v>2680</v>
      </c>
      <c r="B2690" s="90">
        <v>8.6057244980860901</v>
      </c>
    </row>
    <row r="2691" spans="1:2">
      <c r="A2691" s="32">
        <v>2681</v>
      </c>
      <c r="B2691" s="90">
        <v>8.6476036537432233</v>
      </c>
    </row>
    <row r="2692" spans="1:2">
      <c r="A2692" s="32">
        <v>2682</v>
      </c>
      <c r="B2692" s="90">
        <v>6.2495636867657822</v>
      </c>
    </row>
    <row r="2693" spans="1:2">
      <c r="A2693" s="32">
        <v>2683</v>
      </c>
      <c r="B2693" s="90">
        <v>7.6881746158838489</v>
      </c>
    </row>
    <row r="2694" spans="1:2">
      <c r="A2694" s="32">
        <v>2684</v>
      </c>
      <c r="B2694" s="90">
        <v>8.2317883888528502</v>
      </c>
    </row>
    <row r="2695" spans="1:2">
      <c r="A2695" s="32">
        <v>2685</v>
      </c>
      <c r="B2695" s="90">
        <v>8.112452106252384</v>
      </c>
    </row>
    <row r="2696" spans="1:2">
      <c r="A2696" s="32">
        <v>2686</v>
      </c>
      <c r="B2696" s="90">
        <v>8.9116025073703042</v>
      </c>
    </row>
    <row r="2697" spans="1:2">
      <c r="A2697" s="32">
        <v>2687</v>
      </c>
      <c r="B2697" s="90">
        <v>8.1701144203284635</v>
      </c>
    </row>
    <row r="2698" spans="1:2">
      <c r="A2698" s="32">
        <v>2688</v>
      </c>
      <c r="B2698" s="90">
        <v>6.237057515798571</v>
      </c>
    </row>
    <row r="2699" spans="1:2">
      <c r="A2699" s="32">
        <v>2689</v>
      </c>
      <c r="B2699" s="90">
        <v>7.8794351735969332</v>
      </c>
    </row>
    <row r="2700" spans="1:2">
      <c r="A2700" s="32">
        <v>2690</v>
      </c>
      <c r="B2700" s="90">
        <v>7.8386361465159791</v>
      </c>
    </row>
    <row r="2701" spans="1:2">
      <c r="A2701" s="32">
        <v>2691</v>
      </c>
      <c r="B2701" s="90">
        <v>8.4548381342232748</v>
      </c>
    </row>
    <row r="2702" spans="1:2">
      <c r="A2702" s="32">
        <v>2692</v>
      </c>
      <c r="B2702" s="90">
        <v>9.1702927282407671</v>
      </c>
    </row>
    <row r="2703" spans="1:2">
      <c r="A2703" s="32">
        <v>2693</v>
      </c>
      <c r="B2703" s="90">
        <v>7.3643035604110665</v>
      </c>
    </row>
    <row r="2704" spans="1:2">
      <c r="A2704" s="32">
        <v>2694</v>
      </c>
      <c r="B2704" s="90">
        <v>6.4513573407389506</v>
      </c>
    </row>
    <row r="2705" spans="1:2">
      <c r="A2705" s="32">
        <v>2695</v>
      </c>
      <c r="B2705" s="90">
        <v>8.7802903768427143</v>
      </c>
    </row>
    <row r="2706" spans="1:2">
      <c r="A2706" s="32">
        <v>2696</v>
      </c>
      <c r="B2706" s="90">
        <v>7.7699317908210421</v>
      </c>
    </row>
    <row r="2707" spans="1:2">
      <c r="A2707" s="32">
        <v>2697</v>
      </c>
      <c r="B2707" s="90">
        <v>8.1604989374004742</v>
      </c>
    </row>
    <row r="2708" spans="1:2">
      <c r="A2708" s="32">
        <v>2698</v>
      </c>
      <c r="B2708" s="90">
        <v>9.0527464715589296</v>
      </c>
    </row>
    <row r="2709" spans="1:2">
      <c r="A2709" s="32">
        <v>2699</v>
      </c>
      <c r="B2709" s="90">
        <v>6.8793547213738657</v>
      </c>
    </row>
    <row r="2710" spans="1:2">
      <c r="A2710" s="32">
        <v>2700</v>
      </c>
      <c r="B2710" s="90">
        <v>6.9363158014974688</v>
      </c>
    </row>
    <row r="2711" spans="1:2">
      <c r="A2711" s="32">
        <v>2701</v>
      </c>
      <c r="B2711" s="90">
        <v>8.5957045112383828</v>
      </c>
    </row>
    <row r="2712" spans="1:2">
      <c r="A2712" s="32">
        <v>2702</v>
      </c>
      <c r="B2712" s="90">
        <v>8.0349389445054022</v>
      </c>
    </row>
    <row r="2713" spans="1:2">
      <c r="A2713" s="32">
        <v>2703</v>
      </c>
      <c r="B2713" s="90">
        <v>8.3095324040884186</v>
      </c>
    </row>
    <row r="2714" spans="1:2">
      <c r="A2714" s="32">
        <v>2704</v>
      </c>
      <c r="B2714" s="90">
        <v>8.6396086443948992</v>
      </c>
    </row>
    <row r="2715" spans="1:2">
      <c r="A2715" s="32">
        <v>2705</v>
      </c>
      <c r="B2715" s="90">
        <v>6.365938564721267</v>
      </c>
    </row>
    <row r="2716" spans="1:2">
      <c r="A2716" s="32">
        <v>2706</v>
      </c>
      <c r="B2716" s="90">
        <v>7.4225976328704988</v>
      </c>
    </row>
    <row r="2717" spans="1:2">
      <c r="A2717" s="32">
        <v>2707</v>
      </c>
      <c r="B2717" s="90">
        <v>8.7513897273249448</v>
      </c>
    </row>
    <row r="2718" spans="1:2">
      <c r="A2718" s="32">
        <v>2708</v>
      </c>
      <c r="B2718" s="90">
        <v>8.1040305820851355</v>
      </c>
    </row>
    <row r="2719" spans="1:2">
      <c r="A2719" s="32">
        <v>2709</v>
      </c>
      <c r="B2719" s="90">
        <v>8.175359380444462</v>
      </c>
    </row>
    <row r="2720" spans="1:2">
      <c r="A2720" s="32">
        <v>2710</v>
      </c>
      <c r="B2720" s="90">
        <v>8.888497641261317</v>
      </c>
    </row>
    <row r="2721" spans="1:2">
      <c r="A2721" s="32">
        <v>2711</v>
      </c>
      <c r="B2721" s="90">
        <v>6.1382653851496505</v>
      </c>
    </row>
    <row r="2722" spans="1:2">
      <c r="A2722" s="32">
        <v>2712</v>
      </c>
      <c r="B2722" s="90">
        <v>7.633822672259571</v>
      </c>
    </row>
    <row r="2723" spans="1:2">
      <c r="A2723" s="32">
        <v>2713</v>
      </c>
      <c r="B2723" s="90">
        <v>8.682916719091887</v>
      </c>
    </row>
    <row r="2724" spans="1:2">
      <c r="A2724" s="32">
        <v>2714</v>
      </c>
      <c r="B2724" s="90">
        <v>7.6854656650559905</v>
      </c>
    </row>
    <row r="2725" spans="1:2">
      <c r="A2725" s="32">
        <v>2715</v>
      </c>
      <c r="B2725" s="90">
        <v>8.6168519571592359</v>
      </c>
    </row>
    <row r="2726" spans="1:2">
      <c r="A2726" s="32">
        <v>2716</v>
      </c>
      <c r="B2726" s="90">
        <v>8.3962071029560992</v>
      </c>
    </row>
    <row r="2727" spans="1:2">
      <c r="A2727" s="32">
        <v>2717</v>
      </c>
      <c r="B2727" s="90">
        <v>6.3489262887648081</v>
      </c>
    </row>
    <row r="2728" spans="1:2">
      <c r="A2728" s="32">
        <v>2718</v>
      </c>
      <c r="B2728" s="90">
        <v>7.6438554863172836</v>
      </c>
    </row>
    <row r="2729" spans="1:2">
      <c r="A2729" s="32">
        <v>2719</v>
      </c>
      <c r="B2729" s="90">
        <v>8.2795800697024546</v>
      </c>
    </row>
    <row r="2730" spans="1:2">
      <c r="A2730" s="32">
        <v>2720</v>
      </c>
      <c r="B2730" s="90">
        <v>8.0568226985865294</v>
      </c>
    </row>
    <row r="2731" spans="1:2">
      <c r="A2731" s="32">
        <v>2721</v>
      </c>
      <c r="B2731" s="90">
        <v>9.0685602748776617</v>
      </c>
    </row>
    <row r="2732" spans="1:2">
      <c r="A2732" s="32">
        <v>2722</v>
      </c>
      <c r="B2732" s="90">
        <v>8.1940215473676528</v>
      </c>
    </row>
    <row r="2733" spans="1:2">
      <c r="A2733" s="32">
        <v>2723</v>
      </c>
      <c r="B2733" s="90">
        <v>6.0815380765148976</v>
      </c>
    </row>
    <row r="2734" spans="1:2">
      <c r="A2734" s="32">
        <v>2724</v>
      </c>
      <c r="B2734" s="90">
        <v>8.5527008183198863</v>
      </c>
    </row>
    <row r="2735" spans="1:2">
      <c r="A2735" s="32">
        <v>2725</v>
      </c>
      <c r="B2735" s="90">
        <v>7.4879738257558426</v>
      </c>
    </row>
    <row r="2736" spans="1:2">
      <c r="A2736" s="32">
        <v>2726</v>
      </c>
      <c r="B2736" s="90">
        <v>8.5470619084136388</v>
      </c>
    </row>
    <row r="2737" spans="1:2">
      <c r="A2737" s="32">
        <v>2727</v>
      </c>
      <c r="B2737" s="90">
        <v>8.9771114906390039</v>
      </c>
    </row>
    <row r="2738" spans="1:2">
      <c r="A2738" s="32">
        <v>2728</v>
      </c>
      <c r="B2738" s="90">
        <v>7.0589949018152405</v>
      </c>
    </row>
    <row r="2739" spans="1:2">
      <c r="A2739" s="32">
        <v>2729</v>
      </c>
      <c r="B2739" s="90">
        <v>6.7289739482882824</v>
      </c>
    </row>
    <row r="2740" spans="1:2">
      <c r="A2740" s="32">
        <v>2730</v>
      </c>
      <c r="B2740" s="90">
        <v>8.7472473126261008</v>
      </c>
    </row>
    <row r="2741" spans="1:2">
      <c r="A2741" s="32">
        <v>2731</v>
      </c>
      <c r="B2741" s="90">
        <v>7.738935244177501</v>
      </c>
    </row>
    <row r="2742" spans="1:2">
      <c r="A2742" s="32">
        <v>2732</v>
      </c>
      <c r="B2742" s="90">
        <v>8.3132111923827967</v>
      </c>
    </row>
    <row r="2743" spans="1:2">
      <c r="A2743" s="32">
        <v>2733</v>
      </c>
      <c r="B2743" s="90">
        <v>9.0935708669779203</v>
      </c>
    </row>
    <row r="2744" spans="1:2">
      <c r="A2744" s="32">
        <v>2734</v>
      </c>
      <c r="B2744" s="90">
        <v>6.5178384436455481</v>
      </c>
    </row>
    <row r="2745" spans="1:2">
      <c r="A2745" s="32">
        <v>2735</v>
      </c>
      <c r="B2745" s="90">
        <v>7.3383008646373851</v>
      </c>
    </row>
    <row r="2746" spans="1:2">
      <c r="A2746" s="32">
        <v>2736</v>
      </c>
      <c r="B2746" s="90">
        <v>8.6426945924590299</v>
      </c>
    </row>
    <row r="2747" spans="1:2">
      <c r="A2747" s="32">
        <v>2737</v>
      </c>
      <c r="B2747" s="90">
        <v>7.8794562254511327</v>
      </c>
    </row>
    <row r="2748" spans="1:2">
      <c r="A2748" s="32">
        <v>2738</v>
      </c>
      <c r="B2748" s="90">
        <v>8.1331525566268041</v>
      </c>
    </row>
    <row r="2749" spans="1:2">
      <c r="A2749" s="32">
        <v>2739</v>
      </c>
      <c r="B2749" s="90">
        <v>8.6567080467309623</v>
      </c>
    </row>
    <row r="2750" spans="1:2">
      <c r="A2750" s="32">
        <v>2740</v>
      </c>
      <c r="B2750" s="90">
        <v>6.317209715518735</v>
      </c>
    </row>
    <row r="2751" spans="1:2">
      <c r="A2751" s="32">
        <v>2741</v>
      </c>
      <c r="B2751" s="90">
        <v>7.6994754057801273</v>
      </c>
    </row>
    <row r="2752" spans="1:2">
      <c r="A2752" s="32">
        <v>2742</v>
      </c>
      <c r="B2752" s="90">
        <v>8.7112388715307372</v>
      </c>
    </row>
    <row r="2753" spans="1:2">
      <c r="A2753" s="32">
        <v>2743</v>
      </c>
      <c r="B2753" s="90">
        <v>7.7080726531881405</v>
      </c>
    </row>
    <row r="2754" spans="1:2">
      <c r="A2754" s="32">
        <v>2744</v>
      </c>
      <c r="B2754" s="90">
        <v>8.6057244980860901</v>
      </c>
    </row>
    <row r="2755" spans="1:2">
      <c r="A2755" s="32">
        <v>2745</v>
      </c>
      <c r="B2755" s="90">
        <v>8.6476036537432233</v>
      </c>
    </row>
    <row r="2756" spans="1:2">
      <c r="A2756" s="32">
        <v>2746</v>
      </c>
      <c r="B2756" s="90">
        <v>6.2495636867657822</v>
      </c>
    </row>
    <row r="2757" spans="1:2">
      <c r="A2757" s="32">
        <v>2747</v>
      </c>
      <c r="B2757" s="90">
        <v>7.6881746158838489</v>
      </c>
    </row>
    <row r="2758" spans="1:2">
      <c r="A2758" s="32">
        <v>2748</v>
      </c>
      <c r="B2758" s="90">
        <v>9.1978702421453704</v>
      </c>
    </row>
    <row r="2759" spans="1:2">
      <c r="A2759" s="32">
        <v>2749</v>
      </c>
      <c r="B2759" s="90">
        <v>8.2384815813794141</v>
      </c>
    </row>
    <row r="2760" spans="1:2">
      <c r="A2760" s="32">
        <v>2750</v>
      </c>
      <c r="B2760" s="90">
        <v>8.1003569417986956</v>
      </c>
    </row>
    <row r="2761" spans="1:2">
      <c r="A2761" s="32">
        <v>2751</v>
      </c>
      <c r="B2761" s="90">
        <v>7.7436886931781164</v>
      </c>
    </row>
    <row r="2762" spans="1:2">
      <c r="A2762" s="32">
        <v>2752</v>
      </c>
      <c r="B2762" s="90">
        <v>7.3698728791294696</v>
      </c>
    </row>
    <row r="2763" spans="1:2">
      <c r="A2763" s="32">
        <v>2753</v>
      </c>
      <c r="B2763" s="90">
        <v>7.5581726522003647</v>
      </c>
    </row>
    <row r="2764" spans="1:2">
      <c r="A2764" s="32">
        <v>2754</v>
      </c>
      <c r="B2764" s="90">
        <v>8.4584942539336403</v>
      </c>
    </row>
    <row r="2765" spans="1:2">
      <c r="A2765" s="32">
        <v>2755</v>
      </c>
      <c r="B2765" s="90">
        <v>8.1454215061701856</v>
      </c>
    </row>
    <row r="2766" spans="1:2">
      <c r="A2766" s="32">
        <v>2756</v>
      </c>
      <c r="B2766" s="90">
        <v>8.2686202559959519</v>
      </c>
    </row>
    <row r="2767" spans="1:2">
      <c r="A2767" s="32">
        <v>2757</v>
      </c>
      <c r="B2767" s="90">
        <v>7.9053320627153019</v>
      </c>
    </row>
    <row r="2768" spans="1:2">
      <c r="A2768" s="32">
        <v>2758</v>
      </c>
      <c r="B2768" s="90">
        <v>7.2899406544193246</v>
      </c>
    </row>
    <row r="2769" spans="1:2">
      <c r="A2769" s="32">
        <v>2759</v>
      </c>
      <c r="B2769" s="90">
        <v>7.1645825153867309</v>
      </c>
    </row>
    <row r="2770" spans="1:2">
      <c r="A2770" s="32">
        <v>2760</v>
      </c>
      <c r="B2770" s="90">
        <v>9.4053189881372052</v>
      </c>
    </row>
    <row r="2771" spans="1:2">
      <c r="A2771" s="32">
        <v>2761</v>
      </c>
      <c r="B2771" s="90">
        <v>8.05513633332572</v>
      </c>
    </row>
    <row r="2772" spans="1:2">
      <c r="A2772" s="32">
        <v>2762</v>
      </c>
      <c r="B2772" s="90">
        <v>8.0299096792116362</v>
      </c>
    </row>
    <row r="2773" spans="1:2">
      <c r="A2773" s="32">
        <v>2763</v>
      </c>
      <c r="B2773" s="90">
        <v>7.5317482796408282</v>
      </c>
    </row>
    <row r="2774" spans="1:2">
      <c r="A2774" s="32">
        <v>2764</v>
      </c>
      <c r="B2774" s="90">
        <v>7.6534773732979779</v>
      </c>
    </row>
    <row r="2775" spans="1:2">
      <c r="A2775" s="32">
        <v>2765</v>
      </c>
      <c r="B2775" s="90">
        <v>7.245075367642368</v>
      </c>
    </row>
    <row r="2776" spans="1:2">
      <c r="A2776" s="32">
        <v>2766</v>
      </c>
      <c r="B2776" s="90">
        <v>9.2409694783563783</v>
      </c>
    </row>
    <row r="2777" spans="1:2">
      <c r="A2777" s="32">
        <v>2767</v>
      </c>
      <c r="B2777" s="90">
        <v>7.7795568744172634</v>
      </c>
    </row>
    <row r="2778" spans="1:2">
      <c r="A2778" s="32">
        <v>2768</v>
      </c>
      <c r="B2778" s="90">
        <v>8.0302334326008005</v>
      </c>
    </row>
    <row r="2779" spans="1:2">
      <c r="A2779" s="32">
        <v>2769</v>
      </c>
      <c r="B2779" s="90">
        <v>7.2321541861697725</v>
      </c>
    </row>
    <row r="2780" spans="1:2">
      <c r="A2780" s="32">
        <v>2770</v>
      </c>
      <c r="B2780" s="90">
        <v>8.2159656712480995</v>
      </c>
    </row>
    <row r="2781" spans="1:2">
      <c r="A2781" s="32">
        <v>2771</v>
      </c>
      <c r="B2781" s="90">
        <v>7.5197194966230052</v>
      </c>
    </row>
    <row r="2782" spans="1:2">
      <c r="A2782" s="32">
        <v>2772</v>
      </c>
      <c r="B2782" s="90">
        <v>8.7881916969513174</v>
      </c>
    </row>
    <row r="2783" spans="1:2">
      <c r="A2783" s="32">
        <v>2773</v>
      </c>
      <c r="B2783" s="90">
        <v>7.938619603029986</v>
      </c>
    </row>
    <row r="2784" spans="1:2">
      <c r="A2784" s="32">
        <v>2774</v>
      </c>
      <c r="B2784" s="90">
        <v>7.5025011991123209</v>
      </c>
    </row>
    <row r="2785" spans="1:2">
      <c r="A2785" s="32">
        <v>2775</v>
      </c>
      <c r="B2785" s="90">
        <v>7.6564392056788675</v>
      </c>
    </row>
    <row r="2786" spans="1:2">
      <c r="A2786" s="32">
        <v>2776</v>
      </c>
      <c r="B2786" s="90">
        <v>7.7485043649066085</v>
      </c>
    </row>
    <row r="2787" spans="1:2">
      <c r="A2787" s="32">
        <v>2777</v>
      </c>
      <c r="B2787" s="90">
        <v>7.916632082727074</v>
      </c>
    </row>
    <row r="2788" spans="1:2">
      <c r="A2788" s="32">
        <v>2778</v>
      </c>
      <c r="B2788" s="90">
        <v>8.7931646069873821</v>
      </c>
    </row>
    <row r="2789" spans="1:2">
      <c r="A2789" s="32">
        <v>2779</v>
      </c>
      <c r="B2789" s="90">
        <v>7.738955594128667</v>
      </c>
    </row>
    <row r="2790" spans="1:2">
      <c r="A2790" s="32">
        <v>2780</v>
      </c>
      <c r="B2790" s="90">
        <v>7.671039701800014</v>
      </c>
    </row>
    <row r="2791" spans="1:2">
      <c r="A2791" s="32">
        <v>2781</v>
      </c>
      <c r="B2791" s="90">
        <v>7.5482801854540318</v>
      </c>
    </row>
    <row r="2792" spans="1:2">
      <c r="A2792" s="32">
        <v>2782</v>
      </c>
      <c r="B2792" s="90">
        <v>7.5585433682226872</v>
      </c>
    </row>
    <row r="2793" spans="1:2">
      <c r="A2793" s="32">
        <v>2783</v>
      </c>
      <c r="B2793" s="90">
        <v>8.6392327539933849</v>
      </c>
    </row>
    <row r="2794" spans="1:2">
      <c r="A2794" s="32">
        <v>2784</v>
      </c>
      <c r="B2794" s="90">
        <v>8.029335953501251</v>
      </c>
    </row>
    <row r="2795" spans="1:2">
      <c r="A2795" s="32">
        <v>2785</v>
      </c>
      <c r="B2795" s="90">
        <v>7.8784906759482238</v>
      </c>
    </row>
    <row r="2796" spans="1:2">
      <c r="A2796" s="32">
        <v>2786</v>
      </c>
      <c r="B2796" s="90">
        <v>8.1882357383378608</v>
      </c>
    </row>
    <row r="2797" spans="1:2">
      <c r="A2797" s="32">
        <v>2787</v>
      </c>
      <c r="B2797" s="90">
        <v>7.4087426045804419</v>
      </c>
    </row>
    <row r="2798" spans="1:2">
      <c r="A2798" s="32">
        <v>2788</v>
      </c>
      <c r="B2798" s="90">
        <v>7.0168667357462784</v>
      </c>
    </row>
    <row r="2799" spans="1:2">
      <c r="A2799" s="32">
        <v>2789</v>
      </c>
      <c r="B2799" s="90">
        <v>9.3658413060469279</v>
      </c>
    </row>
    <row r="2800" spans="1:2">
      <c r="A2800" s="32">
        <v>2790</v>
      </c>
      <c r="B2800" s="90">
        <v>8.0173806378950285</v>
      </c>
    </row>
    <row r="2801" spans="1:2">
      <c r="A2801" s="32">
        <v>2791</v>
      </c>
      <c r="B2801" s="90">
        <v>7.8258103907031424</v>
      </c>
    </row>
    <row r="2802" spans="1:2">
      <c r="A2802" s="32">
        <v>2792</v>
      </c>
      <c r="B2802" s="90">
        <v>7.9722969235333343</v>
      </c>
    </row>
    <row r="2803" spans="1:2">
      <c r="A2803" s="32">
        <v>2793</v>
      </c>
      <c r="B2803" s="90">
        <v>7.3663266374390624</v>
      </c>
    </row>
    <row r="2804" spans="1:2">
      <c r="A2804" s="32">
        <v>2794</v>
      </c>
      <c r="B2804" s="90">
        <v>7.2411399076337695</v>
      </c>
    </row>
    <row r="2805" spans="1:2">
      <c r="A2805" s="32">
        <v>2795</v>
      </c>
      <c r="B2805" s="90">
        <v>9.0717413384432835</v>
      </c>
    </row>
    <row r="2806" spans="1:2">
      <c r="A2806" s="32">
        <v>2796</v>
      </c>
      <c r="B2806" s="90">
        <v>8.2862814057797483</v>
      </c>
    </row>
    <row r="2807" spans="1:2">
      <c r="A2807" s="32">
        <v>2797</v>
      </c>
      <c r="B2807" s="90">
        <v>8.0476485218547733</v>
      </c>
    </row>
    <row r="2808" spans="1:2">
      <c r="A2808" s="32">
        <v>2798</v>
      </c>
      <c r="B2808" s="90">
        <v>7.186208839806242</v>
      </c>
    </row>
    <row r="2809" spans="1:2">
      <c r="A2809" s="32">
        <v>2799</v>
      </c>
      <c r="B2809" s="90">
        <v>8.2907779983276626</v>
      </c>
    </row>
    <row r="2810" spans="1:2">
      <c r="A2810" s="32">
        <v>2800</v>
      </c>
      <c r="B2810" s="90">
        <v>7.2238053088888581</v>
      </c>
    </row>
    <row r="2811" spans="1:2">
      <c r="A2811" s="32">
        <v>2801</v>
      </c>
      <c r="B2811" s="90">
        <v>8.796366661092085</v>
      </c>
    </row>
    <row r="2812" spans="1:2">
      <c r="A2812" s="32">
        <v>2802</v>
      </c>
      <c r="B2812" s="90">
        <v>7.925317925891056</v>
      </c>
    </row>
    <row r="2813" spans="1:2">
      <c r="A2813" s="32">
        <v>2803</v>
      </c>
      <c r="B2813" s="90">
        <v>8.0081657418103021</v>
      </c>
    </row>
    <row r="2814" spans="1:2">
      <c r="A2814" s="32">
        <v>2804</v>
      </c>
      <c r="B2814" s="90">
        <v>7.2538484134197168</v>
      </c>
    </row>
    <row r="2815" spans="1:2">
      <c r="A2815" s="32">
        <v>2805</v>
      </c>
      <c r="B2815" s="90">
        <v>7.8404776153108768</v>
      </c>
    </row>
    <row r="2816" spans="1:2">
      <c r="A2816" s="32">
        <v>2806</v>
      </c>
      <c r="B2816" s="90">
        <v>7.8825192442263301</v>
      </c>
    </row>
    <row r="2817" spans="1:2">
      <c r="A2817" s="32">
        <v>2807</v>
      </c>
      <c r="B2817" s="90">
        <v>8.8324820467390079</v>
      </c>
    </row>
    <row r="2818" spans="1:2">
      <c r="A2818" s="32">
        <v>2808</v>
      </c>
      <c r="B2818" s="90">
        <v>7.7699716073528258</v>
      </c>
    </row>
    <row r="2819" spans="1:2">
      <c r="A2819" s="32">
        <v>2809</v>
      </c>
      <c r="B2819" s="90">
        <v>7.659330044091182</v>
      </c>
    </row>
    <row r="2820" spans="1:2">
      <c r="A2820" s="32">
        <v>2810</v>
      </c>
      <c r="B2820" s="90">
        <v>7.4957090734164558</v>
      </c>
    </row>
    <row r="2821" spans="1:2">
      <c r="A2821" s="32">
        <v>2811</v>
      </c>
      <c r="B2821" s="90">
        <v>7.3994145522907724</v>
      </c>
    </row>
    <row r="2822" spans="1:2">
      <c r="A2822" s="32">
        <v>2812</v>
      </c>
      <c r="B2822" s="90">
        <v>8.6579247914533113</v>
      </c>
    </row>
    <row r="2823" spans="1:2">
      <c r="A2823" s="32">
        <v>2813</v>
      </c>
      <c r="B2823" s="90">
        <v>8.2384815813794141</v>
      </c>
    </row>
    <row r="2824" spans="1:2">
      <c r="A2824" s="32">
        <v>2814</v>
      </c>
      <c r="B2824" s="90">
        <v>8.1003569417986956</v>
      </c>
    </row>
    <row r="2825" spans="1:2">
      <c r="A2825" s="32">
        <v>2815</v>
      </c>
      <c r="B2825" s="90">
        <v>7.7436886931781164</v>
      </c>
    </row>
    <row r="2826" spans="1:2">
      <c r="A2826" s="32">
        <v>2816</v>
      </c>
      <c r="B2826" s="90">
        <v>7.3698728791294696</v>
      </c>
    </row>
    <row r="2827" spans="1:2">
      <c r="A2827" s="32">
        <v>2817</v>
      </c>
      <c r="B2827" s="90">
        <v>7.5581726522003647</v>
      </c>
    </row>
    <row r="2828" spans="1:2">
      <c r="A2828" s="32">
        <v>2818</v>
      </c>
      <c r="B2828" s="90">
        <v>8.4584942539336403</v>
      </c>
    </row>
    <row r="2829" spans="1:2">
      <c r="A2829" s="32">
        <v>2819</v>
      </c>
      <c r="B2829" s="90">
        <v>8.1454215061701856</v>
      </c>
    </row>
    <row r="2830" spans="1:2">
      <c r="A2830" s="32">
        <v>2820</v>
      </c>
      <c r="B2830" s="90">
        <v>8.2686202559959519</v>
      </c>
    </row>
    <row r="2831" spans="1:2">
      <c r="A2831" s="32">
        <v>2821</v>
      </c>
      <c r="B2831" s="90">
        <v>7.9053320627153019</v>
      </c>
    </row>
    <row r="2832" spans="1:2">
      <c r="A2832" s="32">
        <v>2822</v>
      </c>
      <c r="B2832" s="90">
        <v>7.2899406544193246</v>
      </c>
    </row>
    <row r="2833" spans="1:2">
      <c r="A2833" s="32">
        <v>2823</v>
      </c>
      <c r="B2833" s="90">
        <v>7.1645825153867309</v>
      </c>
    </row>
    <row r="2834" spans="1:2">
      <c r="A2834" s="32">
        <v>2824</v>
      </c>
      <c r="B2834" s="90">
        <v>9.4053189881372052</v>
      </c>
    </row>
    <row r="2835" spans="1:2">
      <c r="A2835" s="32">
        <v>2825</v>
      </c>
      <c r="B2835" s="90">
        <v>8.05513633332572</v>
      </c>
    </row>
    <row r="2836" spans="1:2">
      <c r="A2836" s="32">
        <v>2826</v>
      </c>
      <c r="B2836" s="90">
        <v>8.0299096792116362</v>
      </c>
    </row>
    <row r="2837" spans="1:2">
      <c r="A2837" s="32">
        <v>2827</v>
      </c>
      <c r="B2837" s="90">
        <v>7.5317482796408282</v>
      </c>
    </row>
    <row r="2838" spans="1:2">
      <c r="A2838" s="32">
        <v>2828</v>
      </c>
      <c r="B2838" s="90">
        <v>7.6534773732979779</v>
      </c>
    </row>
    <row r="2839" spans="1:2">
      <c r="A2839" s="32">
        <v>2829</v>
      </c>
      <c r="B2839" s="90">
        <v>7.245075367642368</v>
      </c>
    </row>
    <row r="2840" spans="1:2">
      <c r="A2840" s="32">
        <v>2830</v>
      </c>
      <c r="B2840" s="90">
        <v>8.2253131446859005</v>
      </c>
    </row>
    <row r="2841" spans="1:2">
      <c r="A2841" s="32">
        <v>2831</v>
      </c>
      <c r="B2841" s="90">
        <v>8.0079586656685375</v>
      </c>
    </row>
    <row r="2842" spans="1:2">
      <c r="A2842" s="32">
        <v>2832</v>
      </c>
      <c r="B2842" s="90">
        <v>8.0971209658964369</v>
      </c>
    </row>
    <row r="2843" spans="1:2">
      <c r="A2843" s="32">
        <v>2833</v>
      </c>
      <c r="B2843" s="90">
        <v>8.2874178804394489</v>
      </c>
    </row>
    <row r="2844" spans="1:2">
      <c r="A2844" s="32">
        <v>2834</v>
      </c>
      <c r="B2844" s="90">
        <v>7.5159834644050703</v>
      </c>
    </row>
    <row r="2845" spans="1:2">
      <c r="A2845" s="32">
        <v>2835</v>
      </c>
      <c r="B2845" s="90">
        <v>8.2145819919414134</v>
      </c>
    </row>
    <row r="2846" spans="1:2">
      <c r="A2846" s="32">
        <v>2836</v>
      </c>
      <c r="B2846" s="90">
        <v>8.6146734387411872</v>
      </c>
    </row>
    <row r="2847" spans="1:2">
      <c r="A2847" s="32">
        <v>2837</v>
      </c>
      <c r="B2847" s="90">
        <v>7.6024159566265128</v>
      </c>
    </row>
    <row r="2848" spans="1:2">
      <c r="A2848" s="32">
        <v>2838</v>
      </c>
      <c r="B2848" s="90">
        <v>8.3363725874157861</v>
      </c>
    </row>
    <row r="2849" spans="1:2">
      <c r="A2849" s="32">
        <v>2839</v>
      </c>
      <c r="B2849" s="90">
        <v>7.93670154240146</v>
      </c>
    </row>
    <row r="2850" spans="1:2">
      <c r="A2850" s="32">
        <v>2840</v>
      </c>
      <c r="B2850" s="90">
        <v>7.6264955492750461</v>
      </c>
    </row>
    <row r="2851" spans="1:2">
      <c r="A2851" s="32">
        <v>2841</v>
      </c>
      <c r="B2851" s="90">
        <v>8.5349451073026668</v>
      </c>
    </row>
    <row r="2852" spans="1:2">
      <c r="A2852" s="32">
        <v>2842</v>
      </c>
      <c r="B2852" s="90">
        <v>7.7427984473743487</v>
      </c>
    </row>
    <row r="2853" spans="1:2">
      <c r="A2853" s="32">
        <v>2843</v>
      </c>
      <c r="B2853" s="90">
        <v>8.0736375404381509</v>
      </c>
    </row>
    <row r="2854" spans="1:2">
      <c r="A2854" s="32">
        <v>2844</v>
      </c>
      <c r="B2854" s="90">
        <v>7.9312731948152484</v>
      </c>
    </row>
    <row r="2855" spans="1:2">
      <c r="A2855" s="32">
        <v>2845</v>
      </c>
      <c r="B2855" s="90">
        <v>8.2939426592516803</v>
      </c>
    </row>
    <row r="2856" spans="1:2">
      <c r="A2856" s="32">
        <v>2846</v>
      </c>
      <c r="B2856" s="90">
        <v>7.9351388119900683</v>
      </c>
    </row>
    <row r="2857" spans="1:2">
      <c r="A2857" s="32">
        <v>2847</v>
      </c>
      <c r="B2857" s="90">
        <v>8.4031719534425751</v>
      </c>
    </row>
    <row r="2858" spans="1:2">
      <c r="A2858" s="32">
        <v>2848</v>
      </c>
      <c r="B2858" s="90">
        <v>7.9577182769849415</v>
      </c>
    </row>
    <row r="2859" spans="1:2">
      <c r="A2859" s="32">
        <v>2849</v>
      </c>
      <c r="B2859" s="90">
        <v>7.9764004910050863</v>
      </c>
    </row>
    <row r="2860" spans="1:2">
      <c r="A2860" s="32">
        <v>2850</v>
      </c>
      <c r="B2860" s="90">
        <v>7.5991642268686936</v>
      </c>
    </row>
    <row r="2861" spans="1:2">
      <c r="A2861" s="32">
        <v>2851</v>
      </c>
      <c r="B2861" s="90">
        <v>8.4844687666383134</v>
      </c>
    </row>
    <row r="2862" spans="1:2">
      <c r="A2862" s="32">
        <v>2852</v>
      </c>
      <c r="B2862" s="90">
        <v>7.8947785580730043</v>
      </c>
    </row>
    <row r="2863" spans="1:2">
      <c r="A2863" s="32">
        <v>2853</v>
      </c>
      <c r="B2863" s="90">
        <v>7.7808251464997715</v>
      </c>
    </row>
    <row r="2864" spans="1:2">
      <c r="A2864" s="32">
        <v>2854</v>
      </c>
      <c r="B2864" s="90">
        <v>8.2465279998700005</v>
      </c>
    </row>
    <row r="2865" spans="1:2">
      <c r="A2865" s="32">
        <v>2855</v>
      </c>
      <c r="B2865" s="90">
        <v>8.2609367117720947</v>
      </c>
    </row>
    <row r="2866" spans="1:2">
      <c r="A2866" s="32">
        <v>2856</v>
      </c>
      <c r="B2866" s="90">
        <v>7.8549702665805405</v>
      </c>
    </row>
    <row r="2867" spans="1:2">
      <c r="A2867" s="32">
        <v>2857</v>
      </c>
      <c r="B2867" s="90">
        <v>8.0073328735662166</v>
      </c>
    </row>
    <row r="2868" spans="1:2">
      <c r="A2868" s="32">
        <v>2858</v>
      </c>
      <c r="B2868" s="90">
        <v>7.8895143527375069</v>
      </c>
    </row>
    <row r="2869" spans="1:2">
      <c r="A2869" s="32">
        <v>2859</v>
      </c>
      <c r="B2869" s="90">
        <v>7.9644564672745188</v>
      </c>
    </row>
    <row r="2870" spans="1:2">
      <c r="A2870" s="32">
        <v>2860</v>
      </c>
      <c r="B2870" s="90">
        <v>8.6596146116248018</v>
      </c>
    </row>
    <row r="2871" spans="1:2">
      <c r="A2871" s="32">
        <v>2861</v>
      </c>
      <c r="B2871" s="90">
        <v>7.6762823362132435</v>
      </c>
    </row>
    <row r="2872" spans="1:2">
      <c r="A2872" s="32">
        <v>2862</v>
      </c>
      <c r="B2872" s="90">
        <v>8.3656009600062848</v>
      </c>
    </row>
    <row r="2873" spans="1:2">
      <c r="A2873" s="32">
        <v>2863</v>
      </c>
      <c r="B2873" s="90">
        <v>8.0876992544816702</v>
      </c>
    </row>
    <row r="2874" spans="1:2">
      <c r="A2874" s="32">
        <v>2864</v>
      </c>
      <c r="B2874" s="90">
        <v>7.5201341761510667</v>
      </c>
    </row>
    <row r="2875" spans="1:2">
      <c r="A2875" s="32">
        <v>2865</v>
      </c>
      <c r="B2875" s="90">
        <v>8.642741861744506</v>
      </c>
    </row>
    <row r="2876" spans="1:2">
      <c r="A2876" s="32">
        <v>2866</v>
      </c>
      <c r="B2876" s="90">
        <v>7.8199295632350427</v>
      </c>
    </row>
    <row r="2877" spans="1:2">
      <c r="A2877" s="32">
        <v>2867</v>
      </c>
      <c r="B2877" s="90">
        <v>8.6258520995237813</v>
      </c>
    </row>
    <row r="2878" spans="1:2">
      <c r="A2878" s="32">
        <v>2868</v>
      </c>
      <c r="B2878" s="90">
        <v>7.4447015476947422</v>
      </c>
    </row>
    <row r="2879" spans="1:2">
      <c r="A2879" s="32">
        <v>2869</v>
      </c>
      <c r="B2879" s="90">
        <v>7.8437034872668017</v>
      </c>
    </row>
    <row r="2880" spans="1:2">
      <c r="A2880" s="32">
        <v>2870</v>
      </c>
      <c r="B2880" s="90">
        <v>8.3784966736369721</v>
      </c>
    </row>
    <row r="2881" spans="1:2">
      <c r="A2881" s="32">
        <v>2871</v>
      </c>
      <c r="B2881" s="90">
        <v>8.3503520374162452</v>
      </c>
    </row>
    <row r="2882" spans="1:2">
      <c r="A2882" s="32">
        <v>2872</v>
      </c>
      <c r="B2882" s="90">
        <v>7.607659300799793</v>
      </c>
    </row>
    <row r="2883" spans="1:2">
      <c r="A2883" s="32">
        <v>2873</v>
      </c>
      <c r="B2883" s="90">
        <v>8.0963963941495738</v>
      </c>
    </row>
    <row r="2884" spans="1:2">
      <c r="A2884" s="32">
        <v>2874</v>
      </c>
      <c r="B2884" s="90">
        <v>8.1794245188325991</v>
      </c>
    </row>
    <row r="2885" spans="1:2">
      <c r="A2885" s="32">
        <v>2875</v>
      </c>
      <c r="B2885" s="90">
        <v>7.7703864982147968</v>
      </c>
    </row>
    <row r="2886" spans="1:2">
      <c r="A2886" s="32">
        <v>2876</v>
      </c>
      <c r="B2886" s="90">
        <v>8.5575361059692536</v>
      </c>
    </row>
    <row r="2887" spans="1:2">
      <c r="A2887" s="32">
        <v>2877</v>
      </c>
      <c r="B2887" s="90">
        <v>7.8195456209607919</v>
      </c>
    </row>
    <row r="2888" spans="1:2">
      <c r="A2888" s="32">
        <v>2878</v>
      </c>
      <c r="B2888" s="90">
        <v>8.0802770888311741</v>
      </c>
    </row>
    <row r="2889" spans="1:2">
      <c r="A2889" s="32">
        <v>2879</v>
      </c>
      <c r="B2889" s="90">
        <v>7.8426029395827594</v>
      </c>
    </row>
    <row r="2890" spans="1:2">
      <c r="A2890" s="32">
        <v>2880</v>
      </c>
      <c r="B2890" s="90">
        <v>8.2713168041147167</v>
      </c>
    </row>
    <row r="2891" spans="1:2">
      <c r="A2891" s="32">
        <v>2881</v>
      </c>
      <c r="B2891" s="90">
        <v>7.9002559462683326</v>
      </c>
    </row>
    <row r="2892" spans="1:2">
      <c r="A2892" s="32">
        <v>2882</v>
      </c>
      <c r="B2892" s="90">
        <v>8.1877891783182548</v>
      </c>
    </row>
    <row r="2893" spans="1:2">
      <c r="A2893" s="32">
        <v>2883</v>
      </c>
      <c r="B2893" s="90">
        <v>7.8033094401662249</v>
      </c>
    </row>
    <row r="2894" spans="1:2">
      <c r="A2894" s="32">
        <v>2884</v>
      </c>
      <c r="B2894" s="90">
        <v>8.3289192371716982</v>
      </c>
    </row>
    <row r="2895" spans="1:2">
      <c r="A2895" s="32">
        <v>2885</v>
      </c>
      <c r="B2895" s="90">
        <v>7.8439446959850905</v>
      </c>
    </row>
    <row r="2896" spans="1:2">
      <c r="A2896" s="32">
        <v>2886</v>
      </c>
      <c r="B2896" s="90">
        <v>8.2376287969944606</v>
      </c>
    </row>
    <row r="2897" spans="1:2">
      <c r="A2897" s="32">
        <v>2887</v>
      </c>
      <c r="B2897" s="90">
        <v>7.6688481575413139</v>
      </c>
    </row>
    <row r="2898" spans="1:2">
      <c r="A2898" s="32">
        <v>2888</v>
      </c>
      <c r="B2898" s="90">
        <v>7.7884836662541623</v>
      </c>
    </row>
    <row r="2899" spans="1:2">
      <c r="A2899" s="32">
        <v>2889</v>
      </c>
      <c r="B2899" s="90">
        <v>8.8367466149313287</v>
      </c>
    </row>
    <row r="2900" spans="1:2">
      <c r="A2900" s="32">
        <v>2890</v>
      </c>
      <c r="B2900" s="90">
        <v>7.357218758130597</v>
      </c>
    </row>
    <row r="2901" spans="1:2">
      <c r="A2901" s="32">
        <v>2891</v>
      </c>
      <c r="B2901" s="90">
        <v>8.7111303661965049</v>
      </c>
    </row>
    <row r="2902" spans="1:2">
      <c r="A2902" s="32">
        <v>2892</v>
      </c>
      <c r="B2902" s="90">
        <v>7.8076114515609412</v>
      </c>
    </row>
    <row r="2903" spans="1:2">
      <c r="A2903" s="32">
        <v>2893</v>
      </c>
      <c r="B2903" s="90">
        <v>8.0406208211052927</v>
      </c>
    </row>
    <row r="2904" spans="1:2">
      <c r="A2904" s="32">
        <v>2894</v>
      </c>
      <c r="B2904" s="90">
        <v>8.2253131446859005</v>
      </c>
    </row>
    <row r="2905" spans="1:2">
      <c r="A2905" s="32">
        <v>2895</v>
      </c>
      <c r="B2905" s="90">
        <v>8.0079586656685375</v>
      </c>
    </row>
    <row r="2906" spans="1:2">
      <c r="A2906" s="32">
        <v>2896</v>
      </c>
      <c r="B2906" s="90">
        <v>8.0971209658964369</v>
      </c>
    </row>
    <row r="2907" spans="1:2">
      <c r="A2907" s="32">
        <v>2897</v>
      </c>
      <c r="B2907" s="90">
        <v>8.2874178804394489</v>
      </c>
    </row>
    <row r="2908" spans="1:2">
      <c r="A2908" s="32">
        <v>2898</v>
      </c>
      <c r="B2908" s="90">
        <v>7.5159834644050703</v>
      </c>
    </row>
    <row r="2909" spans="1:2">
      <c r="A2909" s="32">
        <v>2899</v>
      </c>
      <c r="B2909" s="90">
        <v>8.2145819919414134</v>
      </c>
    </row>
    <row r="2910" spans="1:2">
      <c r="A2910" s="32">
        <v>2900</v>
      </c>
      <c r="B2910" s="90">
        <v>8.6146734387411872</v>
      </c>
    </row>
    <row r="2911" spans="1:2">
      <c r="A2911" s="32">
        <v>2901</v>
      </c>
      <c r="B2911" s="90">
        <v>7.6024159566265128</v>
      </c>
    </row>
    <row r="2912" spans="1:2">
      <c r="A2912" s="32">
        <v>2902</v>
      </c>
      <c r="B2912" s="90">
        <v>8.3363725874157861</v>
      </c>
    </row>
    <row r="2913" spans="1:2">
      <c r="A2913" s="32">
        <v>2903</v>
      </c>
      <c r="B2913" s="90">
        <v>7.93670154240146</v>
      </c>
    </row>
    <row r="2914" spans="1:2">
      <c r="A2914" s="32">
        <v>2904</v>
      </c>
      <c r="B2914" s="90">
        <v>7.6264955492750461</v>
      </c>
    </row>
    <row r="2915" spans="1:2">
      <c r="A2915" s="32">
        <v>2905</v>
      </c>
      <c r="B2915" s="90">
        <v>8.5349451073026668</v>
      </c>
    </row>
    <row r="2916" spans="1:2">
      <c r="A2916" s="32">
        <v>2906</v>
      </c>
      <c r="B2916" s="90">
        <v>7.7427984473743487</v>
      </c>
    </row>
    <row r="2917" spans="1:2">
      <c r="A2917" s="32">
        <v>2907</v>
      </c>
      <c r="B2917" s="90">
        <v>8.0736375404381509</v>
      </c>
    </row>
    <row r="2918" spans="1:2">
      <c r="A2918" s="32">
        <v>2908</v>
      </c>
      <c r="B2918" s="90">
        <v>7.9312731948152484</v>
      </c>
    </row>
    <row r="2919" spans="1:2">
      <c r="A2919" s="32">
        <v>2909</v>
      </c>
      <c r="B2919" s="90">
        <v>8.2939426592516803</v>
      </c>
    </row>
    <row r="2920" spans="1:2">
      <c r="A2920" s="32">
        <v>2910</v>
      </c>
      <c r="B2920" s="90">
        <v>7.9351388119900683</v>
      </c>
    </row>
    <row r="2921" spans="1:2">
      <c r="A2921" s="32">
        <v>2911</v>
      </c>
      <c r="B2921" s="90">
        <v>8.4031719534425751</v>
      </c>
    </row>
    <row r="2922" spans="1:2">
      <c r="A2922" s="32">
        <v>2912</v>
      </c>
      <c r="B2922" s="90">
        <v>7.9577182769849415</v>
      </c>
    </row>
    <row r="2923" spans="1:2">
      <c r="A2923" s="32">
        <v>2913</v>
      </c>
      <c r="B2923" s="90">
        <v>7.9764004910050863</v>
      </c>
    </row>
    <row r="2924" spans="1:2">
      <c r="A2924" s="32">
        <v>2914</v>
      </c>
      <c r="B2924" s="90">
        <v>7.5991642268686936</v>
      </c>
    </row>
    <row r="2925" spans="1:2">
      <c r="A2925" s="32">
        <v>2915</v>
      </c>
      <c r="B2925" s="90">
        <v>8.4844687666383134</v>
      </c>
    </row>
    <row r="2926" spans="1:2">
      <c r="A2926" s="32">
        <v>2916</v>
      </c>
      <c r="B2926" s="90">
        <v>7.8947785580730043</v>
      </c>
    </row>
    <row r="2927" spans="1:2">
      <c r="A2927" s="32">
        <v>2917</v>
      </c>
      <c r="B2927" s="90">
        <v>7.7808251464997715</v>
      </c>
    </row>
    <row r="2928" spans="1:2">
      <c r="A2928" s="32">
        <v>2918</v>
      </c>
      <c r="B2928" s="90">
        <v>8.2465279998700005</v>
      </c>
    </row>
    <row r="2929" spans="1:2">
      <c r="A2929" s="32">
        <v>2919</v>
      </c>
      <c r="B2929" s="90">
        <v>8.2609367117720947</v>
      </c>
    </row>
    <row r="2930" spans="1:2">
      <c r="A2930" s="32">
        <v>2920</v>
      </c>
      <c r="B2930" s="90">
        <v>7.8549702665805405</v>
      </c>
    </row>
    <row r="2931" spans="1:2">
      <c r="A2931" s="32">
        <v>2921</v>
      </c>
      <c r="B2931" s="90">
        <v>8.0073328735662166</v>
      </c>
    </row>
    <row r="2932" spans="1:2">
      <c r="A2932" s="32">
        <v>2922</v>
      </c>
      <c r="B2932" s="90">
        <v>7.8895143527375069</v>
      </c>
    </row>
    <row r="2933" spans="1:2">
      <c r="A2933" s="32">
        <v>2923</v>
      </c>
      <c r="B2933" s="90">
        <v>7.9644564672745188</v>
      </c>
    </row>
    <row r="2934" spans="1:2">
      <c r="A2934" s="32">
        <v>2924</v>
      </c>
      <c r="B2934" s="90">
        <v>8.6596146116248018</v>
      </c>
    </row>
    <row r="2935" spans="1:2">
      <c r="A2935" s="32">
        <v>2925</v>
      </c>
      <c r="B2935" s="90">
        <v>7.6762823362132435</v>
      </c>
    </row>
    <row r="2936" spans="1:2">
      <c r="A2936" s="32">
        <v>2926</v>
      </c>
      <c r="B2936" s="90">
        <v>8.3656009600062848</v>
      </c>
    </row>
    <row r="2937" spans="1:2">
      <c r="A2937" s="32">
        <v>2927</v>
      </c>
      <c r="B2937" s="90">
        <v>8.0876992544816702</v>
      </c>
    </row>
    <row r="2938" spans="1:2">
      <c r="A2938" s="32">
        <v>2928</v>
      </c>
      <c r="B2938" s="90">
        <v>7.5201341761510667</v>
      </c>
    </row>
    <row r="2939" spans="1:2">
      <c r="A2939" s="32">
        <v>2929</v>
      </c>
      <c r="B2939" s="90">
        <v>8.642741861744506</v>
      </c>
    </row>
    <row r="2940" spans="1:2">
      <c r="A2940" s="32">
        <v>2930</v>
      </c>
      <c r="B2940" s="90">
        <v>7.8199295632350427</v>
      </c>
    </row>
    <row r="2941" spans="1:2">
      <c r="A2941" s="32">
        <v>2931</v>
      </c>
      <c r="B2941" s="90">
        <v>8.6258520995237813</v>
      </c>
    </row>
    <row r="2942" spans="1:2">
      <c r="A2942" s="32">
        <v>2932</v>
      </c>
      <c r="B2942" s="90">
        <v>7.4447015476947422</v>
      </c>
    </row>
    <row r="2943" spans="1:2">
      <c r="A2943" s="32">
        <v>2933</v>
      </c>
      <c r="B2943" s="90">
        <v>7.8437034872668017</v>
      </c>
    </row>
    <row r="2944" spans="1:2">
      <c r="A2944" s="32">
        <v>2934</v>
      </c>
      <c r="B2944" s="90">
        <v>8.3784966736369721</v>
      </c>
    </row>
    <row r="2945" spans="1:2">
      <c r="A2945" s="32">
        <v>2935</v>
      </c>
      <c r="B2945" s="90">
        <v>8.3503520374162452</v>
      </c>
    </row>
    <row r="2946" spans="1:2">
      <c r="A2946" s="32">
        <v>2936</v>
      </c>
      <c r="B2946" s="90">
        <v>7.607659300799793</v>
      </c>
    </row>
    <row r="2947" spans="1:2">
      <c r="A2947" s="32">
        <v>2937</v>
      </c>
      <c r="B2947" s="90">
        <v>8.0963963941495738</v>
      </c>
    </row>
    <row r="2948" spans="1:2">
      <c r="A2948" s="32">
        <v>2938</v>
      </c>
      <c r="B2948" s="90">
        <v>8.1794245188325991</v>
      </c>
    </row>
    <row r="2949" spans="1:2">
      <c r="A2949" s="32">
        <v>2939</v>
      </c>
      <c r="B2949" s="90">
        <v>7.7703864982147968</v>
      </c>
    </row>
    <row r="2950" spans="1:2">
      <c r="A2950" s="32">
        <v>2940</v>
      </c>
      <c r="B2950" s="90">
        <v>8.5575361059692536</v>
      </c>
    </row>
    <row r="2951" spans="1:2">
      <c r="A2951" s="32">
        <v>2941</v>
      </c>
      <c r="B2951" s="90">
        <v>7.8195456209607919</v>
      </c>
    </row>
    <row r="2952" spans="1:2">
      <c r="A2952" s="32">
        <v>2942</v>
      </c>
      <c r="B2952" s="90">
        <v>8.0802770888311741</v>
      </c>
    </row>
    <row r="2953" spans="1:2">
      <c r="A2953" s="32">
        <v>2943</v>
      </c>
      <c r="B2953" s="90">
        <v>7.8426029395827594</v>
      </c>
    </row>
    <row r="2954" spans="1:2">
      <c r="A2954" s="32">
        <v>2944</v>
      </c>
      <c r="B2954" s="90">
        <v>8.2713168041147167</v>
      </c>
    </row>
    <row r="2955" spans="1:2">
      <c r="A2955" s="32">
        <v>2945</v>
      </c>
      <c r="B2955" s="90">
        <v>7.9002559462683326</v>
      </c>
    </row>
    <row r="2956" spans="1:2">
      <c r="A2956" s="32">
        <v>2946</v>
      </c>
      <c r="B2956" s="90">
        <v>8.1877891783182548</v>
      </c>
    </row>
    <row r="2957" spans="1:2">
      <c r="A2957" s="32">
        <v>2947</v>
      </c>
      <c r="B2957" s="90">
        <v>8.3876131911653165</v>
      </c>
    </row>
    <row r="2958" spans="1:2">
      <c r="A2958" s="32">
        <v>2948</v>
      </c>
      <c r="B2958" s="90">
        <v>7.5811779360888076</v>
      </c>
    </row>
    <row r="2959" spans="1:2">
      <c r="A2959" s="32">
        <v>2949</v>
      </c>
      <c r="B2959" s="90">
        <v>8.9955726722531555</v>
      </c>
    </row>
    <row r="2960" spans="1:2">
      <c r="A2960" s="32">
        <v>2950</v>
      </c>
      <c r="B2960" s="90">
        <v>8.3129165066554016</v>
      </c>
    </row>
    <row r="2961" spans="1:2">
      <c r="A2961" s="32">
        <v>2951</v>
      </c>
      <c r="B2961" s="90">
        <v>8.0060646705321403</v>
      </c>
    </row>
    <row r="2962" spans="1:2">
      <c r="A2962" s="32">
        <v>2952</v>
      </c>
      <c r="B2962" s="90">
        <v>8.0864849237262444</v>
      </c>
    </row>
    <row r="2963" spans="1:2">
      <c r="A2963" s="32">
        <v>2953</v>
      </c>
      <c r="B2963" s="90">
        <v>8.2042977874311855</v>
      </c>
    </row>
    <row r="2964" spans="1:2">
      <c r="A2964" s="32">
        <v>2954</v>
      </c>
      <c r="B2964" s="90">
        <v>7.523969660079822</v>
      </c>
    </row>
    <row r="2965" spans="1:2">
      <c r="A2965" s="32">
        <v>2955</v>
      </c>
      <c r="B2965" s="90">
        <v>9.3356745296469441</v>
      </c>
    </row>
    <row r="2966" spans="1:2">
      <c r="A2966" s="32">
        <v>2956</v>
      </c>
      <c r="B2966" s="90">
        <v>8.4542831569896961</v>
      </c>
    </row>
    <row r="2967" spans="1:2">
      <c r="A2967" s="32">
        <v>2957</v>
      </c>
      <c r="B2967" s="90">
        <v>8.2264731671968558</v>
      </c>
    </row>
    <row r="2968" spans="1:2">
      <c r="A2968" s="32">
        <v>2958</v>
      </c>
      <c r="B2968" s="90">
        <v>8.1738530543035441</v>
      </c>
    </row>
    <row r="2969" spans="1:2">
      <c r="A2969" s="32">
        <v>2959</v>
      </c>
      <c r="B2969" s="90">
        <v>7.8369365081899138</v>
      </c>
    </row>
    <row r="2970" spans="1:2">
      <c r="A2970" s="32">
        <v>2960</v>
      </c>
      <c r="B2970" s="90">
        <v>7.4199868496782759</v>
      </c>
    </row>
    <row r="2971" spans="1:2">
      <c r="A2971" s="32">
        <v>2961</v>
      </c>
      <c r="B2971" s="90">
        <v>8.8680394063139296</v>
      </c>
    </row>
    <row r="2972" spans="1:2">
      <c r="A2972" s="32">
        <v>2962</v>
      </c>
      <c r="B2972" s="90">
        <v>8.5712700232657326</v>
      </c>
    </row>
    <row r="2973" spans="1:2">
      <c r="A2973" s="32">
        <v>2963</v>
      </c>
      <c r="B2973" s="90">
        <v>8.3549559806690077</v>
      </c>
    </row>
    <row r="2974" spans="1:2">
      <c r="A2974" s="32">
        <v>2964</v>
      </c>
      <c r="B2974" s="90">
        <v>7.9539604368428876</v>
      </c>
    </row>
    <row r="2975" spans="1:2">
      <c r="A2975" s="32">
        <v>2965</v>
      </c>
      <c r="B2975" s="90">
        <v>7.7939229816336093</v>
      </c>
    </row>
    <row r="2976" spans="1:2">
      <c r="A2976" s="32">
        <v>2966</v>
      </c>
      <c r="B2976" s="90">
        <v>8.0018272282210869</v>
      </c>
    </row>
    <row r="2977" spans="1:2">
      <c r="A2977" s="32">
        <v>2967</v>
      </c>
      <c r="B2977" s="90">
        <v>9.1565383913651992</v>
      </c>
    </row>
    <row r="2978" spans="1:2">
      <c r="A2978" s="32">
        <v>2968</v>
      </c>
      <c r="B2978" s="90">
        <v>8.3298039507420594</v>
      </c>
    </row>
    <row r="2979" spans="1:2">
      <c r="A2979" s="32">
        <v>2969</v>
      </c>
      <c r="B2979" s="90">
        <v>8.0181000040080157</v>
      </c>
    </row>
    <row r="2980" spans="1:2">
      <c r="A2980" s="32">
        <v>2970</v>
      </c>
      <c r="B2980" s="90">
        <v>7.9524474522342237</v>
      </c>
    </row>
    <row r="2981" spans="1:2">
      <c r="A2981" s="32">
        <v>2971</v>
      </c>
      <c r="B2981" s="90">
        <v>7.5669200391450824</v>
      </c>
    </row>
    <row r="2982" spans="1:2">
      <c r="A2982" s="32">
        <v>2972</v>
      </c>
      <c r="B2982" s="90">
        <v>8.2508363593461791</v>
      </c>
    </row>
    <row r="2983" spans="1:2">
      <c r="A2983" s="32">
        <v>2973</v>
      </c>
      <c r="B2983" s="90">
        <v>9.2939404705265449</v>
      </c>
    </row>
    <row r="2984" spans="1:2">
      <c r="A2984" s="32">
        <v>2974</v>
      </c>
      <c r="B2984" s="90">
        <v>8.2098266209578945</v>
      </c>
    </row>
    <row r="2985" spans="1:2">
      <c r="A2985" s="32">
        <v>2975</v>
      </c>
      <c r="B2985" s="90">
        <v>8.0132803417991045</v>
      </c>
    </row>
    <row r="2986" spans="1:2">
      <c r="A2986" s="32">
        <v>2976</v>
      </c>
      <c r="B2986" s="90">
        <v>8.0427869853152885</v>
      </c>
    </row>
    <row r="2987" spans="1:2">
      <c r="A2987" s="32">
        <v>2977</v>
      </c>
      <c r="B2987" s="90">
        <v>7.7529087877893206</v>
      </c>
    </row>
    <row r="2988" spans="1:2">
      <c r="A2988" s="32">
        <v>2978</v>
      </c>
      <c r="B2988" s="90">
        <v>8.4599145205909085</v>
      </c>
    </row>
    <row r="2989" spans="1:2">
      <c r="A2989" s="32">
        <v>2979</v>
      </c>
      <c r="B2989" s="90">
        <v>8.7654579232425753</v>
      </c>
    </row>
    <row r="2990" spans="1:2">
      <c r="A2990" s="32">
        <v>2980</v>
      </c>
      <c r="B2990" s="90">
        <v>8.0151718563308503</v>
      </c>
    </row>
    <row r="2991" spans="1:2">
      <c r="A2991" s="32">
        <v>2981</v>
      </c>
      <c r="B2991" s="90">
        <v>8.0016707263373217</v>
      </c>
    </row>
    <row r="2992" spans="1:2">
      <c r="A2992" s="32">
        <v>2982</v>
      </c>
      <c r="B2992" s="90">
        <v>8.2016514546640433</v>
      </c>
    </row>
    <row r="2993" spans="1:2">
      <c r="A2993" s="32">
        <v>2983</v>
      </c>
      <c r="B2993" s="90">
        <v>7.6924564421624106</v>
      </c>
    </row>
    <row r="2994" spans="1:2">
      <c r="A2994" s="32">
        <v>2984</v>
      </c>
      <c r="B2994" s="90">
        <v>9.0512453054266988</v>
      </c>
    </row>
    <row r="2995" spans="1:2">
      <c r="A2995" s="32">
        <v>2985</v>
      </c>
      <c r="B2995" s="90">
        <v>8.2682436355101849</v>
      </c>
    </row>
    <row r="2996" spans="1:2">
      <c r="A2996" s="32">
        <v>2986</v>
      </c>
      <c r="B2996" s="90">
        <v>8.2689078932930382</v>
      </c>
    </row>
    <row r="2997" spans="1:2">
      <c r="A2997" s="32">
        <v>2987</v>
      </c>
      <c r="B2997" s="90">
        <v>8.0231856690783463</v>
      </c>
    </row>
    <row r="2998" spans="1:2">
      <c r="A2998" s="32">
        <v>2988</v>
      </c>
      <c r="B2998" s="90">
        <v>7.8249016584620339</v>
      </c>
    </row>
    <row r="2999" spans="1:2">
      <c r="A2999" s="32">
        <v>2989</v>
      </c>
      <c r="B2999" s="90">
        <v>7.7182999202302938</v>
      </c>
    </row>
    <row r="3000" spans="1:2">
      <c r="A3000" s="32">
        <v>2990</v>
      </c>
      <c r="B3000" s="90">
        <v>9.0373369980154674</v>
      </c>
    </row>
    <row r="3001" spans="1:2">
      <c r="A3001" s="32">
        <v>2991</v>
      </c>
      <c r="B3001" s="90">
        <v>8.3865081619934578</v>
      </c>
    </row>
    <row r="3002" spans="1:2">
      <c r="A3002" s="32">
        <v>2992</v>
      </c>
      <c r="B3002" s="90">
        <v>8.3103460917063945</v>
      </c>
    </row>
    <row r="3003" spans="1:2">
      <c r="A3003" s="32">
        <v>2993</v>
      </c>
      <c r="B3003" s="90">
        <v>8.2313377361466351</v>
      </c>
    </row>
    <row r="3004" spans="1:2">
      <c r="A3004" s="32">
        <v>2994</v>
      </c>
      <c r="B3004" s="90">
        <v>7.9204058138989053</v>
      </c>
    </row>
    <row r="3005" spans="1:2">
      <c r="A3005" s="32">
        <v>2995</v>
      </c>
      <c r="B3005" s="90">
        <v>7.6042510516552255</v>
      </c>
    </row>
    <row r="3006" spans="1:2">
      <c r="A3006" s="32">
        <v>2996</v>
      </c>
      <c r="B3006" s="90">
        <v>9.0096062439971103</v>
      </c>
    </row>
    <row r="3007" spans="1:2">
      <c r="A3007" s="32">
        <v>2997</v>
      </c>
      <c r="B3007" s="90">
        <v>8.3279120890295513</v>
      </c>
    </row>
    <row r="3008" spans="1:2">
      <c r="A3008" s="32">
        <v>2998</v>
      </c>
      <c r="B3008" s="90">
        <v>8.3420450088352016</v>
      </c>
    </row>
    <row r="3009" spans="1:2">
      <c r="A3009" s="32">
        <v>2999</v>
      </c>
      <c r="B3009" s="90">
        <v>8.2990522559605342</v>
      </c>
    </row>
    <row r="3010" spans="1:2">
      <c r="A3010" s="32">
        <v>3000</v>
      </c>
      <c r="B3010" s="90">
        <v>7.3843391144475197</v>
      </c>
    </row>
    <row r="3011" spans="1:2">
      <c r="A3011" s="32">
        <v>3001</v>
      </c>
      <c r="B3011" s="90">
        <v>7.9703717013422848</v>
      </c>
    </row>
    <row r="3012" spans="1:2">
      <c r="A3012" s="32">
        <v>3002</v>
      </c>
      <c r="B3012" s="90">
        <v>9.2053564262308836</v>
      </c>
    </row>
    <row r="3013" spans="1:2">
      <c r="A3013" s="32">
        <v>3003</v>
      </c>
      <c r="B3013" s="90">
        <v>8.3024253662391114</v>
      </c>
    </row>
    <row r="3014" spans="1:2">
      <c r="A3014" s="32">
        <v>3004</v>
      </c>
      <c r="B3014" s="90">
        <v>8.2193360988376938</v>
      </c>
    </row>
    <row r="3015" spans="1:2">
      <c r="A3015" s="32">
        <v>3005</v>
      </c>
      <c r="B3015" s="90">
        <v>7.7335015446253417</v>
      </c>
    </row>
    <row r="3016" spans="1:2">
      <c r="A3016" s="32">
        <v>3006</v>
      </c>
      <c r="B3016" s="90">
        <v>7.764653813808903</v>
      </c>
    </row>
    <row r="3017" spans="1:2">
      <c r="A3017" s="32">
        <v>3007</v>
      </c>
      <c r="B3017" s="90">
        <v>8.1292972534805141</v>
      </c>
    </row>
    <row r="3018" spans="1:2">
      <c r="A3018" s="32">
        <v>3008</v>
      </c>
      <c r="B3018" s="90">
        <v>9.4244185958641946</v>
      </c>
    </row>
    <row r="3019" spans="1:2">
      <c r="A3019" s="32">
        <v>3009</v>
      </c>
      <c r="B3019" s="90">
        <v>7.8690635336649573</v>
      </c>
    </row>
    <row r="3020" spans="1:2">
      <c r="A3020" s="32">
        <v>3010</v>
      </c>
      <c r="B3020" s="90">
        <v>8.202128362940547</v>
      </c>
    </row>
    <row r="3021" spans="1:2">
      <c r="A3021" s="32">
        <v>3011</v>
      </c>
      <c r="B3021" s="90">
        <v>8.0850877321738057</v>
      </c>
    </row>
    <row r="3022" spans="1:2">
      <c r="A3022" s="32">
        <v>3012</v>
      </c>
      <c r="B3022" s="90">
        <v>7.5811779360888076</v>
      </c>
    </row>
    <row r="3023" spans="1:2">
      <c r="A3023" s="32">
        <v>3013</v>
      </c>
      <c r="B3023" s="90">
        <v>8.9955726722531555</v>
      </c>
    </row>
    <row r="3024" spans="1:2">
      <c r="A3024" s="32">
        <v>3014</v>
      </c>
      <c r="B3024" s="90">
        <v>8.3129165066554016</v>
      </c>
    </row>
    <row r="3025" spans="1:2">
      <c r="A3025" s="32">
        <v>3015</v>
      </c>
      <c r="B3025" s="90">
        <v>8.0060646705321403</v>
      </c>
    </row>
    <row r="3026" spans="1:2">
      <c r="A3026" s="32">
        <v>3016</v>
      </c>
      <c r="B3026" s="90">
        <v>8.0864849237262444</v>
      </c>
    </row>
    <row r="3027" spans="1:2">
      <c r="A3027" s="32">
        <v>3017</v>
      </c>
      <c r="B3027" s="90">
        <v>8.2042977874311855</v>
      </c>
    </row>
    <row r="3028" spans="1:2">
      <c r="A3028" s="32">
        <v>3018</v>
      </c>
      <c r="B3028" s="90">
        <v>7.523969660079822</v>
      </c>
    </row>
    <row r="3029" spans="1:2">
      <c r="A3029" s="32">
        <v>3019</v>
      </c>
      <c r="B3029" s="90">
        <v>9.3356745296469441</v>
      </c>
    </row>
    <row r="3030" spans="1:2">
      <c r="A3030" s="32">
        <v>3020</v>
      </c>
      <c r="B3030" s="90">
        <v>8.4542831569896961</v>
      </c>
    </row>
    <row r="3031" spans="1:2">
      <c r="A3031" s="32">
        <v>3021</v>
      </c>
      <c r="B3031" s="90">
        <v>8.2264731671968558</v>
      </c>
    </row>
    <row r="3032" spans="1:2">
      <c r="A3032" s="32">
        <v>3022</v>
      </c>
      <c r="B3032" s="90">
        <v>8.1738530543035441</v>
      </c>
    </row>
    <row r="3033" spans="1:2">
      <c r="A3033" s="32">
        <v>3023</v>
      </c>
      <c r="B3033" s="90">
        <v>7.8369365081899138</v>
      </c>
    </row>
    <row r="3034" spans="1:2">
      <c r="A3034" s="32">
        <v>3024</v>
      </c>
      <c r="B3034" s="90">
        <v>7.4199868496782759</v>
      </c>
    </row>
    <row r="3035" spans="1:2">
      <c r="A3035" s="32">
        <v>3025</v>
      </c>
      <c r="B3035" s="90">
        <v>8.8680394063139296</v>
      </c>
    </row>
    <row r="3036" spans="1:2">
      <c r="A3036" s="32">
        <v>3026</v>
      </c>
      <c r="B3036" s="90">
        <v>8.5712700232657326</v>
      </c>
    </row>
    <row r="3037" spans="1:2">
      <c r="A3037" s="32">
        <v>3027</v>
      </c>
      <c r="B3037" s="90">
        <v>8.3549559806690077</v>
      </c>
    </row>
    <row r="3038" spans="1:2">
      <c r="A3038" s="32">
        <v>3028</v>
      </c>
      <c r="B3038" s="90">
        <v>7.7687013794882374</v>
      </c>
    </row>
    <row r="3039" spans="1:2">
      <c r="A3039" s="32">
        <v>3029</v>
      </c>
      <c r="B3039" s="90">
        <v>8.5784737814410423</v>
      </c>
    </row>
    <row r="3040" spans="1:2">
      <c r="A3040" s="32">
        <v>3030</v>
      </c>
      <c r="B3040" s="90">
        <v>7.4651531791220567</v>
      </c>
    </row>
    <row r="3041" spans="1:2">
      <c r="A3041" s="32">
        <v>3031</v>
      </c>
      <c r="B3041" s="90">
        <v>8.3770313829091645</v>
      </c>
    </row>
    <row r="3042" spans="1:2">
      <c r="A3042" s="32">
        <v>3032</v>
      </c>
      <c r="B3042" s="90">
        <v>8.3558717742462854</v>
      </c>
    </row>
    <row r="3043" spans="1:2">
      <c r="A3043" s="32">
        <v>3033</v>
      </c>
      <c r="B3043" s="90">
        <v>7.5240142159232288</v>
      </c>
    </row>
    <row r="3044" spans="1:2">
      <c r="A3044" s="32">
        <v>3034</v>
      </c>
      <c r="B3044" s="90">
        <v>8.5147659724543985</v>
      </c>
    </row>
    <row r="3045" spans="1:2">
      <c r="A3045" s="32">
        <v>3035</v>
      </c>
      <c r="B3045" s="90">
        <v>8.6812764270254643</v>
      </c>
    </row>
    <row r="3046" spans="1:2">
      <c r="A3046" s="32">
        <v>3036</v>
      </c>
      <c r="B3046" s="90">
        <v>7.5000957967009052</v>
      </c>
    </row>
    <row r="3047" spans="1:2">
      <c r="A3047" s="32">
        <v>3037</v>
      </c>
      <c r="B3047" s="90">
        <v>8.2413467288689208</v>
      </c>
    </row>
    <row r="3048" spans="1:2">
      <c r="A3048" s="32">
        <v>3038</v>
      </c>
      <c r="B3048" s="90">
        <v>8.2570625890293101</v>
      </c>
    </row>
    <row r="3049" spans="1:2">
      <c r="A3049" s="32">
        <v>3039</v>
      </c>
      <c r="B3049" s="90">
        <v>7.7824921961422895</v>
      </c>
    </row>
    <row r="3050" spans="1:2">
      <c r="A3050" s="32">
        <v>3040</v>
      </c>
      <c r="B3050" s="90">
        <v>8.7059332603607817</v>
      </c>
    </row>
    <row r="3051" spans="1:2">
      <c r="A3051" s="32">
        <v>3041</v>
      </c>
      <c r="B3051" s="90">
        <v>8.0632455815997535</v>
      </c>
    </row>
    <row r="3052" spans="1:2">
      <c r="A3052" s="32">
        <v>3042</v>
      </c>
      <c r="B3052" s="90">
        <v>7.6086813304810574</v>
      </c>
    </row>
    <row r="3053" spans="1:2">
      <c r="A3053" s="32">
        <v>3043</v>
      </c>
      <c r="B3053" s="90">
        <v>8.398462334813722</v>
      </c>
    </row>
    <row r="3054" spans="1:2">
      <c r="A3054" s="32">
        <v>3044</v>
      </c>
      <c r="B3054" s="90">
        <v>8.1839505047464627</v>
      </c>
    </row>
    <row r="3055" spans="1:2">
      <c r="A3055" s="32">
        <v>3045</v>
      </c>
      <c r="B3055" s="90">
        <v>7.8642968342923538</v>
      </c>
    </row>
    <row r="3056" spans="1:2">
      <c r="A3056" s="32">
        <v>3046</v>
      </c>
      <c r="B3056" s="90">
        <v>8.697772822422273</v>
      </c>
    </row>
    <row r="3057" spans="1:2">
      <c r="A3057" s="32">
        <v>3047</v>
      </c>
      <c r="B3057" s="90">
        <v>8.3350034533987358</v>
      </c>
    </row>
    <row r="3058" spans="1:2">
      <c r="A3058" s="32">
        <v>3048</v>
      </c>
      <c r="B3058" s="90">
        <v>7.4028931047683013</v>
      </c>
    </row>
    <row r="3059" spans="1:2">
      <c r="A3059" s="32">
        <v>3049</v>
      </c>
      <c r="B3059" s="90">
        <v>8.0298868399260321</v>
      </c>
    </row>
    <row r="3060" spans="1:2">
      <c r="A3060" s="32">
        <v>3050</v>
      </c>
      <c r="B3060" s="90">
        <v>8.2099213794845749</v>
      </c>
    </row>
    <row r="3061" spans="1:2">
      <c r="A3061" s="32">
        <v>3051</v>
      </c>
      <c r="B3061" s="90">
        <v>8.2074944899053808</v>
      </c>
    </row>
    <row r="3062" spans="1:2">
      <c r="A3062" s="32">
        <v>3052</v>
      </c>
      <c r="B3062" s="90">
        <v>8.5827453535898588</v>
      </c>
    </row>
    <row r="3063" spans="1:2">
      <c r="A3063" s="32">
        <v>3053</v>
      </c>
      <c r="B3063" s="90">
        <v>7.6527266813909529</v>
      </c>
    </row>
    <row r="3064" spans="1:2">
      <c r="A3064" s="32">
        <v>3054</v>
      </c>
      <c r="B3064" s="90">
        <v>7.8530261853906032</v>
      </c>
    </row>
    <row r="3065" spans="1:2">
      <c r="A3065" s="32">
        <v>3055</v>
      </c>
      <c r="B3065" s="90">
        <v>8.0763160733123556</v>
      </c>
    </row>
    <row r="3066" spans="1:2">
      <c r="A3066" s="32">
        <v>3056</v>
      </c>
      <c r="B3066" s="90">
        <v>8.4751901447803917</v>
      </c>
    </row>
    <row r="3067" spans="1:2">
      <c r="A3067" s="32">
        <v>3057</v>
      </c>
      <c r="B3067" s="90">
        <v>7.8434152967673967</v>
      </c>
    </row>
    <row r="3068" spans="1:2">
      <c r="A3068" s="32">
        <v>3058</v>
      </c>
      <c r="B3068" s="90">
        <v>9.000199041217142</v>
      </c>
    </row>
    <row r="3069" spans="1:2">
      <c r="A3069" s="32">
        <v>3059</v>
      </c>
      <c r="B3069" s="90">
        <v>7.3664348991311144</v>
      </c>
    </row>
    <row r="3070" spans="1:2">
      <c r="A3070" s="32">
        <v>3060</v>
      </c>
      <c r="B3070" s="90">
        <v>8.0877751330977592</v>
      </c>
    </row>
    <row r="3071" spans="1:2">
      <c r="A3071" s="32">
        <v>3061</v>
      </c>
      <c r="B3071" s="90">
        <v>8.8773206596759895</v>
      </c>
    </row>
    <row r="3072" spans="1:2">
      <c r="A3072" s="32">
        <v>3062</v>
      </c>
      <c r="B3072" s="90">
        <v>7.5511807444425054</v>
      </c>
    </row>
    <row r="3073" spans="1:2">
      <c r="A3073" s="32">
        <v>3063</v>
      </c>
      <c r="B3073" s="90">
        <v>8.0960653593251966</v>
      </c>
    </row>
    <row r="3074" spans="1:2">
      <c r="A3074" s="32">
        <v>3064</v>
      </c>
      <c r="B3074" s="90">
        <v>8.6245170005870335</v>
      </c>
    </row>
    <row r="3075" spans="1:2">
      <c r="A3075" s="32">
        <v>3065</v>
      </c>
      <c r="B3075" s="90">
        <v>7.6516122982059267</v>
      </c>
    </row>
    <row r="3076" spans="1:2">
      <c r="A3076" s="32">
        <v>3066</v>
      </c>
      <c r="B3076" s="90">
        <v>8.1636559356172036</v>
      </c>
    </row>
    <row r="3077" spans="1:2">
      <c r="A3077" s="32">
        <v>3067</v>
      </c>
      <c r="B3077" s="90">
        <v>8.2186628462337978</v>
      </c>
    </row>
    <row r="3078" spans="1:2">
      <c r="A3078" s="32">
        <v>3068</v>
      </c>
      <c r="B3078" s="90">
        <v>7.7000917719910875</v>
      </c>
    </row>
    <row r="3079" spans="1:2">
      <c r="A3079" s="32">
        <v>3069</v>
      </c>
      <c r="B3079" s="90">
        <v>8.822684759350043</v>
      </c>
    </row>
    <row r="3080" spans="1:2">
      <c r="A3080" s="32">
        <v>3070</v>
      </c>
      <c r="B3080" s="90">
        <v>8.3094723801229282</v>
      </c>
    </row>
    <row r="3081" spans="1:2">
      <c r="A3081" s="32">
        <v>3071</v>
      </c>
      <c r="B3081" s="90">
        <v>7.6510973169992758</v>
      </c>
    </row>
    <row r="3082" spans="1:2">
      <c r="A3082" s="32">
        <v>3072</v>
      </c>
      <c r="B3082" s="90">
        <v>8.0976785452675308</v>
      </c>
    </row>
    <row r="3083" spans="1:2">
      <c r="A3083" s="32">
        <v>3073</v>
      </c>
      <c r="B3083" s="90">
        <v>8.6088453162452279</v>
      </c>
    </row>
    <row r="3084" spans="1:2">
      <c r="A3084" s="32">
        <v>3074</v>
      </c>
      <c r="B3084" s="90">
        <v>7.8549957974431566</v>
      </c>
    </row>
    <row r="3085" spans="1:2">
      <c r="A3085" s="32">
        <v>3075</v>
      </c>
      <c r="B3085" s="90">
        <v>8.2538830562414987</v>
      </c>
    </row>
    <row r="3086" spans="1:2">
      <c r="A3086" s="32">
        <v>3076</v>
      </c>
      <c r="B3086" s="90">
        <v>8.2683330130005963</v>
      </c>
    </row>
    <row r="3087" spans="1:2">
      <c r="A3087" s="32">
        <v>3077</v>
      </c>
      <c r="B3087" s="90">
        <v>7.6644961354904764</v>
      </c>
    </row>
    <row r="3088" spans="1:2">
      <c r="A3088" s="32">
        <v>3078</v>
      </c>
      <c r="B3088" s="90">
        <v>8.0805303070520527</v>
      </c>
    </row>
    <row r="3089" spans="1:2">
      <c r="A3089" s="32">
        <v>3079</v>
      </c>
      <c r="B3089" s="90">
        <v>8.1620680070835157</v>
      </c>
    </row>
    <row r="3090" spans="1:2">
      <c r="A3090" s="32">
        <v>3080</v>
      </c>
      <c r="B3090" s="90">
        <v>8.0539021329695704</v>
      </c>
    </row>
    <row r="3091" spans="1:2">
      <c r="A3091" s="32">
        <v>3081</v>
      </c>
      <c r="B3091" s="90">
        <v>8.3594317903152007</v>
      </c>
    </row>
    <row r="3092" spans="1:2">
      <c r="A3092" s="32">
        <v>3082</v>
      </c>
      <c r="B3092" s="90">
        <v>8.2711949765734101</v>
      </c>
    </row>
    <row r="3093" spans="1:2">
      <c r="A3093" s="32">
        <v>3083</v>
      </c>
      <c r="B3093" s="90">
        <v>7.6523850160295552</v>
      </c>
    </row>
    <row r="3094" spans="1:2">
      <c r="A3094" s="32">
        <v>3084</v>
      </c>
      <c r="B3094" s="90">
        <v>8.1071594690690105</v>
      </c>
    </row>
    <row r="3095" spans="1:2">
      <c r="A3095" s="32">
        <v>3085</v>
      </c>
      <c r="B3095" s="90">
        <v>8.0869528446579828</v>
      </c>
    </row>
    <row r="3096" spans="1:2">
      <c r="A3096" s="32">
        <v>3086</v>
      </c>
      <c r="B3096" s="90">
        <v>8.215185523509426</v>
      </c>
    </row>
    <row r="3097" spans="1:2">
      <c r="A3097" s="32">
        <v>3087</v>
      </c>
      <c r="B3097" s="90">
        <v>8.6217573347290628</v>
      </c>
    </row>
    <row r="3098" spans="1:2">
      <c r="A3098" s="32">
        <v>3088</v>
      </c>
      <c r="B3098" s="90">
        <v>7.6482352117084318</v>
      </c>
    </row>
    <row r="3099" spans="1:2">
      <c r="A3099" s="32">
        <v>3089</v>
      </c>
      <c r="B3099" s="90">
        <v>8.1345220664504332</v>
      </c>
    </row>
    <row r="3100" spans="1:2">
      <c r="A3100" s="32">
        <v>3090</v>
      </c>
      <c r="B3100" s="90">
        <v>8.2704045780688649</v>
      </c>
    </row>
    <row r="3101" spans="1:2">
      <c r="A3101" s="32">
        <v>3091</v>
      </c>
      <c r="B3101" s="90">
        <v>8.134769659909491</v>
      </c>
    </row>
    <row r="3102" spans="1:2">
      <c r="A3102" s="32">
        <v>3092</v>
      </c>
      <c r="B3102" s="90">
        <v>8.0144743909769787</v>
      </c>
    </row>
    <row r="3103" spans="1:2">
      <c r="A3103" s="32">
        <v>3093</v>
      </c>
      <c r="B3103" s="90">
        <v>8.5784737814410423</v>
      </c>
    </row>
    <row r="3104" spans="1:2">
      <c r="A3104" s="32">
        <v>3094</v>
      </c>
      <c r="B3104" s="90">
        <v>7.4651531791220567</v>
      </c>
    </row>
    <row r="3105" spans="1:2">
      <c r="A3105" s="32">
        <v>3095</v>
      </c>
      <c r="B3105" s="90">
        <v>8.3770313829091645</v>
      </c>
    </row>
    <row r="3106" spans="1:2">
      <c r="A3106" s="32">
        <v>3096</v>
      </c>
      <c r="B3106" s="90">
        <v>8.3558717742462854</v>
      </c>
    </row>
    <row r="3107" spans="1:2">
      <c r="A3107" s="32">
        <v>3097</v>
      </c>
      <c r="B3107" s="90">
        <v>7.5240142159232288</v>
      </c>
    </row>
    <row r="3108" spans="1:2">
      <c r="A3108" s="32">
        <v>3098</v>
      </c>
      <c r="B3108" s="90">
        <v>8.5147659724543985</v>
      </c>
    </row>
    <row r="3109" spans="1:2">
      <c r="A3109" s="32">
        <v>3099</v>
      </c>
      <c r="B3109" s="90">
        <v>8.6812764270254643</v>
      </c>
    </row>
    <row r="3110" spans="1:2">
      <c r="A3110" s="32">
        <v>3100</v>
      </c>
      <c r="B3110" s="90">
        <v>7.5000957967009052</v>
      </c>
    </row>
    <row r="3111" spans="1:2">
      <c r="A3111" s="32">
        <v>3101</v>
      </c>
      <c r="B3111" s="90">
        <v>8.2413467288689208</v>
      </c>
    </row>
    <row r="3112" spans="1:2">
      <c r="A3112" s="32">
        <v>3102</v>
      </c>
      <c r="B3112" s="90">
        <v>8.2570625890293101</v>
      </c>
    </row>
    <row r="3113" spans="1:2">
      <c r="A3113" s="32">
        <v>3103</v>
      </c>
      <c r="B3113" s="90">
        <v>7.7824921961422895</v>
      </c>
    </row>
    <row r="3114" spans="1:2">
      <c r="A3114" s="32">
        <v>3104</v>
      </c>
      <c r="B3114" s="90">
        <v>8.7059332603607817</v>
      </c>
    </row>
    <row r="3115" spans="1:2">
      <c r="A3115" s="32">
        <v>3105</v>
      </c>
      <c r="B3115" s="90">
        <v>8.0632455815997535</v>
      </c>
    </row>
    <row r="3116" spans="1:2">
      <c r="A3116" s="32">
        <v>3106</v>
      </c>
      <c r="B3116" s="90">
        <v>7.6086813304810574</v>
      </c>
    </row>
    <row r="3117" spans="1:2">
      <c r="A3117" s="32">
        <v>3107</v>
      </c>
      <c r="B3117" s="90">
        <v>8.398462334813722</v>
      </c>
    </row>
    <row r="3118" spans="1:2">
      <c r="A3118" s="32">
        <v>3108</v>
      </c>
      <c r="B3118" s="90">
        <v>8.1839505047464627</v>
      </c>
    </row>
    <row r="3119" spans="1:2">
      <c r="A3119" s="32">
        <v>3109</v>
      </c>
      <c r="B3119" s="90">
        <v>7.8642968342923538</v>
      </c>
    </row>
    <row r="3120" spans="1:2">
      <c r="A3120" s="32">
        <v>3110</v>
      </c>
      <c r="B3120" s="90">
        <v>8.697772822422273</v>
      </c>
    </row>
    <row r="3121" spans="1:2">
      <c r="A3121" s="32">
        <v>3111</v>
      </c>
      <c r="B3121" s="90">
        <v>8.3350034533987358</v>
      </c>
    </row>
    <row r="3122" spans="1:2">
      <c r="A3122" s="32">
        <v>3112</v>
      </c>
      <c r="B3122" s="90">
        <v>7.4028931047683013</v>
      </c>
    </row>
    <row r="3123" spans="1:2">
      <c r="A3123" s="32">
        <v>3113</v>
      </c>
      <c r="B3123" s="90">
        <v>8.0298868399260321</v>
      </c>
    </row>
    <row r="3124" spans="1:2">
      <c r="A3124" s="32">
        <v>3114</v>
      </c>
      <c r="B3124" s="90">
        <v>8.2099213794845749</v>
      </c>
    </row>
    <row r="3125" spans="1:2">
      <c r="A3125" s="32">
        <v>3115</v>
      </c>
      <c r="B3125" s="90">
        <v>8.2074944899053808</v>
      </c>
    </row>
    <row r="3126" spans="1:2">
      <c r="A3126" s="32">
        <v>3116</v>
      </c>
      <c r="B3126" s="90">
        <v>8.5827453535898588</v>
      </c>
    </row>
    <row r="3127" spans="1:2">
      <c r="A3127" s="32">
        <v>3117</v>
      </c>
      <c r="B3127" s="90">
        <v>7.6527266813909529</v>
      </c>
    </row>
    <row r="3128" spans="1:2">
      <c r="A3128" s="32">
        <v>3118</v>
      </c>
      <c r="B3128" s="90">
        <v>7.8530261853906032</v>
      </c>
    </row>
    <row r="3129" spans="1:2">
      <c r="A3129" s="32">
        <v>3119</v>
      </c>
      <c r="B3129" s="90">
        <v>8.0763160733123556</v>
      </c>
    </row>
    <row r="3130" spans="1:2">
      <c r="A3130" s="32">
        <v>3120</v>
      </c>
      <c r="B3130" s="90">
        <v>8.4751901447803917</v>
      </c>
    </row>
    <row r="3131" spans="1:2">
      <c r="A3131" s="32">
        <v>3121</v>
      </c>
      <c r="B3131" s="90">
        <v>7.8434152967673967</v>
      </c>
    </row>
    <row r="3132" spans="1:2">
      <c r="A3132" s="32">
        <v>3122</v>
      </c>
      <c r="B3132" s="90">
        <v>9.000199041217142</v>
      </c>
    </row>
    <row r="3133" spans="1:2">
      <c r="A3133" s="32">
        <v>3123</v>
      </c>
      <c r="B3133" s="90">
        <v>7.3664348991311144</v>
      </c>
    </row>
    <row r="3134" spans="1:2">
      <c r="A3134" s="32">
        <v>3124</v>
      </c>
      <c r="B3134" s="90">
        <v>8.0877751330977592</v>
      </c>
    </row>
    <row r="3135" spans="1:2">
      <c r="A3135" s="32">
        <v>3125</v>
      </c>
      <c r="B3135" s="90">
        <v>8.8773206596759895</v>
      </c>
    </row>
    <row r="3136" spans="1:2">
      <c r="A3136" s="32">
        <v>3126</v>
      </c>
      <c r="B3136" s="90">
        <v>7.5511807444425054</v>
      </c>
    </row>
    <row r="3137" spans="1:2">
      <c r="A3137" s="32">
        <v>3127</v>
      </c>
      <c r="B3137" s="90">
        <v>8.0960653593251966</v>
      </c>
    </row>
    <row r="3138" spans="1:2">
      <c r="A3138" s="32">
        <v>3128</v>
      </c>
      <c r="B3138" s="90">
        <v>8.6245170005870335</v>
      </c>
    </row>
    <row r="3139" spans="1:2">
      <c r="A3139" s="32">
        <v>3129</v>
      </c>
      <c r="B3139" s="90">
        <v>7.6516122982059267</v>
      </c>
    </row>
    <row r="3140" spans="1:2">
      <c r="A3140" s="32">
        <v>3130</v>
      </c>
      <c r="B3140" s="90">
        <v>8.1636559356172036</v>
      </c>
    </row>
    <row r="3141" spans="1:2">
      <c r="A3141" s="32">
        <v>3131</v>
      </c>
      <c r="B3141" s="90">
        <v>8.2186628462337978</v>
      </c>
    </row>
    <row r="3142" spans="1:2">
      <c r="A3142" s="32">
        <v>3132</v>
      </c>
      <c r="B3142" s="90">
        <v>7.7000917719910875</v>
      </c>
    </row>
    <row r="3143" spans="1:2">
      <c r="A3143" s="32">
        <v>3133</v>
      </c>
      <c r="B3143" s="90">
        <v>8.822684759350043</v>
      </c>
    </row>
    <row r="3144" spans="1:2">
      <c r="A3144" s="32">
        <v>3134</v>
      </c>
      <c r="B3144" s="90">
        <v>8.3094723801229282</v>
      </c>
    </row>
    <row r="3145" spans="1:2">
      <c r="A3145" s="32">
        <v>3135</v>
      </c>
      <c r="B3145" s="90">
        <v>7.6510973169992758</v>
      </c>
    </row>
    <row r="3146" spans="1:2">
      <c r="A3146" s="32">
        <v>3136</v>
      </c>
      <c r="B3146" s="90">
        <v>8.0976785452675308</v>
      </c>
    </row>
    <row r="3147" spans="1:2">
      <c r="A3147" s="32">
        <v>3137</v>
      </c>
      <c r="B3147" s="90">
        <v>8.6088453162452279</v>
      </c>
    </row>
    <row r="3148" spans="1:2">
      <c r="A3148" s="32">
        <v>3138</v>
      </c>
      <c r="B3148" s="90">
        <v>7.8549957974431566</v>
      </c>
    </row>
    <row r="3149" spans="1:2">
      <c r="A3149" s="32">
        <v>3139</v>
      </c>
      <c r="B3149" s="90">
        <v>8.2538830562414987</v>
      </c>
    </row>
    <row r="3150" spans="1:2">
      <c r="A3150" s="32">
        <v>3140</v>
      </c>
      <c r="B3150" s="90">
        <v>8.2683330130005963</v>
      </c>
    </row>
    <row r="3151" spans="1:2">
      <c r="A3151" s="32">
        <v>3141</v>
      </c>
      <c r="B3151" s="90">
        <v>7.6644961354904764</v>
      </c>
    </row>
    <row r="3152" spans="1:2">
      <c r="A3152" s="32">
        <v>3142</v>
      </c>
      <c r="B3152" s="90">
        <v>8.0805303070520527</v>
      </c>
    </row>
    <row r="3153" spans="1:2">
      <c r="A3153" s="32">
        <v>3143</v>
      </c>
      <c r="B3153" s="90">
        <v>8.1620680070835157</v>
      </c>
    </row>
    <row r="3154" spans="1:2">
      <c r="A3154" s="32">
        <v>3144</v>
      </c>
      <c r="B3154" s="90">
        <v>8.0539021329695704</v>
      </c>
    </row>
    <row r="3155" spans="1:2">
      <c r="A3155" s="32">
        <v>3145</v>
      </c>
      <c r="B3155" s="90">
        <v>8.3594317903152007</v>
      </c>
    </row>
    <row r="3156" spans="1:2">
      <c r="A3156" s="32">
        <v>3146</v>
      </c>
      <c r="B3156" s="90">
        <v>8.2711949765734101</v>
      </c>
    </row>
    <row r="3157" spans="1:2">
      <c r="A3157" s="32">
        <v>3147</v>
      </c>
      <c r="B3157" s="90">
        <v>7.6523850160295552</v>
      </c>
    </row>
    <row r="3158" spans="1:2">
      <c r="A3158" s="32">
        <v>3148</v>
      </c>
      <c r="B3158" s="90">
        <v>8.1071594690690105</v>
      </c>
    </row>
    <row r="3159" spans="1:2">
      <c r="A3159" s="32">
        <v>3149</v>
      </c>
      <c r="B3159" s="90">
        <v>8.0869528446579828</v>
      </c>
    </row>
    <row r="3160" spans="1:2">
      <c r="A3160" s="32">
        <v>3150</v>
      </c>
      <c r="B3160" s="90">
        <v>9.3879805353613612</v>
      </c>
    </row>
    <row r="3161" spans="1:2">
      <c r="A3161" s="32">
        <v>3151</v>
      </c>
      <c r="B3161" s="90">
        <v>8.9083247512755968</v>
      </c>
    </row>
    <row r="3162" spans="1:2">
      <c r="A3162" s="32">
        <v>3152</v>
      </c>
      <c r="B3162" s="90">
        <v>7.2108195308321985</v>
      </c>
    </row>
    <row r="3163" spans="1:2">
      <c r="A3163" s="32">
        <v>3153</v>
      </c>
      <c r="B3163" s="90">
        <v>7.9153216057851257</v>
      </c>
    </row>
    <row r="3164" spans="1:2">
      <c r="A3164" s="32">
        <v>3154</v>
      </c>
      <c r="B3164" s="90">
        <v>8.07650564405027</v>
      </c>
    </row>
    <row r="3165" spans="1:2">
      <c r="A3165" s="32">
        <v>3155</v>
      </c>
      <c r="B3165" s="90">
        <v>8.4011081197131148</v>
      </c>
    </row>
    <row r="3166" spans="1:2">
      <c r="A3166" s="32">
        <v>3156</v>
      </c>
      <c r="B3166" s="90">
        <v>9.1906901087360104</v>
      </c>
    </row>
    <row r="3167" spans="1:2">
      <c r="A3167" s="32">
        <v>3157</v>
      </c>
      <c r="B3167" s="90">
        <v>8.4366922312303778</v>
      </c>
    </row>
    <row r="3168" spans="1:2">
      <c r="A3168" s="32">
        <v>3158</v>
      </c>
      <c r="B3168" s="90">
        <v>7.1762839599889832</v>
      </c>
    </row>
    <row r="3169" spans="1:2">
      <c r="A3169" s="32">
        <v>3159</v>
      </c>
      <c r="B3169" s="90">
        <v>8.5528915155709964</v>
      </c>
    </row>
    <row r="3170" spans="1:2">
      <c r="A3170" s="32">
        <v>3160</v>
      </c>
      <c r="B3170" s="90">
        <v>7.8222696165118881</v>
      </c>
    </row>
    <row r="3171" spans="1:2">
      <c r="A3171" s="32">
        <v>3161</v>
      </c>
      <c r="B3171" s="90">
        <v>8.1516983288390268</v>
      </c>
    </row>
    <row r="3172" spans="1:2">
      <c r="A3172" s="32">
        <v>3162</v>
      </c>
      <c r="B3172" s="90">
        <v>9.4729284884620579</v>
      </c>
    </row>
    <row r="3173" spans="1:2">
      <c r="A3173" s="32">
        <v>3163</v>
      </c>
      <c r="B3173" s="90">
        <v>8.075246671840862</v>
      </c>
    </row>
    <row r="3174" spans="1:2">
      <c r="A3174" s="32">
        <v>3164</v>
      </c>
      <c r="B3174" s="90">
        <v>7.4764743590861533</v>
      </c>
    </row>
    <row r="3175" spans="1:2">
      <c r="A3175" s="32">
        <v>3165</v>
      </c>
      <c r="B3175" s="90">
        <v>8.7080085006338823</v>
      </c>
    </row>
    <row r="3176" spans="1:2">
      <c r="A3176" s="32">
        <v>3166</v>
      </c>
      <c r="B3176" s="90">
        <v>7.5461339035148614</v>
      </c>
    </row>
    <row r="3177" spans="1:2">
      <c r="A3177" s="32">
        <v>3167</v>
      </c>
      <c r="B3177" s="90">
        <v>8.2656686657302139</v>
      </c>
    </row>
    <row r="3178" spans="1:2">
      <c r="A3178" s="32">
        <v>3168</v>
      </c>
      <c r="B3178" s="90">
        <v>9.8924904149475026</v>
      </c>
    </row>
    <row r="3179" spans="1:2">
      <c r="A3179" s="32">
        <v>3169</v>
      </c>
      <c r="B3179" s="90">
        <v>7.4921414352354017</v>
      </c>
    </row>
    <row r="3180" spans="1:2">
      <c r="A3180" s="32">
        <v>3170</v>
      </c>
      <c r="B3180" s="90">
        <v>7.5758443148753472</v>
      </c>
    </row>
    <row r="3181" spans="1:2">
      <c r="A3181" s="32">
        <v>3171</v>
      </c>
      <c r="B3181" s="90">
        <v>8.630126272539492</v>
      </c>
    </row>
    <row r="3182" spans="1:2">
      <c r="A3182" s="32">
        <v>3172</v>
      </c>
      <c r="B3182" s="90">
        <v>7.5507233159950724</v>
      </c>
    </row>
    <row r="3183" spans="1:2">
      <c r="A3183" s="32">
        <v>3173</v>
      </c>
      <c r="B3183" s="90">
        <v>8.5761395974012906</v>
      </c>
    </row>
    <row r="3184" spans="1:2">
      <c r="A3184" s="32">
        <v>3174</v>
      </c>
      <c r="B3184" s="90">
        <v>9.9653170439394376</v>
      </c>
    </row>
    <row r="3185" spans="1:2">
      <c r="A3185" s="32">
        <v>3175</v>
      </c>
      <c r="B3185" s="90">
        <v>7.1889739631269487</v>
      </c>
    </row>
    <row r="3186" spans="1:2">
      <c r="A3186" s="32">
        <v>3176</v>
      </c>
      <c r="B3186" s="90">
        <v>7.5999532949750055</v>
      </c>
    </row>
    <row r="3187" spans="1:2">
      <c r="A3187" s="32">
        <v>3177</v>
      </c>
      <c r="B3187" s="90">
        <v>8.2218022934364878</v>
      </c>
    </row>
    <row r="3188" spans="1:2">
      <c r="A3188" s="32">
        <v>3178</v>
      </c>
      <c r="B3188" s="90">
        <v>8.3515397553963968</v>
      </c>
    </row>
    <row r="3189" spans="1:2">
      <c r="A3189" s="32">
        <v>3179</v>
      </c>
      <c r="B3189" s="90">
        <v>8.8478617794515166</v>
      </c>
    </row>
    <row r="3190" spans="1:2">
      <c r="A3190" s="32">
        <v>3180</v>
      </c>
      <c r="B3190" s="90">
        <v>9.4215660035797448</v>
      </c>
    </row>
    <row r="3191" spans="1:2">
      <c r="A3191" s="32">
        <v>3181</v>
      </c>
      <c r="B3191" s="90">
        <v>7.0927335398320368</v>
      </c>
    </row>
    <row r="3192" spans="1:2">
      <c r="A3192" s="32">
        <v>3182</v>
      </c>
      <c r="B3192" s="90">
        <v>7.8298420832801057</v>
      </c>
    </row>
    <row r="3193" spans="1:2">
      <c r="A3193" s="32">
        <v>3183</v>
      </c>
      <c r="B3193" s="90">
        <v>7.9935407827113005</v>
      </c>
    </row>
    <row r="3194" spans="1:2">
      <c r="A3194" s="32">
        <v>3184</v>
      </c>
      <c r="B3194" s="90">
        <v>8.0961711218727039</v>
      </c>
    </row>
    <row r="3195" spans="1:2">
      <c r="A3195" s="32">
        <v>3185</v>
      </c>
      <c r="B3195" s="90">
        <v>9.4107492711503884</v>
      </c>
    </row>
    <row r="3196" spans="1:2">
      <c r="A3196" s="32">
        <v>3186</v>
      </c>
      <c r="B3196" s="90">
        <v>8.8900244025179784</v>
      </c>
    </row>
    <row r="3197" spans="1:2">
      <c r="A3197" s="32">
        <v>3187</v>
      </c>
      <c r="B3197" s="90">
        <v>6.9803931839884568</v>
      </c>
    </row>
    <row r="3198" spans="1:2">
      <c r="A3198" s="32">
        <v>3188</v>
      </c>
      <c r="B3198" s="90">
        <v>8.3563340002427964</v>
      </c>
    </row>
    <row r="3199" spans="1:2">
      <c r="A3199" s="32">
        <v>3189</v>
      </c>
      <c r="B3199" s="90">
        <v>8.0023797986021492</v>
      </c>
    </row>
    <row r="3200" spans="1:2">
      <c r="A3200" s="32">
        <v>3190</v>
      </c>
      <c r="B3200" s="90">
        <v>8.0046253044629516</v>
      </c>
    </row>
    <row r="3201" spans="1:2">
      <c r="A3201" s="32">
        <v>3191</v>
      </c>
      <c r="B3201" s="90">
        <v>9.6050966678950545</v>
      </c>
    </row>
    <row r="3202" spans="1:2">
      <c r="A3202" s="32">
        <v>3192</v>
      </c>
      <c r="B3202" s="90">
        <v>8.3895490834941437</v>
      </c>
    </row>
    <row r="3203" spans="1:2">
      <c r="A3203" s="32">
        <v>3193</v>
      </c>
      <c r="B3203" s="90">
        <v>7.0640532224496484</v>
      </c>
    </row>
    <row r="3204" spans="1:2">
      <c r="A3204" s="32">
        <v>3194</v>
      </c>
      <c r="B3204" s="90">
        <v>8.6497149704310168</v>
      </c>
    </row>
    <row r="3205" spans="1:2">
      <c r="A3205" s="32">
        <v>3195</v>
      </c>
      <c r="B3205" s="90">
        <v>7.7161854783338137</v>
      </c>
    </row>
    <row r="3206" spans="1:2">
      <c r="A3206" s="32">
        <v>3196</v>
      </c>
      <c r="B3206" s="90">
        <v>8.4853930603233483</v>
      </c>
    </row>
    <row r="3207" spans="1:2">
      <c r="A3207" s="32">
        <v>3197</v>
      </c>
      <c r="B3207" s="90">
        <v>9.7215737670763875</v>
      </c>
    </row>
    <row r="3208" spans="1:2">
      <c r="A3208" s="32">
        <v>3198</v>
      </c>
      <c r="B3208" s="90">
        <v>7.399706650310601</v>
      </c>
    </row>
    <row r="3209" spans="1:2">
      <c r="A3209" s="32">
        <v>3199</v>
      </c>
      <c r="B3209" s="90">
        <v>7.5914025280641191</v>
      </c>
    </row>
    <row r="3210" spans="1:2">
      <c r="A3210" s="32">
        <v>3200</v>
      </c>
      <c r="B3210" s="90">
        <v>8.7849743004934986</v>
      </c>
    </row>
    <row r="3211" spans="1:2">
      <c r="A3211" s="32">
        <v>3201</v>
      </c>
      <c r="B3211" s="90">
        <v>7.5597684130788183</v>
      </c>
    </row>
    <row r="3212" spans="1:2">
      <c r="A3212" s="32">
        <v>3202</v>
      </c>
      <c r="B3212" s="90">
        <v>8.2525450249737897</v>
      </c>
    </row>
    <row r="3213" spans="1:2">
      <c r="A3213" s="32">
        <v>3203</v>
      </c>
      <c r="B3213" s="90">
        <v>10.269287846414203</v>
      </c>
    </row>
    <row r="3214" spans="1:2">
      <c r="A3214" s="32">
        <v>3204</v>
      </c>
      <c r="B3214" s="90">
        <v>7.2422052311505736</v>
      </c>
    </row>
    <row r="3215" spans="1:2">
      <c r="A3215" s="32">
        <v>3205</v>
      </c>
      <c r="B3215" s="90">
        <v>7.5454785721239093</v>
      </c>
    </row>
    <row r="3216" spans="1:2">
      <c r="A3216" s="32">
        <v>3206</v>
      </c>
      <c r="B3216" s="90">
        <v>8.4534944387986624</v>
      </c>
    </row>
    <row r="3217" spans="1:2">
      <c r="A3217" s="32">
        <v>3207</v>
      </c>
      <c r="B3217" s="90">
        <v>7.5987128883436492</v>
      </c>
    </row>
    <row r="3218" spans="1:2">
      <c r="A3218" s="32">
        <v>3208</v>
      </c>
      <c r="B3218" s="90">
        <v>8.7929344177763014</v>
      </c>
    </row>
    <row r="3219" spans="1:2">
      <c r="A3219" s="32">
        <v>3209</v>
      </c>
      <c r="B3219" s="90">
        <v>10.017064599639664</v>
      </c>
    </row>
    <row r="3220" spans="1:2">
      <c r="A3220" s="32">
        <v>3210</v>
      </c>
      <c r="B3220" s="90">
        <v>7.0542803016499009</v>
      </c>
    </row>
    <row r="3221" spans="1:2">
      <c r="A3221" s="32">
        <v>3211</v>
      </c>
      <c r="B3221" s="90">
        <v>7.8925456042191566</v>
      </c>
    </row>
    <row r="3222" spans="1:2">
      <c r="A3222" s="32">
        <v>3212</v>
      </c>
      <c r="B3222" s="90">
        <v>8.0316337006253811</v>
      </c>
    </row>
    <row r="3223" spans="1:2">
      <c r="A3223" s="32">
        <v>3213</v>
      </c>
      <c r="B3223" s="90">
        <v>8.2599332087112725</v>
      </c>
    </row>
    <row r="3224" spans="1:2">
      <c r="A3224" s="32">
        <v>3214</v>
      </c>
      <c r="B3224" s="90">
        <v>9.1478464825121542</v>
      </c>
    </row>
    <row r="3225" spans="1:2">
      <c r="A3225" s="32">
        <v>3215</v>
      </c>
      <c r="B3225" s="90">
        <v>8.9083247512755968</v>
      </c>
    </row>
    <row r="3226" spans="1:2">
      <c r="A3226" s="32">
        <v>3216</v>
      </c>
      <c r="B3226" s="90">
        <v>7.2108195308321985</v>
      </c>
    </row>
    <row r="3227" spans="1:2">
      <c r="A3227" s="32">
        <v>3217</v>
      </c>
      <c r="B3227" s="90">
        <v>7.9153216057851257</v>
      </c>
    </row>
    <row r="3228" spans="1:2">
      <c r="A3228" s="32">
        <v>3218</v>
      </c>
      <c r="B3228" s="90">
        <v>8.07650564405027</v>
      </c>
    </row>
    <row r="3229" spans="1:2">
      <c r="A3229" s="32">
        <v>3219</v>
      </c>
      <c r="B3229" s="90">
        <v>8.4011081197131148</v>
      </c>
    </row>
    <row r="3230" spans="1:2">
      <c r="A3230" s="32">
        <v>3220</v>
      </c>
      <c r="B3230" s="90">
        <v>9.1906901087360104</v>
      </c>
    </row>
    <row r="3231" spans="1:2">
      <c r="A3231" s="32">
        <v>3221</v>
      </c>
      <c r="B3231" s="90">
        <v>8.4366922312303778</v>
      </c>
    </row>
    <row r="3232" spans="1:2">
      <c r="A3232" s="32">
        <v>3222</v>
      </c>
      <c r="B3232" s="90">
        <v>7.1762839599889832</v>
      </c>
    </row>
    <row r="3233" spans="1:2">
      <c r="A3233" s="32">
        <v>3223</v>
      </c>
      <c r="B3233" s="90">
        <v>8.5528915155709964</v>
      </c>
    </row>
    <row r="3234" spans="1:2">
      <c r="A3234" s="32">
        <v>3224</v>
      </c>
      <c r="B3234" s="90">
        <v>7.8222696165118881</v>
      </c>
    </row>
    <row r="3235" spans="1:2">
      <c r="A3235" s="32">
        <v>3225</v>
      </c>
      <c r="B3235" s="90">
        <v>8.1516983288390268</v>
      </c>
    </row>
    <row r="3236" spans="1:2">
      <c r="A3236" s="32">
        <v>3226</v>
      </c>
      <c r="B3236" s="90">
        <v>9.4729284884620579</v>
      </c>
    </row>
    <row r="3237" spans="1:2">
      <c r="A3237" s="32">
        <v>3227</v>
      </c>
      <c r="B3237" s="90">
        <v>8.6303624279676843</v>
      </c>
    </row>
    <row r="3238" spans="1:2">
      <c r="A3238" s="32">
        <v>3228</v>
      </c>
      <c r="B3238" s="90">
        <v>8.630813903428642</v>
      </c>
    </row>
    <row r="3239" spans="1:2">
      <c r="A3239" s="32">
        <v>3229</v>
      </c>
      <c r="B3239" s="90">
        <v>7.6338959976513863</v>
      </c>
    </row>
    <row r="3240" spans="1:2">
      <c r="A3240" s="32">
        <v>3230</v>
      </c>
      <c r="B3240" s="90">
        <v>8.0186785074965261</v>
      </c>
    </row>
    <row r="3241" spans="1:2">
      <c r="A3241" s="32">
        <v>3231</v>
      </c>
      <c r="B3241" s="90">
        <v>8.746752591135337</v>
      </c>
    </row>
    <row r="3242" spans="1:2">
      <c r="A3242" s="32">
        <v>3232</v>
      </c>
      <c r="B3242" s="90">
        <v>7.9797943221238299</v>
      </c>
    </row>
    <row r="3243" spans="1:2">
      <c r="A3243" s="32">
        <v>3233</v>
      </c>
      <c r="B3243" s="90">
        <v>7.61492357895668</v>
      </c>
    </row>
    <row r="3244" spans="1:2">
      <c r="A3244" s="32">
        <v>3234</v>
      </c>
      <c r="B3244" s="90">
        <v>8.259067651209735</v>
      </c>
    </row>
    <row r="3245" spans="1:2">
      <c r="A3245" s="32">
        <v>3235</v>
      </c>
      <c r="B3245" s="90">
        <v>7.8637855328559674</v>
      </c>
    </row>
    <row r="3246" spans="1:2">
      <c r="A3246" s="32">
        <v>3236</v>
      </c>
      <c r="B3246" s="90">
        <v>7.873265351809815</v>
      </c>
    </row>
    <row r="3247" spans="1:2">
      <c r="A3247" s="32">
        <v>3237</v>
      </c>
      <c r="B3247" s="90">
        <v>8.8471418278178664</v>
      </c>
    </row>
    <row r="3248" spans="1:2">
      <c r="A3248" s="32">
        <v>3238</v>
      </c>
      <c r="B3248" s="90">
        <v>7.590685982768699</v>
      </c>
    </row>
    <row r="3249" spans="1:2">
      <c r="A3249" s="32">
        <v>3239</v>
      </c>
      <c r="B3249" s="90">
        <v>8.3312154086755559</v>
      </c>
    </row>
    <row r="3250" spans="1:2">
      <c r="A3250" s="32">
        <v>3240</v>
      </c>
      <c r="B3250" s="90">
        <v>7.9668646792499427</v>
      </c>
    </row>
    <row r="3251" spans="1:2">
      <c r="A3251" s="32">
        <v>3241</v>
      </c>
      <c r="B3251" s="90">
        <v>7.9423691380498633</v>
      </c>
    </row>
    <row r="3252" spans="1:2">
      <c r="A3252" s="32">
        <v>3242</v>
      </c>
      <c r="B3252" s="90">
        <v>8.108799614542356</v>
      </c>
    </row>
    <row r="3253" spans="1:2">
      <c r="A3253" s="32">
        <v>3243</v>
      </c>
      <c r="B3253" s="90">
        <v>9.22865432191597</v>
      </c>
    </row>
    <row r="3254" spans="1:2">
      <c r="A3254" s="32">
        <v>3244</v>
      </c>
      <c r="B3254" s="90">
        <v>7.1510735266159404</v>
      </c>
    </row>
    <row r="3255" spans="1:2">
      <c r="A3255" s="32">
        <v>3245</v>
      </c>
      <c r="B3255" s="90">
        <v>8.1417207293420208</v>
      </c>
    </row>
    <row r="3256" spans="1:2">
      <c r="A3256" s="32">
        <v>3246</v>
      </c>
      <c r="B3256" s="90">
        <v>7.850793879123052</v>
      </c>
    </row>
    <row r="3257" spans="1:2">
      <c r="A3257" s="32">
        <v>3247</v>
      </c>
      <c r="B3257" s="90">
        <v>7.9388863042776432</v>
      </c>
    </row>
    <row r="3258" spans="1:2">
      <c r="A3258" s="32">
        <v>3248</v>
      </c>
      <c r="B3258" s="90">
        <v>8.6231634817454808</v>
      </c>
    </row>
    <row r="3259" spans="1:2">
      <c r="A3259" s="32">
        <v>3249</v>
      </c>
      <c r="B3259" s="90">
        <v>8.5931458599738821</v>
      </c>
    </row>
    <row r="3260" spans="1:2">
      <c r="A3260" s="32">
        <v>3250</v>
      </c>
      <c r="B3260" s="90">
        <v>7.153874645716626</v>
      </c>
    </row>
    <row r="3261" spans="1:2">
      <c r="A3261" s="32">
        <v>3251</v>
      </c>
      <c r="B3261" s="90">
        <v>8.5982052008860901</v>
      </c>
    </row>
    <row r="3262" spans="1:2">
      <c r="A3262" s="32">
        <v>3252</v>
      </c>
      <c r="B3262" s="90">
        <v>7.4561404521893708</v>
      </c>
    </row>
    <row r="3263" spans="1:2">
      <c r="A3263" s="32">
        <v>3253</v>
      </c>
      <c r="B3263" s="90">
        <v>7.9733985426716663</v>
      </c>
    </row>
    <row r="3264" spans="1:2">
      <c r="A3264" s="32">
        <v>3254</v>
      </c>
      <c r="B3264" s="90">
        <v>9.6479610055636336</v>
      </c>
    </row>
    <row r="3265" spans="1:2">
      <c r="A3265" s="32">
        <v>3255</v>
      </c>
      <c r="B3265" s="90">
        <v>7.7332408823705086</v>
      </c>
    </row>
    <row r="3266" spans="1:2">
      <c r="A3266" s="32">
        <v>3256</v>
      </c>
      <c r="B3266" s="90">
        <v>7.3470004397166031</v>
      </c>
    </row>
    <row r="3267" spans="1:2">
      <c r="A3267" s="32">
        <v>3257</v>
      </c>
      <c r="B3267" s="90">
        <v>8.5043715502695072</v>
      </c>
    </row>
    <row r="3268" spans="1:2">
      <c r="A3268" s="32">
        <v>3258</v>
      </c>
      <c r="B3268" s="90">
        <v>7.6727888796654389</v>
      </c>
    </row>
    <row r="3269" spans="1:2">
      <c r="A3269" s="32">
        <v>3259</v>
      </c>
      <c r="B3269" s="90">
        <v>7.9285985052528503</v>
      </c>
    </row>
    <row r="3270" spans="1:2">
      <c r="A3270" s="32">
        <v>3260</v>
      </c>
      <c r="B3270" s="90">
        <v>8.8710847007968834</v>
      </c>
    </row>
    <row r="3271" spans="1:2">
      <c r="A3271" s="32">
        <v>3261</v>
      </c>
      <c r="B3271" s="90">
        <v>7.9279909346500874</v>
      </c>
    </row>
    <row r="3272" spans="1:2">
      <c r="A3272" s="32">
        <v>3262</v>
      </c>
      <c r="B3272" s="90">
        <v>7.5361143571133242</v>
      </c>
    </row>
    <row r="3273" spans="1:2">
      <c r="A3273" s="32">
        <v>3263</v>
      </c>
      <c r="B3273" s="90">
        <v>8.4375520366449432</v>
      </c>
    </row>
    <row r="3274" spans="1:2">
      <c r="A3274" s="32">
        <v>3264</v>
      </c>
      <c r="B3274" s="90">
        <v>7.6073393780037852</v>
      </c>
    </row>
    <row r="3275" spans="1:2">
      <c r="A3275" s="32">
        <v>3265</v>
      </c>
      <c r="B3275" s="90">
        <v>8.3138658719524692</v>
      </c>
    </row>
    <row r="3276" spans="1:2">
      <c r="A3276" s="32">
        <v>3266</v>
      </c>
      <c r="B3276" s="90">
        <v>8.6408323232564008</v>
      </c>
    </row>
    <row r="3277" spans="1:2">
      <c r="A3277" s="32">
        <v>3267</v>
      </c>
      <c r="B3277" s="90">
        <v>7.7042091681009968</v>
      </c>
    </row>
    <row r="3278" spans="1:2">
      <c r="A3278" s="32">
        <v>3268</v>
      </c>
      <c r="B3278" s="90">
        <v>8.0150853513286613</v>
      </c>
    </row>
    <row r="3279" spans="1:2">
      <c r="A3279" s="32">
        <v>3269</v>
      </c>
      <c r="B3279" s="90">
        <v>8.0048352193513583</v>
      </c>
    </row>
    <row r="3280" spans="1:2">
      <c r="A3280" s="32">
        <v>3270</v>
      </c>
      <c r="B3280" s="90">
        <v>8.058518984207673</v>
      </c>
    </row>
    <row r="3281" spans="1:2">
      <c r="A3281" s="32">
        <v>3271</v>
      </c>
      <c r="B3281" s="90">
        <v>7.8680839429325955</v>
      </c>
    </row>
    <row r="3282" spans="1:2">
      <c r="A3282" s="32">
        <v>3272</v>
      </c>
      <c r="B3282" s="90">
        <v>8.9697443389487486</v>
      </c>
    </row>
    <row r="3283" spans="1:2">
      <c r="A3283" s="32">
        <v>3273</v>
      </c>
      <c r="B3283" s="90">
        <v>7.5043240992666318</v>
      </c>
    </row>
    <row r="3284" spans="1:2">
      <c r="A3284" s="32">
        <v>3274</v>
      </c>
      <c r="B3284" s="90">
        <v>8.1036126250710936</v>
      </c>
    </row>
    <row r="3285" spans="1:2">
      <c r="A3285" s="32">
        <v>3275</v>
      </c>
      <c r="B3285" s="90">
        <v>8.1985999351314618</v>
      </c>
    </row>
    <row r="3286" spans="1:2">
      <c r="A3286" s="32">
        <v>3276</v>
      </c>
      <c r="B3286" s="90">
        <v>7.9143490327093664</v>
      </c>
    </row>
    <row r="3287" spans="1:2">
      <c r="A3287" s="32">
        <v>3277</v>
      </c>
      <c r="B3287" s="90">
        <v>8.1524986694252046</v>
      </c>
    </row>
    <row r="3288" spans="1:2">
      <c r="A3288" s="32">
        <v>3278</v>
      </c>
      <c r="B3288" s="90">
        <v>8.786524150768372</v>
      </c>
    </row>
    <row r="3289" spans="1:2">
      <c r="A3289" s="32">
        <v>3279</v>
      </c>
      <c r="B3289" s="90">
        <v>7.0058211060883648</v>
      </c>
    </row>
    <row r="3290" spans="1:2">
      <c r="A3290" s="32">
        <v>3280</v>
      </c>
      <c r="B3290" s="90">
        <v>8.697211545031422</v>
      </c>
    </row>
    <row r="3291" spans="1:2">
      <c r="A3291" s="32">
        <v>3281</v>
      </c>
      <c r="B3291" s="90">
        <v>7.9081751596669916</v>
      </c>
    </row>
    <row r="3292" spans="1:2">
      <c r="A3292" s="32">
        <v>3282</v>
      </c>
      <c r="B3292" s="90">
        <v>7.6779461835136509</v>
      </c>
    </row>
    <row r="3293" spans="1:2">
      <c r="A3293" s="32">
        <v>3283</v>
      </c>
      <c r="B3293" s="90">
        <v>9.2202568326356964</v>
      </c>
    </row>
    <row r="3294" spans="1:2">
      <c r="A3294" s="32">
        <v>3284</v>
      </c>
      <c r="B3294" s="90">
        <v>8.1672322242921904</v>
      </c>
    </row>
    <row r="3295" spans="1:2">
      <c r="A3295" s="32">
        <v>3285</v>
      </c>
      <c r="B3295" s="90">
        <v>7.2416434259692481</v>
      </c>
    </row>
    <row r="3296" spans="1:2">
      <c r="A3296" s="32">
        <v>3286</v>
      </c>
      <c r="B3296" s="90">
        <v>8.0308720507900766</v>
      </c>
    </row>
    <row r="3297" spans="1:2">
      <c r="A3297" s="32">
        <v>3287</v>
      </c>
      <c r="B3297" s="90">
        <v>7.9661487536044406</v>
      </c>
    </row>
    <row r="3298" spans="1:2">
      <c r="A3298" s="32">
        <v>3288</v>
      </c>
      <c r="B3298" s="90">
        <v>7.8728249415172833</v>
      </c>
    </row>
    <row r="3299" spans="1:2">
      <c r="A3299" s="32">
        <v>3289</v>
      </c>
      <c r="B3299" s="90">
        <v>9.4862012147188288</v>
      </c>
    </row>
    <row r="3300" spans="1:2">
      <c r="A3300" s="32">
        <v>3290</v>
      </c>
      <c r="B3300" s="90">
        <v>7.6346653971644667</v>
      </c>
    </row>
    <row r="3301" spans="1:2">
      <c r="A3301" s="32">
        <v>3291</v>
      </c>
      <c r="B3301" s="90">
        <v>7.4570280460004481</v>
      </c>
    </row>
    <row r="3302" spans="1:2">
      <c r="A3302" s="32">
        <v>3292</v>
      </c>
      <c r="B3302" s="90">
        <v>8.630813903428642</v>
      </c>
    </row>
    <row r="3303" spans="1:2">
      <c r="A3303" s="32">
        <v>3293</v>
      </c>
      <c r="B3303" s="90">
        <v>7.6338959976513863</v>
      </c>
    </row>
    <row r="3304" spans="1:2">
      <c r="A3304" s="32">
        <v>3294</v>
      </c>
      <c r="B3304" s="90">
        <v>8.0186785074965261</v>
      </c>
    </row>
    <row r="3305" spans="1:2">
      <c r="A3305" s="32">
        <v>3295</v>
      </c>
      <c r="B3305" s="90">
        <v>8.746752591135337</v>
      </c>
    </row>
    <row r="3306" spans="1:2">
      <c r="A3306" s="32">
        <v>3296</v>
      </c>
      <c r="B3306" s="90">
        <v>7.9797943221238299</v>
      </c>
    </row>
    <row r="3307" spans="1:2">
      <c r="A3307" s="32">
        <v>3297</v>
      </c>
      <c r="B3307" s="90">
        <v>7.61492357895668</v>
      </c>
    </row>
    <row r="3308" spans="1:2">
      <c r="A3308" s="32">
        <v>3298</v>
      </c>
      <c r="B3308" s="90">
        <v>8.259067651209735</v>
      </c>
    </row>
    <row r="3309" spans="1:2">
      <c r="A3309" s="32">
        <v>3299</v>
      </c>
      <c r="B3309" s="90">
        <v>7.8637855328559674</v>
      </c>
    </row>
    <row r="3310" spans="1:2">
      <c r="A3310" s="32">
        <v>3300</v>
      </c>
      <c r="B3310" s="90">
        <v>7.873265351809815</v>
      </c>
    </row>
    <row r="3311" spans="1:2">
      <c r="A3311" s="32">
        <v>3301</v>
      </c>
      <c r="B3311" s="90">
        <v>8.8471418278178664</v>
      </c>
    </row>
    <row r="3312" spans="1:2">
      <c r="A3312" s="32">
        <v>3302</v>
      </c>
      <c r="B3312" s="90">
        <v>7.590685982768699</v>
      </c>
    </row>
    <row r="3313" spans="1:2">
      <c r="A3313" s="32">
        <v>3303</v>
      </c>
      <c r="B3313" s="90">
        <v>8.3312154086755559</v>
      </c>
    </row>
    <row r="3314" spans="1:2">
      <c r="A3314" s="32">
        <v>3304</v>
      </c>
      <c r="B3314" s="90">
        <v>7.9668646792499427</v>
      </c>
    </row>
    <row r="3315" spans="1:2">
      <c r="A3315" s="32">
        <v>3305</v>
      </c>
      <c r="B3315" s="90">
        <v>7.9423691380498633</v>
      </c>
    </row>
    <row r="3316" spans="1:2">
      <c r="A3316" s="32">
        <v>3306</v>
      </c>
      <c r="B3316" s="90">
        <v>8.108799614542356</v>
      </c>
    </row>
    <row r="3317" spans="1:2">
      <c r="A3317" s="32">
        <v>3307</v>
      </c>
      <c r="B3317" s="90">
        <v>9.22865432191597</v>
      </c>
    </row>
    <row r="3318" spans="1:2">
      <c r="A3318" s="32">
        <v>3308</v>
      </c>
      <c r="B3318" s="90">
        <v>7.1510735266159404</v>
      </c>
    </row>
    <row r="3319" spans="1:2">
      <c r="A3319" s="32">
        <v>3309</v>
      </c>
      <c r="B3319" s="90">
        <v>8.1417207293420208</v>
      </c>
    </row>
    <row r="3320" spans="1:2">
      <c r="A3320" s="32">
        <v>3310</v>
      </c>
      <c r="B3320" s="90">
        <v>7.850793879123052</v>
      </c>
    </row>
    <row r="3321" spans="1:2">
      <c r="A3321" s="32">
        <v>3311</v>
      </c>
      <c r="B3321" s="90">
        <v>7.9388863042776432</v>
      </c>
    </row>
    <row r="3322" spans="1:2">
      <c r="A3322" s="32">
        <v>3312</v>
      </c>
      <c r="B3322" s="90">
        <v>8.6231634817454808</v>
      </c>
    </row>
    <row r="3323" spans="1:2">
      <c r="A3323" s="32">
        <v>3313</v>
      </c>
      <c r="B3323" s="90">
        <v>8.5931458599738821</v>
      </c>
    </row>
    <row r="3324" spans="1:2">
      <c r="A3324" s="32">
        <v>3314</v>
      </c>
      <c r="B3324" s="90">
        <v>7.153874645716626</v>
      </c>
    </row>
    <row r="3325" spans="1:2">
      <c r="A3325" s="32">
        <v>3315</v>
      </c>
      <c r="B3325" s="90">
        <v>8.5982052008860901</v>
      </c>
    </row>
    <row r="3326" spans="1:2">
      <c r="A3326" s="32">
        <v>3316</v>
      </c>
      <c r="B3326" s="90">
        <v>7.4561404521893708</v>
      </c>
    </row>
    <row r="3327" spans="1:2">
      <c r="A3327" s="32">
        <v>3317</v>
      </c>
      <c r="B3327" s="90">
        <v>7.9733985426716663</v>
      </c>
    </row>
    <row r="3328" spans="1:2">
      <c r="A3328" s="32">
        <v>3318</v>
      </c>
      <c r="B3328" s="90">
        <v>9.6479610055636336</v>
      </c>
    </row>
    <row r="3329" spans="1:2">
      <c r="A3329" s="32">
        <v>3319</v>
      </c>
      <c r="B3329" s="90">
        <v>7.7332408823705086</v>
      </c>
    </row>
    <row r="3330" spans="1:2">
      <c r="A3330" s="32">
        <v>3320</v>
      </c>
      <c r="B3330" s="90">
        <v>7.3470004397166031</v>
      </c>
    </row>
    <row r="3331" spans="1:2">
      <c r="A3331" s="32">
        <v>3321</v>
      </c>
      <c r="B3331" s="90">
        <v>8.5043715502695072</v>
      </c>
    </row>
    <row r="3332" spans="1:2">
      <c r="A3332" s="32">
        <v>3322</v>
      </c>
      <c r="B3332" s="90">
        <v>7.6727888796654389</v>
      </c>
    </row>
    <row r="3333" spans="1:2">
      <c r="A3333" s="32">
        <v>3323</v>
      </c>
      <c r="B3333" s="90">
        <v>7.9285985052528503</v>
      </c>
    </row>
    <row r="3334" spans="1:2">
      <c r="A3334" s="32">
        <v>3324</v>
      </c>
      <c r="B3334" s="90">
        <v>8.8710847007968834</v>
      </c>
    </row>
    <row r="3335" spans="1:2">
      <c r="A3335" s="32">
        <v>3325</v>
      </c>
      <c r="B3335" s="90">
        <v>7.9279909346500874</v>
      </c>
    </row>
    <row r="3336" spans="1:2">
      <c r="A3336" s="32">
        <v>3326</v>
      </c>
      <c r="B3336" s="90">
        <v>7.5361143571133242</v>
      </c>
    </row>
    <row r="3337" spans="1:2">
      <c r="A3337" s="32">
        <v>3327</v>
      </c>
      <c r="B3337" s="90">
        <v>8.4375520366449432</v>
      </c>
    </row>
    <row r="3338" spans="1:2">
      <c r="A3338" s="32">
        <v>3328</v>
      </c>
      <c r="B3338" s="90">
        <v>7.6073393780037852</v>
      </c>
    </row>
    <row r="3339" spans="1:2">
      <c r="A3339" s="32">
        <v>3329</v>
      </c>
      <c r="B3339" s="90">
        <v>8.3138658719524692</v>
      </c>
    </row>
    <row r="3340" spans="1:2">
      <c r="A3340" s="32">
        <v>3330</v>
      </c>
      <c r="B3340" s="90">
        <v>8.6408323232564008</v>
      </c>
    </row>
    <row r="3341" spans="1:2">
      <c r="A3341" s="32">
        <v>3331</v>
      </c>
      <c r="B3341" s="90">
        <v>7.7042091681009968</v>
      </c>
    </row>
    <row r="3342" spans="1:2">
      <c r="A3342" s="32">
        <v>3332</v>
      </c>
      <c r="B3342" s="90">
        <v>8.0150853513286613</v>
      </c>
    </row>
    <row r="3343" spans="1:2">
      <c r="A3343" s="32">
        <v>3333</v>
      </c>
      <c r="B3343" s="90">
        <v>8.0048352193513583</v>
      </c>
    </row>
    <row r="3344" spans="1:2">
      <c r="A3344" s="32">
        <v>3334</v>
      </c>
      <c r="B3344" s="90">
        <v>8.058518984207673</v>
      </c>
    </row>
    <row r="3345" spans="1:2">
      <c r="A3345" s="32">
        <v>3335</v>
      </c>
      <c r="B3345" s="90">
        <v>7.8680839429325955</v>
      </c>
    </row>
    <row r="3346" spans="1:2">
      <c r="A3346" s="32">
        <v>3336</v>
      </c>
      <c r="B3346" s="90">
        <v>8.9697443389487486</v>
      </c>
    </row>
    <row r="3347" spans="1:2">
      <c r="A3347" s="32">
        <v>3337</v>
      </c>
      <c r="B3347" s="90">
        <v>7.5043240992666318</v>
      </c>
    </row>
    <row r="3348" spans="1:2">
      <c r="A3348" s="32">
        <v>3338</v>
      </c>
      <c r="B3348" s="90">
        <v>8.1036126250710936</v>
      </c>
    </row>
    <row r="3349" spans="1:2">
      <c r="A3349" s="32">
        <v>3339</v>
      </c>
      <c r="B3349" s="90">
        <v>8.1985999351314618</v>
      </c>
    </row>
    <row r="3350" spans="1:2">
      <c r="A3350" s="32">
        <v>3340</v>
      </c>
      <c r="B3350" s="90">
        <v>7.9143490327093664</v>
      </c>
    </row>
    <row r="3351" spans="1:2">
      <c r="A3351" s="32">
        <v>3341</v>
      </c>
      <c r="B3351" s="90">
        <v>8.1524986694252046</v>
      </c>
    </row>
    <row r="3352" spans="1:2">
      <c r="A3352" s="32">
        <v>3342</v>
      </c>
      <c r="B3352" s="90">
        <v>8.786524150768372</v>
      </c>
    </row>
    <row r="3353" spans="1:2">
      <c r="A3353" s="32">
        <v>3343</v>
      </c>
      <c r="B3353" s="90">
        <v>7.0058211060883648</v>
      </c>
    </row>
    <row r="3354" spans="1:2">
      <c r="A3354" s="32">
        <v>3344</v>
      </c>
      <c r="B3354" s="90">
        <v>8.697211545031422</v>
      </c>
    </row>
    <row r="3355" spans="1:2">
      <c r="A3355" s="32">
        <v>3345</v>
      </c>
      <c r="B3355" s="90">
        <v>7.9081751596669916</v>
      </c>
    </row>
    <row r="3356" spans="1:2">
      <c r="A3356" s="32">
        <v>3346</v>
      </c>
      <c r="B3356" s="90">
        <v>7.6779461835136509</v>
      </c>
    </row>
    <row r="3357" spans="1:2">
      <c r="A3357" s="32">
        <v>3347</v>
      </c>
      <c r="B3357" s="90">
        <v>9.2202568326356964</v>
      </c>
    </row>
    <row r="3358" spans="1:2">
      <c r="A3358" s="32">
        <v>3348</v>
      </c>
      <c r="B3358" s="90">
        <v>8.4773986438068523</v>
      </c>
    </row>
    <row r="3359" spans="1:2">
      <c r="A3359" s="32">
        <v>3349</v>
      </c>
      <c r="B3359" s="90">
        <v>7.7110410569601981</v>
      </c>
    </row>
    <row r="3360" spans="1:2">
      <c r="A3360" s="32">
        <v>3350</v>
      </c>
      <c r="B3360" s="90">
        <v>9.0775200051638247</v>
      </c>
    </row>
    <row r="3361" spans="1:2">
      <c r="A3361" s="32">
        <v>3351</v>
      </c>
      <c r="B3361" s="90">
        <v>8.9485983627306904</v>
      </c>
    </row>
    <row r="3362" spans="1:2">
      <c r="A3362" s="32">
        <v>3352</v>
      </c>
      <c r="B3362" s="90">
        <v>6.9517379450760277</v>
      </c>
    </row>
    <row r="3363" spans="1:2">
      <c r="A3363" s="32">
        <v>3353</v>
      </c>
      <c r="B3363" s="90">
        <v>8.5625559922582362</v>
      </c>
    </row>
    <row r="3364" spans="1:2">
      <c r="A3364" s="32">
        <v>3354</v>
      </c>
      <c r="B3364" s="90">
        <v>8.5741255106340226</v>
      </c>
    </row>
    <row r="3365" spans="1:2">
      <c r="A3365" s="32">
        <v>3355</v>
      </c>
      <c r="B3365" s="90">
        <v>7.9538561980740159</v>
      </c>
    </row>
    <row r="3366" spans="1:2">
      <c r="A3366" s="32">
        <v>3356</v>
      </c>
      <c r="B3366" s="90">
        <v>9.0320623021937045</v>
      </c>
    </row>
    <row r="3367" spans="1:2">
      <c r="A3367" s="32">
        <v>3357</v>
      </c>
      <c r="B3367" s="90">
        <v>8.544707584141662</v>
      </c>
    </row>
    <row r="3368" spans="1:2">
      <c r="A3368" s="32">
        <v>3358</v>
      </c>
      <c r="B3368" s="90">
        <v>7.4893980681657037</v>
      </c>
    </row>
    <row r="3369" spans="1:2">
      <c r="A3369" s="32">
        <v>3359</v>
      </c>
      <c r="B3369" s="90">
        <v>7.5723163130774269</v>
      </c>
    </row>
    <row r="3370" spans="1:2">
      <c r="A3370" s="32">
        <v>3360</v>
      </c>
      <c r="B3370" s="90">
        <v>8.6522262307555415</v>
      </c>
    </row>
    <row r="3371" spans="1:2">
      <c r="A3371" s="32">
        <v>3361</v>
      </c>
      <c r="B3371" s="90">
        <v>8.9118970256725891</v>
      </c>
    </row>
    <row r="3372" spans="1:2">
      <c r="A3372" s="32">
        <v>3362</v>
      </c>
      <c r="B3372" s="90">
        <v>8.3427794155222532</v>
      </c>
    </row>
    <row r="3373" spans="1:2">
      <c r="A3373" s="32">
        <v>3363</v>
      </c>
      <c r="B3373" s="90">
        <v>8.1838576129177643</v>
      </c>
    </row>
    <row r="3374" spans="1:2">
      <c r="A3374" s="32">
        <v>3364</v>
      </c>
      <c r="B3374" s="90">
        <v>7.4450356185620645</v>
      </c>
    </row>
    <row r="3375" spans="1:2">
      <c r="A3375" s="32">
        <v>3365</v>
      </c>
      <c r="B3375" s="90">
        <v>8.109723980777531</v>
      </c>
    </row>
    <row r="3376" spans="1:2">
      <c r="A3376" s="32">
        <v>3366</v>
      </c>
      <c r="B3376" s="90">
        <v>8.2377166231124033</v>
      </c>
    </row>
    <row r="3377" spans="1:2">
      <c r="A3377" s="32">
        <v>3367</v>
      </c>
      <c r="B3377" s="90">
        <v>9.3148176222179693</v>
      </c>
    </row>
    <row r="3378" spans="1:2">
      <c r="A3378" s="32">
        <v>3368</v>
      </c>
      <c r="B3378" s="90">
        <v>8.3538695046429616</v>
      </c>
    </row>
    <row r="3379" spans="1:2">
      <c r="A3379" s="32">
        <v>3369</v>
      </c>
      <c r="B3379" s="90">
        <v>7.719686089761149</v>
      </c>
    </row>
    <row r="3380" spans="1:2">
      <c r="A3380" s="32">
        <v>3370</v>
      </c>
      <c r="B3380" s="90">
        <v>8.562218683043449</v>
      </c>
    </row>
    <row r="3381" spans="1:2">
      <c r="A3381" s="32">
        <v>3371</v>
      </c>
      <c r="B3381" s="90">
        <v>7.5543759662027288</v>
      </c>
    </row>
    <row r="3382" spans="1:2">
      <c r="A3382" s="32">
        <v>3372</v>
      </c>
      <c r="B3382" s="90">
        <v>8.540939149217019</v>
      </c>
    </row>
    <row r="3383" spans="1:2">
      <c r="A3383" s="32">
        <v>3373</v>
      </c>
      <c r="B3383" s="90">
        <v>8.6328741664512805</v>
      </c>
    </row>
    <row r="3384" spans="1:2">
      <c r="A3384" s="32">
        <v>3374</v>
      </c>
      <c r="B3384" s="90">
        <v>8.8145789555593126</v>
      </c>
    </row>
    <row r="3385" spans="1:2">
      <c r="A3385" s="32">
        <v>3375</v>
      </c>
      <c r="B3385" s="90">
        <v>7.7108180121220027</v>
      </c>
    </row>
    <row r="3386" spans="1:2">
      <c r="A3386" s="32">
        <v>3376</v>
      </c>
      <c r="B3386" s="90">
        <v>8.157618288585283</v>
      </c>
    </row>
    <row r="3387" spans="1:2">
      <c r="A3387" s="32">
        <v>3377</v>
      </c>
      <c r="B3387" s="90">
        <v>7.9200650646419328</v>
      </c>
    </row>
    <row r="3388" spans="1:2">
      <c r="A3388" s="32">
        <v>3378</v>
      </c>
      <c r="B3388" s="90">
        <v>8.267843756682133</v>
      </c>
    </row>
    <row r="3389" spans="1:2">
      <c r="A3389" s="32">
        <v>3379</v>
      </c>
      <c r="B3389" s="90">
        <v>8.9539670545445365</v>
      </c>
    </row>
    <row r="3390" spans="1:2">
      <c r="A3390" s="32">
        <v>3380</v>
      </c>
      <c r="B3390" s="90">
        <v>8.9084683623502734</v>
      </c>
    </row>
    <row r="3391" spans="1:2">
      <c r="A3391" s="32">
        <v>3381</v>
      </c>
      <c r="B3391" s="90">
        <v>7.0567359634293263</v>
      </c>
    </row>
    <row r="3392" spans="1:2">
      <c r="A3392" s="32">
        <v>3382</v>
      </c>
      <c r="B3392" s="90">
        <v>8.4042832594386692</v>
      </c>
    </row>
    <row r="3393" spans="1:2">
      <c r="A3393" s="32">
        <v>3383</v>
      </c>
      <c r="B3393" s="90">
        <v>8.7135476819583459</v>
      </c>
    </row>
    <row r="3394" spans="1:2">
      <c r="A3394" s="32">
        <v>3384</v>
      </c>
      <c r="B3394" s="90">
        <v>7.5998572305354077</v>
      </c>
    </row>
    <row r="3395" spans="1:2">
      <c r="A3395" s="32">
        <v>3385</v>
      </c>
      <c r="B3395" s="90">
        <v>9.3675706329020603</v>
      </c>
    </row>
    <row r="3396" spans="1:2">
      <c r="A3396" s="32">
        <v>3386</v>
      </c>
      <c r="B3396" s="90">
        <v>8.7317264552995404</v>
      </c>
    </row>
    <row r="3397" spans="1:2">
      <c r="A3397" s="32">
        <v>3387</v>
      </c>
      <c r="B3397" s="90">
        <v>7.2208049839894706</v>
      </c>
    </row>
    <row r="3398" spans="1:2">
      <c r="A3398" s="32">
        <v>3388</v>
      </c>
      <c r="B3398" s="90">
        <v>8.0324682305669395</v>
      </c>
    </row>
    <row r="3399" spans="1:2">
      <c r="A3399" s="32">
        <v>3389</v>
      </c>
      <c r="B3399" s="90">
        <v>8.2000676168954527</v>
      </c>
    </row>
    <row r="3400" spans="1:2">
      <c r="A3400" s="32">
        <v>3390</v>
      </c>
      <c r="B3400" s="90">
        <v>8.4437919331357385</v>
      </c>
    </row>
    <row r="3401" spans="1:2">
      <c r="A3401" s="32">
        <v>3391</v>
      </c>
      <c r="B3401" s="90">
        <v>9.006856863989924</v>
      </c>
    </row>
    <row r="3402" spans="1:2">
      <c r="A3402" s="32">
        <v>3392</v>
      </c>
      <c r="B3402" s="90">
        <v>8.5340467485171967</v>
      </c>
    </row>
    <row r="3403" spans="1:2">
      <c r="A3403" s="32">
        <v>3393</v>
      </c>
      <c r="B3403" s="90">
        <v>7.433909705770585</v>
      </c>
    </row>
    <row r="3404" spans="1:2">
      <c r="A3404" s="32">
        <v>3394</v>
      </c>
      <c r="B3404" s="90">
        <v>7.9219294291839937</v>
      </c>
    </row>
    <row r="3405" spans="1:2">
      <c r="A3405" s="32">
        <v>3395</v>
      </c>
      <c r="B3405" s="90">
        <v>8.2243068892487106</v>
      </c>
    </row>
    <row r="3406" spans="1:2">
      <c r="A3406" s="32">
        <v>3396</v>
      </c>
      <c r="B3406" s="90">
        <v>9.1949412746033126</v>
      </c>
    </row>
    <row r="3407" spans="1:2">
      <c r="A3407" s="32">
        <v>3397</v>
      </c>
      <c r="B3407" s="90">
        <v>8.4583785845197692</v>
      </c>
    </row>
    <row r="3408" spans="1:2">
      <c r="A3408" s="32">
        <v>3398</v>
      </c>
      <c r="B3408" s="90">
        <v>7.7144777208173911</v>
      </c>
    </row>
    <row r="3409" spans="1:2">
      <c r="A3409" s="32">
        <v>3399</v>
      </c>
      <c r="B3409" s="90">
        <v>7.8257951378287292</v>
      </c>
    </row>
    <row r="3410" spans="1:2">
      <c r="A3410" s="32">
        <v>3400</v>
      </c>
      <c r="B3410" s="90">
        <v>7.9426245707330079</v>
      </c>
    </row>
    <row r="3411" spans="1:2">
      <c r="A3411" s="32">
        <v>3401</v>
      </c>
      <c r="B3411" s="90">
        <v>8.5537107239328662</v>
      </c>
    </row>
    <row r="3412" spans="1:2">
      <c r="A3412" s="32">
        <v>3402</v>
      </c>
      <c r="B3412" s="90">
        <v>8.9084740550653727</v>
      </c>
    </row>
    <row r="3413" spans="1:2">
      <c r="A3413" s="32">
        <v>3403</v>
      </c>
      <c r="B3413" s="90">
        <v>8.3928919101105866</v>
      </c>
    </row>
    <row r="3414" spans="1:2">
      <c r="A3414" s="32">
        <v>3404</v>
      </c>
      <c r="B3414" s="90">
        <v>7.8406540693511406</v>
      </c>
    </row>
    <row r="3415" spans="1:2">
      <c r="A3415" s="32">
        <v>3405</v>
      </c>
      <c r="B3415" s="90">
        <v>8.058997020547805</v>
      </c>
    </row>
    <row r="3416" spans="1:2">
      <c r="A3416" s="32">
        <v>3406</v>
      </c>
      <c r="B3416" s="90">
        <v>8.0392950138407411</v>
      </c>
    </row>
    <row r="3417" spans="1:2">
      <c r="A3417" s="32">
        <v>3407</v>
      </c>
      <c r="B3417" s="90">
        <v>8.441817650085385</v>
      </c>
    </row>
    <row r="3418" spans="1:2">
      <c r="A3418" s="32">
        <v>3408</v>
      </c>
      <c r="B3418" s="90">
        <v>8.8719721546730703</v>
      </c>
    </row>
    <row r="3419" spans="1:2">
      <c r="A3419" s="32">
        <v>3409</v>
      </c>
      <c r="B3419" s="90">
        <v>8.9336770890642097</v>
      </c>
    </row>
    <row r="3420" spans="1:2">
      <c r="A3420" s="32">
        <v>3410</v>
      </c>
      <c r="B3420" s="90">
        <v>7.0952988322775523</v>
      </c>
    </row>
    <row r="3421" spans="1:2">
      <c r="A3421" s="32">
        <v>3411</v>
      </c>
      <c r="B3421" s="90">
        <v>8.3848207638815957</v>
      </c>
    </row>
    <row r="3422" spans="1:2">
      <c r="A3422" s="32">
        <v>3412</v>
      </c>
      <c r="B3422" s="90">
        <v>8.6065154572576841</v>
      </c>
    </row>
    <row r="3423" spans="1:2">
      <c r="A3423" s="32">
        <v>3413</v>
      </c>
      <c r="B3423" s="90">
        <v>7.7110410569601981</v>
      </c>
    </row>
    <row r="3424" spans="1:2">
      <c r="A3424" s="32">
        <v>3414</v>
      </c>
      <c r="B3424" s="90">
        <v>9.0775200051638247</v>
      </c>
    </row>
    <row r="3425" spans="1:2">
      <c r="A3425" s="32">
        <v>3415</v>
      </c>
      <c r="B3425" s="90">
        <v>8.9485983627306904</v>
      </c>
    </row>
    <row r="3426" spans="1:2">
      <c r="A3426" s="32">
        <v>3416</v>
      </c>
      <c r="B3426" s="90">
        <v>6.9517379450760277</v>
      </c>
    </row>
    <row r="3427" spans="1:2">
      <c r="A3427" s="32">
        <v>3417</v>
      </c>
      <c r="B3427" s="90">
        <v>8.5625559922582362</v>
      </c>
    </row>
    <row r="3428" spans="1:2">
      <c r="A3428" s="32">
        <v>3418</v>
      </c>
      <c r="B3428" s="90">
        <v>8.5741255106340226</v>
      </c>
    </row>
    <row r="3429" spans="1:2">
      <c r="A3429" s="32">
        <v>3419</v>
      </c>
      <c r="B3429" s="90">
        <v>7.9538561980740159</v>
      </c>
    </row>
    <row r="3430" spans="1:2">
      <c r="A3430" s="32">
        <v>3420</v>
      </c>
      <c r="B3430" s="90">
        <v>9.0320623021937045</v>
      </c>
    </row>
    <row r="3431" spans="1:2">
      <c r="A3431" s="32">
        <v>3421</v>
      </c>
      <c r="B3431" s="90">
        <v>8.544707584141662</v>
      </c>
    </row>
    <row r="3432" spans="1:2">
      <c r="A3432" s="32">
        <v>3422</v>
      </c>
      <c r="B3432" s="90">
        <v>7.4893980681657037</v>
      </c>
    </row>
    <row r="3433" spans="1:2">
      <c r="A3433" s="32">
        <v>3423</v>
      </c>
      <c r="B3433" s="90">
        <v>7.5723163130774269</v>
      </c>
    </row>
    <row r="3434" spans="1:2">
      <c r="A3434" s="32">
        <v>3424</v>
      </c>
      <c r="B3434" s="90">
        <v>8.6522262307555415</v>
      </c>
    </row>
    <row r="3435" spans="1:2">
      <c r="A3435" s="32">
        <v>3425</v>
      </c>
      <c r="B3435" s="90">
        <v>8.9118970256725891</v>
      </c>
    </row>
    <row r="3436" spans="1:2">
      <c r="A3436" s="32">
        <v>3426</v>
      </c>
      <c r="B3436" s="90">
        <v>8.3427794155222532</v>
      </c>
    </row>
    <row r="3437" spans="1:2">
      <c r="A3437" s="32">
        <v>3427</v>
      </c>
      <c r="B3437" s="90">
        <v>8.1838576129177643</v>
      </c>
    </row>
    <row r="3438" spans="1:2">
      <c r="A3438" s="32">
        <v>3428</v>
      </c>
      <c r="B3438" s="90">
        <v>7.4450356185620645</v>
      </c>
    </row>
    <row r="3439" spans="1:2">
      <c r="A3439" s="32">
        <v>3429</v>
      </c>
      <c r="B3439" s="90">
        <v>9.2705714890809698</v>
      </c>
    </row>
    <row r="3440" spans="1:2">
      <c r="A3440" s="32">
        <v>3430</v>
      </c>
      <c r="B3440" s="90">
        <v>8.4449796191009288</v>
      </c>
    </row>
    <row r="3441" spans="1:2">
      <c r="A3441" s="32">
        <v>3431</v>
      </c>
      <c r="B3441" s="90">
        <v>7.501198860952111</v>
      </c>
    </row>
    <row r="3442" spans="1:2">
      <c r="A3442" s="32">
        <v>3432</v>
      </c>
      <c r="B3442" s="90">
        <v>7.7244391498250433</v>
      </c>
    </row>
    <row r="3443" spans="1:2">
      <c r="A3443" s="32">
        <v>3433</v>
      </c>
      <c r="B3443" s="90">
        <v>8.5235661820469204</v>
      </c>
    </row>
    <row r="3444" spans="1:2">
      <c r="A3444" s="32">
        <v>3434</v>
      </c>
      <c r="B3444" s="90">
        <v>8.6118904735497601</v>
      </c>
    </row>
    <row r="3445" spans="1:2">
      <c r="A3445" s="32">
        <v>3435</v>
      </c>
      <c r="B3445" s="90">
        <v>8.6677701431147867</v>
      </c>
    </row>
    <row r="3446" spans="1:2">
      <c r="A3446" s="32">
        <v>3436</v>
      </c>
      <c r="B3446" s="90">
        <v>8.4141850642090006</v>
      </c>
    </row>
    <row r="3447" spans="1:2">
      <c r="A3447" s="32">
        <v>3437</v>
      </c>
      <c r="B3447" s="90">
        <v>7.391507621813739</v>
      </c>
    </row>
    <row r="3448" spans="1:2">
      <c r="A3448" s="32">
        <v>3438</v>
      </c>
      <c r="B3448" s="90">
        <v>8.0509735415528478</v>
      </c>
    </row>
    <row r="3449" spans="1:2">
      <c r="A3449" s="32">
        <v>3439</v>
      </c>
      <c r="B3449" s="90">
        <v>8.7501724269333394</v>
      </c>
    </row>
    <row r="3450" spans="1:2">
      <c r="A3450" s="32">
        <v>3440</v>
      </c>
      <c r="B3450" s="90">
        <v>8.3950669771625126</v>
      </c>
    </row>
    <row r="3451" spans="1:2">
      <c r="A3451" s="32">
        <v>3441</v>
      </c>
      <c r="B3451" s="90">
        <v>8.8021523813390399</v>
      </c>
    </row>
    <row r="3452" spans="1:2">
      <c r="A3452" s="32">
        <v>3442</v>
      </c>
      <c r="B3452" s="90">
        <v>7.9830984256204918</v>
      </c>
    </row>
    <row r="3453" spans="1:2">
      <c r="A3453" s="32">
        <v>3443</v>
      </c>
      <c r="B3453" s="90">
        <v>8.0203239340322536</v>
      </c>
    </row>
    <row r="3454" spans="1:2">
      <c r="A3454" s="32">
        <v>3444</v>
      </c>
      <c r="B3454" s="90">
        <v>7.5100902777637222</v>
      </c>
    </row>
    <row r="3455" spans="1:2">
      <c r="A3455" s="32">
        <v>3445</v>
      </c>
      <c r="B3455" s="90">
        <v>8.9844645806472681</v>
      </c>
    </row>
    <row r="3456" spans="1:2">
      <c r="A3456" s="32">
        <v>3446</v>
      </c>
      <c r="B3456" s="90">
        <v>8.3307400768560083</v>
      </c>
    </row>
    <row r="3457" spans="1:2">
      <c r="A3457" s="32">
        <v>3447</v>
      </c>
      <c r="B3457" s="90">
        <v>9.2215273225053789</v>
      </c>
    </row>
    <row r="3458" spans="1:2">
      <c r="A3458" s="32">
        <v>3448</v>
      </c>
      <c r="B3458" s="90">
        <v>7.8174065656093115</v>
      </c>
    </row>
    <row r="3459" spans="1:2">
      <c r="A3459" s="32">
        <v>3449</v>
      </c>
      <c r="B3459" s="90">
        <v>7.7388015207339045</v>
      </c>
    </row>
    <row r="3460" spans="1:2">
      <c r="A3460" s="32">
        <v>3450</v>
      </c>
      <c r="B3460" s="90">
        <v>7.27789037499124</v>
      </c>
    </row>
    <row r="3461" spans="1:2">
      <c r="A3461" s="32">
        <v>3451</v>
      </c>
      <c r="B3461" s="90">
        <v>9.3898986872694312</v>
      </c>
    </row>
    <row r="3462" spans="1:2">
      <c r="A3462" s="32">
        <v>3452</v>
      </c>
      <c r="B3462" s="90">
        <v>8.7242368792724658</v>
      </c>
    </row>
    <row r="3463" spans="1:2">
      <c r="A3463" s="32">
        <v>3453</v>
      </c>
      <c r="B3463" s="90">
        <v>8.3679023523527931</v>
      </c>
    </row>
    <row r="3464" spans="1:2">
      <c r="A3464" s="32">
        <v>3454</v>
      </c>
      <c r="B3464" s="90">
        <v>8.2610615935655076</v>
      </c>
    </row>
    <row r="3465" spans="1:2">
      <c r="A3465" s="32">
        <v>3455</v>
      </c>
      <c r="B3465" s="90">
        <v>7.2119739289373062</v>
      </c>
    </row>
    <row r="3466" spans="1:2">
      <c r="A3466" s="32">
        <v>3456</v>
      </c>
      <c r="B3466" s="90">
        <v>7.9643977448352343</v>
      </c>
    </row>
    <row r="3467" spans="1:2">
      <c r="A3467" s="32">
        <v>3457</v>
      </c>
      <c r="B3467" s="90">
        <v>8.872887204087645</v>
      </c>
    </row>
    <row r="3468" spans="1:2">
      <c r="A3468" s="32">
        <v>3458</v>
      </c>
      <c r="B3468" s="90">
        <v>9.114521544361553</v>
      </c>
    </row>
    <row r="3469" spans="1:2">
      <c r="A3469" s="32">
        <v>3459</v>
      </c>
      <c r="B3469" s="90">
        <v>8.0829417819792013</v>
      </c>
    </row>
    <row r="3470" spans="1:2">
      <c r="A3470" s="32">
        <v>3460</v>
      </c>
      <c r="B3470" s="90">
        <v>8.0368969748109009</v>
      </c>
    </row>
    <row r="3471" spans="1:2">
      <c r="A3471" s="32">
        <v>3461</v>
      </c>
      <c r="B3471" s="90">
        <v>7.3262025865412346</v>
      </c>
    </row>
    <row r="3472" spans="1:2">
      <c r="A3472" s="32">
        <v>3462</v>
      </c>
      <c r="B3472" s="90">
        <v>8.5530433908149757</v>
      </c>
    </row>
    <row r="3473" spans="1:2">
      <c r="A3473" s="32">
        <v>3463</v>
      </c>
      <c r="B3473" s="90">
        <v>8.6202535727408769</v>
      </c>
    </row>
    <row r="3474" spans="1:2">
      <c r="A3474" s="32">
        <v>3464</v>
      </c>
      <c r="B3474" s="90">
        <v>8.8305637158387285</v>
      </c>
    </row>
    <row r="3475" spans="1:2">
      <c r="A3475" s="32">
        <v>3465</v>
      </c>
      <c r="B3475" s="90">
        <v>8.7202617854574633</v>
      </c>
    </row>
    <row r="3476" spans="1:2">
      <c r="A3476" s="32">
        <v>3466</v>
      </c>
      <c r="B3476" s="90">
        <v>7.2098449420840778</v>
      </c>
    </row>
    <row r="3477" spans="1:2">
      <c r="A3477" s="32">
        <v>3467</v>
      </c>
      <c r="B3477" s="90">
        <v>8.1454313543878172</v>
      </c>
    </row>
    <row r="3478" spans="1:2">
      <c r="A3478" s="32">
        <v>3468</v>
      </c>
      <c r="B3478" s="90">
        <v>8.5045427103297708</v>
      </c>
    </row>
    <row r="3479" spans="1:2">
      <c r="A3479" s="32">
        <v>3469</v>
      </c>
      <c r="B3479" s="90">
        <v>8.5213865192786713</v>
      </c>
    </row>
    <row r="3480" spans="1:2">
      <c r="A3480" s="32">
        <v>3470</v>
      </c>
      <c r="B3480" s="90">
        <v>8.4848099192000586</v>
      </c>
    </row>
    <row r="3481" spans="1:2">
      <c r="A3481" s="32">
        <v>3471</v>
      </c>
      <c r="B3481" s="90">
        <v>8.4602538387109067</v>
      </c>
    </row>
    <row r="3482" spans="1:2">
      <c r="A3482" s="32">
        <v>3472</v>
      </c>
      <c r="B3482" s="90">
        <v>7.8105620966139968</v>
      </c>
    </row>
    <row r="3483" spans="1:2">
      <c r="A3483" s="32">
        <v>3473</v>
      </c>
      <c r="B3483" s="90">
        <v>7.4636489017917231</v>
      </c>
    </row>
    <row r="3484" spans="1:2">
      <c r="A3484" s="32">
        <v>3474</v>
      </c>
      <c r="B3484" s="90">
        <v>8.8826809150609698</v>
      </c>
    </row>
    <row r="3485" spans="1:2">
      <c r="A3485" s="32">
        <v>3475</v>
      </c>
      <c r="B3485" s="90">
        <v>8.4636221601802131</v>
      </c>
    </row>
    <row r="3486" spans="1:2">
      <c r="A3486" s="32">
        <v>3476</v>
      </c>
      <c r="B3486" s="90">
        <v>9.1246407815058692</v>
      </c>
    </row>
    <row r="3487" spans="1:2">
      <c r="A3487" s="32">
        <v>3477</v>
      </c>
      <c r="B3487" s="90">
        <v>7.8581292935544145</v>
      </c>
    </row>
    <row r="3488" spans="1:2">
      <c r="A3488" s="32">
        <v>3478</v>
      </c>
      <c r="B3488" s="90">
        <v>7.9131766229718883</v>
      </c>
    </row>
    <row r="3489" spans="1:2">
      <c r="A3489" s="32">
        <v>3479</v>
      </c>
      <c r="B3489" s="90">
        <v>7.2422026114199971</v>
      </c>
    </row>
    <row r="3490" spans="1:2">
      <c r="A3490" s="32">
        <v>3480</v>
      </c>
      <c r="B3490" s="90">
        <v>9.433948691840655</v>
      </c>
    </row>
    <row r="3491" spans="1:2">
      <c r="A3491" s="32">
        <v>3481</v>
      </c>
      <c r="B3491" s="90">
        <v>8.2830730283244058</v>
      </c>
    </row>
    <row r="3492" spans="1:2">
      <c r="A3492" s="32">
        <v>3482</v>
      </c>
      <c r="B3492" s="90">
        <v>9.0034261546137007</v>
      </c>
    </row>
    <row r="3493" spans="1:2">
      <c r="A3493" s="32">
        <v>3483</v>
      </c>
      <c r="B3493" s="90">
        <v>8.0354372500533913</v>
      </c>
    </row>
    <row r="3494" spans="1:2">
      <c r="A3494" s="32">
        <v>3484</v>
      </c>
      <c r="B3494" s="90">
        <v>7.3355699409643709</v>
      </c>
    </row>
    <row r="3495" spans="1:2">
      <c r="A3495" s="32">
        <v>3485</v>
      </c>
      <c r="B3495" s="90">
        <v>7.9070025222734639</v>
      </c>
    </row>
    <row r="3496" spans="1:2">
      <c r="A3496" s="32">
        <v>3486</v>
      </c>
      <c r="B3496" s="90">
        <v>8.8107905881281052</v>
      </c>
    </row>
    <row r="3497" spans="1:2">
      <c r="A3497" s="32">
        <v>3487</v>
      </c>
      <c r="B3497" s="90">
        <v>8.6877860849874313</v>
      </c>
    </row>
    <row r="3498" spans="1:2">
      <c r="A3498" s="32">
        <v>3488</v>
      </c>
      <c r="B3498" s="90">
        <v>8.4316674989750915</v>
      </c>
    </row>
    <row r="3499" spans="1:2">
      <c r="A3499" s="32">
        <v>3489</v>
      </c>
      <c r="B3499" s="90">
        <v>8.3193510136587285</v>
      </c>
    </row>
    <row r="3500" spans="1:2">
      <c r="A3500" s="32">
        <v>3490</v>
      </c>
      <c r="B3500" s="90">
        <v>7.1522738916008599</v>
      </c>
    </row>
    <row r="3501" spans="1:2">
      <c r="A3501" s="32">
        <v>3491</v>
      </c>
      <c r="B3501" s="90">
        <v>8.1140252086552369</v>
      </c>
    </row>
    <row r="3502" spans="1:2">
      <c r="A3502" s="32">
        <v>3492</v>
      </c>
      <c r="B3502" s="90">
        <v>8.6255717301112558</v>
      </c>
    </row>
    <row r="3503" spans="1:2">
      <c r="A3503" s="32">
        <v>3493</v>
      </c>
      <c r="B3503" s="90">
        <v>9.4278307602391784</v>
      </c>
    </row>
    <row r="3504" spans="1:2">
      <c r="A3504" s="32">
        <v>3494</v>
      </c>
      <c r="B3504" s="90">
        <v>8.4449796191009288</v>
      </c>
    </row>
    <row r="3505" spans="1:2">
      <c r="A3505" s="32">
        <v>3495</v>
      </c>
      <c r="B3505" s="90">
        <v>7.501198860952111</v>
      </c>
    </row>
    <row r="3506" spans="1:2">
      <c r="A3506" s="32">
        <v>3496</v>
      </c>
      <c r="B3506" s="90">
        <v>7.7244391498250433</v>
      </c>
    </row>
    <row r="3507" spans="1:2">
      <c r="A3507" s="32">
        <v>3497</v>
      </c>
      <c r="B3507" s="90">
        <v>8.5235661820469204</v>
      </c>
    </row>
    <row r="3508" spans="1:2">
      <c r="A3508" s="32">
        <v>3498</v>
      </c>
      <c r="B3508" s="90">
        <v>8.6118904735497601</v>
      </c>
    </row>
    <row r="3509" spans="1:2">
      <c r="A3509" s="32">
        <v>3499</v>
      </c>
      <c r="B3509" s="90">
        <v>8.6677701431147867</v>
      </c>
    </row>
    <row r="3510" spans="1:2">
      <c r="A3510" s="32">
        <v>3500</v>
      </c>
      <c r="B3510" s="90">
        <v>8.4141850642090006</v>
      </c>
    </row>
    <row r="3511" spans="1:2">
      <c r="A3511" s="32">
        <v>3501</v>
      </c>
      <c r="B3511" s="90">
        <v>7.391507621813739</v>
      </c>
    </row>
    <row r="3512" spans="1:2">
      <c r="A3512" s="32">
        <v>3502</v>
      </c>
      <c r="B3512" s="90">
        <v>8.0509735415528478</v>
      </c>
    </row>
    <row r="3513" spans="1:2">
      <c r="A3513" s="32">
        <v>3503</v>
      </c>
      <c r="B3513" s="90">
        <v>8.7501724269333394</v>
      </c>
    </row>
    <row r="3514" spans="1:2">
      <c r="A3514" s="32">
        <v>3504</v>
      </c>
      <c r="B3514" s="90">
        <v>8.3950669771625126</v>
      </c>
    </row>
    <row r="3515" spans="1:2">
      <c r="A3515" s="32">
        <v>3505</v>
      </c>
      <c r="B3515" s="90">
        <v>8.8021523813390399</v>
      </c>
    </row>
    <row r="3516" spans="1:2">
      <c r="A3516" s="32">
        <v>3506</v>
      </c>
      <c r="B3516" s="90">
        <v>7.9830984256204918</v>
      </c>
    </row>
    <row r="3517" spans="1:2">
      <c r="A3517" s="32">
        <v>3507</v>
      </c>
      <c r="B3517" s="90">
        <v>8.0203239340322536</v>
      </c>
    </row>
    <row r="3518" spans="1:2">
      <c r="A3518" s="32">
        <v>3508</v>
      </c>
      <c r="B3518" s="90">
        <v>7.5100902777637222</v>
      </c>
    </row>
    <row r="3519" spans="1:2">
      <c r="A3519" s="32">
        <v>3509</v>
      </c>
      <c r="B3519" s="90">
        <v>8.9844645806472681</v>
      </c>
    </row>
    <row r="3520" spans="1:2">
      <c r="A3520" s="32">
        <v>3510</v>
      </c>
      <c r="B3520" s="90">
        <v>7.7707017018378188</v>
      </c>
    </row>
    <row r="3521" spans="1:2">
      <c r="A3521" s="32">
        <v>3511</v>
      </c>
      <c r="B3521" s="90">
        <v>7.2894825734119468</v>
      </c>
    </row>
    <row r="3522" spans="1:2">
      <c r="A3522" s="32">
        <v>3512</v>
      </c>
      <c r="B3522" s="90">
        <v>7.4530479510901104</v>
      </c>
    </row>
    <row r="3523" spans="1:2">
      <c r="A3523" s="32">
        <v>3513</v>
      </c>
      <c r="B3523" s="90">
        <v>8.2437843741642336</v>
      </c>
    </row>
    <row r="3524" spans="1:2">
      <c r="A3524" s="32">
        <v>3514</v>
      </c>
      <c r="B3524" s="90">
        <v>8.8953657687680252</v>
      </c>
    </row>
    <row r="3525" spans="1:2">
      <c r="A3525" s="32">
        <v>3515</v>
      </c>
      <c r="B3525" s="90">
        <v>9.1339092824955745</v>
      </c>
    </row>
    <row r="3526" spans="1:2">
      <c r="A3526" s="32">
        <v>3516</v>
      </c>
      <c r="B3526" s="90">
        <v>7.8429060751435733</v>
      </c>
    </row>
    <row r="3527" spans="1:2">
      <c r="A3527" s="32">
        <v>3517</v>
      </c>
      <c r="B3527" s="90">
        <v>7.308059752520049</v>
      </c>
    </row>
    <row r="3528" spans="1:2">
      <c r="A3528" s="32">
        <v>3518</v>
      </c>
      <c r="B3528" s="90">
        <v>7.3533452820796983</v>
      </c>
    </row>
    <row r="3529" spans="1:2">
      <c r="A3529" s="32">
        <v>3519</v>
      </c>
      <c r="B3529" s="90">
        <v>8.4944024226736268</v>
      </c>
    </row>
    <row r="3530" spans="1:2">
      <c r="A3530" s="32">
        <v>3520</v>
      </c>
      <c r="B3530" s="90">
        <v>8.8215111466231164</v>
      </c>
    </row>
    <row r="3531" spans="1:2">
      <c r="A3531" s="32">
        <v>3521</v>
      </c>
      <c r="B3531" s="90">
        <v>9.1266748767039818</v>
      </c>
    </row>
    <row r="3532" spans="1:2">
      <c r="A3532" s="32">
        <v>3522</v>
      </c>
      <c r="B3532" s="90">
        <v>7.6819700441005834</v>
      </c>
    </row>
    <row r="3533" spans="1:2">
      <c r="A3533" s="32">
        <v>3523</v>
      </c>
      <c r="B3533" s="90">
        <v>7.7609214339378809</v>
      </c>
    </row>
    <row r="3534" spans="1:2">
      <c r="A3534" s="32">
        <v>3524</v>
      </c>
      <c r="B3534" s="90">
        <v>6.9864437554359471</v>
      </c>
    </row>
    <row r="3535" spans="1:2">
      <c r="A3535" s="32">
        <v>3525</v>
      </c>
      <c r="B3535" s="90">
        <v>9.0442199939895875</v>
      </c>
    </row>
    <row r="3536" spans="1:2">
      <c r="A3536" s="32">
        <v>3526</v>
      </c>
      <c r="B3536" s="90">
        <v>8.2711978330122555</v>
      </c>
    </row>
    <row r="3537" spans="1:2">
      <c r="A3537" s="32">
        <v>3527</v>
      </c>
      <c r="B3537" s="90">
        <v>8.9901481512710486</v>
      </c>
    </row>
    <row r="3538" spans="1:2">
      <c r="A3538" s="32">
        <v>3528</v>
      </c>
      <c r="B3538" s="90">
        <v>7.8204664097405674</v>
      </c>
    </row>
    <row r="3539" spans="1:2">
      <c r="A3539" s="32">
        <v>3529</v>
      </c>
      <c r="B3539" s="90">
        <v>7.6681116965115237</v>
      </c>
    </row>
    <row r="3540" spans="1:2">
      <c r="A3540" s="32">
        <v>3530</v>
      </c>
      <c r="B3540" s="90">
        <v>7.0217421493524048</v>
      </c>
    </row>
    <row r="3541" spans="1:2">
      <c r="A3541" s="32">
        <v>3531</v>
      </c>
      <c r="B3541" s="90">
        <v>8.7465694110780792</v>
      </c>
    </row>
    <row r="3542" spans="1:2">
      <c r="A3542" s="32">
        <v>3532</v>
      </c>
      <c r="B3542" s="90">
        <v>9.1371979686534939</v>
      </c>
    </row>
    <row r="3543" spans="1:2">
      <c r="A3543" s="32">
        <v>3533</v>
      </c>
      <c r="B3543" s="90">
        <v>7.9612503160020527</v>
      </c>
    </row>
    <row r="3544" spans="1:2">
      <c r="A3544" s="32">
        <v>3534</v>
      </c>
      <c r="B3544" s="90">
        <v>7.8053836993306795</v>
      </c>
    </row>
    <row r="3545" spans="1:2">
      <c r="A3545" s="32">
        <v>3535</v>
      </c>
      <c r="B3545" s="90">
        <v>7.9956514891198456</v>
      </c>
    </row>
    <row r="3546" spans="1:2">
      <c r="A3546" s="32">
        <v>3536</v>
      </c>
      <c r="B3546" s="90">
        <v>7.413160349339778</v>
      </c>
    </row>
    <row r="3547" spans="1:2">
      <c r="A3547" s="32">
        <v>3537</v>
      </c>
      <c r="B3547" s="90">
        <v>8.6971309215064068</v>
      </c>
    </row>
    <row r="3548" spans="1:2">
      <c r="A3548" s="32">
        <v>3538</v>
      </c>
      <c r="B3548" s="90">
        <v>8.9934943611012041</v>
      </c>
    </row>
    <row r="3549" spans="1:2">
      <c r="A3549" s="32">
        <v>3539</v>
      </c>
      <c r="B3549" s="90">
        <v>7.9093428973724205</v>
      </c>
    </row>
    <row r="3550" spans="1:2">
      <c r="A3550" s="32">
        <v>3540</v>
      </c>
      <c r="B3550" s="90">
        <v>7.7880833069071302</v>
      </c>
    </row>
    <row r="3551" spans="1:2">
      <c r="A3551" s="32">
        <v>3541</v>
      </c>
      <c r="B3551" s="90">
        <v>7.660630426189897</v>
      </c>
    </row>
    <row r="3552" spans="1:2">
      <c r="A3552" s="32">
        <v>3542</v>
      </c>
      <c r="B3552" s="90">
        <v>7.6471404172468187</v>
      </c>
    </row>
    <row r="3553" spans="1:2">
      <c r="A3553" s="32">
        <v>3543</v>
      </c>
      <c r="B3553" s="90">
        <v>9.2901944706747468</v>
      </c>
    </row>
    <row r="3554" spans="1:2">
      <c r="A3554" s="32">
        <v>3544</v>
      </c>
      <c r="B3554" s="90">
        <v>8.9094300752445861</v>
      </c>
    </row>
    <row r="3555" spans="1:2">
      <c r="A3555" s="32">
        <v>3545</v>
      </c>
      <c r="B3555" s="90">
        <v>7.9795912348265565</v>
      </c>
    </row>
    <row r="3556" spans="1:2">
      <c r="A3556" s="32">
        <v>3546</v>
      </c>
      <c r="B3556" s="90">
        <v>7.1287292165074954</v>
      </c>
    </row>
    <row r="3557" spans="1:2">
      <c r="A3557" s="32">
        <v>3547</v>
      </c>
      <c r="B3557" s="90">
        <v>7.444024945487306</v>
      </c>
    </row>
    <row r="3558" spans="1:2">
      <c r="A3558" s="32">
        <v>3548</v>
      </c>
      <c r="B3558" s="90">
        <v>8.4879331292861426</v>
      </c>
    </row>
    <row r="3559" spans="1:2">
      <c r="A3559" s="32">
        <v>3549</v>
      </c>
      <c r="B3559" s="90">
        <v>8.7361683967602062</v>
      </c>
    </row>
    <row r="3560" spans="1:2">
      <c r="A3560" s="32">
        <v>3550</v>
      </c>
      <c r="B3560" s="90">
        <v>9.1580917890167548</v>
      </c>
    </row>
    <row r="3561" spans="1:2">
      <c r="A3561" s="32">
        <v>3551</v>
      </c>
      <c r="B3561" s="90">
        <v>8.0581195946567732</v>
      </c>
    </row>
    <row r="3562" spans="1:2">
      <c r="A3562" s="32">
        <v>3552</v>
      </c>
      <c r="B3562" s="90">
        <v>7.2590019956372442</v>
      </c>
    </row>
    <row r="3563" spans="1:2">
      <c r="A3563" s="32">
        <v>3553</v>
      </c>
      <c r="B3563" s="90">
        <v>7.0404231823698273</v>
      </c>
    </row>
    <row r="3564" spans="1:2">
      <c r="A3564" s="32">
        <v>3554</v>
      </c>
      <c r="B3564" s="90">
        <v>8.7652705943188796</v>
      </c>
    </row>
    <row r="3565" spans="1:2">
      <c r="A3565" s="32">
        <v>3555</v>
      </c>
      <c r="B3565" s="90">
        <v>8.8189938675603727</v>
      </c>
    </row>
    <row r="3566" spans="1:2">
      <c r="A3566" s="32">
        <v>3556</v>
      </c>
      <c r="B3566" s="90">
        <v>8.958348302321955</v>
      </c>
    </row>
    <row r="3567" spans="1:2">
      <c r="A3567" s="32">
        <v>3557</v>
      </c>
      <c r="B3567" s="90">
        <v>7.58890015580804</v>
      </c>
    </row>
    <row r="3568" spans="1:2">
      <c r="A3568" s="32">
        <v>3558</v>
      </c>
      <c r="B3568" s="90">
        <v>7.6662749965443133</v>
      </c>
    </row>
    <row r="3569" spans="1:2">
      <c r="A3569" s="32">
        <v>3559</v>
      </c>
      <c r="B3569" s="90">
        <v>7.232603568672114</v>
      </c>
    </row>
    <row r="3570" spans="1:2">
      <c r="A3570" s="32">
        <v>3560</v>
      </c>
      <c r="B3570" s="90">
        <v>8.8706055286284027</v>
      </c>
    </row>
    <row r="3571" spans="1:2">
      <c r="A3571" s="32">
        <v>3561</v>
      </c>
      <c r="B3571" s="90">
        <v>8.6900815441640624</v>
      </c>
    </row>
    <row r="3572" spans="1:2">
      <c r="A3572" s="32">
        <v>3562</v>
      </c>
      <c r="B3572" s="90">
        <v>8.5000333654370497</v>
      </c>
    </row>
    <row r="3573" spans="1:2">
      <c r="A3573" s="32">
        <v>3563</v>
      </c>
      <c r="B3573" s="90">
        <v>7.7785147987397627</v>
      </c>
    </row>
    <row r="3574" spans="1:2">
      <c r="A3574" s="32">
        <v>3564</v>
      </c>
      <c r="B3574" s="90">
        <v>7.8955730661192058</v>
      </c>
    </row>
    <row r="3575" spans="1:2">
      <c r="A3575" s="32">
        <v>3565</v>
      </c>
      <c r="B3575" s="90">
        <v>7.074984738222672</v>
      </c>
    </row>
    <row r="3576" spans="1:2">
      <c r="A3576" s="32">
        <v>3566</v>
      </c>
      <c r="B3576" s="90">
        <v>8.8984847272540097</v>
      </c>
    </row>
    <row r="3577" spans="1:2">
      <c r="A3577" s="32">
        <v>3567</v>
      </c>
      <c r="B3577" s="90">
        <v>9.1385949491483132</v>
      </c>
    </row>
    <row r="3578" spans="1:2">
      <c r="A3578" s="32">
        <v>3568</v>
      </c>
      <c r="B3578" s="90">
        <v>7.9554867044630777</v>
      </c>
    </row>
    <row r="3579" spans="1:2">
      <c r="A3579" s="32">
        <v>3569</v>
      </c>
      <c r="B3579" s="90">
        <v>7.5894110134860915</v>
      </c>
    </row>
    <row r="3580" spans="1:2">
      <c r="A3580" s="32">
        <v>3570</v>
      </c>
      <c r="B3580" s="90">
        <v>7.7570049115703723</v>
      </c>
    </row>
    <row r="3581" spans="1:2">
      <c r="A3581" s="32">
        <v>3571</v>
      </c>
      <c r="B3581" s="90">
        <v>7.6597740028981898</v>
      </c>
    </row>
    <row r="3582" spans="1:2">
      <c r="A3582" s="32">
        <v>3572</v>
      </c>
      <c r="B3582" s="90">
        <v>8.6157468426554136</v>
      </c>
    </row>
    <row r="3583" spans="1:2">
      <c r="A3583" s="32">
        <v>3573</v>
      </c>
      <c r="B3583" s="90">
        <v>9.5517837574701883</v>
      </c>
    </row>
    <row r="3584" spans="1:2">
      <c r="A3584" s="32">
        <v>3574</v>
      </c>
      <c r="B3584" s="90">
        <v>7.9222658619649442</v>
      </c>
    </row>
    <row r="3585" spans="1:2">
      <c r="A3585" s="32">
        <v>3575</v>
      </c>
      <c r="B3585" s="90">
        <v>7.2894825734119468</v>
      </c>
    </row>
    <row r="3586" spans="1:2">
      <c r="A3586" s="32">
        <v>3576</v>
      </c>
      <c r="B3586" s="90">
        <v>7.4530479510901104</v>
      </c>
    </row>
    <row r="3587" spans="1:2">
      <c r="A3587" s="32">
        <v>3577</v>
      </c>
      <c r="B3587" s="90">
        <v>8.2437843741642336</v>
      </c>
    </row>
    <row r="3588" spans="1:2">
      <c r="A3588" s="32">
        <v>3578</v>
      </c>
      <c r="B3588" s="90">
        <v>8.8953657687680252</v>
      </c>
    </row>
    <row r="3589" spans="1:2">
      <c r="A3589" s="32">
        <v>3579</v>
      </c>
      <c r="B3589" s="90">
        <v>9.1339092824955745</v>
      </c>
    </row>
    <row r="3590" spans="1:2">
      <c r="A3590" s="32">
        <v>3580</v>
      </c>
      <c r="B3590" s="90">
        <v>7.8429060751435733</v>
      </c>
    </row>
    <row r="3591" spans="1:2">
      <c r="A3591" s="32">
        <v>3581</v>
      </c>
      <c r="B3591" s="90">
        <v>7.308059752520049</v>
      </c>
    </row>
    <row r="3592" spans="1:2">
      <c r="A3592" s="32">
        <v>3582</v>
      </c>
      <c r="B3592" s="90">
        <v>7.3533452820796983</v>
      </c>
    </row>
    <row r="3593" spans="1:2">
      <c r="A3593" s="32">
        <v>3583</v>
      </c>
      <c r="B3593" s="90">
        <v>8.4944024226736268</v>
      </c>
    </row>
    <row r="3594" spans="1:2">
      <c r="A3594" s="32">
        <v>3584</v>
      </c>
      <c r="B3594" s="90">
        <v>8.8215111466231164</v>
      </c>
    </row>
    <row r="3595" spans="1:2">
      <c r="A3595" s="32">
        <v>3585</v>
      </c>
      <c r="B3595" s="90">
        <v>9.1266748767039818</v>
      </c>
    </row>
    <row r="3596" spans="1:2">
      <c r="A3596" s="32">
        <v>3586</v>
      </c>
      <c r="B3596" s="90">
        <v>7.6819700441005834</v>
      </c>
    </row>
    <row r="3597" spans="1:2">
      <c r="A3597" s="32">
        <v>3587</v>
      </c>
      <c r="B3597" s="90">
        <v>7.7609214339378809</v>
      </c>
    </row>
    <row r="3598" spans="1:2">
      <c r="A3598" s="32">
        <v>3588</v>
      </c>
      <c r="B3598" s="90">
        <v>6.9864437554359471</v>
      </c>
    </row>
    <row r="3599" spans="1:2">
      <c r="A3599" s="32">
        <v>3589</v>
      </c>
      <c r="B3599" s="90">
        <v>9.0442199939895875</v>
      </c>
    </row>
    <row r="3600" spans="1:2">
      <c r="A3600" s="32">
        <v>3590</v>
      </c>
      <c r="B3600" s="90">
        <v>8.2711978330122555</v>
      </c>
    </row>
    <row r="3601" spans="1:2">
      <c r="A3601" s="32">
        <v>3591</v>
      </c>
      <c r="B3601" s="90">
        <v>8.9901481512710486</v>
      </c>
    </row>
    <row r="3602" spans="1:2">
      <c r="A3602" s="32">
        <v>3592</v>
      </c>
      <c r="B3602" s="90">
        <v>7.8204664097405674</v>
      </c>
    </row>
    <row r="3603" spans="1:2">
      <c r="A3603" s="32">
        <v>3593</v>
      </c>
      <c r="B3603" s="90">
        <v>7.6681116965115237</v>
      </c>
    </row>
    <row r="3604" spans="1:2">
      <c r="A3604" s="32">
        <v>3594</v>
      </c>
      <c r="B3604" s="90">
        <v>7.0217421493524048</v>
      </c>
    </row>
    <row r="3605" spans="1:2">
      <c r="A3605" s="32">
        <v>3595</v>
      </c>
      <c r="B3605" s="90">
        <v>8.7465694110780792</v>
      </c>
    </row>
    <row r="3606" spans="1:2">
      <c r="A3606" s="32">
        <v>3596</v>
      </c>
      <c r="B3606" s="90">
        <v>9.1371979686534939</v>
      </c>
    </row>
    <row r="3607" spans="1:2">
      <c r="A3607" s="32">
        <v>3597</v>
      </c>
      <c r="B3607" s="90">
        <v>7.9612503160020527</v>
      </c>
    </row>
    <row r="3608" spans="1:2">
      <c r="A3608" s="32">
        <v>3598</v>
      </c>
      <c r="B3608" s="90">
        <v>7.8053836993306795</v>
      </c>
    </row>
    <row r="3609" spans="1:2">
      <c r="A3609" s="32">
        <v>3599</v>
      </c>
      <c r="B3609" s="90">
        <v>7.9956514891198456</v>
      </c>
    </row>
    <row r="3610" spans="1:2">
      <c r="A3610" s="32">
        <v>3600</v>
      </c>
      <c r="B3610" s="90">
        <v>7.413160349339778</v>
      </c>
    </row>
    <row r="3611" spans="1:2">
      <c r="A3611" s="32">
        <v>3601</v>
      </c>
      <c r="B3611" s="90">
        <v>8.6971309215064068</v>
      </c>
    </row>
    <row r="3612" spans="1:2">
      <c r="A3612" s="32">
        <v>3602</v>
      </c>
      <c r="B3612" s="90">
        <v>8.9934943611012041</v>
      </c>
    </row>
    <row r="3613" spans="1:2">
      <c r="A3613" s="32">
        <v>3603</v>
      </c>
      <c r="B3613" s="90">
        <v>7.9093428973724205</v>
      </c>
    </row>
    <row r="3614" spans="1:2">
      <c r="A3614" s="32">
        <v>3604</v>
      </c>
      <c r="B3614" s="90">
        <v>7.7880833069071302</v>
      </c>
    </row>
    <row r="3615" spans="1:2">
      <c r="A3615" s="32">
        <v>3605</v>
      </c>
      <c r="B3615" s="90">
        <v>7.660630426189897</v>
      </c>
    </row>
    <row r="3616" spans="1:2">
      <c r="A3616" s="32">
        <v>3606</v>
      </c>
      <c r="B3616" s="90">
        <v>7.6471404172468187</v>
      </c>
    </row>
    <row r="3617" spans="1:2">
      <c r="A3617" s="32">
        <v>3607</v>
      </c>
      <c r="B3617" s="90">
        <v>9.2901944706747468</v>
      </c>
    </row>
    <row r="3618" spans="1:2">
      <c r="A3618" s="32">
        <v>3608</v>
      </c>
      <c r="B3618" s="90">
        <v>8.9094300752445861</v>
      </c>
    </row>
    <row r="3619" spans="1:2">
      <c r="A3619" s="32">
        <v>3609</v>
      </c>
      <c r="B3619" s="90">
        <v>7.9795912348265565</v>
      </c>
    </row>
    <row r="3620" spans="1:2">
      <c r="A3620" s="32">
        <v>3610</v>
      </c>
      <c r="B3620" s="90">
        <v>7.1287292165074954</v>
      </c>
    </row>
    <row r="3621" spans="1:2">
      <c r="A3621" s="32">
        <v>3611</v>
      </c>
      <c r="B3621" s="90">
        <v>7.444024945487306</v>
      </c>
    </row>
    <row r="3622" spans="1:2">
      <c r="A3622" s="32">
        <v>3612</v>
      </c>
      <c r="B3622" s="90">
        <v>8.4879331292861426</v>
      </c>
    </row>
    <row r="3623" spans="1:2">
      <c r="A3623" s="32">
        <v>3613</v>
      </c>
      <c r="B3623" s="90">
        <v>8.7361683967602062</v>
      </c>
    </row>
    <row r="3624" spans="1:2">
      <c r="A3624" s="32">
        <v>3614</v>
      </c>
      <c r="B3624" s="90">
        <v>9.1580917890167548</v>
      </c>
    </row>
    <row r="3625" spans="1:2">
      <c r="A3625" s="32">
        <v>3615</v>
      </c>
      <c r="B3625" s="90">
        <v>8.0581195946567732</v>
      </c>
    </row>
    <row r="3626" spans="1:2">
      <c r="A3626" s="32">
        <v>3616</v>
      </c>
      <c r="B3626" s="90">
        <v>7.2590019956372442</v>
      </c>
    </row>
    <row r="3627" spans="1:2">
      <c r="A3627" s="32">
        <v>3617</v>
      </c>
      <c r="B3627" s="90">
        <v>7.0404231823698273</v>
      </c>
    </row>
    <row r="3628" spans="1:2">
      <c r="A3628" s="32">
        <v>3618</v>
      </c>
      <c r="B3628" s="90">
        <v>8.7652705943188796</v>
      </c>
    </row>
    <row r="3629" spans="1:2">
      <c r="A3629" s="32">
        <v>3619</v>
      </c>
      <c r="B3629" s="90">
        <v>8.8189938675603727</v>
      </c>
    </row>
    <row r="3630" spans="1:2">
      <c r="A3630" s="32">
        <v>3620</v>
      </c>
      <c r="B3630" s="90">
        <v>8.958348302321955</v>
      </c>
    </row>
    <row r="3631" spans="1:2">
      <c r="A3631" s="32">
        <v>3621</v>
      </c>
      <c r="B3631" s="90">
        <v>7.58890015580804</v>
      </c>
    </row>
    <row r="3632" spans="1:2">
      <c r="A3632" s="32">
        <v>3622</v>
      </c>
      <c r="B3632" s="90">
        <v>7.6662749965443133</v>
      </c>
    </row>
    <row r="3633" spans="1:2">
      <c r="A3633" s="32">
        <v>3623</v>
      </c>
      <c r="B3633" s="90">
        <v>7.232603568672114</v>
      </c>
    </row>
    <row r="3634" spans="1:2">
      <c r="A3634" s="32">
        <v>3624</v>
      </c>
      <c r="B3634" s="90">
        <v>8.8706055286284027</v>
      </c>
    </row>
    <row r="3635" spans="1:2">
      <c r="A3635" s="32">
        <v>3625</v>
      </c>
      <c r="B3635" s="90">
        <v>8.8943846638398902</v>
      </c>
    </row>
    <row r="3636" spans="1:2">
      <c r="A3636" s="32">
        <v>3626</v>
      </c>
      <c r="B3636" s="90">
        <v>8.3012204715294438</v>
      </c>
    </row>
    <row r="3637" spans="1:2">
      <c r="A3637" s="32">
        <v>3627</v>
      </c>
      <c r="B3637" s="90">
        <v>8.4573461487294352</v>
      </c>
    </row>
    <row r="3638" spans="1:2">
      <c r="A3638" s="32">
        <v>3628</v>
      </c>
      <c r="B3638" s="90">
        <v>7.2071461277082705</v>
      </c>
    </row>
    <row r="3639" spans="1:2">
      <c r="A3639" s="32">
        <v>3629</v>
      </c>
      <c r="B3639" s="90">
        <v>6.9850407351577442</v>
      </c>
    </row>
    <row r="3640" spans="1:2">
      <c r="A3640" s="32">
        <v>3630</v>
      </c>
      <c r="B3640" s="90">
        <v>9.1523528205484439</v>
      </c>
    </row>
    <row r="3641" spans="1:2">
      <c r="A3641" s="32">
        <v>3631</v>
      </c>
      <c r="B3641" s="90">
        <v>7.871954763669363</v>
      </c>
    </row>
    <row r="3642" spans="1:2">
      <c r="A3642" s="32">
        <v>3632</v>
      </c>
      <c r="B3642" s="90">
        <v>8.5047583880391109</v>
      </c>
    </row>
    <row r="3643" spans="1:2">
      <c r="A3643" s="32">
        <v>3633</v>
      </c>
      <c r="B3643" s="90">
        <v>8.4647159808708103</v>
      </c>
    </row>
    <row r="3644" spans="1:2">
      <c r="A3644" s="32">
        <v>3634</v>
      </c>
      <c r="B3644" s="90">
        <v>6.8906301073647249</v>
      </c>
    </row>
    <row r="3645" spans="1:2">
      <c r="A3645" s="32">
        <v>3635</v>
      </c>
      <c r="B3645" s="90">
        <v>7.3593391008314883</v>
      </c>
    </row>
    <row r="3646" spans="1:2">
      <c r="A3646" s="32">
        <v>3636</v>
      </c>
      <c r="B3646" s="90">
        <v>8.5447927990197901</v>
      </c>
    </row>
    <row r="3647" spans="1:2">
      <c r="A3647" s="32">
        <v>3637</v>
      </c>
      <c r="B3647" s="90">
        <v>8.3195051616885358</v>
      </c>
    </row>
    <row r="3648" spans="1:2">
      <c r="A3648" s="32">
        <v>3638</v>
      </c>
      <c r="B3648" s="90">
        <v>8.2553515433463396</v>
      </c>
    </row>
    <row r="3649" spans="1:2">
      <c r="A3649" s="32">
        <v>3639</v>
      </c>
      <c r="B3649" s="90">
        <v>8.11029363202789</v>
      </c>
    </row>
    <row r="3650" spans="1:2">
      <c r="A3650" s="32">
        <v>3640</v>
      </c>
      <c r="B3650" s="90">
        <v>7.0221412983743656</v>
      </c>
    </row>
    <row r="3651" spans="1:2">
      <c r="A3651" s="32">
        <v>3641</v>
      </c>
      <c r="B3651" s="90">
        <v>8.208522724426329</v>
      </c>
    </row>
    <row r="3652" spans="1:2">
      <c r="A3652" s="32">
        <v>3642</v>
      </c>
      <c r="B3652" s="90">
        <v>7.8430717777808647</v>
      </c>
    </row>
    <row r="3653" spans="1:2">
      <c r="A3653" s="32">
        <v>3643</v>
      </c>
      <c r="B3653" s="90">
        <v>8.6614267704585632</v>
      </c>
    </row>
    <row r="3654" spans="1:2">
      <c r="A3654" s="32">
        <v>3644</v>
      </c>
      <c r="B3654" s="90">
        <v>8.1189861073756369</v>
      </c>
    </row>
    <row r="3655" spans="1:2">
      <c r="A3655" s="32">
        <v>3645</v>
      </c>
      <c r="B3655" s="90">
        <v>7.7738869624843661</v>
      </c>
    </row>
    <row r="3656" spans="1:2">
      <c r="A3656" s="32">
        <v>3646</v>
      </c>
      <c r="B3656" s="90">
        <v>7.538007666786454</v>
      </c>
    </row>
    <row r="3657" spans="1:2">
      <c r="A3657" s="32">
        <v>3647</v>
      </c>
      <c r="B3657" s="90">
        <v>8.0455131711535124</v>
      </c>
    </row>
    <row r="3658" spans="1:2">
      <c r="A3658" s="32">
        <v>3648</v>
      </c>
      <c r="B3658" s="90">
        <v>7.8348760140699634</v>
      </c>
    </row>
    <row r="3659" spans="1:2">
      <c r="A3659" s="32">
        <v>3649</v>
      </c>
      <c r="B3659" s="90">
        <v>8.4854392502924387</v>
      </c>
    </row>
    <row r="3660" spans="1:2">
      <c r="A3660" s="32">
        <v>3650</v>
      </c>
      <c r="B3660" s="90">
        <v>8.1328582377842267</v>
      </c>
    </row>
    <row r="3661" spans="1:2">
      <c r="A3661" s="32">
        <v>3651</v>
      </c>
      <c r="B3661" s="90">
        <v>7.6438713291247442</v>
      </c>
    </row>
    <row r="3662" spans="1:2">
      <c r="A3662" s="32">
        <v>3652</v>
      </c>
      <c r="B3662" s="90">
        <v>7.3405785338981042</v>
      </c>
    </row>
    <row r="3663" spans="1:2">
      <c r="A3663" s="32">
        <v>3653</v>
      </c>
      <c r="B3663" s="90">
        <v>8.5059007704677434</v>
      </c>
    </row>
    <row r="3664" spans="1:2">
      <c r="A3664" s="32">
        <v>3654</v>
      </c>
      <c r="B3664" s="90">
        <v>7.8559358069876257</v>
      </c>
    </row>
    <row r="3665" spans="1:2">
      <c r="A3665" s="32">
        <v>3655</v>
      </c>
      <c r="B3665" s="90">
        <v>8.3605402396583823</v>
      </c>
    </row>
    <row r="3666" spans="1:2">
      <c r="A3666" s="32">
        <v>3656</v>
      </c>
      <c r="B3666" s="90">
        <v>8.6572692700911968</v>
      </c>
    </row>
    <row r="3667" spans="1:2">
      <c r="A3667" s="32">
        <v>3657</v>
      </c>
      <c r="B3667" s="90">
        <v>7.2761030970475167</v>
      </c>
    </row>
    <row r="3668" spans="1:2">
      <c r="A3668" s="32">
        <v>3658</v>
      </c>
      <c r="B3668" s="90">
        <v>6.9041524886065684</v>
      </c>
    </row>
    <row r="3669" spans="1:2">
      <c r="A3669" s="32">
        <v>3659</v>
      </c>
      <c r="B3669" s="90">
        <v>9.1209823696332979</v>
      </c>
    </row>
    <row r="3670" spans="1:2">
      <c r="A3670" s="32">
        <v>3660</v>
      </c>
      <c r="B3670" s="90">
        <v>7.9292623345847675</v>
      </c>
    </row>
    <row r="3671" spans="1:2">
      <c r="A3671" s="32">
        <v>3661</v>
      </c>
      <c r="B3671" s="90">
        <v>8.5886819364801141</v>
      </c>
    </row>
    <row r="3672" spans="1:2">
      <c r="A3672" s="32">
        <v>3662</v>
      </c>
      <c r="B3672" s="90">
        <v>8.3834046598042615</v>
      </c>
    </row>
    <row r="3673" spans="1:2">
      <c r="A3673" s="32">
        <v>3663</v>
      </c>
      <c r="B3673" s="90">
        <v>6.9318200094471205</v>
      </c>
    </row>
    <row r="3674" spans="1:2">
      <c r="A3674" s="32">
        <v>3664</v>
      </c>
      <c r="B3674" s="90">
        <v>7.085692426823182</v>
      </c>
    </row>
    <row r="3675" spans="1:2">
      <c r="A3675" s="32">
        <v>3665</v>
      </c>
      <c r="B3675" s="90">
        <v>8.6571369915492085</v>
      </c>
    </row>
    <row r="3676" spans="1:2">
      <c r="A3676" s="32">
        <v>3666</v>
      </c>
      <c r="B3676" s="90">
        <v>8.3907444835537586</v>
      </c>
    </row>
    <row r="3677" spans="1:2">
      <c r="A3677" s="32">
        <v>3667</v>
      </c>
      <c r="B3677" s="90">
        <v>8.4352863343211126</v>
      </c>
    </row>
    <row r="3678" spans="1:2">
      <c r="A3678" s="32">
        <v>3668</v>
      </c>
      <c r="B3678" s="90">
        <v>8.1781994225405175</v>
      </c>
    </row>
    <row r="3679" spans="1:2">
      <c r="A3679" s="32">
        <v>3669</v>
      </c>
      <c r="B3679" s="90">
        <v>6.8603146991683364</v>
      </c>
    </row>
    <row r="3680" spans="1:2">
      <c r="A3680" s="32">
        <v>3670</v>
      </c>
      <c r="B3680" s="90">
        <v>7.9895328902684115</v>
      </c>
    </row>
    <row r="3681" spans="1:2">
      <c r="A3681" s="32">
        <v>3671</v>
      </c>
      <c r="B3681" s="90">
        <v>8.0435072697431984</v>
      </c>
    </row>
    <row r="3682" spans="1:2">
      <c r="A3682" s="32">
        <v>3672</v>
      </c>
      <c r="B3682" s="90">
        <v>8.1464455624618175</v>
      </c>
    </row>
    <row r="3683" spans="1:2">
      <c r="A3683" s="32">
        <v>3673</v>
      </c>
      <c r="B3683" s="90">
        <v>8.5855327308588816</v>
      </c>
    </row>
    <row r="3684" spans="1:2">
      <c r="A3684" s="32">
        <v>3674</v>
      </c>
      <c r="B3684" s="90">
        <v>7.7650014109397789</v>
      </c>
    </row>
    <row r="3685" spans="1:2">
      <c r="A3685" s="32">
        <v>3675</v>
      </c>
      <c r="B3685" s="90">
        <v>7.4502026709376583</v>
      </c>
    </row>
    <row r="3686" spans="1:2">
      <c r="A3686" s="32">
        <v>3676</v>
      </c>
      <c r="B3686" s="90">
        <v>7.9393921330099779</v>
      </c>
    </row>
    <row r="3687" spans="1:2">
      <c r="A3687" s="32">
        <v>3677</v>
      </c>
      <c r="B3687" s="90">
        <v>8.4546451089104515</v>
      </c>
    </row>
    <row r="3688" spans="1:2">
      <c r="A3688" s="32">
        <v>3678</v>
      </c>
      <c r="B3688" s="90">
        <v>8.3287037531264865</v>
      </c>
    </row>
    <row r="3689" spans="1:2">
      <c r="A3689" s="32">
        <v>3679</v>
      </c>
      <c r="B3689" s="90">
        <v>7.9290711996024843</v>
      </c>
    </row>
    <row r="3690" spans="1:2">
      <c r="A3690" s="32">
        <v>3680</v>
      </c>
      <c r="B3690" s="90">
        <v>7.5936992934098217</v>
      </c>
    </row>
    <row r="3691" spans="1:2">
      <c r="A3691" s="32">
        <v>3681</v>
      </c>
      <c r="B3691" s="90">
        <v>7.5119275464816271</v>
      </c>
    </row>
    <row r="3692" spans="1:2">
      <c r="A3692" s="32">
        <v>3682</v>
      </c>
      <c r="B3692" s="90">
        <v>8.397547070613415</v>
      </c>
    </row>
    <row r="3693" spans="1:2">
      <c r="A3693" s="32">
        <v>3683</v>
      </c>
      <c r="B3693" s="90">
        <v>7.7607872194384235</v>
      </c>
    </row>
    <row r="3694" spans="1:2">
      <c r="A3694" s="32">
        <v>3684</v>
      </c>
      <c r="B3694" s="90">
        <v>8.2079281601737684</v>
      </c>
    </row>
    <row r="3695" spans="1:2">
      <c r="A3695" s="32">
        <v>3685</v>
      </c>
      <c r="B3695" s="90">
        <v>8.6230962054719118</v>
      </c>
    </row>
    <row r="3696" spans="1:2">
      <c r="A3696" s="32">
        <v>3686</v>
      </c>
      <c r="B3696" s="90">
        <v>7.4780497929162362</v>
      </c>
    </row>
    <row r="3697" spans="1:2">
      <c r="A3697" s="32">
        <v>3687</v>
      </c>
      <c r="B3697" s="90">
        <v>7.0201562240520872</v>
      </c>
    </row>
    <row r="3698" spans="1:2">
      <c r="A3698" s="32">
        <v>3688</v>
      </c>
      <c r="B3698" s="90">
        <v>9.0331303608108797</v>
      </c>
    </row>
    <row r="3699" spans="1:2">
      <c r="A3699" s="32">
        <v>3689</v>
      </c>
      <c r="B3699" s="90">
        <v>7.8537682413103589</v>
      </c>
    </row>
    <row r="3700" spans="1:2">
      <c r="A3700" s="32">
        <v>3690</v>
      </c>
      <c r="B3700" s="90">
        <v>8.3012204715294438</v>
      </c>
    </row>
    <row r="3701" spans="1:2">
      <c r="A3701" s="32">
        <v>3691</v>
      </c>
      <c r="B3701" s="90">
        <v>8.4573461487294352</v>
      </c>
    </row>
    <row r="3702" spans="1:2">
      <c r="A3702" s="32">
        <v>3692</v>
      </c>
      <c r="B3702" s="90">
        <v>7.2071461277082705</v>
      </c>
    </row>
    <row r="3703" spans="1:2">
      <c r="A3703" s="32">
        <v>3693</v>
      </c>
      <c r="B3703" s="90">
        <v>6.9850407351577442</v>
      </c>
    </row>
    <row r="3704" spans="1:2">
      <c r="A3704" s="32">
        <v>3694</v>
      </c>
      <c r="B3704" s="90">
        <v>9.1523528205484439</v>
      </c>
    </row>
    <row r="3705" spans="1:2">
      <c r="A3705" s="32">
        <v>3695</v>
      </c>
      <c r="B3705" s="90">
        <v>7.871954763669363</v>
      </c>
    </row>
    <row r="3706" spans="1:2">
      <c r="A3706" s="32">
        <v>3696</v>
      </c>
      <c r="B3706" s="90">
        <v>8.5047583880391109</v>
      </c>
    </row>
    <row r="3707" spans="1:2">
      <c r="A3707" s="32">
        <v>3697</v>
      </c>
      <c r="B3707" s="90">
        <v>8.4647159808708103</v>
      </c>
    </row>
    <row r="3708" spans="1:2">
      <c r="A3708" s="32">
        <v>3698</v>
      </c>
      <c r="B3708" s="90">
        <v>6.8906301073647249</v>
      </c>
    </row>
    <row r="3709" spans="1:2">
      <c r="A3709" s="32">
        <v>3699</v>
      </c>
      <c r="B3709" s="90">
        <v>7.3593391008314883</v>
      </c>
    </row>
    <row r="3710" spans="1:2">
      <c r="A3710" s="32">
        <v>3700</v>
      </c>
      <c r="B3710" s="90">
        <v>8.5447927990197901</v>
      </c>
    </row>
    <row r="3711" spans="1:2">
      <c r="A3711" s="32">
        <v>3701</v>
      </c>
      <c r="B3711" s="90">
        <v>8.3195051616885358</v>
      </c>
    </row>
    <row r="3712" spans="1:2">
      <c r="A3712" s="32">
        <v>3702</v>
      </c>
      <c r="B3712" s="90">
        <v>8.2553515433463396</v>
      </c>
    </row>
    <row r="3713" spans="1:2">
      <c r="A3713" s="32">
        <v>3703</v>
      </c>
      <c r="B3713" s="90">
        <v>8.11029363202789</v>
      </c>
    </row>
    <row r="3714" spans="1:2">
      <c r="A3714" s="32">
        <v>3704</v>
      </c>
      <c r="B3714" s="90">
        <v>7.0221412983743656</v>
      </c>
    </row>
    <row r="3715" spans="1:2">
      <c r="A3715" s="32">
        <v>3705</v>
      </c>
      <c r="B3715" s="90">
        <v>8.208522724426329</v>
      </c>
    </row>
    <row r="3716" spans="1:2">
      <c r="A3716" s="32">
        <v>3706</v>
      </c>
      <c r="B3716" s="90">
        <v>7.8430717777808647</v>
      </c>
    </row>
    <row r="3717" spans="1:2">
      <c r="A3717" s="32">
        <v>3707</v>
      </c>
      <c r="B3717" s="90">
        <v>8.6614267704585632</v>
      </c>
    </row>
    <row r="3718" spans="1:2">
      <c r="A3718" s="32">
        <v>3708</v>
      </c>
      <c r="B3718" s="90">
        <v>8.1189861073756369</v>
      </c>
    </row>
    <row r="3719" spans="1:2">
      <c r="A3719" s="32">
        <v>3709</v>
      </c>
      <c r="B3719" s="90">
        <v>7.7738869624843661</v>
      </c>
    </row>
    <row r="3720" spans="1:2">
      <c r="A3720" s="32">
        <v>3710</v>
      </c>
      <c r="B3720" s="90">
        <v>7.538007666786454</v>
      </c>
    </row>
    <row r="3721" spans="1:2">
      <c r="A3721" s="32">
        <v>3711</v>
      </c>
      <c r="B3721" s="90">
        <v>8.0455131711535124</v>
      </c>
    </row>
    <row r="3722" spans="1:2">
      <c r="A3722" s="32">
        <v>3712</v>
      </c>
      <c r="B3722" s="90">
        <v>7.8348760140699634</v>
      </c>
    </row>
    <row r="3723" spans="1:2">
      <c r="A3723" s="32">
        <v>3713</v>
      </c>
      <c r="B3723" s="90">
        <v>8.4854392502924387</v>
      </c>
    </row>
    <row r="3724" spans="1:2">
      <c r="A3724" s="32">
        <v>3714</v>
      </c>
      <c r="B3724" s="90">
        <v>8.1328582377842267</v>
      </c>
    </row>
    <row r="3725" spans="1:2">
      <c r="A3725" s="32">
        <v>3715</v>
      </c>
      <c r="B3725" s="90">
        <v>7.6438713291247442</v>
      </c>
    </row>
    <row r="3726" spans="1:2">
      <c r="A3726" s="32">
        <v>3716</v>
      </c>
      <c r="B3726" s="90">
        <v>7.3405785338981042</v>
      </c>
    </row>
    <row r="3727" spans="1:2">
      <c r="A3727" s="32">
        <v>3717</v>
      </c>
      <c r="B3727" s="90">
        <v>8.5059007704677434</v>
      </c>
    </row>
    <row r="3728" spans="1:2">
      <c r="A3728" s="32">
        <v>3718</v>
      </c>
      <c r="B3728" s="90">
        <v>7.8559358069876257</v>
      </c>
    </row>
    <row r="3729" spans="1:2">
      <c r="A3729" s="32">
        <v>3719</v>
      </c>
      <c r="B3729" s="90">
        <v>8.3605402396583823</v>
      </c>
    </row>
    <row r="3730" spans="1:2">
      <c r="A3730" s="32">
        <v>3720</v>
      </c>
      <c r="B3730" s="90">
        <v>8.6572692700911968</v>
      </c>
    </row>
    <row r="3731" spans="1:2">
      <c r="A3731" s="32">
        <v>3721</v>
      </c>
      <c r="B3731" s="90">
        <v>7.2761030970475167</v>
      </c>
    </row>
    <row r="3732" spans="1:2">
      <c r="A3732" s="32">
        <v>3722</v>
      </c>
      <c r="B3732" s="90">
        <v>6.9041524886065684</v>
      </c>
    </row>
    <row r="3733" spans="1:2">
      <c r="A3733" s="32">
        <v>3723</v>
      </c>
      <c r="B3733" s="90">
        <v>9.1209823696332979</v>
      </c>
    </row>
    <row r="3734" spans="1:2">
      <c r="A3734" s="32">
        <v>3724</v>
      </c>
      <c r="B3734" s="90">
        <v>7.9292623345847675</v>
      </c>
    </row>
    <row r="3735" spans="1:2">
      <c r="A3735" s="32">
        <v>3725</v>
      </c>
      <c r="B3735" s="90">
        <v>8.5886819364801141</v>
      </c>
    </row>
    <row r="3736" spans="1:2">
      <c r="A3736" s="32">
        <v>3726</v>
      </c>
      <c r="B3736" s="90">
        <v>8.3834046598042615</v>
      </c>
    </row>
    <row r="3737" spans="1:2">
      <c r="A3737" s="32">
        <v>3727</v>
      </c>
      <c r="B3737" s="90">
        <v>6.9318200094471205</v>
      </c>
    </row>
    <row r="3738" spans="1:2">
      <c r="A3738" s="32">
        <v>3728</v>
      </c>
      <c r="B3738" s="90">
        <v>7.085692426823182</v>
      </c>
    </row>
    <row r="3739" spans="1:2">
      <c r="A3739" s="32">
        <v>3729</v>
      </c>
      <c r="B3739" s="90">
        <v>8.6571369915492085</v>
      </c>
    </row>
    <row r="3740" spans="1:2">
      <c r="A3740" s="32">
        <v>3730</v>
      </c>
      <c r="B3740" s="90">
        <v>8.3907444835537586</v>
      </c>
    </row>
    <row r="3741" spans="1:2">
      <c r="A3741" s="32">
        <v>3731</v>
      </c>
      <c r="B3741" s="90">
        <v>8.4352863343211126</v>
      </c>
    </row>
    <row r="3742" spans="1:2">
      <c r="A3742" s="32">
        <v>3732</v>
      </c>
      <c r="B3742" s="90">
        <v>8.1781994225405175</v>
      </c>
    </row>
    <row r="3743" spans="1:2">
      <c r="A3743" s="32">
        <v>3733</v>
      </c>
      <c r="B3743" s="90">
        <v>6.8603146991683364</v>
      </c>
    </row>
    <row r="3744" spans="1:2">
      <c r="A3744" s="32">
        <v>3734</v>
      </c>
      <c r="B3744" s="90">
        <v>7.9895328902684115</v>
      </c>
    </row>
    <row r="3745" spans="1:2">
      <c r="A3745" s="32">
        <v>3735</v>
      </c>
      <c r="B3745" s="90">
        <v>8.0435072697431984</v>
      </c>
    </row>
    <row r="3746" spans="1:2">
      <c r="A3746" s="32">
        <v>3736</v>
      </c>
      <c r="B3746" s="90">
        <v>8.1464455624618175</v>
      </c>
    </row>
    <row r="3747" spans="1:2">
      <c r="A3747" s="32">
        <v>3737</v>
      </c>
      <c r="B3747" s="90">
        <v>8.5855327308588816</v>
      </c>
    </row>
    <row r="3748" spans="1:2">
      <c r="A3748" s="32">
        <v>3738</v>
      </c>
      <c r="B3748" s="90">
        <v>7.7650014109397789</v>
      </c>
    </row>
    <row r="3749" spans="1:2">
      <c r="A3749" s="32">
        <v>3739</v>
      </c>
      <c r="B3749" s="90">
        <v>7.4502026709376583</v>
      </c>
    </row>
    <row r="3750" spans="1:2">
      <c r="A3750" s="32">
        <v>3740</v>
      </c>
      <c r="B3750" s="90">
        <v>7.9393921330099779</v>
      </c>
    </row>
    <row r="3751" spans="1:2">
      <c r="A3751" s="32">
        <v>3741</v>
      </c>
      <c r="B3751" s="90">
        <v>8.4546451089104515</v>
      </c>
    </row>
    <row r="3752" spans="1:2">
      <c r="A3752" s="32">
        <v>3742</v>
      </c>
      <c r="B3752" s="90">
        <v>8.3287037531264865</v>
      </c>
    </row>
    <row r="3753" spans="1:2">
      <c r="A3753" s="32">
        <v>3743</v>
      </c>
      <c r="B3753" s="90">
        <v>7.9290711996024843</v>
      </c>
    </row>
    <row r="3754" spans="1:2">
      <c r="A3754" s="32">
        <v>3744</v>
      </c>
      <c r="B3754" s="90">
        <v>7.5936992934098217</v>
      </c>
    </row>
    <row r="3755" spans="1:2">
      <c r="A3755" s="32">
        <v>3745</v>
      </c>
      <c r="B3755" s="90">
        <v>7.5119275464816271</v>
      </c>
    </row>
    <row r="3756" spans="1:2">
      <c r="A3756" s="32">
        <v>3746</v>
      </c>
      <c r="B3756" s="90">
        <v>8.397547070613415</v>
      </c>
    </row>
    <row r="3757" spans="1:2">
      <c r="A3757" s="32">
        <v>3747</v>
      </c>
      <c r="B3757" s="90">
        <v>7.6172374598303447</v>
      </c>
    </row>
    <row r="3758" spans="1:2">
      <c r="A3758" s="32">
        <v>3748</v>
      </c>
      <c r="B3758" s="90">
        <v>7.5589052121653193</v>
      </c>
    </row>
    <row r="3759" spans="1:2">
      <c r="A3759" s="32">
        <v>3749</v>
      </c>
      <c r="B3759" s="90">
        <v>8.6988043857585673</v>
      </c>
    </row>
    <row r="3760" spans="1:2">
      <c r="A3760" s="32">
        <v>3750</v>
      </c>
      <c r="B3760" s="90">
        <v>7.9070708434496249</v>
      </c>
    </row>
    <row r="3761" spans="1:2">
      <c r="A3761" s="32">
        <v>3751</v>
      </c>
      <c r="B3761" s="90">
        <v>7.9218400724612987</v>
      </c>
    </row>
    <row r="3762" spans="1:2">
      <c r="A3762" s="32">
        <v>3752</v>
      </c>
      <c r="B3762" s="90">
        <v>8.1561890354243882</v>
      </c>
    </row>
    <row r="3763" spans="1:2">
      <c r="A3763" s="32">
        <v>3753</v>
      </c>
      <c r="B3763" s="90">
        <v>7.9322022529661123</v>
      </c>
    </row>
    <row r="3764" spans="1:2">
      <c r="A3764" s="32">
        <v>3754</v>
      </c>
      <c r="B3764" s="90">
        <v>7.6351044094853648</v>
      </c>
    </row>
    <row r="3765" spans="1:2">
      <c r="A3765" s="32">
        <v>3755</v>
      </c>
      <c r="B3765" s="90">
        <v>8.9168295184333211</v>
      </c>
    </row>
    <row r="3766" spans="1:2">
      <c r="A3766" s="32">
        <v>3756</v>
      </c>
      <c r="B3766" s="90">
        <v>7.6530031765945283</v>
      </c>
    </row>
    <row r="3767" spans="1:2">
      <c r="A3767" s="32">
        <v>3757</v>
      </c>
      <c r="B3767" s="90">
        <v>7.8230328046931028</v>
      </c>
    </row>
    <row r="3768" spans="1:2">
      <c r="A3768" s="32">
        <v>3758</v>
      </c>
      <c r="B3768" s="90">
        <v>8.655315050824278</v>
      </c>
    </row>
    <row r="3769" spans="1:2">
      <c r="A3769" s="32">
        <v>3759</v>
      </c>
      <c r="B3769" s="90">
        <v>7.2933510238497217</v>
      </c>
    </row>
    <row r="3770" spans="1:2">
      <c r="A3770" s="32">
        <v>3760</v>
      </c>
      <c r="B3770" s="90">
        <v>8.088002376364356</v>
      </c>
    </row>
    <row r="3771" spans="1:2">
      <c r="A3771" s="32">
        <v>3761</v>
      </c>
      <c r="B3771" s="90">
        <v>8.7024912771568417</v>
      </c>
    </row>
    <row r="3772" spans="1:2">
      <c r="A3772" s="32">
        <v>3762</v>
      </c>
      <c r="B3772" s="90">
        <v>7.8120101693668271</v>
      </c>
    </row>
    <row r="3773" spans="1:2">
      <c r="A3773" s="32">
        <v>3763</v>
      </c>
      <c r="B3773" s="90">
        <v>7.6340833519321949</v>
      </c>
    </row>
    <row r="3774" spans="1:2">
      <c r="A3774" s="32">
        <v>3764</v>
      </c>
      <c r="B3774" s="90">
        <v>8.9426632517251896</v>
      </c>
    </row>
    <row r="3775" spans="1:2">
      <c r="A3775" s="32">
        <v>3765</v>
      </c>
      <c r="B3775" s="90">
        <v>7.3136826050814694</v>
      </c>
    </row>
    <row r="3776" spans="1:2">
      <c r="A3776" s="32">
        <v>3766</v>
      </c>
      <c r="B3776" s="90">
        <v>8.3269851204733154</v>
      </c>
    </row>
    <row r="3777" spans="1:2">
      <c r="A3777" s="32">
        <v>3767</v>
      </c>
      <c r="B3777" s="90">
        <v>8.8278767157868021</v>
      </c>
    </row>
    <row r="3778" spans="1:2">
      <c r="A3778" s="32">
        <v>3768</v>
      </c>
      <c r="B3778" s="90">
        <v>7.6661877168940018</v>
      </c>
    </row>
    <row r="3779" spans="1:2">
      <c r="A3779" s="32">
        <v>3769</v>
      </c>
      <c r="B3779" s="90">
        <v>7.6719540393618333</v>
      </c>
    </row>
    <row r="3780" spans="1:2">
      <c r="A3780" s="32">
        <v>3770</v>
      </c>
      <c r="B3780" s="90">
        <v>9.0369449487301132</v>
      </c>
    </row>
    <row r="3781" spans="1:2">
      <c r="A3781" s="32">
        <v>3771</v>
      </c>
      <c r="B3781" s="90">
        <v>7.4464919100548208</v>
      </c>
    </row>
    <row r="3782" spans="1:2">
      <c r="A3782" s="32">
        <v>3772</v>
      </c>
      <c r="B3782" s="90">
        <v>8.4466159495930775</v>
      </c>
    </row>
    <row r="3783" spans="1:2">
      <c r="A3783" s="32">
        <v>3773</v>
      </c>
      <c r="B3783" s="90">
        <v>8.2452510476706848</v>
      </c>
    </row>
    <row r="3784" spans="1:2">
      <c r="A3784" s="32">
        <v>3774</v>
      </c>
      <c r="B3784" s="90">
        <v>7.861332600268315</v>
      </c>
    </row>
    <row r="3785" spans="1:2">
      <c r="A3785" s="32">
        <v>3775</v>
      </c>
      <c r="B3785" s="90">
        <v>7.7506113985250042</v>
      </c>
    </row>
    <row r="3786" spans="1:2">
      <c r="A3786" s="32">
        <v>3776</v>
      </c>
      <c r="B3786" s="90">
        <v>8.6970140404358176</v>
      </c>
    </row>
    <row r="3787" spans="1:2">
      <c r="A3787" s="32">
        <v>3777</v>
      </c>
      <c r="B3787" s="90">
        <v>7.4794291209701793</v>
      </c>
    </row>
    <row r="3788" spans="1:2">
      <c r="A3788" s="32">
        <v>3778</v>
      </c>
      <c r="B3788" s="90">
        <v>8.4846625477344517</v>
      </c>
    </row>
    <row r="3789" spans="1:2">
      <c r="A3789" s="32">
        <v>3779</v>
      </c>
      <c r="B3789" s="90">
        <v>8.2418971132725662</v>
      </c>
    </row>
    <row r="3790" spans="1:2">
      <c r="A3790" s="32">
        <v>3780</v>
      </c>
      <c r="B3790" s="90">
        <v>7.9663026486225972</v>
      </c>
    </row>
    <row r="3791" spans="1:2">
      <c r="A3791" s="32">
        <v>3781</v>
      </c>
      <c r="B3791" s="90">
        <v>7.8598280331985952</v>
      </c>
    </row>
    <row r="3792" spans="1:2">
      <c r="A3792" s="32">
        <v>3782</v>
      </c>
      <c r="B3792" s="90">
        <v>8.2582136869950435</v>
      </c>
    </row>
    <row r="3793" spans="1:2">
      <c r="A3793" s="32">
        <v>3783</v>
      </c>
      <c r="B3793" s="90">
        <v>7.4458021037017081</v>
      </c>
    </row>
    <row r="3794" spans="1:2">
      <c r="A3794" s="32">
        <v>3784</v>
      </c>
      <c r="B3794" s="90">
        <v>8.6305678005838136</v>
      </c>
    </row>
    <row r="3795" spans="1:2">
      <c r="A3795" s="32">
        <v>3785</v>
      </c>
      <c r="B3795" s="90">
        <v>8.2904397202961135</v>
      </c>
    </row>
    <row r="3796" spans="1:2">
      <c r="A3796" s="32">
        <v>3786</v>
      </c>
      <c r="B3796" s="90">
        <v>7.6380195301645788</v>
      </c>
    </row>
    <row r="3797" spans="1:2">
      <c r="A3797" s="32">
        <v>3787</v>
      </c>
      <c r="B3797" s="90">
        <v>8.2864689540790213</v>
      </c>
    </row>
    <row r="3798" spans="1:2">
      <c r="A3798" s="32">
        <v>3788</v>
      </c>
      <c r="B3798" s="90">
        <v>7.7503362352038403</v>
      </c>
    </row>
    <row r="3799" spans="1:2">
      <c r="A3799" s="32">
        <v>3789</v>
      </c>
      <c r="B3799" s="90">
        <v>7.8156590198709637</v>
      </c>
    </row>
    <row r="3800" spans="1:2">
      <c r="A3800" s="32">
        <v>3790</v>
      </c>
      <c r="B3800" s="90">
        <v>8.9928292862206831</v>
      </c>
    </row>
    <row r="3801" spans="1:2">
      <c r="A3801" s="32">
        <v>3791</v>
      </c>
      <c r="B3801" s="90">
        <v>7.606150210307689</v>
      </c>
    </row>
    <row r="3802" spans="1:2">
      <c r="A3802" s="32">
        <v>3792</v>
      </c>
      <c r="B3802" s="90">
        <v>7.7325251522216538</v>
      </c>
    </row>
    <row r="3803" spans="1:2">
      <c r="A3803" s="32">
        <v>3793</v>
      </c>
      <c r="B3803" s="90">
        <v>9.0681703603652224</v>
      </c>
    </row>
    <row r="3804" spans="1:2">
      <c r="A3804" s="32">
        <v>3794</v>
      </c>
      <c r="B3804" s="90">
        <v>7.0654658466973794</v>
      </c>
    </row>
    <row r="3805" spans="1:2">
      <c r="A3805" s="32">
        <v>3795</v>
      </c>
      <c r="B3805" s="90">
        <v>7.6962723066662075</v>
      </c>
    </row>
    <row r="3806" spans="1:2">
      <c r="A3806" s="32">
        <v>3796</v>
      </c>
      <c r="B3806" s="90">
        <v>9.084004571722808</v>
      </c>
    </row>
    <row r="3807" spans="1:2">
      <c r="A3807" s="32">
        <v>3797</v>
      </c>
      <c r="B3807" s="90">
        <v>7.7696156590554519</v>
      </c>
    </row>
    <row r="3808" spans="1:2">
      <c r="A3808" s="32">
        <v>3798</v>
      </c>
      <c r="B3808" s="90">
        <v>7.4459136996846604</v>
      </c>
    </row>
    <row r="3809" spans="1:2">
      <c r="A3809" s="32">
        <v>3799</v>
      </c>
      <c r="B3809" s="90">
        <v>9.3106001312505242</v>
      </c>
    </row>
    <row r="3810" spans="1:2">
      <c r="A3810" s="32">
        <v>3800</v>
      </c>
      <c r="B3810" s="90">
        <v>7.2782951149246156</v>
      </c>
    </row>
    <row r="3811" spans="1:2">
      <c r="A3811" s="32">
        <v>3801</v>
      </c>
      <c r="B3811" s="90">
        <v>8.4323154222085357</v>
      </c>
    </row>
    <row r="3812" spans="1:2">
      <c r="A3812" s="32">
        <v>3802</v>
      </c>
      <c r="B3812" s="90">
        <v>8.5869328609619231</v>
      </c>
    </row>
    <row r="3813" spans="1:2">
      <c r="A3813" s="32">
        <v>3803</v>
      </c>
      <c r="B3813" s="90">
        <v>7.9665065387744702</v>
      </c>
    </row>
    <row r="3814" spans="1:2">
      <c r="A3814" s="32">
        <v>3804</v>
      </c>
      <c r="B3814" s="90">
        <v>7.6630592482010043</v>
      </c>
    </row>
    <row r="3815" spans="1:2">
      <c r="A3815" s="32">
        <v>3805</v>
      </c>
      <c r="B3815" s="90">
        <v>8.6671269109485518</v>
      </c>
    </row>
    <row r="3816" spans="1:2">
      <c r="A3816" s="32">
        <v>3806</v>
      </c>
      <c r="B3816" s="90">
        <v>7.6336477345965505</v>
      </c>
    </row>
    <row r="3817" spans="1:2">
      <c r="A3817" s="32">
        <v>3807</v>
      </c>
      <c r="B3817" s="90">
        <v>8.4200799416228183</v>
      </c>
    </row>
    <row r="3818" spans="1:2">
      <c r="A3818" s="32">
        <v>3808</v>
      </c>
      <c r="B3818" s="90">
        <v>8.2387020291035764</v>
      </c>
    </row>
    <row r="3819" spans="1:2">
      <c r="A3819" s="32">
        <v>3809</v>
      </c>
      <c r="B3819" s="90">
        <v>7.9981594731002339</v>
      </c>
    </row>
    <row r="3820" spans="1:2">
      <c r="A3820" s="32">
        <v>3810</v>
      </c>
      <c r="B3820" s="90">
        <v>7.839893764020295</v>
      </c>
    </row>
    <row r="3821" spans="1:2">
      <c r="A3821" s="32">
        <v>3811</v>
      </c>
      <c r="B3821" s="90">
        <v>8.3139257859473652</v>
      </c>
    </row>
    <row r="3822" spans="1:2">
      <c r="A3822" s="32">
        <v>3812</v>
      </c>
      <c r="B3822" s="90">
        <v>7.5589052121653193</v>
      </c>
    </row>
    <row r="3823" spans="1:2">
      <c r="A3823" s="32">
        <v>3813</v>
      </c>
      <c r="B3823" s="90">
        <v>8.6988043857585673</v>
      </c>
    </row>
    <row r="3824" spans="1:2">
      <c r="A3824" s="32">
        <v>3814</v>
      </c>
      <c r="B3824" s="90">
        <v>7.9070708434496249</v>
      </c>
    </row>
    <row r="3825" spans="1:2">
      <c r="A3825" s="32">
        <v>3815</v>
      </c>
      <c r="B3825" s="90">
        <v>7.9218400724612987</v>
      </c>
    </row>
    <row r="3826" spans="1:2">
      <c r="A3826" s="32">
        <v>3816</v>
      </c>
      <c r="B3826" s="90">
        <v>8.1561890354243882</v>
      </c>
    </row>
    <row r="3827" spans="1:2">
      <c r="A3827" s="32">
        <v>3817</v>
      </c>
      <c r="B3827" s="90">
        <v>7.9322022529661123</v>
      </c>
    </row>
    <row r="3828" spans="1:2">
      <c r="A3828" s="32">
        <v>3818</v>
      </c>
      <c r="B3828" s="90">
        <v>7.6351044094853648</v>
      </c>
    </row>
    <row r="3829" spans="1:2">
      <c r="A3829" s="32">
        <v>3819</v>
      </c>
      <c r="B3829" s="90">
        <v>8.9168295184333211</v>
      </c>
    </row>
    <row r="3830" spans="1:2">
      <c r="A3830" s="32">
        <v>3820</v>
      </c>
      <c r="B3830" s="90">
        <v>7.6530031765945283</v>
      </c>
    </row>
    <row r="3831" spans="1:2">
      <c r="A3831" s="32">
        <v>3821</v>
      </c>
      <c r="B3831" s="90">
        <v>7.8230328046931028</v>
      </c>
    </row>
    <row r="3832" spans="1:2">
      <c r="A3832" s="32">
        <v>3822</v>
      </c>
      <c r="B3832" s="90">
        <v>8.655315050824278</v>
      </c>
    </row>
    <row r="3833" spans="1:2">
      <c r="A3833" s="32">
        <v>3823</v>
      </c>
      <c r="B3833" s="90">
        <v>7.2933510238497217</v>
      </c>
    </row>
    <row r="3834" spans="1:2">
      <c r="A3834" s="32">
        <v>3824</v>
      </c>
      <c r="B3834" s="90">
        <v>8.088002376364356</v>
      </c>
    </row>
    <row r="3835" spans="1:2">
      <c r="A3835" s="32">
        <v>3825</v>
      </c>
      <c r="B3835" s="90">
        <v>8.7024912771568417</v>
      </c>
    </row>
    <row r="3836" spans="1:2">
      <c r="A3836" s="32">
        <v>3826</v>
      </c>
      <c r="B3836" s="90">
        <v>7.8120101693668271</v>
      </c>
    </row>
    <row r="3837" spans="1:2">
      <c r="A3837" s="32">
        <v>3827</v>
      </c>
      <c r="B3837" s="90">
        <v>7.6340833519321949</v>
      </c>
    </row>
    <row r="3838" spans="1:2">
      <c r="A3838" s="32">
        <v>3828</v>
      </c>
      <c r="B3838" s="90">
        <v>8.9426632517251896</v>
      </c>
    </row>
    <row r="3839" spans="1:2">
      <c r="A3839" s="32">
        <v>3829</v>
      </c>
      <c r="B3839" s="90">
        <v>7.3136826050814694</v>
      </c>
    </row>
    <row r="3840" spans="1:2">
      <c r="A3840" s="32">
        <v>3830</v>
      </c>
      <c r="B3840" s="90">
        <v>8.3269851204733154</v>
      </c>
    </row>
    <row r="3841" spans="1:2">
      <c r="A3841" s="32">
        <v>3831</v>
      </c>
      <c r="B3841" s="90">
        <v>8.8278767157868021</v>
      </c>
    </row>
    <row r="3842" spans="1:2">
      <c r="A3842" s="32">
        <v>3832</v>
      </c>
      <c r="B3842" s="90">
        <v>7.6661877168940018</v>
      </c>
    </row>
    <row r="3843" spans="1:2">
      <c r="A3843" s="32">
        <v>3833</v>
      </c>
      <c r="B3843" s="90">
        <v>7.6719540393618333</v>
      </c>
    </row>
    <row r="3844" spans="1:2">
      <c r="A3844" s="32">
        <v>3834</v>
      </c>
      <c r="B3844" s="90">
        <v>9.0369449487301132</v>
      </c>
    </row>
    <row r="3845" spans="1:2">
      <c r="A3845" s="32">
        <v>3835</v>
      </c>
      <c r="B3845" s="90">
        <v>7.4464919100548208</v>
      </c>
    </row>
    <row r="3846" spans="1:2">
      <c r="A3846" s="32">
        <v>3836</v>
      </c>
      <c r="B3846" s="90">
        <v>8.4466159495930775</v>
      </c>
    </row>
    <row r="3847" spans="1:2">
      <c r="A3847" s="32">
        <v>3837</v>
      </c>
      <c r="B3847" s="90">
        <v>8.2452510476706848</v>
      </c>
    </row>
    <row r="3848" spans="1:2">
      <c r="A3848" s="32">
        <v>3838</v>
      </c>
      <c r="B3848" s="90">
        <v>7.861332600268315</v>
      </c>
    </row>
    <row r="3849" spans="1:2">
      <c r="A3849" s="32">
        <v>3839</v>
      </c>
      <c r="B3849" s="90">
        <v>7.7506113985250042</v>
      </c>
    </row>
    <row r="3850" spans="1:2">
      <c r="A3850" s="32">
        <v>3840</v>
      </c>
      <c r="B3850" s="90">
        <v>8.6970140404358176</v>
      </c>
    </row>
    <row r="3851" spans="1:2">
      <c r="A3851" s="32">
        <v>3841</v>
      </c>
      <c r="B3851" s="90">
        <v>7.4794291209701793</v>
      </c>
    </row>
    <row r="3852" spans="1:2">
      <c r="A3852" s="32">
        <v>3842</v>
      </c>
      <c r="B3852" s="90">
        <v>8.4846625477344517</v>
      </c>
    </row>
    <row r="3853" spans="1:2">
      <c r="A3853" s="32">
        <v>3843</v>
      </c>
      <c r="B3853" s="90">
        <v>8.2418971132725662</v>
      </c>
    </row>
    <row r="3854" spans="1:2">
      <c r="A3854" s="32">
        <v>3844</v>
      </c>
      <c r="B3854" s="90">
        <v>7.9663026486225972</v>
      </c>
    </row>
    <row r="3855" spans="1:2">
      <c r="A3855" s="32">
        <v>3845</v>
      </c>
      <c r="B3855" s="90">
        <v>7.8598280331985952</v>
      </c>
    </row>
    <row r="3856" spans="1:2">
      <c r="A3856" s="32">
        <v>3846</v>
      </c>
      <c r="B3856" s="90">
        <v>8.2582136869950435</v>
      </c>
    </row>
    <row r="3857" spans="1:2">
      <c r="A3857" s="32">
        <v>3847</v>
      </c>
      <c r="B3857" s="90">
        <v>7.4458021037017081</v>
      </c>
    </row>
    <row r="3858" spans="1:2">
      <c r="A3858" s="32">
        <v>3848</v>
      </c>
      <c r="B3858" s="90">
        <v>8.6305678005838136</v>
      </c>
    </row>
    <row r="3859" spans="1:2">
      <c r="A3859" s="32">
        <v>3849</v>
      </c>
      <c r="B3859" s="90">
        <v>8.2904397202961135</v>
      </c>
    </row>
    <row r="3860" spans="1:2">
      <c r="A3860" s="32">
        <v>3850</v>
      </c>
      <c r="B3860" s="90">
        <v>7.6380195301645788</v>
      </c>
    </row>
    <row r="3861" spans="1:2">
      <c r="A3861" s="32">
        <v>3851</v>
      </c>
      <c r="B3861" s="90">
        <v>8.2864689540790213</v>
      </c>
    </row>
    <row r="3862" spans="1:2">
      <c r="A3862" s="32">
        <v>3852</v>
      </c>
      <c r="B3862" s="90">
        <v>7.7503362352038403</v>
      </c>
    </row>
    <row r="3863" spans="1:2">
      <c r="A3863" s="32">
        <v>3853</v>
      </c>
      <c r="B3863" s="90">
        <v>7.8156590198709637</v>
      </c>
    </row>
    <row r="3864" spans="1:2">
      <c r="A3864" s="32">
        <v>3854</v>
      </c>
      <c r="B3864" s="90">
        <v>8.9928292862206831</v>
      </c>
    </row>
    <row r="3865" spans="1:2">
      <c r="A3865" s="32">
        <v>3855</v>
      </c>
      <c r="B3865" s="90">
        <v>7.606150210307689</v>
      </c>
    </row>
    <row r="3866" spans="1:2">
      <c r="A3866" s="32">
        <v>3856</v>
      </c>
      <c r="B3866" s="90">
        <v>7.7325251522216538</v>
      </c>
    </row>
    <row r="3867" spans="1:2">
      <c r="A3867" s="32">
        <v>3857</v>
      </c>
      <c r="B3867" s="90">
        <v>9.0681703603652224</v>
      </c>
    </row>
    <row r="3868" spans="1:2">
      <c r="A3868" s="32">
        <v>3858</v>
      </c>
      <c r="B3868" s="90">
        <v>7.0654658466973794</v>
      </c>
    </row>
    <row r="3869" spans="1:2">
      <c r="A3869" s="32">
        <v>3859</v>
      </c>
      <c r="B3869" s="90">
        <v>7.6962723066662075</v>
      </c>
    </row>
    <row r="3870" spans="1:2">
      <c r="A3870" s="32">
        <v>3860</v>
      </c>
      <c r="B3870" s="90">
        <v>9.084004571722808</v>
      </c>
    </row>
    <row r="3871" spans="1:2">
      <c r="A3871" s="32">
        <v>3861</v>
      </c>
      <c r="B3871" s="90">
        <v>7.7696156590554519</v>
      </c>
    </row>
    <row r="3872" spans="1:2">
      <c r="A3872" s="32">
        <v>3862</v>
      </c>
      <c r="B3872" s="90">
        <v>7.4459136996846604</v>
      </c>
    </row>
    <row r="3873" spans="1:2">
      <c r="A3873" s="32">
        <v>3863</v>
      </c>
      <c r="B3873" s="90">
        <v>9.3106001312505242</v>
      </c>
    </row>
    <row r="3874" spans="1:2">
      <c r="A3874" s="32">
        <v>3864</v>
      </c>
      <c r="B3874" s="90">
        <v>7.2782951149246156</v>
      </c>
    </row>
    <row r="3875" spans="1:2">
      <c r="A3875" s="32">
        <v>3865</v>
      </c>
      <c r="B3875" s="90">
        <v>8.4323154222085357</v>
      </c>
    </row>
    <row r="3876" spans="1:2">
      <c r="A3876" s="32">
        <v>3866</v>
      </c>
      <c r="B3876" s="90">
        <v>8.5869328609619231</v>
      </c>
    </row>
    <row r="3877" spans="1:2">
      <c r="A3877" s="32">
        <v>3867</v>
      </c>
      <c r="B3877" s="90">
        <v>7.9665065387744702</v>
      </c>
    </row>
    <row r="3878" spans="1:2">
      <c r="A3878" s="32">
        <v>3868</v>
      </c>
      <c r="B3878" s="90">
        <v>7.6630592482010043</v>
      </c>
    </row>
    <row r="3879" spans="1:2">
      <c r="A3879" s="32">
        <v>3869</v>
      </c>
      <c r="B3879" s="90">
        <v>8.6403643361793705</v>
      </c>
    </row>
    <row r="3880" spans="1:2">
      <c r="A3880" s="32">
        <v>3870</v>
      </c>
      <c r="B3880" s="90">
        <v>7.7241159335905847</v>
      </c>
    </row>
    <row r="3881" spans="1:2">
      <c r="A3881" s="32">
        <v>3871</v>
      </c>
      <c r="B3881" s="90">
        <v>7.2079073265843228</v>
      </c>
    </row>
    <row r="3882" spans="1:2">
      <c r="A3882" s="32">
        <v>3872</v>
      </c>
      <c r="B3882" s="90">
        <v>8.2390122317826489</v>
      </c>
    </row>
    <row r="3883" spans="1:2">
      <c r="A3883" s="32">
        <v>3873</v>
      </c>
      <c r="B3883" s="90">
        <v>8.3397249464375829</v>
      </c>
    </row>
    <row r="3884" spans="1:2">
      <c r="A3884" s="32">
        <v>3874</v>
      </c>
      <c r="B3884" s="90">
        <v>7.9184153164501083</v>
      </c>
    </row>
    <row r="3885" spans="1:2">
      <c r="A3885" s="32">
        <v>3875</v>
      </c>
      <c r="B3885" s="90">
        <v>7.7603905240464428</v>
      </c>
    </row>
    <row r="3886" spans="1:2">
      <c r="A3886" s="32">
        <v>3876</v>
      </c>
      <c r="B3886" s="90">
        <v>8.2574454992535777</v>
      </c>
    </row>
    <row r="3887" spans="1:2">
      <c r="A3887" s="32">
        <v>3877</v>
      </c>
      <c r="B3887" s="90">
        <v>6.9350298257170468</v>
      </c>
    </row>
    <row r="3888" spans="1:2">
      <c r="A3888" s="32">
        <v>3878</v>
      </c>
      <c r="B3888" s="90">
        <v>8.0687805473153933</v>
      </c>
    </row>
    <row r="3889" spans="1:2">
      <c r="A3889" s="32">
        <v>3879</v>
      </c>
      <c r="B3889" s="90">
        <v>8.3313423481043252</v>
      </c>
    </row>
    <row r="3890" spans="1:2">
      <c r="A3890" s="32">
        <v>3880</v>
      </c>
      <c r="B3890" s="90">
        <v>7.7867745461594939</v>
      </c>
    </row>
    <row r="3891" spans="1:2">
      <c r="A3891" s="32">
        <v>3881</v>
      </c>
      <c r="B3891" s="90">
        <v>7.7461497956101457</v>
      </c>
    </row>
    <row r="3892" spans="1:2">
      <c r="A3892" s="32">
        <v>3882</v>
      </c>
      <c r="B3892" s="90">
        <v>8.5722166092780814</v>
      </c>
    </row>
    <row r="3893" spans="1:2">
      <c r="A3893" s="32">
        <v>3883</v>
      </c>
      <c r="B3893" s="90">
        <v>6.9181008367764179</v>
      </c>
    </row>
    <row r="3894" spans="1:2">
      <c r="A3894" s="32">
        <v>3884</v>
      </c>
      <c r="B3894" s="90">
        <v>8.1429693127821619</v>
      </c>
    </row>
    <row r="3895" spans="1:2">
      <c r="A3895" s="32">
        <v>3885</v>
      </c>
      <c r="B3895" s="90">
        <v>8.2739120410043778</v>
      </c>
    </row>
    <row r="3896" spans="1:2">
      <c r="A3896" s="32">
        <v>3886</v>
      </c>
      <c r="B3896" s="90">
        <v>7.8307948475352189</v>
      </c>
    </row>
    <row r="3897" spans="1:2">
      <c r="A3897" s="32">
        <v>3887</v>
      </c>
      <c r="B3897" s="90">
        <v>7.4301442891830627</v>
      </c>
    </row>
    <row r="3898" spans="1:2">
      <c r="A3898" s="32">
        <v>3888</v>
      </c>
      <c r="B3898" s="90">
        <v>8.3601870888795915</v>
      </c>
    </row>
    <row r="3899" spans="1:2">
      <c r="A3899" s="32">
        <v>3889</v>
      </c>
      <c r="B3899" s="90">
        <v>7.0101657416890975</v>
      </c>
    </row>
    <row r="3900" spans="1:2">
      <c r="A3900" s="32">
        <v>3890</v>
      </c>
      <c r="B3900" s="90">
        <v>8.4952837056011301</v>
      </c>
    </row>
    <row r="3901" spans="1:2">
      <c r="A3901" s="32">
        <v>3891</v>
      </c>
      <c r="B3901" s="90">
        <v>8.0337230471321508</v>
      </c>
    </row>
    <row r="3902" spans="1:2">
      <c r="A3902" s="32">
        <v>3892</v>
      </c>
      <c r="B3902" s="90">
        <v>7.7547251209679864</v>
      </c>
    </row>
    <row r="3903" spans="1:2">
      <c r="A3903" s="32">
        <v>3893</v>
      </c>
      <c r="B3903" s="90">
        <v>7.5376525769651872</v>
      </c>
    </row>
    <row r="3904" spans="1:2">
      <c r="A3904" s="32">
        <v>3894</v>
      </c>
      <c r="B3904" s="90">
        <v>7.7356410734019265</v>
      </c>
    </row>
    <row r="3905" spans="1:2">
      <c r="A3905" s="32">
        <v>3895</v>
      </c>
      <c r="B3905" s="90">
        <v>7.8012796248565239</v>
      </c>
    </row>
    <row r="3906" spans="1:2">
      <c r="A3906" s="32">
        <v>3896</v>
      </c>
      <c r="B3906" s="90">
        <v>8.4281184606087365</v>
      </c>
    </row>
    <row r="3907" spans="1:2">
      <c r="A3907" s="32">
        <v>3897</v>
      </c>
      <c r="B3907" s="90">
        <v>7.6416953001250887</v>
      </c>
    </row>
    <row r="3908" spans="1:2">
      <c r="A3908" s="32">
        <v>3898</v>
      </c>
      <c r="B3908" s="90">
        <v>8.6423612088371566</v>
      </c>
    </row>
    <row r="3909" spans="1:2">
      <c r="A3909" s="32">
        <v>3899</v>
      </c>
      <c r="B3909" s="90">
        <v>7.1653993633375341</v>
      </c>
    </row>
    <row r="3910" spans="1:2">
      <c r="A3910" s="32">
        <v>3900</v>
      </c>
      <c r="B3910" s="90">
        <v>7.4863023760238168</v>
      </c>
    </row>
    <row r="3911" spans="1:2">
      <c r="A3911" s="32">
        <v>3901</v>
      </c>
      <c r="B3911" s="90">
        <v>7.9457953176103491</v>
      </c>
    </row>
    <row r="3912" spans="1:2">
      <c r="A3912" s="32">
        <v>3902</v>
      </c>
      <c r="B3912" s="90">
        <v>8.2846731744589537</v>
      </c>
    </row>
    <row r="3913" spans="1:2">
      <c r="A3913" s="32">
        <v>3903</v>
      </c>
      <c r="B3913" s="90">
        <v>8.3578872164387636</v>
      </c>
    </row>
    <row r="3914" spans="1:2">
      <c r="A3914" s="32">
        <v>3904</v>
      </c>
      <c r="B3914" s="90">
        <v>7.7427636585624251</v>
      </c>
    </row>
    <row r="3915" spans="1:2">
      <c r="A3915" s="32">
        <v>3905</v>
      </c>
      <c r="B3915" s="90">
        <v>7.7743444798760519</v>
      </c>
    </row>
    <row r="3916" spans="1:2">
      <c r="A3916" s="32">
        <v>3906</v>
      </c>
      <c r="B3916" s="90">
        <v>7.1633401248988804</v>
      </c>
    </row>
    <row r="3917" spans="1:2">
      <c r="A3917" s="32">
        <v>3907</v>
      </c>
      <c r="B3917" s="90">
        <v>7.886211633644673</v>
      </c>
    </row>
    <row r="3918" spans="1:2">
      <c r="A3918" s="32">
        <v>3908</v>
      </c>
      <c r="B3918" s="90">
        <v>8.5697495116849769</v>
      </c>
    </row>
    <row r="3919" spans="1:2">
      <c r="A3919" s="32">
        <v>3909</v>
      </c>
      <c r="B3919" s="90">
        <v>7.9455084332955108</v>
      </c>
    </row>
    <row r="3920" spans="1:2">
      <c r="A3920" s="32">
        <v>3910</v>
      </c>
      <c r="B3920" s="90">
        <v>7.7257437450884838</v>
      </c>
    </row>
    <row r="3921" spans="1:2">
      <c r="A3921" s="32">
        <v>3911</v>
      </c>
      <c r="B3921" s="90">
        <v>8.364377285922858</v>
      </c>
    </row>
    <row r="3922" spans="1:2">
      <c r="A3922" s="32">
        <v>3912</v>
      </c>
      <c r="B3922" s="90">
        <v>6.6672134950014081</v>
      </c>
    </row>
    <row r="3923" spans="1:2">
      <c r="A3923" s="32">
        <v>3913</v>
      </c>
      <c r="B3923" s="90">
        <v>8.5251148174507136</v>
      </c>
    </row>
    <row r="3924" spans="1:2">
      <c r="A3924" s="32">
        <v>3914</v>
      </c>
      <c r="B3924" s="90">
        <v>8.2908788006313934</v>
      </c>
    </row>
    <row r="3925" spans="1:2">
      <c r="A3925" s="32">
        <v>3915</v>
      </c>
      <c r="B3925" s="90">
        <v>7.633609207389763</v>
      </c>
    </row>
    <row r="3926" spans="1:2">
      <c r="A3926" s="32">
        <v>3916</v>
      </c>
      <c r="B3926" s="90">
        <v>7.8483802013473287</v>
      </c>
    </row>
    <row r="3927" spans="1:2">
      <c r="A3927" s="32">
        <v>3917</v>
      </c>
      <c r="B3927" s="90">
        <v>7.9971313139465607</v>
      </c>
    </row>
    <row r="3928" spans="1:2">
      <c r="A3928" s="32">
        <v>3918</v>
      </c>
      <c r="B3928" s="90">
        <v>7.3557546559442981</v>
      </c>
    </row>
    <row r="3929" spans="1:2">
      <c r="A3929" s="32">
        <v>3919</v>
      </c>
      <c r="B3929" s="90">
        <v>8.2529523708713466</v>
      </c>
    </row>
    <row r="3930" spans="1:2">
      <c r="A3930" s="32">
        <v>3920</v>
      </c>
      <c r="B3930" s="90">
        <v>8.1287192119658567</v>
      </c>
    </row>
    <row r="3931" spans="1:2">
      <c r="A3931" s="32">
        <v>3921</v>
      </c>
      <c r="B3931" s="90">
        <v>7.6903968487754524</v>
      </c>
    </row>
    <row r="3932" spans="1:2">
      <c r="A3932" s="32">
        <v>3922</v>
      </c>
      <c r="B3932" s="90">
        <v>7.5847513593966847</v>
      </c>
    </row>
    <row r="3933" spans="1:2">
      <c r="A3933" s="32">
        <v>3923</v>
      </c>
      <c r="B3933" s="90">
        <v>7.698305551345296</v>
      </c>
    </row>
    <row r="3934" spans="1:2">
      <c r="A3934" s="32">
        <v>3924</v>
      </c>
      <c r="B3934" s="90">
        <v>7.5598922713459924</v>
      </c>
    </row>
    <row r="3935" spans="1:2">
      <c r="A3935" s="32">
        <v>3925</v>
      </c>
      <c r="B3935" s="90">
        <v>8.5846930365775069</v>
      </c>
    </row>
    <row r="3936" spans="1:2">
      <c r="A3936" s="32">
        <v>3926</v>
      </c>
      <c r="B3936" s="90">
        <v>7.8607238700690729</v>
      </c>
    </row>
    <row r="3937" spans="1:2">
      <c r="A3937" s="32">
        <v>3927</v>
      </c>
      <c r="B3937" s="90">
        <v>7.9849137320382368</v>
      </c>
    </row>
    <row r="3938" spans="1:2">
      <c r="A3938" s="32">
        <v>3928</v>
      </c>
      <c r="B3938" s="90">
        <v>7.4269471208100883</v>
      </c>
    </row>
    <row r="3939" spans="1:2">
      <c r="A3939" s="32">
        <v>3929</v>
      </c>
      <c r="B3939" s="90">
        <v>7.3810813888744189</v>
      </c>
    </row>
    <row r="3940" spans="1:2">
      <c r="A3940" s="32">
        <v>3930</v>
      </c>
      <c r="B3940" s="90">
        <v>8.1025717907020613</v>
      </c>
    </row>
    <row r="3941" spans="1:2">
      <c r="A3941" s="32">
        <v>3931</v>
      </c>
      <c r="B3941" s="90">
        <v>8.4808649416284769</v>
      </c>
    </row>
    <row r="3942" spans="1:2">
      <c r="A3942" s="32">
        <v>3932</v>
      </c>
      <c r="B3942" s="90">
        <v>8.2075748398925121</v>
      </c>
    </row>
    <row r="3943" spans="1:2">
      <c r="A3943" s="32">
        <v>3933</v>
      </c>
      <c r="B3943" s="90">
        <v>7.7275583457438577</v>
      </c>
    </row>
    <row r="3944" spans="1:2">
      <c r="A3944" s="32">
        <v>3934</v>
      </c>
      <c r="B3944" s="90">
        <v>7.7241159335905847</v>
      </c>
    </row>
    <row r="3945" spans="1:2">
      <c r="A3945" s="32">
        <v>3935</v>
      </c>
      <c r="B3945" s="90">
        <v>7.2079073265843228</v>
      </c>
    </row>
    <row r="3946" spans="1:2">
      <c r="A3946" s="32">
        <v>3936</v>
      </c>
      <c r="B3946" s="90">
        <v>8.2390122317826489</v>
      </c>
    </row>
    <row r="3947" spans="1:2">
      <c r="A3947" s="32">
        <v>3937</v>
      </c>
      <c r="B3947" s="90">
        <v>8.3397249464375829</v>
      </c>
    </row>
    <row r="3948" spans="1:2">
      <c r="A3948" s="32">
        <v>3938</v>
      </c>
      <c r="B3948" s="90">
        <v>7.9184153164501083</v>
      </c>
    </row>
    <row r="3949" spans="1:2">
      <c r="A3949" s="32">
        <v>3939</v>
      </c>
      <c r="B3949" s="90">
        <v>7.7603905240464428</v>
      </c>
    </row>
    <row r="3950" spans="1:2">
      <c r="A3950" s="32">
        <v>3940</v>
      </c>
      <c r="B3950" s="90">
        <v>8.2574454992535777</v>
      </c>
    </row>
    <row r="3951" spans="1:2">
      <c r="A3951" s="32">
        <v>3941</v>
      </c>
      <c r="B3951" s="90">
        <v>6.9350298257170468</v>
      </c>
    </row>
    <row r="3952" spans="1:2">
      <c r="A3952" s="32">
        <v>3942</v>
      </c>
      <c r="B3952" s="90">
        <v>8.0687805473153933</v>
      </c>
    </row>
    <row r="3953" spans="1:2">
      <c r="A3953" s="32">
        <v>3943</v>
      </c>
      <c r="B3953" s="90">
        <v>8.3313423481043252</v>
      </c>
    </row>
    <row r="3954" spans="1:2">
      <c r="A3954" s="32">
        <v>3944</v>
      </c>
      <c r="B3954" s="90">
        <v>7.7867745461594939</v>
      </c>
    </row>
    <row r="3955" spans="1:2">
      <c r="A3955" s="32">
        <v>3945</v>
      </c>
      <c r="B3955" s="90">
        <v>7.7461497956101457</v>
      </c>
    </row>
    <row r="3956" spans="1:2">
      <c r="A3956" s="32">
        <v>3946</v>
      </c>
      <c r="B3956" s="90">
        <v>8.5722166092780814</v>
      </c>
    </row>
    <row r="3957" spans="1:2">
      <c r="A3957" s="32">
        <v>3947</v>
      </c>
      <c r="B3957" s="90">
        <v>6.9181008367764179</v>
      </c>
    </row>
    <row r="3958" spans="1:2">
      <c r="A3958" s="32">
        <v>3948</v>
      </c>
      <c r="B3958" s="90">
        <v>8.1429693127821619</v>
      </c>
    </row>
    <row r="3959" spans="1:2">
      <c r="A3959" s="32">
        <v>3949</v>
      </c>
      <c r="B3959" s="90">
        <v>8.2739120410043778</v>
      </c>
    </row>
    <row r="3960" spans="1:2">
      <c r="A3960" s="32">
        <v>3950</v>
      </c>
      <c r="B3960" s="90">
        <v>7.8307948475352189</v>
      </c>
    </row>
    <row r="3961" spans="1:2">
      <c r="A3961" s="32">
        <v>3951</v>
      </c>
      <c r="B3961" s="90">
        <v>7.6723937816852157</v>
      </c>
    </row>
    <row r="3962" spans="1:2">
      <c r="A3962" s="32">
        <v>3952</v>
      </c>
      <c r="B3962" s="90">
        <v>7.2603154308467284</v>
      </c>
    </row>
    <row r="3963" spans="1:2">
      <c r="A3963" s="32">
        <v>3953</v>
      </c>
      <c r="B3963" s="90">
        <v>8.6890027479084821</v>
      </c>
    </row>
    <row r="3964" spans="1:2">
      <c r="A3964" s="32">
        <v>3954</v>
      </c>
      <c r="B3964" s="90">
        <v>8.1810151258917223</v>
      </c>
    </row>
    <row r="3965" spans="1:2">
      <c r="A3965" s="32">
        <v>3955</v>
      </c>
      <c r="B3965" s="90">
        <v>7.4800469641366725</v>
      </c>
    </row>
    <row r="3966" spans="1:2">
      <c r="A3966" s="32">
        <v>3956</v>
      </c>
      <c r="B3966" s="90">
        <v>8.0026787877099341</v>
      </c>
    </row>
    <row r="3967" spans="1:2">
      <c r="A3967" s="32">
        <v>3957</v>
      </c>
      <c r="B3967" s="90">
        <v>7.9263184828920359</v>
      </c>
    </row>
    <row r="3968" spans="1:2">
      <c r="A3968" s="32">
        <v>3958</v>
      </c>
      <c r="B3968" s="90">
        <v>7.0847696290587336</v>
      </c>
    </row>
    <row r="3969" spans="1:2">
      <c r="A3969" s="32">
        <v>3959</v>
      </c>
      <c r="B3969" s="90">
        <v>9.0615654739130704</v>
      </c>
    </row>
    <row r="3970" spans="1:2">
      <c r="A3970" s="32">
        <v>3960</v>
      </c>
      <c r="B3970" s="90">
        <v>7.8432406925744385</v>
      </c>
    </row>
    <row r="3971" spans="1:2">
      <c r="A3971" s="32">
        <v>3961</v>
      </c>
      <c r="B3971" s="90">
        <v>7.9408558878423321</v>
      </c>
    </row>
    <row r="3972" spans="1:2">
      <c r="A3972" s="32">
        <v>3962</v>
      </c>
      <c r="B3972" s="90">
        <v>7.6411379563002253</v>
      </c>
    </row>
    <row r="3973" spans="1:2">
      <c r="A3973" s="32">
        <v>3963</v>
      </c>
      <c r="B3973" s="90">
        <v>7.9786248819126993</v>
      </c>
    </row>
    <row r="3974" spans="1:2">
      <c r="A3974" s="32">
        <v>3964</v>
      </c>
      <c r="B3974" s="90">
        <v>7.6306377207384113</v>
      </c>
    </row>
    <row r="3975" spans="1:2">
      <c r="A3975" s="32">
        <v>3965</v>
      </c>
      <c r="B3975" s="90">
        <v>8.6528566237736673</v>
      </c>
    </row>
    <row r="3976" spans="1:2">
      <c r="A3976" s="32">
        <v>3966</v>
      </c>
      <c r="B3976" s="90">
        <v>7.7380679023335484</v>
      </c>
    </row>
    <row r="3977" spans="1:2">
      <c r="A3977" s="32">
        <v>3967</v>
      </c>
      <c r="B3977" s="90">
        <v>7.7945983775482066</v>
      </c>
    </row>
    <row r="3978" spans="1:2">
      <c r="A3978" s="32">
        <v>3968</v>
      </c>
      <c r="B3978" s="90">
        <v>7.3346574224278864</v>
      </c>
    </row>
    <row r="3979" spans="1:2">
      <c r="A3979" s="32">
        <v>3969</v>
      </c>
      <c r="B3979" s="90">
        <v>7.8857101364932243</v>
      </c>
    </row>
    <row r="3980" spans="1:2">
      <c r="A3980" s="32">
        <v>3970</v>
      </c>
      <c r="B3980" s="90">
        <v>7.7572559132134353</v>
      </c>
    </row>
    <row r="3981" spans="1:2">
      <c r="A3981" s="32">
        <v>3971</v>
      </c>
      <c r="B3981" s="90">
        <v>8.9026812461432829</v>
      </c>
    </row>
    <row r="3982" spans="1:2">
      <c r="A3982" s="32">
        <v>3972</v>
      </c>
      <c r="B3982" s="90">
        <v>7.4912632427723889</v>
      </c>
    </row>
    <row r="3983" spans="1:2">
      <c r="A3983" s="32">
        <v>3973</v>
      </c>
      <c r="B3983" s="90">
        <v>7.6951204742051749</v>
      </c>
    </row>
    <row r="3984" spans="1:2">
      <c r="A3984" s="32">
        <v>3974</v>
      </c>
      <c r="B3984" s="90">
        <v>7.703059506617878</v>
      </c>
    </row>
    <row r="3985" spans="1:2">
      <c r="A3985" s="32">
        <v>3975</v>
      </c>
      <c r="B3985" s="90">
        <v>7.5416267733173949</v>
      </c>
    </row>
    <row r="3986" spans="1:2">
      <c r="A3986" s="32">
        <v>3976</v>
      </c>
      <c r="B3986" s="90">
        <v>8.3791091118565149</v>
      </c>
    </row>
    <row r="3987" spans="1:2">
      <c r="A3987" s="32">
        <v>3977</v>
      </c>
      <c r="B3987" s="90">
        <v>8.7080027000557827</v>
      </c>
    </row>
    <row r="3988" spans="1:2">
      <c r="A3988" s="32">
        <v>3978</v>
      </c>
      <c r="B3988" s="90">
        <v>7.0618149057959245</v>
      </c>
    </row>
    <row r="3989" spans="1:2">
      <c r="A3989" s="32">
        <v>3979</v>
      </c>
      <c r="B3989" s="90">
        <v>8.4929933303111351</v>
      </c>
    </row>
    <row r="3990" spans="1:2">
      <c r="A3990" s="32">
        <v>3980</v>
      </c>
      <c r="B3990" s="90">
        <v>7.5658207717501513</v>
      </c>
    </row>
    <row r="3991" spans="1:2">
      <c r="A3991" s="32">
        <v>3981</v>
      </c>
      <c r="B3991" s="90">
        <v>7.2663901954455952</v>
      </c>
    </row>
    <row r="3992" spans="1:2">
      <c r="A3992" s="32">
        <v>3982</v>
      </c>
      <c r="B3992" s="90">
        <v>8.7249693959922947</v>
      </c>
    </row>
    <row r="3993" spans="1:2">
      <c r="A3993" s="32">
        <v>3983</v>
      </c>
      <c r="B3993" s="90">
        <v>7.9958687921478804</v>
      </c>
    </row>
    <row r="3994" spans="1:2">
      <c r="A3994" s="32">
        <v>3984</v>
      </c>
      <c r="B3994" s="90">
        <v>7.5990213962301274</v>
      </c>
    </row>
    <row r="3995" spans="1:2">
      <c r="A3995" s="32">
        <v>3985</v>
      </c>
      <c r="B3995" s="90">
        <v>8.0495356518309737</v>
      </c>
    </row>
    <row r="3996" spans="1:2">
      <c r="A3996" s="32">
        <v>3986</v>
      </c>
      <c r="B3996" s="90">
        <v>7.8713303316900838</v>
      </c>
    </row>
    <row r="3997" spans="1:2">
      <c r="A3997" s="32">
        <v>3987</v>
      </c>
      <c r="B3997" s="90">
        <v>7.0488806571597635</v>
      </c>
    </row>
    <row r="3998" spans="1:2">
      <c r="A3998" s="32">
        <v>3988</v>
      </c>
      <c r="B3998" s="90">
        <v>9.0516355039022489</v>
      </c>
    </row>
    <row r="3999" spans="1:2">
      <c r="A3999" s="32">
        <v>3989</v>
      </c>
      <c r="B3999" s="90">
        <v>8.0477870380107657</v>
      </c>
    </row>
    <row r="4000" spans="1:2">
      <c r="A4000" s="32">
        <v>3990</v>
      </c>
      <c r="B4000" s="90">
        <v>7.5834960110715839</v>
      </c>
    </row>
    <row r="4001" spans="1:2">
      <c r="A4001" s="32">
        <v>3991</v>
      </c>
      <c r="B4001" s="90">
        <v>7.7844351880089633</v>
      </c>
    </row>
    <row r="4002" spans="1:2">
      <c r="A4002" s="32">
        <v>3992</v>
      </c>
      <c r="B4002" s="90">
        <v>8.161628146839206</v>
      </c>
    </row>
    <row r="4003" spans="1:2">
      <c r="A4003" s="32">
        <v>3993</v>
      </c>
      <c r="B4003" s="90">
        <v>7.1475919536135013</v>
      </c>
    </row>
    <row r="4004" spans="1:2">
      <c r="A4004" s="32">
        <v>3994</v>
      </c>
      <c r="B4004" s="90">
        <v>9.0618830675856472</v>
      </c>
    </row>
    <row r="4005" spans="1:2">
      <c r="A4005" s="32">
        <v>3995</v>
      </c>
      <c r="B4005" s="90">
        <v>7.7474431604443756</v>
      </c>
    </row>
    <row r="4006" spans="1:2">
      <c r="A4006" s="32">
        <v>3996</v>
      </c>
      <c r="B4006" s="90">
        <v>7.8720747577033627</v>
      </c>
    </row>
    <row r="4007" spans="1:2">
      <c r="A4007" s="32">
        <v>3997</v>
      </c>
      <c r="B4007" s="90">
        <v>7.6189447135538799</v>
      </c>
    </row>
    <row r="4008" spans="1:2">
      <c r="A4008" s="32">
        <v>3998</v>
      </c>
      <c r="B4008" s="90">
        <v>7.9043349585507894</v>
      </c>
    </row>
    <row r="4009" spans="1:2">
      <c r="A4009" s="32">
        <v>3999</v>
      </c>
      <c r="B4009" s="90">
        <v>7.7121205920787341</v>
      </c>
    </row>
    <row r="4010" spans="1:2">
      <c r="A4010" s="32">
        <v>4000</v>
      </c>
      <c r="B4010" s="90">
        <v>8.4683044963927134</v>
      </c>
    </row>
    <row r="4011" spans="1:2">
      <c r="A4011" s="32">
        <v>4001</v>
      </c>
      <c r="B4011" s="90">
        <v>7.7552056222523715</v>
      </c>
    </row>
    <row r="4012" spans="1:2">
      <c r="A4012" s="32">
        <v>4002</v>
      </c>
      <c r="B4012" s="90">
        <v>7.4060146168095908</v>
      </c>
    </row>
    <row r="4013" spans="1:2">
      <c r="A4013" s="32">
        <v>4003</v>
      </c>
      <c r="B4013" s="90">
        <v>7.894576013507276</v>
      </c>
    </row>
    <row r="4014" spans="1:2">
      <c r="A4014" s="32">
        <v>4004</v>
      </c>
      <c r="B4014" s="90">
        <v>7.6862678922089041</v>
      </c>
    </row>
    <row r="4015" spans="1:2">
      <c r="A4015" s="32">
        <v>4005</v>
      </c>
      <c r="B4015" s="90">
        <v>8.0369820708672108</v>
      </c>
    </row>
    <row r="4016" spans="1:2">
      <c r="A4016" s="32">
        <v>4006</v>
      </c>
      <c r="B4016" s="90">
        <v>8.9362327090645639</v>
      </c>
    </row>
    <row r="4017" spans="1:2">
      <c r="A4017" s="32">
        <v>4007</v>
      </c>
      <c r="B4017" s="90">
        <v>7.2919789561525361</v>
      </c>
    </row>
    <row r="4018" spans="1:2">
      <c r="A4018" s="32">
        <v>4008</v>
      </c>
      <c r="B4018" s="90">
        <v>7.7859209178113238</v>
      </c>
    </row>
    <row r="4019" spans="1:2">
      <c r="A4019" s="32">
        <v>4009</v>
      </c>
      <c r="B4019" s="90">
        <v>7.93467390619639</v>
      </c>
    </row>
    <row r="4020" spans="1:2">
      <c r="A4020" s="32">
        <v>4010</v>
      </c>
      <c r="B4020" s="90">
        <v>7.0812958393398686</v>
      </c>
    </row>
    <row r="4021" spans="1:2">
      <c r="A4021" s="32">
        <v>4011</v>
      </c>
      <c r="B4021" s="90">
        <v>8.7640735454481646</v>
      </c>
    </row>
    <row r="4022" spans="1:2">
      <c r="A4022" s="32">
        <v>4012</v>
      </c>
      <c r="B4022" s="90">
        <v>8.2725880163325041</v>
      </c>
    </row>
    <row r="4023" spans="1:2">
      <c r="A4023" s="32">
        <v>4013</v>
      </c>
      <c r="B4023" s="90">
        <v>7.2196939690092048</v>
      </c>
    </row>
    <row r="4024" spans="1:2">
      <c r="A4024" s="32">
        <v>4014</v>
      </c>
      <c r="B4024" s="90">
        <v>8.3871272723951549</v>
      </c>
    </row>
    <row r="4025" spans="1:2">
      <c r="A4025" s="32">
        <v>4015</v>
      </c>
      <c r="B4025" s="90">
        <v>7.8134685340474164</v>
      </c>
    </row>
    <row r="4026" spans="1:2">
      <c r="A4026" s="32">
        <v>4016</v>
      </c>
      <c r="B4026" s="90">
        <v>7.2603154308467284</v>
      </c>
    </row>
    <row r="4027" spans="1:2">
      <c r="A4027" s="32">
        <v>4017</v>
      </c>
      <c r="B4027" s="90">
        <v>8.6890027479084821</v>
      </c>
    </row>
    <row r="4028" spans="1:2">
      <c r="A4028" s="32">
        <v>4018</v>
      </c>
      <c r="B4028" s="90">
        <v>8.1810151258917223</v>
      </c>
    </row>
    <row r="4029" spans="1:2">
      <c r="A4029" s="32">
        <v>4019</v>
      </c>
      <c r="B4029" s="90">
        <v>7.4800469641366725</v>
      </c>
    </row>
    <row r="4030" spans="1:2">
      <c r="A4030" s="32">
        <v>4020</v>
      </c>
      <c r="B4030" s="90">
        <v>8.0026787877099341</v>
      </c>
    </row>
    <row r="4031" spans="1:2">
      <c r="A4031" s="32">
        <v>4021</v>
      </c>
      <c r="B4031" s="90">
        <v>7.9263184828920359</v>
      </c>
    </row>
    <row r="4032" spans="1:2">
      <c r="A4032" s="32">
        <v>4022</v>
      </c>
      <c r="B4032" s="90">
        <v>7.0847696290587336</v>
      </c>
    </row>
    <row r="4033" spans="1:2">
      <c r="A4033" s="32">
        <v>4023</v>
      </c>
      <c r="B4033" s="90">
        <v>9.0615654739130704</v>
      </c>
    </row>
    <row r="4034" spans="1:2">
      <c r="A4034" s="32">
        <v>4024</v>
      </c>
      <c r="B4034" s="90">
        <v>7.8432406925744385</v>
      </c>
    </row>
    <row r="4035" spans="1:2">
      <c r="A4035" s="32">
        <v>4025</v>
      </c>
      <c r="B4035" s="90">
        <v>7.9408558878423321</v>
      </c>
    </row>
    <row r="4036" spans="1:2">
      <c r="A4036" s="32">
        <v>4026</v>
      </c>
      <c r="B4036" s="90">
        <v>7.6411379563002253</v>
      </c>
    </row>
    <row r="4037" spans="1:2">
      <c r="A4037" s="32">
        <v>4027</v>
      </c>
      <c r="B4037" s="90">
        <v>7.9786248819126993</v>
      </c>
    </row>
    <row r="4038" spans="1:2">
      <c r="A4038" s="32">
        <v>4028</v>
      </c>
      <c r="B4038" s="90">
        <v>7.6306377207384113</v>
      </c>
    </row>
    <row r="4039" spans="1:2">
      <c r="A4039" s="32">
        <v>4029</v>
      </c>
      <c r="B4039" s="90">
        <v>8.6528566237736673</v>
      </c>
    </row>
    <row r="4040" spans="1:2">
      <c r="A4040" s="32">
        <v>4030</v>
      </c>
      <c r="B4040" s="90">
        <v>7.7380679023335484</v>
      </c>
    </row>
    <row r="4041" spans="1:2">
      <c r="A4041" s="32">
        <v>4031</v>
      </c>
      <c r="B4041" s="90">
        <v>7.7945983775482066</v>
      </c>
    </row>
    <row r="4042" spans="1:2">
      <c r="A4042" s="32">
        <v>4032</v>
      </c>
      <c r="B4042" s="90">
        <v>7.3346574224278864</v>
      </c>
    </row>
    <row r="4043" spans="1:2">
      <c r="A4043" s="32">
        <v>4033</v>
      </c>
      <c r="B4043" s="90">
        <v>7.8857101364932243</v>
      </c>
    </row>
    <row r="4044" spans="1:2">
      <c r="A4044" s="32">
        <v>4034</v>
      </c>
      <c r="B4044" s="90">
        <v>7.7572559132134353</v>
      </c>
    </row>
    <row r="4045" spans="1:2">
      <c r="A4045" s="32">
        <v>4035</v>
      </c>
      <c r="B4045" s="90">
        <v>8.9026812461432829</v>
      </c>
    </row>
    <row r="4046" spans="1:2">
      <c r="A4046" s="32">
        <v>4036</v>
      </c>
      <c r="B4046" s="90">
        <v>7.4912632427723889</v>
      </c>
    </row>
    <row r="4047" spans="1:2">
      <c r="A4047" s="32">
        <v>4037</v>
      </c>
      <c r="B4047" s="90">
        <v>7.6951204742051749</v>
      </c>
    </row>
    <row r="4048" spans="1:2">
      <c r="A4048" s="32">
        <v>4038</v>
      </c>
      <c r="B4048" s="90">
        <v>7.703059506617878</v>
      </c>
    </row>
    <row r="4049" spans="1:2">
      <c r="A4049" s="32">
        <v>4039</v>
      </c>
      <c r="B4049" s="90">
        <v>7.5416267733173949</v>
      </c>
    </row>
    <row r="4050" spans="1:2">
      <c r="A4050" s="32">
        <v>4040</v>
      </c>
      <c r="B4050" s="90">
        <v>8.3791091118565149</v>
      </c>
    </row>
    <row r="4051" spans="1:2">
      <c r="A4051" s="32">
        <v>4041</v>
      </c>
      <c r="B4051" s="90">
        <v>8.7080027000557827</v>
      </c>
    </row>
    <row r="4052" spans="1:2">
      <c r="A4052" s="32">
        <v>4042</v>
      </c>
      <c r="B4052" s="90">
        <v>7.0618149057959245</v>
      </c>
    </row>
    <row r="4053" spans="1:2">
      <c r="A4053" s="32">
        <v>4043</v>
      </c>
      <c r="B4053" s="90">
        <v>8.4929933303111351</v>
      </c>
    </row>
    <row r="4054" spans="1:2">
      <c r="A4054" s="32">
        <v>4044</v>
      </c>
      <c r="B4054" s="90">
        <v>7.5658207717501513</v>
      </c>
    </row>
    <row r="4055" spans="1:2">
      <c r="A4055" s="32">
        <v>4045</v>
      </c>
      <c r="B4055" s="90">
        <v>7.2663901954455952</v>
      </c>
    </row>
    <row r="4056" spans="1:2">
      <c r="A4056" s="32">
        <v>4046</v>
      </c>
      <c r="B4056" s="90">
        <v>8.7249693959922947</v>
      </c>
    </row>
    <row r="4057" spans="1:2">
      <c r="A4057" s="32">
        <v>4047</v>
      </c>
      <c r="B4057" s="90">
        <v>7.9958687921478804</v>
      </c>
    </row>
    <row r="4058" spans="1:2">
      <c r="A4058" s="32">
        <v>4048</v>
      </c>
      <c r="B4058" s="90">
        <v>7.5990213962301274</v>
      </c>
    </row>
    <row r="4059" spans="1:2">
      <c r="A4059" s="32">
        <v>4049</v>
      </c>
      <c r="B4059" s="90">
        <v>8.0495356518309737</v>
      </c>
    </row>
    <row r="4060" spans="1:2">
      <c r="A4060" s="32">
        <v>4050</v>
      </c>
      <c r="B4060" s="90">
        <v>7.8713303316900838</v>
      </c>
    </row>
    <row r="4061" spans="1:2">
      <c r="A4061" s="32">
        <v>4051</v>
      </c>
      <c r="B4061" s="90">
        <v>7.0488806571597635</v>
      </c>
    </row>
    <row r="4062" spans="1:2">
      <c r="A4062" s="32">
        <v>4052</v>
      </c>
      <c r="B4062" s="90">
        <v>9.0516355039022489</v>
      </c>
    </row>
    <row r="4063" spans="1:2">
      <c r="A4063" s="32">
        <v>4053</v>
      </c>
      <c r="B4063" s="90">
        <v>8.0477870380107657</v>
      </c>
    </row>
    <row r="4064" spans="1:2">
      <c r="A4064" s="32">
        <v>4054</v>
      </c>
      <c r="B4064" s="90">
        <v>7.5834960110715839</v>
      </c>
    </row>
    <row r="4065" spans="1:2">
      <c r="A4065" s="32">
        <v>4055</v>
      </c>
      <c r="B4065" s="90">
        <v>7.7844351880089633</v>
      </c>
    </row>
    <row r="4066" spans="1:2">
      <c r="A4066" s="32">
        <v>4056</v>
      </c>
      <c r="B4066" s="90">
        <v>8.161628146839206</v>
      </c>
    </row>
    <row r="4067" spans="1:2">
      <c r="A4067" s="32">
        <v>4057</v>
      </c>
      <c r="B4067" s="90">
        <v>7.1475919536135013</v>
      </c>
    </row>
    <row r="4068" spans="1:2">
      <c r="A4068" s="32">
        <v>4058</v>
      </c>
      <c r="B4068" s="90">
        <v>9.0618830675856472</v>
      </c>
    </row>
    <row r="4069" spans="1:2">
      <c r="A4069" s="32">
        <v>4059</v>
      </c>
      <c r="B4069" s="90">
        <v>7.7474431604443756</v>
      </c>
    </row>
    <row r="4070" spans="1:2">
      <c r="A4070" s="32">
        <v>4060</v>
      </c>
      <c r="B4070" s="90">
        <v>7.8720747577033627</v>
      </c>
    </row>
    <row r="4071" spans="1:2">
      <c r="A4071" s="32">
        <v>4061</v>
      </c>
      <c r="B4071" s="90">
        <v>7.6189447135538799</v>
      </c>
    </row>
    <row r="4072" spans="1:2">
      <c r="A4072" s="32">
        <v>4062</v>
      </c>
      <c r="B4072" s="90">
        <v>7.9043349585507894</v>
      </c>
    </row>
    <row r="4073" spans="1:2">
      <c r="A4073" s="32">
        <v>4063</v>
      </c>
      <c r="B4073" s="90">
        <v>7.7121205920787341</v>
      </c>
    </row>
    <row r="4074" spans="1:2">
      <c r="A4074" s="32">
        <v>4064</v>
      </c>
      <c r="B4074" s="90">
        <v>8.4683044963927134</v>
      </c>
    </row>
    <row r="4075" spans="1:2">
      <c r="A4075" s="32">
        <v>4065</v>
      </c>
      <c r="B4075" s="90">
        <v>7.7552056222523715</v>
      </c>
    </row>
    <row r="4076" spans="1:2">
      <c r="A4076" s="32">
        <v>4066</v>
      </c>
      <c r="B4076" s="90">
        <v>7.4060146168095908</v>
      </c>
    </row>
    <row r="4077" spans="1:2">
      <c r="A4077" s="32">
        <v>4067</v>
      </c>
      <c r="B4077" s="90">
        <v>7.894576013507276</v>
      </c>
    </row>
    <row r="4078" spans="1:2">
      <c r="A4078" s="32">
        <v>4068</v>
      </c>
      <c r="B4078" s="90">
        <v>7.7426202846194556</v>
      </c>
    </row>
    <row r="4079" spans="1:2">
      <c r="A4079" s="32">
        <v>4069</v>
      </c>
      <c r="B4079" s="90">
        <v>7.6608559742639004</v>
      </c>
    </row>
    <row r="4080" spans="1:2">
      <c r="A4080" s="32">
        <v>4070</v>
      </c>
      <c r="B4080" s="90">
        <v>7.6773159819605823</v>
      </c>
    </row>
    <row r="4081" spans="1:2">
      <c r="A4081" s="32">
        <v>4071</v>
      </c>
      <c r="B4081" s="90">
        <v>7.9878505745508228</v>
      </c>
    </row>
    <row r="4082" spans="1:2">
      <c r="A4082" s="32">
        <v>4072</v>
      </c>
      <c r="B4082" s="90">
        <v>9.4015763156232506</v>
      </c>
    </row>
    <row r="4083" spans="1:2">
      <c r="A4083" s="32">
        <v>4073</v>
      </c>
      <c r="B4083" s="90">
        <v>6.9697460426543296</v>
      </c>
    </row>
    <row r="4084" spans="1:2">
      <c r="A4084" s="32">
        <v>4074</v>
      </c>
      <c r="B4084" s="90">
        <v>7.448385982137947</v>
      </c>
    </row>
    <row r="4085" spans="1:2">
      <c r="A4085" s="32">
        <v>4075</v>
      </c>
      <c r="B4085" s="90">
        <v>7.5577031113331605</v>
      </c>
    </row>
    <row r="4086" spans="1:2">
      <c r="A4086" s="32">
        <v>4076</v>
      </c>
      <c r="B4086" s="90">
        <v>8.4488528620804733</v>
      </c>
    </row>
    <row r="4087" spans="1:2">
      <c r="A4087" s="32">
        <v>4077</v>
      </c>
      <c r="B4087" s="90">
        <v>7.8436512730956549</v>
      </c>
    </row>
    <row r="4088" spans="1:2">
      <c r="A4088" s="32">
        <v>4078</v>
      </c>
      <c r="B4088" s="90">
        <v>8.6343501320370866</v>
      </c>
    </row>
    <row r="4089" spans="1:2">
      <c r="A4089" s="32">
        <v>4079</v>
      </c>
      <c r="B4089" s="90">
        <v>7.6565831208364896</v>
      </c>
    </row>
    <row r="4090" spans="1:2">
      <c r="A4090" s="32">
        <v>4080</v>
      </c>
      <c r="B4090" s="90">
        <v>7.1707937688510786</v>
      </c>
    </row>
    <row r="4091" spans="1:2">
      <c r="A4091" s="32">
        <v>4081</v>
      </c>
      <c r="B4091" s="90">
        <v>7.4757977089812542</v>
      </c>
    </row>
    <row r="4092" spans="1:2">
      <c r="A4092" s="32">
        <v>4082</v>
      </c>
      <c r="B4092" s="90">
        <v>8.8836281643627117</v>
      </c>
    </row>
    <row r="4093" spans="1:2">
      <c r="A4093" s="32">
        <v>4083</v>
      </c>
      <c r="B4093" s="90">
        <v>7.9849795342373948</v>
      </c>
    </row>
    <row r="4094" spans="1:2">
      <c r="A4094" s="32">
        <v>4084</v>
      </c>
      <c r="B4094" s="90">
        <v>7.7527344316364815</v>
      </c>
    </row>
    <row r="4095" spans="1:2">
      <c r="A4095" s="32">
        <v>4085</v>
      </c>
      <c r="B4095" s="90">
        <v>7.8405657153767505</v>
      </c>
    </row>
    <row r="4096" spans="1:2">
      <c r="A4096" s="32">
        <v>4086</v>
      </c>
      <c r="B4096" s="90">
        <v>7.2834665487728154</v>
      </c>
    </row>
    <row r="4097" spans="1:2">
      <c r="A4097" s="32">
        <v>4087</v>
      </c>
      <c r="B4097" s="90">
        <v>7.791841450175756</v>
      </c>
    </row>
    <row r="4098" spans="1:2">
      <c r="A4098" s="32">
        <v>4088</v>
      </c>
      <c r="B4098" s="90">
        <v>8.1487216440967725</v>
      </c>
    </row>
    <row r="4099" spans="1:2">
      <c r="A4099" s="32">
        <v>4089</v>
      </c>
      <c r="B4099" s="90">
        <v>8.5991423959339883</v>
      </c>
    </row>
    <row r="4100" spans="1:2">
      <c r="A4100" s="32">
        <v>4090</v>
      </c>
      <c r="B4100" s="90">
        <v>7.4158849298715648</v>
      </c>
    </row>
    <row r="4101" spans="1:2">
      <c r="A4101" s="32">
        <v>4091</v>
      </c>
      <c r="B4101" s="90">
        <v>7.6527633833134194</v>
      </c>
    </row>
    <row r="4102" spans="1:2">
      <c r="A4102" s="32">
        <v>4092</v>
      </c>
      <c r="B4102" s="90">
        <v>7.7720001154449285</v>
      </c>
    </row>
    <row r="4103" spans="1:2">
      <c r="A4103" s="32">
        <v>4093</v>
      </c>
      <c r="B4103" s="90">
        <v>7.6285217667927396</v>
      </c>
    </row>
    <row r="4104" spans="1:2">
      <c r="A4104" s="32">
        <v>4094</v>
      </c>
      <c r="B4104" s="90">
        <v>8.3898770162053449</v>
      </c>
    </row>
    <row r="4105" spans="1:2">
      <c r="A4105" s="32">
        <v>4095</v>
      </c>
      <c r="B4105" s="90">
        <v>9.0208500523862245</v>
      </c>
    </row>
    <row r="4106" spans="1:2">
      <c r="A4106" s="32">
        <v>4096</v>
      </c>
      <c r="B4106" s="90">
        <v>6.643061260878353</v>
      </c>
    </row>
    <row r="4107" spans="1:2">
      <c r="A4107" s="32">
        <v>4097</v>
      </c>
      <c r="B4107" s="90">
        <v>7.8794140387660905</v>
      </c>
    </row>
    <row r="4108" spans="1:2">
      <c r="A4108" s="32">
        <v>4098</v>
      </c>
      <c r="B4108" s="90">
        <v>8.0374214705134008</v>
      </c>
    </row>
    <row r="4109" spans="1:2">
      <c r="A4109" s="32">
        <v>4099</v>
      </c>
      <c r="B4109" s="90">
        <v>7.5727266489281311</v>
      </c>
    </row>
    <row r="4110" spans="1:2">
      <c r="A4110" s="32">
        <v>4100</v>
      </c>
      <c r="B4110" s="90">
        <v>7.9817116208519554</v>
      </c>
    </row>
    <row r="4111" spans="1:2">
      <c r="A4111" s="32">
        <v>4101</v>
      </c>
      <c r="B4111" s="90">
        <v>9.7396783242537328</v>
      </c>
    </row>
    <row r="4112" spans="1:2">
      <c r="A4112" s="32">
        <v>4102</v>
      </c>
      <c r="B4112" s="90">
        <v>6.791543410538889</v>
      </c>
    </row>
    <row r="4113" spans="1:2">
      <c r="A4113" s="32">
        <v>4103</v>
      </c>
      <c r="B4113" s="90">
        <v>7.6356288076974312</v>
      </c>
    </row>
    <row r="4114" spans="1:2">
      <c r="A4114" s="32">
        <v>4104</v>
      </c>
      <c r="B4114" s="90">
        <v>7.5076377439325066</v>
      </c>
    </row>
    <row r="4115" spans="1:2">
      <c r="A4115" s="32">
        <v>4105</v>
      </c>
      <c r="B4115" s="90">
        <v>8.3192730311686542</v>
      </c>
    </row>
    <row r="4116" spans="1:2">
      <c r="A4116" s="32">
        <v>4106</v>
      </c>
      <c r="B4116" s="90">
        <v>7.8827307370180497</v>
      </c>
    </row>
    <row r="4117" spans="1:2">
      <c r="A4117" s="32">
        <v>4107</v>
      </c>
      <c r="B4117" s="90">
        <v>8.9474778963189863</v>
      </c>
    </row>
    <row r="4118" spans="1:2">
      <c r="A4118" s="32">
        <v>4108</v>
      </c>
      <c r="B4118" s="90">
        <v>7.5223918199852529</v>
      </c>
    </row>
    <row r="4119" spans="1:2">
      <c r="A4119" s="32">
        <v>4109</v>
      </c>
      <c r="B4119" s="90">
        <v>7.0934229794826411</v>
      </c>
    </row>
    <row r="4120" spans="1:2">
      <c r="A4120" s="32">
        <v>4110</v>
      </c>
      <c r="B4120" s="90">
        <v>7.5455032739015016</v>
      </c>
    </row>
    <row r="4121" spans="1:2">
      <c r="A4121" s="32">
        <v>4111</v>
      </c>
      <c r="B4121" s="90">
        <v>8.6660087527644087</v>
      </c>
    </row>
    <row r="4122" spans="1:2">
      <c r="A4122" s="32">
        <v>4112</v>
      </c>
      <c r="B4122" s="90">
        <v>7.8004865906048728</v>
      </c>
    </row>
    <row r="4123" spans="1:2">
      <c r="A4123" s="32">
        <v>4113</v>
      </c>
      <c r="B4123" s="90">
        <v>8.0946940103684284</v>
      </c>
    </row>
    <row r="4124" spans="1:2">
      <c r="A4124" s="32">
        <v>4114</v>
      </c>
      <c r="B4124" s="90">
        <v>7.7809891979462265</v>
      </c>
    </row>
    <row r="4125" spans="1:2">
      <c r="A4125" s="32">
        <v>4115</v>
      </c>
      <c r="B4125" s="90">
        <v>7.2754807615043573</v>
      </c>
    </row>
    <row r="4126" spans="1:2">
      <c r="A4126" s="32">
        <v>4116</v>
      </c>
      <c r="B4126" s="90">
        <v>7.7811002779938185</v>
      </c>
    </row>
    <row r="4127" spans="1:2">
      <c r="A4127" s="32">
        <v>4117</v>
      </c>
      <c r="B4127" s="90">
        <v>8.995989994191687</v>
      </c>
    </row>
    <row r="4128" spans="1:2">
      <c r="A4128" s="32">
        <v>4118</v>
      </c>
      <c r="B4128" s="90">
        <v>7.8038326458776508</v>
      </c>
    </row>
    <row r="4129" spans="1:2">
      <c r="A4129" s="32">
        <v>4119</v>
      </c>
      <c r="B4129" s="90">
        <v>7.6954782370628765</v>
      </c>
    </row>
    <row r="4130" spans="1:2">
      <c r="A4130" s="32">
        <v>4120</v>
      </c>
      <c r="B4130" s="90">
        <v>7.7492114251618194</v>
      </c>
    </row>
    <row r="4131" spans="1:2">
      <c r="A4131" s="32">
        <v>4121</v>
      </c>
      <c r="B4131" s="90">
        <v>7.5525857975342934</v>
      </c>
    </row>
    <row r="4132" spans="1:2">
      <c r="A4132" s="32">
        <v>4122</v>
      </c>
      <c r="B4132" s="90">
        <v>7.5182755869407201</v>
      </c>
    </row>
    <row r="4133" spans="1:2">
      <c r="A4133" s="32">
        <v>4123</v>
      </c>
      <c r="B4133" s="90">
        <v>8.314401029151508</v>
      </c>
    </row>
    <row r="4134" spans="1:2">
      <c r="A4134" s="32">
        <v>4124</v>
      </c>
      <c r="B4134" s="90">
        <v>8.6763534795647601</v>
      </c>
    </row>
    <row r="4135" spans="1:2">
      <c r="A4135" s="32">
        <v>4125</v>
      </c>
      <c r="B4135" s="90">
        <v>7.0326792656162542</v>
      </c>
    </row>
    <row r="4136" spans="1:2">
      <c r="A4136" s="32">
        <v>4126</v>
      </c>
      <c r="B4136" s="90">
        <v>7.7907337563455377</v>
      </c>
    </row>
    <row r="4137" spans="1:2">
      <c r="A4137" s="32">
        <v>4127</v>
      </c>
      <c r="B4137" s="90">
        <v>7.7761257178657619</v>
      </c>
    </row>
    <row r="4138" spans="1:2">
      <c r="A4138" s="32">
        <v>4128</v>
      </c>
      <c r="B4138" s="90">
        <v>7.6277016741714148</v>
      </c>
    </row>
    <row r="4139" spans="1:2">
      <c r="A4139" s="32">
        <v>4129</v>
      </c>
      <c r="B4139" s="90">
        <v>8.4819095582400887</v>
      </c>
    </row>
    <row r="4140" spans="1:2">
      <c r="A4140" s="32">
        <v>4130</v>
      </c>
      <c r="B4140" s="90">
        <v>8.9959499934978648</v>
      </c>
    </row>
    <row r="4141" spans="1:2">
      <c r="A4141" s="32">
        <v>4131</v>
      </c>
      <c r="B4141" s="90">
        <v>7.0831877385489603</v>
      </c>
    </row>
    <row r="4142" spans="1:2">
      <c r="A4142" s="32">
        <v>4132</v>
      </c>
      <c r="B4142" s="90">
        <v>7.8690713924655409</v>
      </c>
    </row>
    <row r="4143" spans="1:2">
      <c r="A4143" s="32">
        <v>4133</v>
      </c>
      <c r="B4143" s="90">
        <v>7.6608559742639004</v>
      </c>
    </row>
    <row r="4144" spans="1:2">
      <c r="A4144" s="32">
        <v>4134</v>
      </c>
      <c r="B4144" s="90">
        <v>7.6773159819605823</v>
      </c>
    </row>
    <row r="4145" spans="1:2">
      <c r="A4145" s="32">
        <v>4135</v>
      </c>
      <c r="B4145" s="90">
        <v>7.9878505745508228</v>
      </c>
    </row>
    <row r="4146" spans="1:2">
      <c r="A4146" s="32">
        <v>4136</v>
      </c>
      <c r="B4146" s="90">
        <v>9.4015763156232506</v>
      </c>
    </row>
    <row r="4147" spans="1:2">
      <c r="A4147" s="32">
        <v>4137</v>
      </c>
      <c r="B4147" s="90">
        <v>6.9697460426543296</v>
      </c>
    </row>
    <row r="4148" spans="1:2">
      <c r="A4148" s="32">
        <v>4138</v>
      </c>
      <c r="B4148" s="90">
        <v>7.448385982137947</v>
      </c>
    </row>
    <row r="4149" spans="1:2">
      <c r="A4149" s="32">
        <v>4139</v>
      </c>
      <c r="B4149" s="90">
        <v>7.5577031113331605</v>
      </c>
    </row>
    <row r="4150" spans="1:2">
      <c r="A4150" s="32">
        <v>4140</v>
      </c>
      <c r="B4150" s="90">
        <v>8.4488528620804733</v>
      </c>
    </row>
    <row r="4151" spans="1:2">
      <c r="A4151" s="32">
        <v>4141</v>
      </c>
      <c r="B4151" s="90">
        <v>7.8436512730956549</v>
      </c>
    </row>
    <row r="4152" spans="1:2">
      <c r="A4152" s="32">
        <v>4142</v>
      </c>
      <c r="B4152" s="90">
        <v>8.6343501320370866</v>
      </c>
    </row>
    <row r="4153" spans="1:2">
      <c r="A4153" s="32">
        <v>4143</v>
      </c>
      <c r="B4153" s="90">
        <v>7.6565831208364896</v>
      </c>
    </row>
    <row r="4154" spans="1:2">
      <c r="A4154" s="32">
        <v>4144</v>
      </c>
      <c r="B4154" s="90">
        <v>7.1707937688510786</v>
      </c>
    </row>
    <row r="4155" spans="1:2">
      <c r="A4155" s="32">
        <v>4145</v>
      </c>
      <c r="B4155" s="90">
        <v>7.4757977089812542</v>
      </c>
    </row>
    <row r="4156" spans="1:2">
      <c r="A4156" s="32">
        <v>4146</v>
      </c>
      <c r="B4156" s="90">
        <v>8.8836281643627117</v>
      </c>
    </row>
    <row r="4157" spans="1:2">
      <c r="A4157" s="32">
        <v>4147</v>
      </c>
      <c r="B4157" s="90">
        <v>7.9849795342373948</v>
      </c>
    </row>
    <row r="4158" spans="1:2">
      <c r="A4158" s="32">
        <v>4148</v>
      </c>
      <c r="B4158" s="90">
        <v>7.7527344316364815</v>
      </c>
    </row>
    <row r="4159" spans="1:2">
      <c r="A4159" s="32">
        <v>4149</v>
      </c>
      <c r="B4159" s="90">
        <v>7.8405657153767505</v>
      </c>
    </row>
    <row r="4160" spans="1:2">
      <c r="A4160" s="32">
        <v>4150</v>
      </c>
      <c r="B4160" s="90">
        <v>7.9484112296033675</v>
      </c>
    </row>
    <row r="4161" spans="1:2">
      <c r="A4161" s="32">
        <v>4151</v>
      </c>
      <c r="B4161" s="90">
        <v>7.4332189058368945</v>
      </c>
    </row>
    <row r="4162" spans="1:2">
      <c r="A4162" s="32">
        <v>4152</v>
      </c>
      <c r="B4162" s="90">
        <v>7.5789940364956969</v>
      </c>
    </row>
    <row r="4163" spans="1:2">
      <c r="A4163" s="32">
        <v>4153</v>
      </c>
      <c r="B4163" s="90">
        <v>7.7644016743428024</v>
      </c>
    </row>
    <row r="4164" spans="1:2">
      <c r="A4164" s="32">
        <v>4154</v>
      </c>
      <c r="B4164" s="90">
        <v>8.1088171120981389</v>
      </c>
    </row>
    <row r="4165" spans="1:2">
      <c r="A4165" s="32">
        <v>4155</v>
      </c>
      <c r="B4165" s="90">
        <v>8.7749526565729994</v>
      </c>
    </row>
    <row r="4166" spans="1:2">
      <c r="A4166" s="32">
        <v>4156</v>
      </c>
      <c r="B4166" s="90">
        <v>8.5981872973079305</v>
      </c>
    </row>
    <row r="4167" spans="1:2">
      <c r="A4167" s="32">
        <v>4157</v>
      </c>
      <c r="B4167" s="90">
        <v>7.313371744891132</v>
      </c>
    </row>
    <row r="4168" spans="1:2">
      <c r="A4168" s="32">
        <v>4158</v>
      </c>
      <c r="B4168" s="90">
        <v>7.7809883033503171</v>
      </c>
    </row>
    <row r="4169" spans="1:2">
      <c r="A4169" s="32">
        <v>4159</v>
      </c>
      <c r="B4169" s="90">
        <v>7.5769084154563755</v>
      </c>
    </row>
    <row r="4170" spans="1:2">
      <c r="A4170" s="32">
        <v>4160</v>
      </c>
      <c r="B4170" s="90">
        <v>8.2801036353605149</v>
      </c>
    </row>
    <row r="4171" spans="1:2">
      <c r="A4171" s="32">
        <v>4161</v>
      </c>
      <c r="B4171" s="90">
        <v>8.5095959468202267</v>
      </c>
    </row>
    <row r="4172" spans="1:2">
      <c r="A4172" s="32">
        <v>4162</v>
      </c>
      <c r="B4172" s="90">
        <v>8.5624748911136326</v>
      </c>
    </row>
    <row r="4173" spans="1:2">
      <c r="A4173" s="32">
        <v>4163</v>
      </c>
      <c r="B4173" s="90">
        <v>7.5918636871628937</v>
      </c>
    </row>
    <row r="4174" spans="1:2">
      <c r="A4174" s="32">
        <v>4164</v>
      </c>
      <c r="B4174" s="90">
        <v>7.3296554589093557</v>
      </c>
    </row>
    <row r="4175" spans="1:2">
      <c r="A4175" s="32">
        <v>4165</v>
      </c>
      <c r="B4175" s="90">
        <v>7.8562313324384814</v>
      </c>
    </row>
    <row r="4176" spans="1:2">
      <c r="A4176" s="32">
        <v>4166</v>
      </c>
      <c r="B4176" s="90">
        <v>8.3724664151920223</v>
      </c>
    </row>
    <row r="4177" spans="1:2">
      <c r="A4177" s="32">
        <v>4167</v>
      </c>
      <c r="B4177" s="90">
        <v>8.1357133386236402</v>
      </c>
    </row>
    <row r="4178" spans="1:2">
      <c r="A4178" s="32">
        <v>4168</v>
      </c>
      <c r="B4178" s="90">
        <v>8.825479932651346</v>
      </c>
    </row>
    <row r="4179" spans="1:2">
      <c r="A4179" s="32">
        <v>4169</v>
      </c>
      <c r="B4179" s="90">
        <v>7.5335527666559381</v>
      </c>
    </row>
    <row r="4180" spans="1:2">
      <c r="A4180" s="32">
        <v>4170</v>
      </c>
      <c r="B4180" s="90">
        <v>7.5703216776019451</v>
      </c>
    </row>
    <row r="4181" spans="1:2">
      <c r="A4181" s="32">
        <v>4171</v>
      </c>
      <c r="B4181" s="90">
        <v>7.3380156584569267</v>
      </c>
    </row>
    <row r="4182" spans="1:2">
      <c r="A4182" s="32">
        <v>4172</v>
      </c>
      <c r="B4182" s="90">
        <v>8.9197654587830577</v>
      </c>
    </row>
    <row r="4183" spans="1:2">
      <c r="A4183" s="32">
        <v>4173</v>
      </c>
      <c r="B4183" s="90">
        <v>8.5766384755679432</v>
      </c>
    </row>
    <row r="4184" spans="1:2">
      <c r="A4184" s="32">
        <v>4174</v>
      </c>
      <c r="B4184" s="90">
        <v>7.9077863878034842</v>
      </c>
    </row>
    <row r="4185" spans="1:2">
      <c r="A4185" s="32">
        <v>4175</v>
      </c>
      <c r="B4185" s="90">
        <v>7.68346087059623</v>
      </c>
    </row>
    <row r="4186" spans="1:2">
      <c r="A4186" s="32">
        <v>4176</v>
      </c>
      <c r="B4186" s="90">
        <v>7.5869419891727796</v>
      </c>
    </row>
    <row r="4187" spans="1:2">
      <c r="A4187" s="32">
        <v>4177</v>
      </c>
      <c r="B4187" s="90">
        <v>7.6801283793521895</v>
      </c>
    </row>
    <row r="4188" spans="1:2">
      <c r="A4188" s="32">
        <v>4178</v>
      </c>
      <c r="B4188" s="90">
        <v>8.4570829898142499</v>
      </c>
    </row>
    <row r="4189" spans="1:2">
      <c r="A4189" s="32">
        <v>4179</v>
      </c>
      <c r="B4189" s="90">
        <v>8.7159164998073759</v>
      </c>
    </row>
    <row r="4190" spans="1:2">
      <c r="A4190" s="32">
        <v>4180</v>
      </c>
      <c r="B4190" s="90">
        <v>7.7843005338718232</v>
      </c>
    </row>
    <row r="4191" spans="1:2">
      <c r="A4191" s="32">
        <v>4181</v>
      </c>
      <c r="B4191" s="90">
        <v>7.8721981181396217</v>
      </c>
    </row>
    <row r="4192" spans="1:2">
      <c r="A4192" s="32">
        <v>4182</v>
      </c>
      <c r="B4192" s="90">
        <v>7.3429016341433648</v>
      </c>
    </row>
    <row r="4193" spans="1:2">
      <c r="A4193" s="32">
        <v>4183</v>
      </c>
      <c r="B4193" s="90">
        <v>8.2806236907185937</v>
      </c>
    </row>
    <row r="4194" spans="1:2">
      <c r="A4194" s="32">
        <v>4184</v>
      </c>
      <c r="B4194" s="90">
        <v>8.8136333394654045</v>
      </c>
    </row>
    <row r="4195" spans="1:2">
      <c r="A4195" s="32">
        <v>4185</v>
      </c>
      <c r="B4195" s="90">
        <v>8.6007589027345972</v>
      </c>
    </row>
    <row r="4196" spans="1:2">
      <c r="A4196" s="32">
        <v>4186</v>
      </c>
      <c r="B4196" s="90">
        <v>7.2190980903105268</v>
      </c>
    </row>
    <row r="4197" spans="1:2">
      <c r="A4197" s="32">
        <v>4187</v>
      </c>
      <c r="B4197" s="90">
        <v>7.8842196072196105</v>
      </c>
    </row>
    <row r="4198" spans="1:2">
      <c r="A4198" s="32">
        <v>4188</v>
      </c>
      <c r="B4198" s="90">
        <v>7.8182925448135911</v>
      </c>
    </row>
    <row r="4199" spans="1:2">
      <c r="A4199" s="32">
        <v>4189</v>
      </c>
      <c r="B4199" s="90">
        <v>7.9220479351242075</v>
      </c>
    </row>
    <row r="4200" spans="1:2">
      <c r="A4200" s="32">
        <v>4190</v>
      </c>
      <c r="B4200" s="90">
        <v>8.8910277452821997</v>
      </c>
    </row>
    <row r="4201" spans="1:2">
      <c r="A4201" s="32">
        <v>4191</v>
      </c>
      <c r="B4201" s="90">
        <v>8.1887536891656776</v>
      </c>
    </row>
    <row r="4202" spans="1:2">
      <c r="A4202" s="32">
        <v>4192</v>
      </c>
      <c r="B4202" s="90">
        <v>7.2680036677419571</v>
      </c>
    </row>
    <row r="4203" spans="1:2">
      <c r="A4203" s="32">
        <v>4193</v>
      </c>
      <c r="B4203" s="90">
        <v>7.6711455211652666</v>
      </c>
    </row>
    <row r="4204" spans="1:2">
      <c r="A4204" s="32">
        <v>4194</v>
      </c>
      <c r="B4204" s="90">
        <v>7.997733698769677</v>
      </c>
    </row>
    <row r="4205" spans="1:2">
      <c r="A4205" s="32">
        <v>4195</v>
      </c>
      <c r="B4205" s="90">
        <v>8.2813375350408922</v>
      </c>
    </row>
    <row r="4206" spans="1:2">
      <c r="A4206" s="32">
        <v>4196</v>
      </c>
      <c r="B4206" s="90">
        <v>8.1715109493042473</v>
      </c>
    </row>
    <row r="4207" spans="1:2">
      <c r="A4207" s="32">
        <v>4197</v>
      </c>
      <c r="B4207" s="90">
        <v>8.8217208149912718</v>
      </c>
    </row>
    <row r="4208" spans="1:2">
      <c r="A4208" s="32">
        <v>4198</v>
      </c>
      <c r="B4208" s="90">
        <v>7.8167312527806976</v>
      </c>
    </row>
    <row r="4209" spans="1:2">
      <c r="A4209" s="32">
        <v>4199</v>
      </c>
      <c r="B4209" s="90">
        <v>7.0929457018530027</v>
      </c>
    </row>
    <row r="4210" spans="1:2">
      <c r="A4210" s="32">
        <v>4200</v>
      </c>
      <c r="B4210" s="90">
        <v>7.6583522110099489</v>
      </c>
    </row>
    <row r="4211" spans="1:2">
      <c r="A4211" s="32">
        <v>4201</v>
      </c>
      <c r="B4211" s="90">
        <v>8.7126731752053139</v>
      </c>
    </row>
    <row r="4212" spans="1:2">
      <c r="A4212" s="32">
        <v>4202</v>
      </c>
      <c r="B4212" s="90">
        <v>8.541297437551119</v>
      </c>
    </row>
    <row r="4213" spans="1:2">
      <c r="A4213" s="32">
        <v>4203</v>
      </c>
      <c r="B4213" s="90">
        <v>8.356435152592292</v>
      </c>
    </row>
    <row r="4214" spans="1:2">
      <c r="A4214" s="32">
        <v>4204</v>
      </c>
      <c r="B4214" s="90">
        <v>7.5307037305947659</v>
      </c>
    </row>
    <row r="4215" spans="1:2">
      <c r="A4215" s="32">
        <v>4205</v>
      </c>
      <c r="B4215" s="90">
        <v>7.738872280482413</v>
      </c>
    </row>
    <row r="4216" spans="1:2">
      <c r="A4216" s="32">
        <v>4206</v>
      </c>
      <c r="B4216" s="90">
        <v>7.1104989821539775</v>
      </c>
    </row>
    <row r="4217" spans="1:2">
      <c r="A4217" s="32">
        <v>4207</v>
      </c>
      <c r="B4217" s="90">
        <v>8.830309078608737</v>
      </c>
    </row>
    <row r="4218" spans="1:2">
      <c r="A4218" s="32">
        <v>4208</v>
      </c>
      <c r="B4218" s="90">
        <v>8.4510790489297261</v>
      </c>
    </row>
    <row r="4219" spans="1:2">
      <c r="A4219" s="32">
        <v>4209</v>
      </c>
      <c r="B4219" s="90">
        <v>8.1072151378518882</v>
      </c>
    </row>
    <row r="4220" spans="1:2">
      <c r="A4220" s="32">
        <v>4210</v>
      </c>
      <c r="B4220" s="90">
        <v>7.6732245629884916</v>
      </c>
    </row>
    <row r="4221" spans="1:2">
      <c r="A4221" s="32">
        <v>4211</v>
      </c>
      <c r="B4221" s="90">
        <v>7.5146460506304598</v>
      </c>
    </row>
    <row r="4222" spans="1:2">
      <c r="A4222" s="32">
        <v>4212</v>
      </c>
      <c r="B4222" s="90">
        <v>7.8697806474573078</v>
      </c>
    </row>
    <row r="4223" spans="1:2">
      <c r="A4223" s="32">
        <v>4213</v>
      </c>
      <c r="B4223" s="90">
        <v>8.8175855028458177</v>
      </c>
    </row>
    <row r="4224" spans="1:2">
      <c r="A4224" s="32">
        <v>4214</v>
      </c>
      <c r="B4224" s="90">
        <v>8.8004439798159293</v>
      </c>
    </row>
    <row r="4225" spans="1:2">
      <c r="A4225" s="32">
        <v>4215</v>
      </c>
      <c r="B4225" s="90">
        <v>7.4332189058368945</v>
      </c>
    </row>
    <row r="4226" spans="1:2">
      <c r="A4226" s="32">
        <v>4216</v>
      </c>
      <c r="B4226" s="90">
        <v>7.5789940364956969</v>
      </c>
    </row>
    <row r="4227" spans="1:2">
      <c r="A4227" s="32">
        <v>4217</v>
      </c>
      <c r="B4227" s="90">
        <v>7.7644016743428024</v>
      </c>
    </row>
    <row r="4228" spans="1:2">
      <c r="A4228" s="32">
        <v>4218</v>
      </c>
      <c r="B4228" s="90">
        <v>8.1088171120981389</v>
      </c>
    </row>
    <row r="4229" spans="1:2">
      <c r="A4229" s="32">
        <v>4219</v>
      </c>
      <c r="B4229" s="90">
        <v>8.7749526565729994</v>
      </c>
    </row>
    <row r="4230" spans="1:2">
      <c r="A4230" s="32">
        <v>4220</v>
      </c>
      <c r="B4230" s="90">
        <v>8.5981872973079305</v>
      </c>
    </row>
    <row r="4231" spans="1:2">
      <c r="A4231" s="32">
        <v>4221</v>
      </c>
      <c r="B4231" s="90">
        <v>7.313371744891132</v>
      </c>
    </row>
    <row r="4232" spans="1:2">
      <c r="A4232" s="32">
        <v>4222</v>
      </c>
      <c r="B4232" s="90">
        <v>7.7809883033503171</v>
      </c>
    </row>
    <row r="4233" spans="1:2">
      <c r="A4233" s="32">
        <v>4223</v>
      </c>
      <c r="B4233" s="90">
        <v>7.5769084154563755</v>
      </c>
    </row>
    <row r="4234" spans="1:2">
      <c r="A4234" s="32">
        <v>4224</v>
      </c>
      <c r="B4234" s="90">
        <v>8.2801036353605149</v>
      </c>
    </row>
    <row r="4235" spans="1:2">
      <c r="A4235" s="32">
        <v>4225</v>
      </c>
      <c r="B4235" s="90">
        <v>8.5095959468202267</v>
      </c>
    </row>
    <row r="4236" spans="1:2">
      <c r="A4236" s="32">
        <v>4226</v>
      </c>
      <c r="B4236" s="90">
        <v>8.5624748911136326</v>
      </c>
    </row>
    <row r="4237" spans="1:2">
      <c r="A4237" s="32">
        <v>4227</v>
      </c>
      <c r="B4237" s="90">
        <v>7.5918636871628937</v>
      </c>
    </row>
    <row r="4238" spans="1:2">
      <c r="A4238" s="32">
        <v>4228</v>
      </c>
      <c r="B4238" s="90">
        <v>7.3296554589093557</v>
      </c>
    </row>
    <row r="4239" spans="1:2">
      <c r="A4239" s="32">
        <v>4229</v>
      </c>
      <c r="B4239" s="90">
        <v>7.8562313324384814</v>
      </c>
    </row>
    <row r="4240" spans="1:2">
      <c r="A4240" s="32">
        <v>4230</v>
      </c>
      <c r="B4240" s="90">
        <v>8.3724664151920223</v>
      </c>
    </row>
    <row r="4241" spans="1:2">
      <c r="A4241" s="32">
        <v>4231</v>
      </c>
      <c r="B4241" s="90">
        <v>8.1357133386236402</v>
      </c>
    </row>
    <row r="4242" spans="1:2">
      <c r="A4242" s="32">
        <v>4232</v>
      </c>
      <c r="B4242" s="90">
        <v>8.825479932651346</v>
      </c>
    </row>
    <row r="4243" spans="1:2">
      <c r="A4243" s="32">
        <v>4233</v>
      </c>
      <c r="B4243" s="90">
        <v>7.5335527666559381</v>
      </c>
    </row>
    <row r="4244" spans="1:2">
      <c r="A4244" s="32">
        <v>4234</v>
      </c>
      <c r="B4244" s="90">
        <v>7.5703216776019451</v>
      </c>
    </row>
    <row r="4245" spans="1:2">
      <c r="A4245" s="32">
        <v>4235</v>
      </c>
      <c r="B4245" s="90">
        <v>7.3380156584569267</v>
      </c>
    </row>
    <row r="4246" spans="1:2">
      <c r="A4246" s="32">
        <v>4236</v>
      </c>
      <c r="B4246" s="90">
        <v>8.9197654587830577</v>
      </c>
    </row>
    <row r="4247" spans="1:2">
      <c r="A4247" s="32">
        <v>4237</v>
      </c>
      <c r="B4247" s="90">
        <v>8.5766384755679432</v>
      </c>
    </row>
    <row r="4248" spans="1:2">
      <c r="A4248" s="32">
        <v>4238</v>
      </c>
      <c r="B4248" s="90">
        <v>7.9077863878034842</v>
      </c>
    </row>
    <row r="4249" spans="1:2">
      <c r="A4249" s="32">
        <v>4239</v>
      </c>
      <c r="B4249" s="90">
        <v>7.68346087059623</v>
      </c>
    </row>
    <row r="4250" spans="1:2">
      <c r="A4250" s="32">
        <v>4240</v>
      </c>
      <c r="B4250" s="90">
        <v>7.5869419891727796</v>
      </c>
    </row>
    <row r="4251" spans="1:2">
      <c r="A4251" s="32">
        <v>4241</v>
      </c>
      <c r="B4251" s="90">
        <v>7.6801283793521895</v>
      </c>
    </row>
    <row r="4252" spans="1:2">
      <c r="A4252" s="32">
        <v>4242</v>
      </c>
      <c r="B4252" s="90">
        <v>8.4570829898142499</v>
      </c>
    </row>
    <row r="4253" spans="1:2">
      <c r="A4253" s="32">
        <v>4243</v>
      </c>
      <c r="B4253" s="90">
        <v>8.7159164998073759</v>
      </c>
    </row>
    <row r="4254" spans="1:2">
      <c r="A4254" s="32">
        <v>4244</v>
      </c>
      <c r="B4254" s="90">
        <v>7.7843005338718232</v>
      </c>
    </row>
    <row r="4255" spans="1:2">
      <c r="A4255" s="32">
        <v>4245</v>
      </c>
      <c r="B4255" s="90">
        <v>7.8721981181396217</v>
      </c>
    </row>
    <row r="4256" spans="1:2">
      <c r="A4256" s="32">
        <v>4246</v>
      </c>
      <c r="B4256" s="90">
        <v>7.3429016341433648</v>
      </c>
    </row>
    <row r="4257" spans="1:2">
      <c r="A4257" s="32">
        <v>4247</v>
      </c>
      <c r="B4257" s="90">
        <v>8.2806236907185937</v>
      </c>
    </row>
    <row r="4258" spans="1:2">
      <c r="A4258" s="32">
        <v>4248</v>
      </c>
      <c r="B4258" s="90">
        <v>8.8136333394654045</v>
      </c>
    </row>
    <row r="4259" spans="1:2">
      <c r="A4259" s="32">
        <v>4249</v>
      </c>
      <c r="B4259" s="90">
        <v>8.6007589027345972</v>
      </c>
    </row>
    <row r="4260" spans="1:2">
      <c r="A4260" s="32">
        <v>4250</v>
      </c>
      <c r="B4260" s="90">
        <v>7.2190980903105268</v>
      </c>
    </row>
    <row r="4261" spans="1:2">
      <c r="A4261" s="32">
        <v>4251</v>
      </c>
      <c r="B4261" s="90">
        <v>7.8842196072196105</v>
      </c>
    </row>
    <row r="4262" spans="1:2">
      <c r="A4262" s="32">
        <v>4252</v>
      </c>
      <c r="B4262" s="90">
        <v>7.8182925448135911</v>
      </c>
    </row>
    <row r="4263" spans="1:2">
      <c r="A4263" s="32">
        <v>4253</v>
      </c>
      <c r="B4263" s="90">
        <v>7.9220479351242075</v>
      </c>
    </row>
    <row r="4264" spans="1:2">
      <c r="A4264" s="32">
        <v>4254</v>
      </c>
      <c r="B4264" s="90">
        <v>8.8910277452821997</v>
      </c>
    </row>
    <row r="4265" spans="1:2">
      <c r="A4265" s="32">
        <v>4255</v>
      </c>
      <c r="B4265" s="90">
        <v>8.1887536891656776</v>
      </c>
    </row>
    <row r="4266" spans="1:2">
      <c r="A4266" s="32">
        <v>4256</v>
      </c>
      <c r="B4266" s="90">
        <v>7.2680036677419571</v>
      </c>
    </row>
    <row r="4267" spans="1:2">
      <c r="A4267" s="32">
        <v>4257</v>
      </c>
      <c r="B4267" s="90">
        <v>7.6711455211652666</v>
      </c>
    </row>
    <row r="4268" spans="1:2">
      <c r="A4268" s="32">
        <v>4258</v>
      </c>
      <c r="B4268" s="90">
        <v>7.997733698769677</v>
      </c>
    </row>
    <row r="4269" spans="1:2">
      <c r="A4269" s="32">
        <v>4259</v>
      </c>
      <c r="B4269" s="90">
        <v>8.2813375350408922</v>
      </c>
    </row>
    <row r="4270" spans="1:2">
      <c r="A4270" s="32">
        <v>4260</v>
      </c>
      <c r="B4270" s="90">
        <v>8.1715109493042473</v>
      </c>
    </row>
    <row r="4271" spans="1:2">
      <c r="A4271" s="32">
        <v>4261</v>
      </c>
      <c r="B4271" s="90">
        <v>8.8217208149912718</v>
      </c>
    </row>
    <row r="4272" spans="1:2">
      <c r="A4272" s="32">
        <v>4262</v>
      </c>
      <c r="B4272" s="90">
        <v>7.8167312527806976</v>
      </c>
    </row>
    <row r="4273" spans="1:2">
      <c r="A4273" s="32">
        <v>4263</v>
      </c>
      <c r="B4273" s="90">
        <v>7.0929457018530027</v>
      </c>
    </row>
    <row r="4274" spans="1:2">
      <c r="A4274" s="32">
        <v>4264</v>
      </c>
      <c r="B4274" s="90">
        <v>7.6583522110099489</v>
      </c>
    </row>
    <row r="4275" spans="1:2">
      <c r="A4275" s="32">
        <v>4265</v>
      </c>
      <c r="B4275" s="90">
        <v>8.7126731752053139</v>
      </c>
    </row>
    <row r="4276" spans="1:2">
      <c r="A4276" s="32">
        <v>4266</v>
      </c>
      <c r="B4276" s="90">
        <v>8.541297437551119</v>
      </c>
    </row>
    <row r="4277" spans="1:2">
      <c r="A4277" s="32">
        <v>4267</v>
      </c>
      <c r="B4277" s="90">
        <v>8.356435152592292</v>
      </c>
    </row>
    <row r="4278" spans="1:2">
      <c r="A4278" s="32">
        <v>4268</v>
      </c>
      <c r="B4278" s="90">
        <v>7.5307037305947659</v>
      </c>
    </row>
    <row r="4279" spans="1:2">
      <c r="A4279" s="32">
        <v>4269</v>
      </c>
      <c r="B4279" s="90">
        <v>7.738872280482413</v>
      </c>
    </row>
    <row r="4280" spans="1:2">
      <c r="A4280" s="32">
        <v>4270</v>
      </c>
      <c r="B4280" s="90">
        <v>7.791484552438928</v>
      </c>
    </row>
    <row r="4281" spans="1:2">
      <c r="A4281" s="32">
        <v>4271</v>
      </c>
      <c r="B4281" s="90">
        <v>8.2799857438754181</v>
      </c>
    </row>
    <row r="4282" spans="1:2">
      <c r="A4282" s="32">
        <v>4272</v>
      </c>
      <c r="B4282" s="90">
        <v>7.1446500198538505</v>
      </c>
    </row>
    <row r="4283" spans="1:2">
      <c r="A4283" s="32">
        <v>4273</v>
      </c>
      <c r="B4283" s="90">
        <v>8.6731497434840428</v>
      </c>
    </row>
    <row r="4284" spans="1:2">
      <c r="A4284" s="32">
        <v>4274</v>
      </c>
      <c r="B4284" s="90">
        <v>8.2570745399915264</v>
      </c>
    </row>
    <row r="4285" spans="1:2">
      <c r="A4285" s="32">
        <v>4275</v>
      </c>
      <c r="B4285" s="90">
        <v>7.4087082782182252</v>
      </c>
    </row>
    <row r="4286" spans="1:2">
      <c r="A4286" s="32">
        <v>4276</v>
      </c>
      <c r="B4286" s="90">
        <v>8.1042835372385493</v>
      </c>
    </row>
    <row r="4287" spans="1:2">
      <c r="A4287" s="32">
        <v>4277</v>
      </c>
      <c r="B4287" s="90">
        <v>8.2492940772006733</v>
      </c>
    </row>
    <row r="4288" spans="1:2">
      <c r="A4288" s="32">
        <v>4278</v>
      </c>
      <c r="B4288" s="90">
        <v>6.9258886626652671</v>
      </c>
    </row>
    <row r="4289" spans="1:2">
      <c r="A4289" s="32">
        <v>4279</v>
      </c>
      <c r="B4289" s="90">
        <v>8.7427674558050743</v>
      </c>
    </row>
    <row r="4290" spans="1:2">
      <c r="A4290" s="32">
        <v>4280</v>
      </c>
      <c r="B4290" s="90">
        <v>7.9530879909752707</v>
      </c>
    </row>
    <row r="4291" spans="1:2">
      <c r="A4291" s="32">
        <v>4281</v>
      </c>
      <c r="B4291" s="90">
        <v>7.715333599318118</v>
      </c>
    </row>
    <row r="4292" spans="1:2">
      <c r="A4292" s="32">
        <v>4282</v>
      </c>
      <c r="B4292" s="90">
        <v>8.311704157554102</v>
      </c>
    </row>
    <row r="4293" spans="1:2">
      <c r="A4293" s="32">
        <v>4283</v>
      </c>
      <c r="B4293" s="90">
        <v>8.2614426160934027</v>
      </c>
    </row>
    <row r="4294" spans="1:2">
      <c r="A4294" s="32">
        <v>4284</v>
      </c>
      <c r="B4294" s="90">
        <v>7.3351945755839809</v>
      </c>
    </row>
    <row r="4295" spans="1:2">
      <c r="A4295" s="32">
        <v>4285</v>
      </c>
      <c r="B4295" s="90">
        <v>8.1854097764149607</v>
      </c>
    </row>
    <row r="4296" spans="1:2">
      <c r="A4296" s="32">
        <v>4286</v>
      </c>
      <c r="B4296" s="90">
        <v>7.3106118462736465</v>
      </c>
    </row>
    <row r="4297" spans="1:2">
      <c r="A4297" s="32">
        <v>4287</v>
      </c>
      <c r="B4297" s="90">
        <v>8.2413718428541749</v>
      </c>
    </row>
    <row r="4298" spans="1:2">
      <c r="A4298" s="32">
        <v>4288</v>
      </c>
      <c r="B4298" s="90">
        <v>8.5174500134941482</v>
      </c>
    </row>
    <row r="4299" spans="1:2">
      <c r="A4299" s="32">
        <v>4289</v>
      </c>
      <c r="B4299" s="90">
        <v>7.9548281012300173</v>
      </c>
    </row>
    <row r="4300" spans="1:2">
      <c r="A4300" s="32">
        <v>4290</v>
      </c>
      <c r="B4300" s="90">
        <v>7.8531349874877963</v>
      </c>
    </row>
    <row r="4301" spans="1:2">
      <c r="A4301" s="32">
        <v>4291</v>
      </c>
      <c r="B4301" s="90">
        <v>7.7009953218981471</v>
      </c>
    </row>
    <row r="4302" spans="1:2">
      <c r="A4302" s="32">
        <v>4292</v>
      </c>
      <c r="B4302" s="90">
        <v>7.6092097761649322</v>
      </c>
    </row>
    <row r="4303" spans="1:2">
      <c r="A4303" s="32">
        <v>4293</v>
      </c>
      <c r="B4303" s="90">
        <v>8.090018552854783</v>
      </c>
    </row>
    <row r="4304" spans="1:2">
      <c r="A4304" s="32">
        <v>4294</v>
      </c>
      <c r="B4304" s="90">
        <v>8.4712393723771058</v>
      </c>
    </row>
    <row r="4305" spans="1:2">
      <c r="A4305" s="32">
        <v>4295</v>
      </c>
      <c r="B4305" s="90">
        <v>7.3886754062812763</v>
      </c>
    </row>
    <row r="4306" spans="1:2">
      <c r="A4306" s="32">
        <v>4296</v>
      </c>
      <c r="B4306" s="90">
        <v>8.3910620145889006</v>
      </c>
    </row>
    <row r="4307" spans="1:2">
      <c r="A4307" s="32">
        <v>4297</v>
      </c>
      <c r="B4307" s="90">
        <v>7.5348714998303201</v>
      </c>
    </row>
    <row r="4308" spans="1:2">
      <c r="A4308" s="32">
        <v>4298</v>
      </c>
      <c r="B4308" s="90">
        <v>8.1083029666980586</v>
      </c>
    </row>
    <row r="4309" spans="1:2">
      <c r="A4309" s="32">
        <v>4299</v>
      </c>
      <c r="B4309" s="90">
        <v>7.8289883280620343</v>
      </c>
    </row>
    <row r="4310" spans="1:2">
      <c r="A4310" s="32">
        <v>4300</v>
      </c>
      <c r="B4310" s="90">
        <v>8.5153169618656239</v>
      </c>
    </row>
    <row r="4311" spans="1:2">
      <c r="A4311" s="32">
        <v>4301</v>
      </c>
      <c r="B4311" s="90">
        <v>7.0321647357811212</v>
      </c>
    </row>
    <row r="4312" spans="1:2">
      <c r="A4312" s="32">
        <v>4302</v>
      </c>
      <c r="B4312" s="90">
        <v>8.1976061598871635</v>
      </c>
    </row>
    <row r="4313" spans="1:2">
      <c r="A4313" s="32">
        <v>4303</v>
      </c>
      <c r="B4313" s="90">
        <v>8.7268551901246898</v>
      </c>
    </row>
    <row r="4314" spans="1:2">
      <c r="A4314" s="32">
        <v>4304</v>
      </c>
      <c r="B4314" s="90">
        <v>7.380872372154144</v>
      </c>
    </row>
    <row r="4315" spans="1:2">
      <c r="A4315" s="32">
        <v>4305</v>
      </c>
      <c r="B4315" s="90">
        <v>8.3144479988612829</v>
      </c>
    </row>
    <row r="4316" spans="1:2">
      <c r="A4316" s="32">
        <v>4306</v>
      </c>
      <c r="B4316" s="90">
        <v>7.9227869802209288</v>
      </c>
    </row>
    <row r="4317" spans="1:2">
      <c r="A4317" s="32">
        <v>4307</v>
      </c>
      <c r="B4317" s="90">
        <v>7.1101502320827619</v>
      </c>
    </row>
    <row r="4318" spans="1:2">
      <c r="A4318" s="32">
        <v>4308</v>
      </c>
      <c r="B4318" s="90">
        <v>8.6013534837556396</v>
      </c>
    </row>
    <row r="4319" spans="1:2">
      <c r="A4319" s="32">
        <v>4309</v>
      </c>
      <c r="B4319" s="90">
        <v>8.1818627033205171</v>
      </c>
    </row>
    <row r="4320" spans="1:2">
      <c r="A4320" s="32">
        <v>4310</v>
      </c>
      <c r="B4320" s="90">
        <v>7.6801809914294719</v>
      </c>
    </row>
    <row r="4321" spans="1:2">
      <c r="A4321" s="32">
        <v>4311</v>
      </c>
      <c r="B4321" s="90">
        <v>8.2260980375858974</v>
      </c>
    </row>
    <row r="4322" spans="1:2">
      <c r="A4322" s="32">
        <v>4312</v>
      </c>
      <c r="B4322" s="90">
        <v>8.103505623082361</v>
      </c>
    </row>
    <row r="4323" spans="1:2">
      <c r="A4323" s="32">
        <v>4313</v>
      </c>
      <c r="B4323" s="90">
        <v>7.0304440260462249</v>
      </c>
    </row>
    <row r="4324" spans="1:2">
      <c r="A4324" s="32">
        <v>4314</v>
      </c>
      <c r="B4324" s="90">
        <v>8.5607908148589704</v>
      </c>
    </row>
    <row r="4325" spans="1:2">
      <c r="A4325" s="32">
        <v>4315</v>
      </c>
      <c r="B4325" s="90">
        <v>7.5751973188674038</v>
      </c>
    </row>
    <row r="4326" spans="1:2">
      <c r="A4326" s="32">
        <v>4316</v>
      </c>
      <c r="B4326" s="90">
        <v>8.2524283870798527</v>
      </c>
    </row>
    <row r="4327" spans="1:2">
      <c r="A4327" s="32">
        <v>4317</v>
      </c>
      <c r="B4327" s="90">
        <v>8.4079240171251808</v>
      </c>
    </row>
    <row r="4328" spans="1:2">
      <c r="A4328" s="32">
        <v>4318</v>
      </c>
      <c r="B4328" s="90">
        <v>7.8447177215606914</v>
      </c>
    </row>
    <row r="4329" spans="1:2">
      <c r="A4329" s="32">
        <v>4319</v>
      </c>
      <c r="B4329" s="90">
        <v>7.2518018077249051</v>
      </c>
    </row>
    <row r="4330" spans="1:2">
      <c r="A4330" s="32">
        <v>4320</v>
      </c>
      <c r="B4330" s="90">
        <v>8.3326652686348375</v>
      </c>
    </row>
    <row r="4331" spans="1:2">
      <c r="A4331" s="32">
        <v>4321</v>
      </c>
      <c r="B4331" s="90">
        <v>7.3590133366095811</v>
      </c>
    </row>
    <row r="4332" spans="1:2">
      <c r="A4332" s="32">
        <v>4322</v>
      </c>
      <c r="B4332" s="90">
        <v>8.4495659163202337</v>
      </c>
    </row>
    <row r="4333" spans="1:2">
      <c r="A4333" s="32">
        <v>4323</v>
      </c>
      <c r="B4333" s="90">
        <v>8.502885585752411</v>
      </c>
    </row>
    <row r="4334" spans="1:2">
      <c r="A4334" s="32">
        <v>4324</v>
      </c>
      <c r="B4334" s="90">
        <v>7.7291354213184968</v>
      </c>
    </row>
    <row r="4335" spans="1:2">
      <c r="A4335" s="32">
        <v>4325</v>
      </c>
      <c r="B4335" s="90">
        <v>7.9849348854829891</v>
      </c>
    </row>
    <row r="4336" spans="1:2">
      <c r="A4336" s="32">
        <v>4326</v>
      </c>
      <c r="B4336" s="90">
        <v>7.7545555150835064</v>
      </c>
    </row>
    <row r="4337" spans="1:2">
      <c r="A4337" s="32">
        <v>4327</v>
      </c>
      <c r="B4337" s="90">
        <v>7.8029997332602772</v>
      </c>
    </row>
    <row r="4338" spans="1:2">
      <c r="A4338" s="32">
        <v>4328</v>
      </c>
      <c r="B4338" s="90">
        <v>7.8506165459475321</v>
      </c>
    </row>
    <row r="4339" spans="1:2">
      <c r="A4339" s="32">
        <v>4329</v>
      </c>
      <c r="B4339" s="90">
        <v>8.4858579345474165</v>
      </c>
    </row>
    <row r="4340" spans="1:2">
      <c r="A4340" s="32">
        <v>4330</v>
      </c>
      <c r="B4340" s="90">
        <v>7.1499143904920928</v>
      </c>
    </row>
    <row r="4341" spans="1:2">
      <c r="A4341" s="32">
        <v>4331</v>
      </c>
      <c r="B4341" s="90">
        <v>8.2397897042288761</v>
      </c>
    </row>
    <row r="4342" spans="1:2">
      <c r="A4342" s="32">
        <v>4332</v>
      </c>
      <c r="B4342" s="90">
        <v>8.1489097110599857</v>
      </c>
    </row>
    <row r="4343" spans="1:2">
      <c r="A4343" s="32">
        <v>4333</v>
      </c>
      <c r="B4343" s="90">
        <v>7.8950729339470831</v>
      </c>
    </row>
    <row r="4344" spans="1:2">
      <c r="A4344" s="32">
        <v>4334</v>
      </c>
      <c r="B4344" s="90">
        <v>7.8623316117748008</v>
      </c>
    </row>
    <row r="4345" spans="1:2">
      <c r="A4345" s="32">
        <v>4335</v>
      </c>
      <c r="B4345" s="90">
        <v>8.2799857438754181</v>
      </c>
    </row>
    <row r="4346" spans="1:2">
      <c r="A4346" s="32">
        <v>4336</v>
      </c>
      <c r="B4346" s="90">
        <v>7.1446500198538505</v>
      </c>
    </row>
    <row r="4347" spans="1:2">
      <c r="A4347" s="32">
        <v>4337</v>
      </c>
      <c r="B4347" s="90">
        <v>8.6731497434840428</v>
      </c>
    </row>
    <row r="4348" spans="1:2">
      <c r="A4348" s="32">
        <v>4338</v>
      </c>
      <c r="B4348" s="90">
        <v>8.2570745399915264</v>
      </c>
    </row>
    <row r="4349" spans="1:2">
      <c r="A4349" s="32">
        <v>4339</v>
      </c>
      <c r="B4349" s="90">
        <v>7.4087082782182252</v>
      </c>
    </row>
    <row r="4350" spans="1:2">
      <c r="A4350" s="32">
        <v>4340</v>
      </c>
      <c r="B4350" s="90">
        <v>8.1042835372385493</v>
      </c>
    </row>
    <row r="4351" spans="1:2">
      <c r="A4351" s="32">
        <v>4341</v>
      </c>
      <c r="B4351" s="90">
        <v>8.2492940772006733</v>
      </c>
    </row>
    <row r="4352" spans="1:2">
      <c r="A4352" s="32">
        <v>4342</v>
      </c>
      <c r="B4352" s="90">
        <v>6.9258886626652671</v>
      </c>
    </row>
    <row r="4353" spans="1:2">
      <c r="A4353" s="32">
        <v>4343</v>
      </c>
      <c r="B4353" s="90">
        <v>8.7427674558050743</v>
      </c>
    </row>
    <row r="4354" spans="1:2">
      <c r="A4354" s="32">
        <v>4344</v>
      </c>
      <c r="B4354" s="90">
        <v>7.9530879909752707</v>
      </c>
    </row>
    <row r="4355" spans="1:2">
      <c r="A4355" s="32">
        <v>4345</v>
      </c>
      <c r="B4355" s="90">
        <v>7.715333599318118</v>
      </c>
    </row>
    <row r="4356" spans="1:2">
      <c r="A4356" s="32">
        <v>4346</v>
      </c>
      <c r="B4356" s="90">
        <v>8.311704157554102</v>
      </c>
    </row>
    <row r="4357" spans="1:2">
      <c r="A4357" s="32">
        <v>4347</v>
      </c>
      <c r="B4357" s="90">
        <v>8.2614426160934027</v>
      </c>
    </row>
    <row r="4358" spans="1:2">
      <c r="A4358" s="32">
        <v>4348</v>
      </c>
      <c r="B4358" s="90">
        <v>7.3351945755839809</v>
      </c>
    </row>
    <row r="4359" spans="1:2">
      <c r="A4359" s="32">
        <v>4349</v>
      </c>
      <c r="B4359" s="90">
        <v>8.1854097764149607</v>
      </c>
    </row>
    <row r="4360" spans="1:2">
      <c r="A4360" s="32">
        <v>4350</v>
      </c>
      <c r="B4360" s="90">
        <v>7.3106118462736465</v>
      </c>
    </row>
    <row r="4361" spans="1:2">
      <c r="A4361" s="32">
        <v>4351</v>
      </c>
      <c r="B4361" s="90">
        <v>8.3082000808260705</v>
      </c>
    </row>
    <row r="4362" spans="1:2">
      <c r="A4362" s="32">
        <v>4352</v>
      </c>
      <c r="B4362" s="90">
        <v>8.6266166812011811</v>
      </c>
    </row>
    <row r="4363" spans="1:2">
      <c r="A4363" s="32">
        <v>4353</v>
      </c>
      <c r="B4363" s="90">
        <v>8.2831240010032001</v>
      </c>
    </row>
    <row r="4364" spans="1:2">
      <c r="A4364" s="32">
        <v>4354</v>
      </c>
      <c r="B4364" s="90">
        <v>8.111458448923436</v>
      </c>
    </row>
    <row r="4365" spans="1:2">
      <c r="A4365" s="32">
        <v>4355</v>
      </c>
      <c r="B4365" s="90">
        <v>7.5361504244945614</v>
      </c>
    </row>
    <row r="4366" spans="1:2">
      <c r="A4366" s="32">
        <v>4356</v>
      </c>
      <c r="B4366" s="90">
        <v>7.6840045645907429</v>
      </c>
    </row>
    <row r="4367" spans="1:2">
      <c r="A4367" s="32">
        <v>4357</v>
      </c>
      <c r="B4367" s="90">
        <v>9.1881220298105113</v>
      </c>
    </row>
    <row r="4368" spans="1:2">
      <c r="A4368" s="32">
        <v>4358</v>
      </c>
      <c r="B4368" s="90">
        <v>7.9592792236200411</v>
      </c>
    </row>
    <row r="4369" spans="1:2">
      <c r="A4369" s="32">
        <v>4359</v>
      </c>
      <c r="B4369" s="90">
        <v>7.6417542034081274</v>
      </c>
    </row>
    <row r="4370" spans="1:2">
      <c r="A4370" s="32">
        <v>4360</v>
      </c>
      <c r="B4370" s="90">
        <v>8.4004427648992159</v>
      </c>
    </row>
    <row r="4371" spans="1:2">
      <c r="A4371" s="32">
        <v>4361</v>
      </c>
      <c r="B4371" s="90">
        <v>7.7924862509611801</v>
      </c>
    </row>
    <row r="4372" spans="1:2">
      <c r="A4372" s="32">
        <v>4362</v>
      </c>
      <c r="B4372" s="90">
        <v>7.6651734365772652</v>
      </c>
    </row>
    <row r="4373" spans="1:2">
      <c r="A4373" s="32">
        <v>4363</v>
      </c>
      <c r="B4373" s="90">
        <v>9.0918829269759893</v>
      </c>
    </row>
    <row r="4374" spans="1:2">
      <c r="A4374" s="32">
        <v>4364</v>
      </c>
      <c r="B4374" s="90">
        <v>7.9538279237398513</v>
      </c>
    </row>
    <row r="4375" spans="1:2">
      <c r="A4375" s="32">
        <v>4365</v>
      </c>
      <c r="B4375" s="90">
        <v>7.6947381475576444</v>
      </c>
    </row>
    <row r="4376" spans="1:2">
      <c r="A4376" s="32">
        <v>4366</v>
      </c>
      <c r="B4376" s="90">
        <v>8.0514087810745121</v>
      </c>
    </row>
    <row r="4377" spans="1:2">
      <c r="A4377" s="32">
        <v>4367</v>
      </c>
      <c r="B4377" s="90">
        <v>8.5762090237877402</v>
      </c>
    </row>
    <row r="4378" spans="1:2">
      <c r="A4378" s="32">
        <v>4368</v>
      </c>
      <c r="B4378" s="90">
        <v>7.4838679118990585</v>
      </c>
    </row>
    <row r="4379" spans="1:2">
      <c r="A4379" s="32">
        <v>4369</v>
      </c>
      <c r="B4379" s="90">
        <v>8.9068701557080328</v>
      </c>
    </row>
    <row r="4380" spans="1:2">
      <c r="A4380" s="32">
        <v>4370</v>
      </c>
      <c r="B4380" s="90">
        <v>7.9549188492241525</v>
      </c>
    </row>
    <row r="4381" spans="1:2">
      <c r="A4381" s="32">
        <v>4371</v>
      </c>
      <c r="B4381" s="90">
        <v>7.7656037205250241</v>
      </c>
    </row>
    <row r="4382" spans="1:2">
      <c r="A4382" s="32">
        <v>4372</v>
      </c>
      <c r="B4382" s="90">
        <v>8.2248129022347332</v>
      </c>
    </row>
    <row r="4383" spans="1:2">
      <c r="A4383" s="32">
        <v>4373</v>
      </c>
      <c r="B4383" s="90">
        <v>7.9551504782919435</v>
      </c>
    </row>
    <row r="4384" spans="1:2">
      <c r="A4384" s="32">
        <v>4374</v>
      </c>
      <c r="B4384" s="90">
        <v>7.8879543238566256</v>
      </c>
    </row>
    <row r="4385" spans="1:2">
      <c r="A4385" s="32">
        <v>4375</v>
      </c>
      <c r="B4385" s="90">
        <v>8.0456358255079312</v>
      </c>
    </row>
    <row r="4386" spans="1:2">
      <c r="A4386" s="32">
        <v>4376</v>
      </c>
      <c r="B4386" s="90">
        <v>8.8889538982817999</v>
      </c>
    </row>
    <row r="4387" spans="1:2">
      <c r="A4387" s="32">
        <v>4377</v>
      </c>
      <c r="B4387" s="90">
        <v>8.1762864437972453</v>
      </c>
    </row>
    <row r="4388" spans="1:2">
      <c r="A4388" s="32">
        <v>4378</v>
      </c>
      <c r="B4388" s="90">
        <v>7.0239911567778881</v>
      </c>
    </row>
    <row r="4389" spans="1:2">
      <c r="A4389" s="32">
        <v>4379</v>
      </c>
      <c r="B4389" s="90">
        <v>8.1585175625089086</v>
      </c>
    </row>
    <row r="4390" spans="1:2">
      <c r="A4390" s="32">
        <v>4380</v>
      </c>
      <c r="B4390" s="90">
        <v>8.1523725728450547</v>
      </c>
    </row>
    <row r="4391" spans="1:2">
      <c r="A4391" s="32">
        <v>4381</v>
      </c>
      <c r="B4391" s="90">
        <v>8.3892213453646995</v>
      </c>
    </row>
    <row r="4392" spans="1:2">
      <c r="A4392" s="32">
        <v>4382</v>
      </c>
      <c r="B4392" s="90">
        <v>8.5201718865923723</v>
      </c>
    </row>
    <row r="4393" spans="1:2">
      <c r="A4393" s="32">
        <v>4383</v>
      </c>
      <c r="B4393" s="90">
        <v>8.1794191653052408</v>
      </c>
    </row>
    <row r="4394" spans="1:2">
      <c r="A4394" s="32">
        <v>4384</v>
      </c>
      <c r="B4394" s="90">
        <v>7.2722275491374564</v>
      </c>
    </row>
    <row r="4395" spans="1:2">
      <c r="A4395" s="32">
        <v>4385</v>
      </c>
      <c r="B4395" s="90">
        <v>7.8862443641269557</v>
      </c>
    </row>
    <row r="4396" spans="1:2">
      <c r="A4396" s="32">
        <v>4386</v>
      </c>
      <c r="B4396" s="90">
        <v>8.6930479472904736</v>
      </c>
    </row>
    <row r="4397" spans="1:2">
      <c r="A4397" s="32">
        <v>4387</v>
      </c>
      <c r="B4397" s="90">
        <v>8.4047401747662622</v>
      </c>
    </row>
    <row r="4398" spans="1:2">
      <c r="A4398" s="32">
        <v>4388</v>
      </c>
      <c r="B4398" s="90">
        <v>7.9554994370240095</v>
      </c>
    </row>
    <row r="4399" spans="1:2">
      <c r="A4399" s="32">
        <v>4389</v>
      </c>
      <c r="B4399" s="90">
        <v>8.0497669927255657</v>
      </c>
    </row>
    <row r="4400" spans="1:2">
      <c r="A4400" s="32">
        <v>4390</v>
      </c>
      <c r="B4400" s="90">
        <v>7.8426552976239705</v>
      </c>
    </row>
    <row r="4401" spans="1:2">
      <c r="A4401" s="32">
        <v>4391</v>
      </c>
      <c r="B4401" s="90">
        <v>7.5164411504354289</v>
      </c>
    </row>
    <row r="4402" spans="1:2">
      <c r="A4402" s="32">
        <v>4392</v>
      </c>
      <c r="B4402" s="90">
        <v>8.9612636569305586</v>
      </c>
    </row>
    <row r="4403" spans="1:2">
      <c r="A4403" s="32">
        <v>4393</v>
      </c>
      <c r="B4403" s="90">
        <v>8.0587794140536992</v>
      </c>
    </row>
    <row r="4404" spans="1:2">
      <c r="A4404" s="32">
        <v>4394</v>
      </c>
      <c r="B4404" s="90">
        <v>7.7855969519101933</v>
      </c>
    </row>
    <row r="4405" spans="1:2">
      <c r="A4405" s="32">
        <v>4395</v>
      </c>
      <c r="B4405" s="90">
        <v>8.2120745746339807</v>
      </c>
    </row>
    <row r="4406" spans="1:2">
      <c r="A4406" s="32">
        <v>4396</v>
      </c>
      <c r="B4406" s="90">
        <v>8.2711364031205399</v>
      </c>
    </row>
    <row r="4407" spans="1:2">
      <c r="A4407" s="32">
        <v>4397</v>
      </c>
      <c r="B4407" s="90">
        <v>7.3889314732258526</v>
      </c>
    </row>
    <row r="4408" spans="1:2">
      <c r="A4408" s="32">
        <v>4398</v>
      </c>
      <c r="B4408" s="90">
        <v>9.0418663958198202</v>
      </c>
    </row>
    <row r="4409" spans="1:2">
      <c r="A4409" s="32">
        <v>4399</v>
      </c>
      <c r="B4409" s="90">
        <v>7.7455732548211813</v>
      </c>
    </row>
    <row r="4410" spans="1:2">
      <c r="A4410" s="32">
        <v>4400</v>
      </c>
      <c r="B4410" s="90">
        <v>8.0893124891066464</v>
      </c>
    </row>
    <row r="4411" spans="1:2">
      <c r="A4411" s="32">
        <v>4401</v>
      </c>
      <c r="B4411" s="90">
        <v>7.8362166594697111</v>
      </c>
    </row>
    <row r="4412" spans="1:2">
      <c r="A4412" s="32">
        <v>4402</v>
      </c>
      <c r="B4412" s="90">
        <v>8.5720971466640599</v>
      </c>
    </row>
    <row r="4413" spans="1:2">
      <c r="A4413" s="32">
        <v>4403</v>
      </c>
      <c r="B4413" s="90">
        <v>7.7296843025754027</v>
      </c>
    </row>
    <row r="4414" spans="1:2">
      <c r="A4414" s="32">
        <v>4404</v>
      </c>
      <c r="B4414" s="90">
        <v>8.3771953692197041</v>
      </c>
    </row>
    <row r="4415" spans="1:2">
      <c r="A4415" s="32">
        <v>4405</v>
      </c>
      <c r="B4415" s="90">
        <v>8.4481229726146214</v>
      </c>
    </row>
    <row r="4416" spans="1:2">
      <c r="A4416" s="32">
        <v>4406</v>
      </c>
      <c r="B4416" s="90">
        <v>7.8897440475252365</v>
      </c>
    </row>
    <row r="4417" spans="1:2">
      <c r="A4417" s="32">
        <v>4407</v>
      </c>
      <c r="B4417" s="90">
        <v>7.603296962422589</v>
      </c>
    </row>
    <row r="4418" spans="1:2">
      <c r="A4418" s="32">
        <v>4408</v>
      </c>
      <c r="B4418" s="90">
        <v>8.3382541972711515</v>
      </c>
    </row>
    <row r="4419" spans="1:2">
      <c r="A4419" s="32">
        <v>4409</v>
      </c>
      <c r="B4419" s="90">
        <v>7.8482808700797442</v>
      </c>
    </row>
    <row r="4420" spans="1:2">
      <c r="A4420" s="32">
        <v>4410</v>
      </c>
      <c r="B4420" s="90">
        <v>7.9994281325612562</v>
      </c>
    </row>
    <row r="4421" spans="1:2">
      <c r="A4421" s="32">
        <v>4411</v>
      </c>
      <c r="B4421" s="90">
        <v>8.8432834918907695</v>
      </c>
    </row>
    <row r="4422" spans="1:2">
      <c r="A4422" s="32">
        <v>4412</v>
      </c>
      <c r="B4422" s="90">
        <v>8.2593200557818811</v>
      </c>
    </row>
    <row r="4423" spans="1:2">
      <c r="A4423" s="32">
        <v>4413</v>
      </c>
      <c r="B4423" s="90">
        <v>7.0176904230021382</v>
      </c>
    </row>
    <row r="4424" spans="1:2">
      <c r="A4424" s="32">
        <v>4414</v>
      </c>
      <c r="B4424" s="90">
        <v>8.0131982178861367</v>
      </c>
    </row>
    <row r="4425" spans="1:2">
      <c r="A4425" s="32">
        <v>4415</v>
      </c>
      <c r="B4425" s="90">
        <v>8.1988290015369465</v>
      </c>
    </row>
    <row r="4426" spans="1:2">
      <c r="A4426" s="32">
        <v>4416</v>
      </c>
      <c r="B4426" s="90">
        <v>8.6266166812011811</v>
      </c>
    </row>
    <row r="4427" spans="1:2">
      <c r="A4427" s="32">
        <v>4417</v>
      </c>
      <c r="B4427" s="90">
        <v>8.2831240010032001</v>
      </c>
    </row>
    <row r="4428" spans="1:2">
      <c r="A4428" s="32">
        <v>4418</v>
      </c>
      <c r="B4428" s="90">
        <v>8.111458448923436</v>
      </c>
    </row>
    <row r="4429" spans="1:2">
      <c r="A4429" s="32">
        <v>4419</v>
      </c>
      <c r="B4429" s="90">
        <v>7.5361504244945614</v>
      </c>
    </row>
    <row r="4430" spans="1:2">
      <c r="A4430" s="32">
        <v>4420</v>
      </c>
      <c r="B4430" s="90">
        <v>7.6840045645907429</v>
      </c>
    </row>
    <row r="4431" spans="1:2">
      <c r="A4431" s="32">
        <v>4421</v>
      </c>
      <c r="B4431" s="90">
        <v>9.1881220298105113</v>
      </c>
    </row>
    <row r="4432" spans="1:2">
      <c r="A4432" s="32">
        <v>4422</v>
      </c>
      <c r="B4432" s="90">
        <v>7.9592792236200411</v>
      </c>
    </row>
    <row r="4433" spans="1:2">
      <c r="A4433" s="32">
        <v>4423</v>
      </c>
      <c r="B4433" s="90">
        <v>7.6417542034081274</v>
      </c>
    </row>
    <row r="4434" spans="1:2">
      <c r="A4434" s="32">
        <v>4424</v>
      </c>
      <c r="B4434" s="90">
        <v>8.4004427648992159</v>
      </c>
    </row>
    <row r="4435" spans="1:2">
      <c r="A4435" s="32">
        <v>4425</v>
      </c>
      <c r="B4435" s="90">
        <v>7.7924862509611801</v>
      </c>
    </row>
    <row r="4436" spans="1:2">
      <c r="A4436" s="32">
        <v>4426</v>
      </c>
      <c r="B4436" s="90">
        <v>7.6651734365772652</v>
      </c>
    </row>
    <row r="4437" spans="1:2">
      <c r="A4437" s="32">
        <v>4427</v>
      </c>
      <c r="B4437" s="90">
        <v>9.0918829269759893</v>
      </c>
    </row>
    <row r="4438" spans="1:2">
      <c r="A4438" s="32">
        <v>4428</v>
      </c>
      <c r="B4438" s="90">
        <v>7.9538279237398513</v>
      </c>
    </row>
    <row r="4439" spans="1:2">
      <c r="A4439" s="32">
        <v>4429</v>
      </c>
      <c r="B4439" s="90">
        <v>7.6947381475576444</v>
      </c>
    </row>
    <row r="4440" spans="1:2">
      <c r="A4440" s="32">
        <v>4430</v>
      </c>
      <c r="B4440" s="90">
        <v>8.0514087810745121</v>
      </c>
    </row>
    <row r="4441" spans="1:2">
      <c r="A4441" s="32">
        <v>4431</v>
      </c>
      <c r="B4441" s="90">
        <v>8.5762090237877402</v>
      </c>
    </row>
    <row r="4442" spans="1:2">
      <c r="A4442" s="32">
        <v>4432</v>
      </c>
      <c r="B4442" s="90">
        <v>7.4838679118990585</v>
      </c>
    </row>
    <row r="4443" spans="1:2">
      <c r="A4443" s="32">
        <v>4433</v>
      </c>
      <c r="B4443" s="90">
        <v>8.9068701557080328</v>
      </c>
    </row>
    <row r="4444" spans="1:2">
      <c r="A4444" s="32">
        <v>4434</v>
      </c>
      <c r="B4444" s="90">
        <v>7.9549188492241525</v>
      </c>
    </row>
    <row r="4445" spans="1:2">
      <c r="A4445" s="32">
        <v>4435</v>
      </c>
      <c r="B4445" s="90">
        <v>7.7656037205250241</v>
      </c>
    </row>
    <row r="4446" spans="1:2">
      <c r="A4446" s="32">
        <v>4436</v>
      </c>
      <c r="B4446" s="90">
        <v>8.2248129022347332</v>
      </c>
    </row>
    <row r="4447" spans="1:2">
      <c r="A4447" s="32">
        <v>4437</v>
      </c>
      <c r="B4447" s="90">
        <v>7.9551504782919435</v>
      </c>
    </row>
    <row r="4448" spans="1:2">
      <c r="A4448" s="32">
        <v>4438</v>
      </c>
      <c r="B4448" s="90">
        <v>7.8879543238566256</v>
      </c>
    </row>
    <row r="4449" spans="1:2">
      <c r="A4449" s="32">
        <v>4439</v>
      </c>
      <c r="B4449" s="90">
        <v>8.0456358255079312</v>
      </c>
    </row>
    <row r="4450" spans="1:2">
      <c r="A4450" s="32">
        <v>4440</v>
      </c>
      <c r="B4450" s="90">
        <v>8.8889538982817999</v>
      </c>
    </row>
    <row r="4451" spans="1:2">
      <c r="A4451" s="32">
        <v>4441</v>
      </c>
      <c r="B4451" s="90">
        <v>8.1762864437972453</v>
      </c>
    </row>
    <row r="4452" spans="1:2">
      <c r="A4452" s="32">
        <v>4442</v>
      </c>
      <c r="B4452" s="90">
        <v>7.0239911567778881</v>
      </c>
    </row>
    <row r="4453" spans="1:2">
      <c r="A4453" s="32">
        <v>4443</v>
      </c>
      <c r="B4453" s="90">
        <v>8.1585175625089086</v>
      </c>
    </row>
    <row r="4454" spans="1:2">
      <c r="A4454" s="32">
        <v>4444</v>
      </c>
      <c r="B4454" s="90">
        <v>8.1523725728450547</v>
      </c>
    </row>
    <row r="4455" spans="1:2">
      <c r="A4455" s="32">
        <v>4445</v>
      </c>
      <c r="B4455" s="90">
        <v>8.3892213453646995</v>
      </c>
    </row>
    <row r="4456" spans="1:2">
      <c r="A4456" s="32">
        <v>4446</v>
      </c>
      <c r="B4456" s="90">
        <v>8.5201718865923723</v>
      </c>
    </row>
    <row r="4457" spans="1:2">
      <c r="A4457" s="32">
        <v>4447</v>
      </c>
      <c r="B4457" s="90">
        <v>8.1794191653052408</v>
      </c>
    </row>
    <row r="4458" spans="1:2">
      <c r="A4458" s="32">
        <v>4448</v>
      </c>
      <c r="B4458" s="90">
        <v>7.2722275491374564</v>
      </c>
    </row>
    <row r="4459" spans="1:2">
      <c r="A4459" s="32">
        <v>4449</v>
      </c>
      <c r="B4459" s="90">
        <v>7.8862443641269557</v>
      </c>
    </row>
    <row r="4460" spans="1:2">
      <c r="A4460" s="32">
        <v>4450</v>
      </c>
      <c r="B4460" s="90">
        <v>8.6930479472904736</v>
      </c>
    </row>
    <row r="4461" spans="1:2">
      <c r="A4461" s="32">
        <v>4451</v>
      </c>
      <c r="B4461" s="90">
        <v>8.4047401747662622</v>
      </c>
    </row>
    <row r="4462" spans="1:2">
      <c r="A4462" s="32">
        <v>4452</v>
      </c>
      <c r="B4462" s="90">
        <v>7.9554994370240095</v>
      </c>
    </row>
    <row r="4463" spans="1:2">
      <c r="A4463" s="32">
        <v>4453</v>
      </c>
      <c r="B4463" s="90">
        <v>8.0497669927255657</v>
      </c>
    </row>
    <row r="4464" spans="1:2">
      <c r="A4464" s="32">
        <v>4454</v>
      </c>
      <c r="B4464" s="90">
        <v>7.8426552976239705</v>
      </c>
    </row>
    <row r="4465" spans="1:2">
      <c r="A4465" s="32">
        <v>4455</v>
      </c>
      <c r="B4465" s="90">
        <v>7.5164411504354289</v>
      </c>
    </row>
    <row r="4466" spans="1:2">
      <c r="A4466" s="32">
        <v>4456</v>
      </c>
      <c r="B4466" s="90">
        <v>8.9612636569305586</v>
      </c>
    </row>
    <row r="4467" spans="1:2">
      <c r="A4467" s="32">
        <v>4457</v>
      </c>
      <c r="B4467" s="90">
        <v>8.0587794140536992</v>
      </c>
    </row>
    <row r="4468" spans="1:2">
      <c r="A4468" s="32">
        <v>4458</v>
      </c>
      <c r="B4468" s="90">
        <v>7.7855969519101933</v>
      </c>
    </row>
    <row r="4469" spans="1:2">
      <c r="A4469" s="32">
        <v>4459</v>
      </c>
      <c r="B4469" s="90">
        <v>8.2120745746339807</v>
      </c>
    </row>
    <row r="4470" spans="1:2">
      <c r="A4470" s="32">
        <v>4460</v>
      </c>
      <c r="B4470" s="90">
        <v>8.2711364031205399</v>
      </c>
    </row>
    <row r="4471" spans="1:2">
      <c r="A4471" s="32">
        <v>4461</v>
      </c>
      <c r="B4471" s="90">
        <v>7.3889314732258526</v>
      </c>
    </row>
    <row r="4472" spans="1:2">
      <c r="A4472" s="32">
        <v>4462</v>
      </c>
      <c r="B4472" s="90">
        <v>9.0418663958198202</v>
      </c>
    </row>
    <row r="4473" spans="1:2">
      <c r="A4473" s="32">
        <v>4463</v>
      </c>
      <c r="B4473" s="90">
        <v>7.7455732548211813</v>
      </c>
    </row>
    <row r="4474" spans="1:2">
      <c r="A4474" s="32">
        <v>4464</v>
      </c>
      <c r="B4474" s="90">
        <v>8.0893124891066464</v>
      </c>
    </row>
    <row r="4475" spans="1:2">
      <c r="A4475" s="32">
        <v>4465</v>
      </c>
      <c r="B4475" s="90">
        <v>7.8362166594697111</v>
      </c>
    </row>
    <row r="4476" spans="1:2">
      <c r="A4476" s="32">
        <v>4466</v>
      </c>
      <c r="B4476" s="90">
        <v>8.5720971466640599</v>
      </c>
    </row>
    <row r="4477" spans="1:2">
      <c r="A4477" s="32">
        <v>4467</v>
      </c>
      <c r="B4477" s="90">
        <v>7.7296843025754027</v>
      </c>
    </row>
    <row r="4478" spans="1:2">
      <c r="A4478" s="32">
        <v>4468</v>
      </c>
      <c r="B4478" s="90">
        <v>8.3771953692197041</v>
      </c>
    </row>
    <row r="4479" spans="1:2">
      <c r="A4479" s="32">
        <v>4469</v>
      </c>
      <c r="B4479" s="90">
        <v>8.4481229726146214</v>
      </c>
    </row>
    <row r="4480" spans="1:2">
      <c r="A4480" s="32">
        <v>4470</v>
      </c>
      <c r="B4480" s="90">
        <v>8.0958722944276325</v>
      </c>
    </row>
    <row r="4481" spans="1:2">
      <c r="A4481" s="32">
        <v>4471</v>
      </c>
      <c r="B4481" s="90">
        <v>7.4728583614561854</v>
      </c>
    </row>
    <row r="4482" spans="1:2">
      <c r="A4482" s="32">
        <v>4472</v>
      </c>
      <c r="B4482" s="90">
        <v>7.8592309751993605</v>
      </c>
    </row>
    <row r="4483" spans="1:2">
      <c r="A4483" s="32">
        <v>4473</v>
      </c>
      <c r="B4483" s="90">
        <v>8.447594781389558</v>
      </c>
    </row>
    <row r="4484" spans="1:2">
      <c r="A4484" s="32">
        <v>4474</v>
      </c>
      <c r="B4484" s="90">
        <v>8.4173470360966665</v>
      </c>
    </row>
    <row r="4485" spans="1:2">
      <c r="A4485" s="32">
        <v>4475</v>
      </c>
      <c r="B4485" s="90">
        <v>7.2258785699340145</v>
      </c>
    </row>
    <row r="4486" spans="1:2">
      <c r="A4486" s="32">
        <v>4476</v>
      </c>
      <c r="B4486" s="90">
        <v>8.3012011615123793</v>
      </c>
    </row>
    <row r="4487" spans="1:2">
      <c r="A4487" s="32">
        <v>4477</v>
      </c>
      <c r="B4487" s="90">
        <v>8.1458812192387118</v>
      </c>
    </row>
    <row r="4488" spans="1:2">
      <c r="A4488" s="32">
        <v>4478</v>
      </c>
      <c r="B4488" s="90">
        <v>7.3630999604009171</v>
      </c>
    </row>
    <row r="4489" spans="1:2">
      <c r="A4489" s="32">
        <v>4479</v>
      </c>
      <c r="B4489" s="90">
        <v>8.2952817056047596</v>
      </c>
    </row>
    <row r="4490" spans="1:2">
      <c r="A4490" s="32">
        <v>4480</v>
      </c>
      <c r="B4490" s="90">
        <v>8.2259230502361991</v>
      </c>
    </row>
    <row r="4491" spans="1:2">
      <c r="A4491" s="32">
        <v>4481</v>
      </c>
      <c r="B4491" s="90">
        <v>7.6673051069662446</v>
      </c>
    </row>
    <row r="4492" spans="1:2">
      <c r="A4492" s="32">
        <v>4482</v>
      </c>
      <c r="B4492" s="90">
        <v>7.9574268503304477</v>
      </c>
    </row>
    <row r="4493" spans="1:2">
      <c r="A4493" s="32">
        <v>4483</v>
      </c>
      <c r="B4493" s="90">
        <v>7.9379947232985124</v>
      </c>
    </row>
    <row r="4494" spans="1:2">
      <c r="A4494" s="32">
        <v>4484</v>
      </c>
      <c r="B4494" s="90">
        <v>7.6135277560573682</v>
      </c>
    </row>
    <row r="4495" spans="1:2">
      <c r="A4495" s="32">
        <v>4485</v>
      </c>
      <c r="B4495" s="90">
        <v>7.9460170088457893</v>
      </c>
    </row>
    <row r="4496" spans="1:2">
      <c r="A4496" s="32">
        <v>4486</v>
      </c>
      <c r="B4496" s="90">
        <v>8.5687770883412782</v>
      </c>
    </row>
    <row r="4497" spans="1:2">
      <c r="A4497" s="32">
        <v>4487</v>
      </c>
      <c r="B4497" s="90">
        <v>7.7769867099167787</v>
      </c>
    </row>
    <row r="4498" spans="1:2">
      <c r="A4498" s="32">
        <v>4488</v>
      </c>
      <c r="B4498" s="90">
        <v>7.9100175745907029</v>
      </c>
    </row>
    <row r="4499" spans="1:2">
      <c r="A4499" s="32">
        <v>4489</v>
      </c>
      <c r="B4499" s="90">
        <v>7.8717465285005401</v>
      </c>
    </row>
    <row r="4500" spans="1:2">
      <c r="A4500" s="32">
        <v>4490</v>
      </c>
      <c r="B4500" s="90">
        <v>7.7689306664932207</v>
      </c>
    </row>
    <row r="4501" spans="1:2">
      <c r="A4501" s="32">
        <v>4491</v>
      </c>
      <c r="B4501" s="90">
        <v>8.2808087835927271</v>
      </c>
    </row>
    <row r="4502" spans="1:2">
      <c r="A4502" s="32">
        <v>4492</v>
      </c>
      <c r="B4502" s="90">
        <v>7.7456421513965887</v>
      </c>
    </row>
    <row r="4503" spans="1:2">
      <c r="A4503" s="32">
        <v>4493</v>
      </c>
      <c r="B4503" s="90">
        <v>8.2113282008015176</v>
      </c>
    </row>
    <row r="4504" spans="1:2">
      <c r="A4504" s="32">
        <v>4494</v>
      </c>
      <c r="B4504" s="90">
        <v>8.0462471696885345</v>
      </c>
    </row>
    <row r="4505" spans="1:2">
      <c r="A4505" s="32">
        <v>4495</v>
      </c>
      <c r="B4505" s="90">
        <v>7.8746865206869616</v>
      </c>
    </row>
    <row r="4506" spans="1:2">
      <c r="A4506" s="32">
        <v>4496</v>
      </c>
      <c r="B4506" s="90">
        <v>7.7154978311252318</v>
      </c>
    </row>
    <row r="4507" spans="1:2">
      <c r="A4507" s="32">
        <v>4497</v>
      </c>
      <c r="B4507" s="90">
        <v>8.320410163015298</v>
      </c>
    </row>
    <row r="4508" spans="1:2">
      <c r="A4508" s="32">
        <v>4498</v>
      </c>
      <c r="B4508" s="90">
        <v>8.0718962078926513</v>
      </c>
    </row>
    <row r="4509" spans="1:2">
      <c r="A4509" s="32">
        <v>4499</v>
      </c>
      <c r="B4509" s="90">
        <v>7.7659338429883302</v>
      </c>
    </row>
    <row r="4510" spans="1:2">
      <c r="A4510" s="32">
        <v>4500</v>
      </c>
      <c r="B4510" s="90">
        <v>8.0583495120055399</v>
      </c>
    </row>
    <row r="4511" spans="1:2">
      <c r="A4511" s="32">
        <v>4501</v>
      </c>
      <c r="B4511" s="90">
        <v>7.6363456968254484</v>
      </c>
    </row>
    <row r="4512" spans="1:2">
      <c r="A4512" s="32">
        <v>4502</v>
      </c>
      <c r="B4512" s="90">
        <v>7.9976884528126009</v>
      </c>
    </row>
    <row r="4513" spans="1:2">
      <c r="A4513" s="32">
        <v>4503</v>
      </c>
      <c r="B4513" s="90">
        <v>8.1884557449390609</v>
      </c>
    </row>
    <row r="4514" spans="1:2">
      <c r="A4514" s="32">
        <v>4504</v>
      </c>
      <c r="B4514" s="90">
        <v>7.9042329728461365</v>
      </c>
    </row>
    <row r="4515" spans="1:2">
      <c r="A4515" s="32">
        <v>4505</v>
      </c>
      <c r="B4515" s="90">
        <v>7.8564881876194734</v>
      </c>
    </row>
    <row r="4516" spans="1:2">
      <c r="A4516" s="32">
        <v>4506</v>
      </c>
      <c r="B4516" s="90">
        <v>7.9822893380945326</v>
      </c>
    </row>
    <row r="4517" spans="1:2">
      <c r="A4517" s="32">
        <v>4507</v>
      </c>
      <c r="B4517" s="90">
        <v>7.6512992598905276</v>
      </c>
    </row>
    <row r="4518" spans="1:2">
      <c r="A4518" s="32">
        <v>4508</v>
      </c>
      <c r="B4518" s="90">
        <v>8.4320323543313549</v>
      </c>
    </row>
    <row r="4519" spans="1:2">
      <c r="A4519" s="32">
        <v>4509</v>
      </c>
      <c r="B4519" s="90">
        <v>8.1606191619639219</v>
      </c>
    </row>
    <row r="4520" spans="1:2">
      <c r="A4520" s="32">
        <v>4510</v>
      </c>
      <c r="B4520" s="90">
        <v>7.686294769769388</v>
      </c>
    </row>
    <row r="4521" spans="1:2">
      <c r="A4521" s="32">
        <v>4511</v>
      </c>
      <c r="B4521" s="90">
        <v>8.0616417844379065</v>
      </c>
    </row>
    <row r="4522" spans="1:2">
      <c r="A4522" s="32">
        <v>4512</v>
      </c>
      <c r="B4522" s="90">
        <v>7.8953421663192715</v>
      </c>
    </row>
    <row r="4523" spans="1:2">
      <c r="A4523" s="32">
        <v>4513</v>
      </c>
      <c r="B4523" s="90">
        <v>7.7428714194026567</v>
      </c>
    </row>
    <row r="4524" spans="1:2">
      <c r="A4524" s="32">
        <v>4514</v>
      </c>
      <c r="B4524" s="90">
        <v>7.9971941153684565</v>
      </c>
    </row>
    <row r="4525" spans="1:2">
      <c r="A4525" s="32">
        <v>4515</v>
      </c>
      <c r="B4525" s="90">
        <v>8.4048318558197455</v>
      </c>
    </row>
    <row r="4526" spans="1:2">
      <c r="A4526" s="32">
        <v>4516</v>
      </c>
      <c r="B4526" s="90">
        <v>7.8571983034110495</v>
      </c>
    </row>
    <row r="4527" spans="1:2">
      <c r="A4527" s="32">
        <v>4517</v>
      </c>
      <c r="B4527" s="90">
        <v>7.804049784277618</v>
      </c>
    </row>
    <row r="4528" spans="1:2">
      <c r="A4528" s="32">
        <v>4518</v>
      </c>
      <c r="B4528" s="90">
        <v>7.876723976708071</v>
      </c>
    </row>
    <row r="4529" spans="1:2">
      <c r="A4529" s="32">
        <v>4519</v>
      </c>
      <c r="B4529" s="90">
        <v>7.7777824822194432</v>
      </c>
    </row>
    <row r="4530" spans="1:2">
      <c r="A4530" s="32">
        <v>4520</v>
      </c>
      <c r="B4530" s="90">
        <v>8.2438184801535854</v>
      </c>
    </row>
    <row r="4531" spans="1:2">
      <c r="A4531" s="32">
        <v>4521</v>
      </c>
      <c r="B4531" s="90">
        <v>7.7320676662366195</v>
      </c>
    </row>
    <row r="4532" spans="1:2">
      <c r="A4532" s="32">
        <v>4522</v>
      </c>
      <c r="B4532" s="90">
        <v>8.2396119055440238</v>
      </c>
    </row>
    <row r="4533" spans="1:2">
      <c r="A4533" s="32">
        <v>4523</v>
      </c>
      <c r="B4533" s="90">
        <v>7.9231019520367987</v>
      </c>
    </row>
    <row r="4534" spans="1:2">
      <c r="A4534" s="32">
        <v>4524</v>
      </c>
      <c r="B4534" s="90">
        <v>7.8258276807877571</v>
      </c>
    </row>
    <row r="4535" spans="1:2">
      <c r="A4535" s="32">
        <v>4525</v>
      </c>
      <c r="B4535" s="90">
        <v>7.8020953738688021</v>
      </c>
    </row>
    <row r="4536" spans="1:2">
      <c r="A4536" s="32">
        <v>4526</v>
      </c>
      <c r="B4536" s="90">
        <v>8.3264090373483803</v>
      </c>
    </row>
    <row r="4537" spans="1:2">
      <c r="A4537" s="32">
        <v>4527</v>
      </c>
      <c r="B4537" s="90">
        <v>7.8422391945117607</v>
      </c>
    </row>
    <row r="4538" spans="1:2">
      <c r="A4538" s="32">
        <v>4528</v>
      </c>
      <c r="B4538" s="90">
        <v>7.9959951935641396</v>
      </c>
    </row>
    <row r="4539" spans="1:2">
      <c r="A4539" s="32">
        <v>4529</v>
      </c>
      <c r="B4539" s="90">
        <v>7.967223363898742</v>
      </c>
    </row>
    <row r="4540" spans="1:2">
      <c r="A4540" s="32">
        <v>4530</v>
      </c>
      <c r="B4540" s="90">
        <v>7.8679289718665535</v>
      </c>
    </row>
    <row r="4541" spans="1:2">
      <c r="A4541" s="32">
        <v>4531</v>
      </c>
      <c r="B4541" s="90">
        <v>8.1219327902550322</v>
      </c>
    </row>
    <row r="4542" spans="1:2">
      <c r="A4542" s="32">
        <v>4532</v>
      </c>
      <c r="B4542" s="90">
        <v>8.0015723934538094</v>
      </c>
    </row>
    <row r="4543" spans="1:2">
      <c r="A4543" s="32">
        <v>4533</v>
      </c>
      <c r="B4543" s="90">
        <v>7.987281142844247</v>
      </c>
    </row>
    <row r="4544" spans="1:2">
      <c r="A4544" s="32">
        <v>4534</v>
      </c>
      <c r="B4544" s="90">
        <v>8.1069272028816552</v>
      </c>
    </row>
    <row r="4545" spans="1:2">
      <c r="A4545" s="32">
        <v>4535</v>
      </c>
      <c r="B4545" s="90">
        <v>7.4728583614561854</v>
      </c>
    </row>
    <row r="4546" spans="1:2">
      <c r="A4546" s="32">
        <v>4536</v>
      </c>
      <c r="B4546" s="90">
        <v>7.8592309751993605</v>
      </c>
    </row>
    <row r="4547" spans="1:2">
      <c r="A4547" s="32">
        <v>4537</v>
      </c>
      <c r="B4547" s="90">
        <v>8.447594781389558</v>
      </c>
    </row>
    <row r="4548" spans="1:2">
      <c r="A4548" s="32">
        <v>4538</v>
      </c>
      <c r="B4548" s="90">
        <v>8.4173470360966665</v>
      </c>
    </row>
    <row r="4549" spans="1:2">
      <c r="A4549" s="32">
        <v>4539</v>
      </c>
      <c r="B4549" s="90">
        <v>7.2258785699340145</v>
      </c>
    </row>
    <row r="4550" spans="1:2">
      <c r="A4550" s="32">
        <v>4540</v>
      </c>
      <c r="B4550" s="90">
        <v>8.3012011615123793</v>
      </c>
    </row>
    <row r="4551" spans="1:2">
      <c r="A4551" s="32">
        <v>4541</v>
      </c>
      <c r="B4551" s="90">
        <v>8.1458812192387118</v>
      </c>
    </row>
    <row r="4552" spans="1:2">
      <c r="A4552" s="32">
        <v>4542</v>
      </c>
      <c r="B4552" s="90">
        <v>7.3630999604009171</v>
      </c>
    </row>
    <row r="4553" spans="1:2">
      <c r="A4553" s="32">
        <v>4543</v>
      </c>
      <c r="B4553" s="90">
        <v>8.2952817056047596</v>
      </c>
    </row>
    <row r="4554" spans="1:2">
      <c r="A4554" s="32">
        <v>4544</v>
      </c>
      <c r="B4554" s="90">
        <v>8.2259230502361991</v>
      </c>
    </row>
    <row r="4555" spans="1:2">
      <c r="A4555" s="32">
        <v>4545</v>
      </c>
      <c r="B4555" s="90">
        <v>7.6673051069662446</v>
      </c>
    </row>
    <row r="4556" spans="1:2">
      <c r="A4556" s="32">
        <v>4546</v>
      </c>
      <c r="B4556" s="90">
        <v>7.9574268503304477</v>
      </c>
    </row>
    <row r="4557" spans="1:2">
      <c r="A4557" s="32">
        <v>4547</v>
      </c>
      <c r="B4557" s="90">
        <v>7.9379947232985124</v>
      </c>
    </row>
    <row r="4558" spans="1:2">
      <c r="A4558" s="32">
        <v>4548</v>
      </c>
      <c r="B4558" s="90">
        <v>7.6135277560573682</v>
      </c>
    </row>
    <row r="4559" spans="1:2">
      <c r="A4559" s="32">
        <v>4549</v>
      </c>
      <c r="B4559" s="90">
        <v>7.9460170088457893</v>
      </c>
    </row>
    <row r="4560" spans="1:2">
      <c r="A4560" s="32">
        <v>4550</v>
      </c>
      <c r="B4560" s="90">
        <v>8.5687770883412782</v>
      </c>
    </row>
    <row r="4561" spans="1:2">
      <c r="A4561" s="32">
        <v>4551</v>
      </c>
      <c r="B4561" s="90">
        <v>7.2779990213544616</v>
      </c>
    </row>
    <row r="4562" spans="1:2">
      <c r="A4562" s="32">
        <v>4552</v>
      </c>
      <c r="B4562" s="90">
        <v>9.5145432092701263</v>
      </c>
    </row>
    <row r="4563" spans="1:2">
      <c r="A4563" s="32">
        <v>4553</v>
      </c>
      <c r="B4563" s="90">
        <v>8.5841590972488007</v>
      </c>
    </row>
    <row r="4564" spans="1:2">
      <c r="A4564" s="32">
        <v>4554</v>
      </c>
      <c r="B4564" s="90">
        <v>8.8045345173272107</v>
      </c>
    </row>
    <row r="4565" spans="1:2">
      <c r="A4565" s="32">
        <v>4555</v>
      </c>
      <c r="B4565" s="90">
        <v>8.0975306081646252</v>
      </c>
    </row>
    <row r="4566" spans="1:2">
      <c r="A4566" s="32">
        <v>4556</v>
      </c>
      <c r="B4566" s="90">
        <v>6.9186560927603438</v>
      </c>
    </row>
    <row r="4567" spans="1:2">
      <c r="A4567" s="32">
        <v>4557</v>
      </c>
      <c r="B4567" s="90">
        <v>7.8115670676317954</v>
      </c>
    </row>
    <row r="4568" spans="1:2">
      <c r="A4568" s="32">
        <v>4558</v>
      </c>
      <c r="B4568" s="90">
        <v>8.9603573304294368</v>
      </c>
    </row>
    <row r="4569" spans="1:2">
      <c r="A4569" s="32">
        <v>4559</v>
      </c>
      <c r="B4569" s="90">
        <v>8.7127267824572652</v>
      </c>
    </row>
    <row r="4570" spans="1:2">
      <c r="A4570" s="32">
        <v>4560</v>
      </c>
      <c r="B4570" s="90">
        <v>8.2517057955718123</v>
      </c>
    </row>
    <row r="4571" spans="1:2">
      <c r="A4571" s="32">
        <v>4561</v>
      </c>
      <c r="B4571" s="90">
        <v>8.1019568102058361</v>
      </c>
    </row>
    <row r="4572" spans="1:2">
      <c r="A4572" s="32">
        <v>4562</v>
      </c>
      <c r="B4572" s="90">
        <v>7.119147659743291</v>
      </c>
    </row>
    <row r="4573" spans="1:2">
      <c r="A4573" s="32">
        <v>4563</v>
      </c>
      <c r="B4573" s="90">
        <v>7.746325424591916</v>
      </c>
    </row>
    <row r="4574" spans="1:2">
      <c r="A4574" s="32">
        <v>4564</v>
      </c>
      <c r="B4574" s="90">
        <v>9.33509268250973</v>
      </c>
    </row>
    <row r="4575" spans="1:2">
      <c r="A4575" s="32">
        <v>4565</v>
      </c>
      <c r="B4575" s="90">
        <v>9.0896161586904025</v>
      </c>
    </row>
    <row r="4576" spans="1:2">
      <c r="A4576" s="32">
        <v>4566</v>
      </c>
      <c r="B4576" s="90">
        <v>7.9415569170239841</v>
      </c>
    </row>
    <row r="4577" spans="1:2">
      <c r="A4577" s="32">
        <v>4567</v>
      </c>
      <c r="B4577" s="90">
        <v>7.5448616326487752</v>
      </c>
    </row>
    <row r="4578" spans="1:2">
      <c r="A4578" s="32">
        <v>4568</v>
      </c>
      <c r="B4578" s="90">
        <v>7.4072531027810449</v>
      </c>
    </row>
    <row r="4579" spans="1:2">
      <c r="A4579" s="32">
        <v>4569</v>
      </c>
      <c r="B4579" s="90">
        <v>7.9237159252109297</v>
      </c>
    </row>
    <row r="4580" spans="1:2">
      <c r="A4580" s="32">
        <v>4570</v>
      </c>
      <c r="B4580" s="90">
        <v>9.5735403606286305</v>
      </c>
    </row>
    <row r="4581" spans="1:2">
      <c r="A4581" s="32">
        <v>4571</v>
      </c>
      <c r="B4581" s="90">
        <v>8.7382751760240822</v>
      </c>
    </row>
    <row r="4582" spans="1:2">
      <c r="A4582" s="32">
        <v>4572</v>
      </c>
      <c r="B4582" s="90">
        <v>7.9325228773787577</v>
      </c>
    </row>
    <row r="4583" spans="1:2">
      <c r="A4583" s="32">
        <v>4573</v>
      </c>
      <c r="B4583" s="90">
        <v>7.371667692744837</v>
      </c>
    </row>
    <row r="4584" spans="1:2">
      <c r="A4584" s="32">
        <v>4574</v>
      </c>
      <c r="B4584" s="90">
        <v>7.4884306901459139</v>
      </c>
    </row>
    <row r="4585" spans="1:2">
      <c r="A4585" s="32">
        <v>4575</v>
      </c>
      <c r="B4585" s="90">
        <v>8.0147370151333845</v>
      </c>
    </row>
    <row r="4586" spans="1:2">
      <c r="A4586" s="32">
        <v>4576</v>
      </c>
      <c r="B4586" s="90">
        <v>9.4727295383328265</v>
      </c>
    </row>
    <row r="4587" spans="1:2">
      <c r="A4587" s="32">
        <v>4577</v>
      </c>
      <c r="B4587" s="90">
        <v>9.1365560809841533</v>
      </c>
    </row>
    <row r="4588" spans="1:2">
      <c r="A4588" s="32">
        <v>4578</v>
      </c>
      <c r="B4588" s="90">
        <v>7.8758466846822106</v>
      </c>
    </row>
    <row r="4589" spans="1:2">
      <c r="A4589" s="32">
        <v>4579</v>
      </c>
      <c r="B4589" s="90">
        <v>7.1800265495540554</v>
      </c>
    </row>
    <row r="4590" spans="1:2">
      <c r="A4590" s="32">
        <v>4580</v>
      </c>
      <c r="B4590" s="90">
        <v>7.1565056831979508</v>
      </c>
    </row>
    <row r="4591" spans="1:2">
      <c r="A4591" s="32">
        <v>4581</v>
      </c>
      <c r="B4591" s="90">
        <v>8.8083476013942619</v>
      </c>
    </row>
    <row r="4592" spans="1:2">
      <c r="A4592" s="32">
        <v>4582</v>
      </c>
      <c r="B4592" s="90">
        <v>8.9484805990695371</v>
      </c>
    </row>
    <row r="4593" spans="1:2">
      <c r="A4593" s="32">
        <v>4583</v>
      </c>
      <c r="B4593" s="90">
        <v>9.1159115306001617</v>
      </c>
    </row>
    <row r="4594" spans="1:2">
      <c r="A4594" s="32">
        <v>4584</v>
      </c>
      <c r="B4594" s="90">
        <v>7.9727009386622019</v>
      </c>
    </row>
    <row r="4595" spans="1:2">
      <c r="A4595" s="32">
        <v>4585</v>
      </c>
      <c r="B4595" s="90">
        <v>7.0509813483798336</v>
      </c>
    </row>
    <row r="4596" spans="1:2">
      <c r="A4596" s="32">
        <v>4586</v>
      </c>
      <c r="B4596" s="90">
        <v>7.3483951836021424</v>
      </c>
    </row>
    <row r="4597" spans="1:2">
      <c r="A4597" s="32">
        <v>4587</v>
      </c>
      <c r="B4597" s="90">
        <v>9.5134252246556841</v>
      </c>
    </row>
    <row r="4598" spans="1:2">
      <c r="A4598" s="32">
        <v>4588</v>
      </c>
      <c r="B4598" s="90">
        <v>8.8144496605441045</v>
      </c>
    </row>
    <row r="4599" spans="1:2">
      <c r="A4599" s="32">
        <v>4589</v>
      </c>
      <c r="B4599" s="90">
        <v>8.044887592464514</v>
      </c>
    </row>
    <row r="4600" spans="1:2">
      <c r="A4600" s="32">
        <v>4590</v>
      </c>
      <c r="B4600" s="90">
        <v>8.0931714383577287</v>
      </c>
    </row>
    <row r="4601" spans="1:2">
      <c r="A4601" s="32">
        <v>4591</v>
      </c>
      <c r="B4601" s="90">
        <v>6.911369588323085</v>
      </c>
    </row>
    <row r="4602" spans="1:2">
      <c r="A4602" s="32">
        <v>4592</v>
      </c>
      <c r="B4602" s="90">
        <v>7.706145609243463</v>
      </c>
    </row>
    <row r="4603" spans="1:2">
      <c r="A4603" s="32">
        <v>4593</v>
      </c>
      <c r="B4603" s="90">
        <v>9.3722306030299247</v>
      </c>
    </row>
    <row r="4604" spans="1:2">
      <c r="A4604" s="32">
        <v>4594</v>
      </c>
      <c r="B4604" s="90">
        <v>9.0981734965913468</v>
      </c>
    </row>
    <row r="4605" spans="1:2">
      <c r="A4605" s="32">
        <v>4595</v>
      </c>
      <c r="B4605" s="90">
        <v>7.784117165121101</v>
      </c>
    </row>
    <row r="4606" spans="1:2">
      <c r="A4606" s="32">
        <v>4596</v>
      </c>
      <c r="B4606" s="90">
        <v>7.8619611033851484</v>
      </c>
    </row>
    <row r="4607" spans="1:2">
      <c r="A4607" s="32">
        <v>4597</v>
      </c>
      <c r="B4607" s="90">
        <v>7.2485662393549344</v>
      </c>
    </row>
    <row r="4608" spans="1:2">
      <c r="A4608" s="32">
        <v>4598</v>
      </c>
      <c r="B4608" s="90">
        <v>7.9426897241056675</v>
      </c>
    </row>
    <row r="4609" spans="1:2">
      <c r="A4609" s="32">
        <v>4599</v>
      </c>
      <c r="B4609" s="90">
        <v>9.7515080735390267</v>
      </c>
    </row>
    <row r="4610" spans="1:2">
      <c r="A4610" s="32">
        <v>4600</v>
      </c>
      <c r="B4610" s="90">
        <v>8.6202621942683155</v>
      </c>
    </row>
    <row r="4611" spans="1:2">
      <c r="A4611" s="32">
        <v>4601</v>
      </c>
      <c r="B4611" s="90">
        <v>8.0908256738856892</v>
      </c>
    </row>
    <row r="4612" spans="1:2">
      <c r="A4612" s="32">
        <v>4602</v>
      </c>
      <c r="B4612" s="90">
        <v>7.353430098994945</v>
      </c>
    </row>
    <row r="4613" spans="1:2">
      <c r="A4613" s="32">
        <v>4603</v>
      </c>
      <c r="B4613" s="90">
        <v>7.5362957724048742</v>
      </c>
    </row>
    <row r="4614" spans="1:2">
      <c r="A4614" s="32">
        <v>4604</v>
      </c>
      <c r="B4614" s="90">
        <v>7.9100161154802127</v>
      </c>
    </row>
    <row r="4615" spans="1:2">
      <c r="A4615" s="32">
        <v>4605</v>
      </c>
      <c r="B4615" s="90">
        <v>9.4586362100277803</v>
      </c>
    </row>
    <row r="4616" spans="1:2">
      <c r="A4616" s="32">
        <v>4606</v>
      </c>
      <c r="B4616" s="90">
        <v>8.7277778823541183</v>
      </c>
    </row>
    <row r="4617" spans="1:2">
      <c r="A4617" s="32">
        <v>4607</v>
      </c>
      <c r="B4617" s="90">
        <v>8.0380298882484098</v>
      </c>
    </row>
    <row r="4618" spans="1:2">
      <c r="A4618" s="32">
        <v>4608</v>
      </c>
      <c r="B4618" s="90">
        <v>7.3814284277610875</v>
      </c>
    </row>
    <row r="4619" spans="1:2">
      <c r="A4619" s="32">
        <v>4609</v>
      </c>
      <c r="B4619" s="90">
        <v>7.2694451476755182</v>
      </c>
    </row>
    <row r="4620" spans="1:2">
      <c r="A4620" s="32">
        <v>4610</v>
      </c>
      <c r="B4620" s="90">
        <v>8.4417557393286327</v>
      </c>
    </row>
    <row r="4621" spans="1:2">
      <c r="A4621" s="32">
        <v>4611</v>
      </c>
      <c r="B4621" s="90">
        <v>9.3784968401489763</v>
      </c>
    </row>
    <row r="4622" spans="1:2">
      <c r="A4622" s="32">
        <v>4612</v>
      </c>
      <c r="B4622" s="90">
        <v>9.1837862455400163</v>
      </c>
    </row>
    <row r="4623" spans="1:2">
      <c r="A4623" s="32">
        <v>4613</v>
      </c>
      <c r="B4623" s="90">
        <v>7.5814368372466134</v>
      </c>
    </row>
    <row r="4624" spans="1:2">
      <c r="A4624" s="32">
        <v>4614</v>
      </c>
      <c r="B4624" s="90">
        <v>7.3062746874484832</v>
      </c>
    </row>
    <row r="4625" spans="1:2">
      <c r="A4625" s="32">
        <v>4615</v>
      </c>
      <c r="B4625" s="90">
        <v>6.9721379767122453</v>
      </c>
    </row>
    <row r="4626" spans="1:2">
      <c r="A4626" s="32">
        <v>4616</v>
      </c>
      <c r="B4626" s="90">
        <v>9.5145432092701263</v>
      </c>
    </row>
    <row r="4627" spans="1:2">
      <c r="A4627" s="32">
        <v>4617</v>
      </c>
      <c r="B4627" s="90">
        <v>8.5841590972488007</v>
      </c>
    </row>
    <row r="4628" spans="1:2">
      <c r="A4628" s="32">
        <v>4618</v>
      </c>
      <c r="B4628" s="90">
        <v>8.8045345173272107</v>
      </c>
    </row>
    <row r="4629" spans="1:2">
      <c r="A4629" s="32">
        <v>4619</v>
      </c>
      <c r="B4629" s="90">
        <v>8.0975306081646252</v>
      </c>
    </row>
    <row r="4630" spans="1:2">
      <c r="A4630" s="32">
        <v>4620</v>
      </c>
      <c r="B4630" s="90">
        <v>6.9186560927603438</v>
      </c>
    </row>
    <row r="4631" spans="1:2">
      <c r="A4631" s="32">
        <v>4621</v>
      </c>
      <c r="B4631" s="90">
        <v>7.8115670676317954</v>
      </c>
    </row>
    <row r="4632" spans="1:2">
      <c r="A4632" s="32">
        <v>4622</v>
      </c>
      <c r="B4632" s="90">
        <v>8.9603573304294368</v>
      </c>
    </row>
    <row r="4633" spans="1:2">
      <c r="A4633" s="32">
        <v>4623</v>
      </c>
      <c r="B4633" s="90">
        <v>8.7127267824572652</v>
      </c>
    </row>
    <row r="4634" spans="1:2">
      <c r="A4634" s="32">
        <v>4624</v>
      </c>
      <c r="B4634" s="90">
        <v>8.2517057955718123</v>
      </c>
    </row>
    <row r="4635" spans="1:2">
      <c r="A4635" s="32">
        <v>4625</v>
      </c>
      <c r="B4635" s="90">
        <v>8.1019568102058361</v>
      </c>
    </row>
    <row r="4636" spans="1:2">
      <c r="A4636" s="32">
        <v>4626</v>
      </c>
      <c r="B4636" s="90">
        <v>7.119147659743291</v>
      </c>
    </row>
    <row r="4637" spans="1:2">
      <c r="A4637" s="32">
        <v>4627</v>
      </c>
      <c r="B4637" s="90">
        <v>7.746325424591916</v>
      </c>
    </row>
    <row r="4638" spans="1:2">
      <c r="A4638" s="32">
        <v>4628</v>
      </c>
      <c r="B4638" s="90">
        <v>9.33509268250973</v>
      </c>
    </row>
    <row r="4639" spans="1:2">
      <c r="A4639" s="32">
        <v>4629</v>
      </c>
      <c r="B4639" s="90">
        <v>9.0896161586904025</v>
      </c>
    </row>
    <row r="4640" spans="1:2">
      <c r="A4640" s="32">
        <v>4630</v>
      </c>
      <c r="B4640" s="90">
        <v>7.9415569170239841</v>
      </c>
    </row>
    <row r="4641" spans="1:2">
      <c r="A4641" s="32">
        <v>4631</v>
      </c>
      <c r="B4641" s="90">
        <v>7.5448616326487752</v>
      </c>
    </row>
    <row r="4642" spans="1:2">
      <c r="A4642" s="32">
        <v>4632</v>
      </c>
      <c r="B4642" s="90">
        <v>7.4072531027810449</v>
      </c>
    </row>
    <row r="4643" spans="1:2">
      <c r="A4643" s="32">
        <v>4633</v>
      </c>
      <c r="B4643" s="90">
        <v>7.9237159252109297</v>
      </c>
    </row>
    <row r="4644" spans="1:2">
      <c r="A4644" s="32">
        <v>4634</v>
      </c>
      <c r="B4644" s="90">
        <v>9.5735403606286305</v>
      </c>
    </row>
    <row r="4645" spans="1:2">
      <c r="A4645" s="32">
        <v>4635</v>
      </c>
      <c r="B4645" s="90">
        <v>8.7382751760240822</v>
      </c>
    </row>
    <row r="4646" spans="1:2">
      <c r="A4646" s="32">
        <v>4636</v>
      </c>
      <c r="B4646" s="90">
        <v>7.9325228773787577</v>
      </c>
    </row>
    <row r="4647" spans="1:2">
      <c r="A4647" s="32">
        <v>4637</v>
      </c>
      <c r="B4647" s="90">
        <v>7.371667692744837</v>
      </c>
    </row>
    <row r="4648" spans="1:2">
      <c r="A4648" s="32">
        <v>4638</v>
      </c>
      <c r="B4648" s="90">
        <v>7.4884306901459139</v>
      </c>
    </row>
    <row r="4649" spans="1:2">
      <c r="A4649" s="32">
        <v>4639</v>
      </c>
      <c r="B4649" s="90">
        <v>8.0147370151333845</v>
      </c>
    </row>
    <row r="4650" spans="1:2">
      <c r="A4650" s="32">
        <v>4640</v>
      </c>
      <c r="B4650" s="90">
        <v>9.4727295383328265</v>
      </c>
    </row>
    <row r="4651" spans="1:2">
      <c r="A4651" s="32">
        <v>4641</v>
      </c>
      <c r="B4651" s="90">
        <v>9.1365560809841533</v>
      </c>
    </row>
    <row r="4652" spans="1:2">
      <c r="A4652" s="32">
        <v>4642</v>
      </c>
      <c r="B4652" s="90">
        <v>7.8758466846822106</v>
      </c>
    </row>
    <row r="4653" spans="1:2">
      <c r="A4653" s="32">
        <v>4643</v>
      </c>
      <c r="B4653" s="90">
        <v>7.1800265495540554</v>
      </c>
    </row>
    <row r="4654" spans="1:2">
      <c r="A4654" s="32">
        <v>4644</v>
      </c>
      <c r="B4654" s="90">
        <v>7.1565056831979508</v>
      </c>
    </row>
    <row r="4655" spans="1:2">
      <c r="A4655" s="32">
        <v>4645</v>
      </c>
      <c r="B4655" s="90">
        <v>8.8083476013942619</v>
      </c>
    </row>
    <row r="4656" spans="1:2">
      <c r="A4656" s="32">
        <v>4646</v>
      </c>
      <c r="B4656" s="90">
        <v>8.9484805990695371</v>
      </c>
    </row>
    <row r="4657" spans="1:2">
      <c r="A4657" s="32">
        <v>4647</v>
      </c>
      <c r="B4657" s="90">
        <v>9.1159115306001617</v>
      </c>
    </row>
    <row r="4658" spans="1:2">
      <c r="A4658" s="32">
        <v>4648</v>
      </c>
      <c r="B4658" s="90">
        <v>7.9727009386622019</v>
      </c>
    </row>
    <row r="4659" spans="1:2">
      <c r="A4659" s="32">
        <v>4649</v>
      </c>
      <c r="B4659" s="90">
        <v>7.0509813483798336</v>
      </c>
    </row>
    <row r="4660" spans="1:2">
      <c r="A4660" s="32">
        <v>4650</v>
      </c>
      <c r="B4660" s="90">
        <v>7.3483951836021424</v>
      </c>
    </row>
    <row r="4661" spans="1:2">
      <c r="A4661" s="32">
        <v>4651</v>
      </c>
      <c r="B4661" s="90">
        <v>9.5134252246556841</v>
      </c>
    </row>
    <row r="4662" spans="1:2">
      <c r="A4662" s="32">
        <v>4652</v>
      </c>
      <c r="B4662" s="90">
        <v>8.8144496605441045</v>
      </c>
    </row>
    <row r="4663" spans="1:2">
      <c r="A4663" s="32">
        <v>4653</v>
      </c>
      <c r="B4663" s="90">
        <v>8.044887592464514</v>
      </c>
    </row>
    <row r="4664" spans="1:2">
      <c r="A4664" s="32">
        <v>4654</v>
      </c>
      <c r="B4664" s="90">
        <v>8.0931714383577287</v>
      </c>
    </row>
    <row r="4665" spans="1:2">
      <c r="A4665" s="32">
        <v>4655</v>
      </c>
      <c r="B4665" s="90">
        <v>6.911369588323085</v>
      </c>
    </row>
    <row r="4666" spans="1:2">
      <c r="A4666" s="32">
        <v>4656</v>
      </c>
      <c r="B4666" s="90">
        <v>7.706145609243463</v>
      </c>
    </row>
    <row r="4667" spans="1:2">
      <c r="A4667" s="32">
        <v>4657</v>
      </c>
      <c r="B4667" s="90">
        <v>9.3722306030299247</v>
      </c>
    </row>
    <row r="4668" spans="1:2">
      <c r="A4668" s="32">
        <v>4658</v>
      </c>
      <c r="B4668" s="90">
        <v>9.0981734965913468</v>
      </c>
    </row>
    <row r="4669" spans="1:2">
      <c r="A4669" s="32">
        <v>4659</v>
      </c>
      <c r="B4669" s="90">
        <v>7.784117165121101</v>
      </c>
    </row>
    <row r="4670" spans="1:2">
      <c r="A4670" s="32">
        <v>4660</v>
      </c>
      <c r="B4670" s="90">
        <v>7.8619611033851484</v>
      </c>
    </row>
    <row r="4671" spans="1:2">
      <c r="A4671" s="32">
        <v>4661</v>
      </c>
      <c r="B4671" s="90">
        <v>7.2485662393549344</v>
      </c>
    </row>
    <row r="4672" spans="1:2">
      <c r="A4672" s="32">
        <v>4662</v>
      </c>
      <c r="B4672" s="90">
        <v>7.9426897241056675</v>
      </c>
    </row>
    <row r="4673" spans="1:2">
      <c r="A4673" s="32">
        <v>4663</v>
      </c>
      <c r="B4673" s="90">
        <v>8.2856170957924302</v>
      </c>
    </row>
    <row r="4674" spans="1:2">
      <c r="A4674" s="32">
        <v>4664</v>
      </c>
      <c r="B4674" s="90">
        <v>9.0509787472956535</v>
      </c>
    </row>
    <row r="4675" spans="1:2">
      <c r="A4675" s="32">
        <v>4665</v>
      </c>
      <c r="B4675" s="90">
        <v>7.5062483043203141</v>
      </c>
    </row>
    <row r="4676" spans="1:2">
      <c r="A4676" s="32">
        <v>4666</v>
      </c>
      <c r="B4676" s="90">
        <v>7.9744112158914264</v>
      </c>
    </row>
    <row r="4677" spans="1:2">
      <c r="A4677" s="32">
        <v>4667</v>
      </c>
      <c r="B4677" s="90">
        <v>8.8827857541538648</v>
      </c>
    </row>
    <row r="4678" spans="1:2">
      <c r="A4678" s="32">
        <v>4668</v>
      </c>
      <c r="B4678" s="90">
        <v>7.3596291438445309</v>
      </c>
    </row>
    <row r="4679" spans="1:2">
      <c r="A4679" s="32">
        <v>4669</v>
      </c>
      <c r="B4679" s="90">
        <v>8.1840886520643839</v>
      </c>
    </row>
    <row r="4680" spans="1:2">
      <c r="A4680" s="32">
        <v>4670</v>
      </c>
      <c r="B4680" s="90">
        <v>8.9080791482055552</v>
      </c>
    </row>
    <row r="4681" spans="1:2">
      <c r="A4681" s="32">
        <v>4671</v>
      </c>
      <c r="B4681" s="90">
        <v>7.611858807087823</v>
      </c>
    </row>
    <row r="4682" spans="1:2">
      <c r="A4682" s="32">
        <v>4672</v>
      </c>
      <c r="B4682" s="90">
        <v>8.0976350540876894</v>
      </c>
    </row>
    <row r="4683" spans="1:2">
      <c r="A4683" s="32">
        <v>4673</v>
      </c>
      <c r="B4683" s="90">
        <v>9.0308957274901864</v>
      </c>
    </row>
    <row r="4684" spans="1:2">
      <c r="A4684" s="32">
        <v>4674</v>
      </c>
      <c r="B4684" s="90">
        <v>6.9826066181951116</v>
      </c>
    </row>
    <row r="4685" spans="1:2">
      <c r="A4685" s="32">
        <v>4675</v>
      </c>
      <c r="B4685" s="90">
        <v>8.6520174187738537</v>
      </c>
    </row>
    <row r="4686" spans="1:2">
      <c r="A4686" s="32">
        <v>4676</v>
      </c>
      <c r="B4686" s="90">
        <v>8.3842725708979984</v>
      </c>
    </row>
    <row r="4687" spans="1:2">
      <c r="A4687" s="32">
        <v>4677</v>
      </c>
      <c r="B4687" s="90">
        <v>7.766654661881498</v>
      </c>
    </row>
    <row r="4688" spans="1:2">
      <c r="A4688" s="32">
        <v>4678</v>
      </c>
      <c r="B4688" s="90">
        <v>8.275054093076438</v>
      </c>
    </row>
    <row r="4689" spans="1:2">
      <c r="A4689" s="32">
        <v>4679</v>
      </c>
      <c r="B4689" s="90">
        <v>8.4731649528004045</v>
      </c>
    </row>
    <row r="4690" spans="1:2">
      <c r="A4690" s="32">
        <v>4680</v>
      </c>
      <c r="B4690" s="90">
        <v>7.4196576957685672</v>
      </c>
    </row>
    <row r="4691" spans="1:2">
      <c r="A4691" s="32">
        <v>4681</v>
      </c>
      <c r="B4691" s="90">
        <v>9.088570757586405</v>
      </c>
    </row>
    <row r="4692" spans="1:2">
      <c r="A4692" s="32">
        <v>4682</v>
      </c>
      <c r="B4692" s="90">
        <v>8.0813591825263487</v>
      </c>
    </row>
    <row r="4693" spans="1:2">
      <c r="A4693" s="32">
        <v>4683</v>
      </c>
      <c r="B4693" s="90">
        <v>7.6642135169192311</v>
      </c>
    </row>
    <row r="4694" spans="1:2">
      <c r="A4694" s="32">
        <v>4684</v>
      </c>
      <c r="B4694" s="90">
        <v>8.6238586487221962</v>
      </c>
    </row>
    <row r="4695" spans="1:2">
      <c r="A4695" s="32">
        <v>4685</v>
      </c>
      <c r="B4695" s="90">
        <v>8.3180852588947971</v>
      </c>
    </row>
    <row r="4696" spans="1:2">
      <c r="A4696" s="32">
        <v>4686</v>
      </c>
      <c r="B4696" s="90">
        <v>7.1398879629058793</v>
      </c>
    </row>
    <row r="4697" spans="1:2">
      <c r="A4697" s="32">
        <v>4687</v>
      </c>
      <c r="B4697" s="90">
        <v>9.6733211094963316</v>
      </c>
    </row>
    <row r="4698" spans="1:2">
      <c r="A4698" s="32">
        <v>4688</v>
      </c>
      <c r="B4698" s="90">
        <v>7.497388468462467</v>
      </c>
    </row>
    <row r="4699" spans="1:2">
      <c r="A4699" s="32">
        <v>4689</v>
      </c>
      <c r="B4699" s="90">
        <v>7.2574362965632142</v>
      </c>
    </row>
    <row r="4700" spans="1:2">
      <c r="A4700" s="32">
        <v>4690</v>
      </c>
      <c r="B4700" s="90">
        <v>9.7485305121278678</v>
      </c>
    </row>
    <row r="4701" spans="1:2">
      <c r="A4701" s="32">
        <v>4691</v>
      </c>
      <c r="B4701" s="90">
        <v>7.4103597392490128</v>
      </c>
    </row>
    <row r="4702" spans="1:2">
      <c r="A4702" s="32">
        <v>4692</v>
      </c>
      <c r="B4702" s="90">
        <v>8.0430317001164227</v>
      </c>
    </row>
    <row r="4703" spans="1:2">
      <c r="A4703" s="32">
        <v>4693</v>
      </c>
      <c r="B4703" s="90">
        <v>9.2116889275935314</v>
      </c>
    </row>
    <row r="4704" spans="1:2">
      <c r="A4704" s="32">
        <v>4694</v>
      </c>
      <c r="B4704" s="90">
        <v>7.2310927342662517</v>
      </c>
    </row>
    <row r="4705" spans="1:2">
      <c r="A4705" s="32">
        <v>4695</v>
      </c>
      <c r="B4705" s="90">
        <v>7.625586685783829</v>
      </c>
    </row>
    <row r="4706" spans="1:2">
      <c r="A4706" s="32">
        <v>4696</v>
      </c>
      <c r="B4706" s="90">
        <v>9.5191020904574</v>
      </c>
    </row>
    <row r="4707" spans="1:2">
      <c r="A4707" s="32">
        <v>4697</v>
      </c>
      <c r="B4707" s="90">
        <v>7.1833721016458734</v>
      </c>
    </row>
    <row r="4708" spans="1:2">
      <c r="A4708" s="32">
        <v>4698</v>
      </c>
      <c r="B4708" s="90">
        <v>7.9412029661115522</v>
      </c>
    </row>
    <row r="4709" spans="1:2">
      <c r="A4709" s="32">
        <v>4699</v>
      </c>
      <c r="B4709" s="90">
        <v>9.368677131184489</v>
      </c>
    </row>
    <row r="4710" spans="1:2">
      <c r="A4710" s="32">
        <v>4700</v>
      </c>
      <c r="B4710" s="90">
        <v>7.4283909484510291</v>
      </c>
    </row>
    <row r="4711" spans="1:2">
      <c r="A4711" s="32">
        <v>4701</v>
      </c>
      <c r="B4711" s="90">
        <v>8.2242555730303728</v>
      </c>
    </row>
    <row r="4712" spans="1:2">
      <c r="A4712" s="32">
        <v>4702</v>
      </c>
      <c r="B4712" s="90">
        <v>8.9735777253283757</v>
      </c>
    </row>
    <row r="4713" spans="1:2">
      <c r="A4713" s="32">
        <v>4703</v>
      </c>
      <c r="B4713" s="90">
        <v>7.0599721153222905</v>
      </c>
    </row>
    <row r="4714" spans="1:2">
      <c r="A4714" s="32">
        <v>4704</v>
      </c>
      <c r="B4714" s="90">
        <v>8.7861175212159459</v>
      </c>
    </row>
    <row r="4715" spans="1:2">
      <c r="A4715" s="32">
        <v>4705</v>
      </c>
      <c r="B4715" s="90">
        <v>8.1051876953355624</v>
      </c>
    </row>
    <row r="4716" spans="1:2">
      <c r="A4716" s="32">
        <v>4706</v>
      </c>
      <c r="B4716" s="90">
        <v>7.7076188862862818</v>
      </c>
    </row>
    <row r="4717" spans="1:2">
      <c r="A4717" s="32">
        <v>4707</v>
      </c>
      <c r="B4717" s="90">
        <v>8.3722574723509613</v>
      </c>
    </row>
    <row r="4718" spans="1:2">
      <c r="A4718" s="32">
        <v>4708</v>
      </c>
      <c r="B4718" s="90">
        <v>8.7931119260912904</v>
      </c>
    </row>
    <row r="4719" spans="1:2">
      <c r="A4719" s="32">
        <v>4709</v>
      </c>
      <c r="B4719" s="90">
        <v>6.8544928228490933</v>
      </c>
    </row>
    <row r="4720" spans="1:2">
      <c r="A4720" s="32">
        <v>4710</v>
      </c>
      <c r="B4720" s="90">
        <v>9.3866778257974097</v>
      </c>
    </row>
    <row r="4721" spans="1:2">
      <c r="A4721" s="32">
        <v>4711</v>
      </c>
      <c r="B4721" s="90">
        <v>8.0066224341560801</v>
      </c>
    </row>
    <row r="4722" spans="1:2">
      <c r="A4722" s="32">
        <v>4712</v>
      </c>
      <c r="B4722" s="90">
        <v>7.5827573355539863</v>
      </c>
    </row>
    <row r="4723" spans="1:2">
      <c r="A4723" s="32">
        <v>4713</v>
      </c>
      <c r="B4723" s="90">
        <v>8.740776563534796</v>
      </c>
    </row>
    <row r="4724" spans="1:2">
      <c r="A4724" s="32">
        <v>4714</v>
      </c>
      <c r="B4724" s="90">
        <v>8.1551510363146864</v>
      </c>
    </row>
    <row r="4725" spans="1:2">
      <c r="A4725" s="32">
        <v>4715</v>
      </c>
      <c r="B4725" s="90">
        <v>7.4795476533657581</v>
      </c>
    </row>
    <row r="4726" spans="1:2">
      <c r="A4726" s="32">
        <v>4716</v>
      </c>
      <c r="B4726" s="90">
        <v>9.5689760205023777</v>
      </c>
    </row>
    <row r="4727" spans="1:2">
      <c r="A4727" s="32">
        <v>4717</v>
      </c>
      <c r="B4727" s="90">
        <v>7.6129699545840763</v>
      </c>
    </row>
    <row r="4728" spans="1:2">
      <c r="A4728" s="32">
        <v>4718</v>
      </c>
      <c r="B4728" s="90">
        <v>7.602419986693838</v>
      </c>
    </row>
    <row r="4729" spans="1:2">
      <c r="A4729" s="32">
        <v>4719</v>
      </c>
      <c r="B4729" s="90">
        <v>8.7540866445655467</v>
      </c>
    </row>
    <row r="4730" spans="1:2">
      <c r="A4730" s="32">
        <v>4720</v>
      </c>
      <c r="B4730" s="90">
        <v>8.1819632436018122</v>
      </c>
    </row>
    <row r="4731" spans="1:2">
      <c r="A4731" s="32">
        <v>4721</v>
      </c>
      <c r="B4731" s="90">
        <v>7.6082099457120949</v>
      </c>
    </row>
    <row r="4732" spans="1:2">
      <c r="A4732" s="32">
        <v>4722</v>
      </c>
      <c r="B4732" s="90">
        <v>9.4653121439984353</v>
      </c>
    </row>
    <row r="4733" spans="1:2">
      <c r="A4733" s="32">
        <v>4723</v>
      </c>
      <c r="B4733" s="90">
        <v>7.5052695687932109</v>
      </c>
    </row>
    <row r="4734" spans="1:2">
      <c r="A4734" s="32">
        <v>4724</v>
      </c>
      <c r="B4734" s="90">
        <v>7.1148467449503281</v>
      </c>
    </row>
    <row r="4735" spans="1:2">
      <c r="A4735" s="32">
        <v>4725</v>
      </c>
      <c r="B4735" s="90">
        <v>9.6905489030677057</v>
      </c>
    </row>
    <row r="4736" spans="1:2">
      <c r="A4736" s="32">
        <v>4726</v>
      </c>
      <c r="B4736" s="90">
        <v>7.275870099564421</v>
      </c>
    </row>
    <row r="4737" spans="1:2">
      <c r="A4737" s="32">
        <v>4727</v>
      </c>
      <c r="B4737" s="90">
        <v>8.0723104913601791</v>
      </c>
    </row>
    <row r="4738" spans="1:2">
      <c r="A4738" s="32">
        <v>4728</v>
      </c>
      <c r="B4738" s="90">
        <v>9.0509787472956535</v>
      </c>
    </row>
    <row r="4739" spans="1:2">
      <c r="A4739" s="32">
        <v>4729</v>
      </c>
      <c r="B4739" s="90">
        <v>7.5062483043203141</v>
      </c>
    </row>
    <row r="4740" spans="1:2">
      <c r="A4740" s="32">
        <v>4730</v>
      </c>
      <c r="B4740" s="90">
        <v>7.9744112158914264</v>
      </c>
    </row>
    <row r="4741" spans="1:2">
      <c r="A4741" s="32">
        <v>4731</v>
      </c>
      <c r="B4741" s="90">
        <v>8.8827857541538648</v>
      </c>
    </row>
    <row r="4742" spans="1:2">
      <c r="A4742" s="32">
        <v>4732</v>
      </c>
      <c r="B4742" s="90">
        <v>7.3596291438445309</v>
      </c>
    </row>
    <row r="4743" spans="1:2">
      <c r="A4743" s="32">
        <v>4733</v>
      </c>
      <c r="B4743" s="90">
        <v>8.1840886520643839</v>
      </c>
    </row>
    <row r="4744" spans="1:2">
      <c r="A4744" s="32">
        <v>4734</v>
      </c>
      <c r="B4744" s="90">
        <v>8.9080791482055552</v>
      </c>
    </row>
    <row r="4745" spans="1:2">
      <c r="A4745" s="32">
        <v>4735</v>
      </c>
      <c r="B4745" s="90">
        <v>7.611858807087823</v>
      </c>
    </row>
    <row r="4746" spans="1:2">
      <c r="A4746" s="32">
        <v>4736</v>
      </c>
      <c r="B4746" s="90">
        <v>8.0976350540876894</v>
      </c>
    </row>
    <row r="4747" spans="1:2">
      <c r="A4747" s="32">
        <v>4737</v>
      </c>
      <c r="B4747" s="90">
        <v>9.0308957274901864</v>
      </c>
    </row>
    <row r="4748" spans="1:2">
      <c r="A4748" s="32">
        <v>4738</v>
      </c>
      <c r="B4748" s="90">
        <v>6.9826066181951116</v>
      </c>
    </row>
    <row r="4749" spans="1:2">
      <c r="A4749" s="32">
        <v>4739</v>
      </c>
      <c r="B4749" s="90">
        <v>8.6520174187738537</v>
      </c>
    </row>
    <row r="4750" spans="1:2">
      <c r="A4750" s="32">
        <v>4740</v>
      </c>
      <c r="B4750" s="90">
        <v>8.3842725708979984</v>
      </c>
    </row>
    <row r="4751" spans="1:2">
      <c r="A4751" s="32">
        <v>4741</v>
      </c>
      <c r="B4751" s="90">
        <v>7.766654661881498</v>
      </c>
    </row>
    <row r="4752" spans="1:2">
      <c r="A4752" s="32">
        <v>4742</v>
      </c>
      <c r="B4752" s="90">
        <v>8.275054093076438</v>
      </c>
    </row>
    <row r="4753" spans="1:2">
      <c r="A4753" s="32">
        <v>4743</v>
      </c>
      <c r="B4753" s="90">
        <v>8.4731649528004045</v>
      </c>
    </row>
    <row r="4754" spans="1:2">
      <c r="A4754" s="32">
        <v>4744</v>
      </c>
      <c r="B4754" s="90">
        <v>7.4196576957685672</v>
      </c>
    </row>
    <row r="4755" spans="1:2">
      <c r="A4755" s="32">
        <v>4745</v>
      </c>
      <c r="B4755" s="90">
        <v>9.088570757586405</v>
      </c>
    </row>
    <row r="4756" spans="1:2">
      <c r="A4756" s="32">
        <v>4746</v>
      </c>
      <c r="B4756" s="90">
        <v>8.0813591825263487</v>
      </c>
    </row>
    <row r="4757" spans="1:2">
      <c r="A4757" s="32">
        <v>4747</v>
      </c>
      <c r="B4757" s="90">
        <v>7.6642135169192311</v>
      </c>
    </row>
    <row r="4758" spans="1:2">
      <c r="A4758" s="32">
        <v>4748</v>
      </c>
      <c r="B4758" s="90">
        <v>8.6238586487221962</v>
      </c>
    </row>
    <row r="4759" spans="1:2">
      <c r="A4759" s="32">
        <v>4749</v>
      </c>
      <c r="B4759" s="90">
        <v>8.3180852588947971</v>
      </c>
    </row>
    <row r="4760" spans="1:2">
      <c r="A4760" s="32">
        <v>4750</v>
      </c>
      <c r="B4760" s="90">
        <v>7.1398879629058793</v>
      </c>
    </row>
    <row r="4761" spans="1:2">
      <c r="A4761" s="32">
        <v>4751</v>
      </c>
      <c r="B4761" s="90">
        <v>9.6733211094963316</v>
      </c>
    </row>
    <row r="4762" spans="1:2">
      <c r="A4762" s="32">
        <v>4752</v>
      </c>
      <c r="B4762" s="90">
        <v>7.497388468462467</v>
      </c>
    </row>
    <row r="4763" spans="1:2">
      <c r="A4763" s="32">
        <v>4753</v>
      </c>
      <c r="B4763" s="90">
        <v>7.2574362965632142</v>
      </c>
    </row>
    <row r="4764" spans="1:2">
      <c r="A4764" s="32">
        <v>4754</v>
      </c>
      <c r="B4764" s="90">
        <v>9.7485305121278678</v>
      </c>
    </row>
    <row r="4765" spans="1:2">
      <c r="A4765" s="32">
        <v>4755</v>
      </c>
      <c r="B4765" s="90">
        <v>7.4103597392490128</v>
      </c>
    </row>
    <row r="4766" spans="1:2">
      <c r="A4766" s="32">
        <v>4756</v>
      </c>
      <c r="B4766" s="90">
        <v>8.0430317001164227</v>
      </c>
    </row>
    <row r="4767" spans="1:2">
      <c r="A4767" s="32">
        <v>4757</v>
      </c>
      <c r="B4767" s="90">
        <v>9.2116889275935314</v>
      </c>
    </row>
    <row r="4768" spans="1:2">
      <c r="A4768" s="32">
        <v>4758</v>
      </c>
      <c r="B4768" s="90">
        <v>7.2310927342662517</v>
      </c>
    </row>
    <row r="4769" spans="1:2">
      <c r="A4769" s="32">
        <v>4759</v>
      </c>
      <c r="B4769" s="90">
        <v>7.625586685783829</v>
      </c>
    </row>
    <row r="4770" spans="1:2">
      <c r="A4770" s="32">
        <v>4760</v>
      </c>
      <c r="B4770" s="90">
        <v>9.5191020904574</v>
      </c>
    </row>
    <row r="4771" spans="1:2">
      <c r="A4771" s="32">
        <v>4761</v>
      </c>
      <c r="B4771" s="90">
        <v>7.1833721016458734</v>
      </c>
    </row>
    <row r="4772" spans="1:2">
      <c r="A4772" s="32">
        <v>4762</v>
      </c>
      <c r="B4772" s="90">
        <v>7.9412029661115522</v>
      </c>
    </row>
    <row r="4773" spans="1:2">
      <c r="A4773" s="32">
        <v>4763</v>
      </c>
      <c r="B4773" s="90">
        <v>9.368677131184489</v>
      </c>
    </row>
    <row r="4774" spans="1:2">
      <c r="A4774" s="32">
        <v>4764</v>
      </c>
      <c r="B4774" s="90">
        <v>7.4283909484510291</v>
      </c>
    </row>
    <row r="4775" spans="1:2">
      <c r="A4775" s="32">
        <v>4765</v>
      </c>
      <c r="B4775" s="90">
        <v>8.2242555730303728</v>
      </c>
    </row>
    <row r="4776" spans="1:2">
      <c r="A4776" s="32">
        <v>4766</v>
      </c>
      <c r="B4776" s="90">
        <v>8.9735777253283757</v>
      </c>
    </row>
    <row r="4777" spans="1:2">
      <c r="A4777" s="32">
        <v>4767</v>
      </c>
      <c r="B4777" s="90">
        <v>7.0599721153222905</v>
      </c>
    </row>
    <row r="4778" spans="1:2">
      <c r="A4778" s="32">
        <v>4768</v>
      </c>
      <c r="B4778" s="90">
        <v>8.7861175212159459</v>
      </c>
    </row>
    <row r="4779" spans="1:2">
      <c r="A4779" s="32">
        <v>4769</v>
      </c>
      <c r="B4779" s="90">
        <v>8.1051876953355624</v>
      </c>
    </row>
    <row r="4780" spans="1:2">
      <c r="A4780" s="32">
        <v>4770</v>
      </c>
      <c r="B4780" s="90">
        <v>7.7076188862862818</v>
      </c>
    </row>
    <row r="4781" spans="1:2">
      <c r="A4781" s="32">
        <v>4771</v>
      </c>
      <c r="B4781" s="90">
        <v>8.3722574723509613</v>
      </c>
    </row>
    <row r="4782" spans="1:2">
      <c r="A4782" s="32">
        <v>4772</v>
      </c>
      <c r="B4782" s="90">
        <v>8.7931119260912904</v>
      </c>
    </row>
    <row r="4783" spans="1:2">
      <c r="A4783" s="32">
        <v>4773</v>
      </c>
      <c r="B4783" s="90">
        <v>6.8544928228490933</v>
      </c>
    </row>
    <row r="4784" spans="1:2">
      <c r="A4784" s="32">
        <v>4774</v>
      </c>
      <c r="B4784" s="90">
        <v>9.3866778257974097</v>
      </c>
    </row>
    <row r="4785" spans="1:2">
      <c r="A4785" s="32">
        <v>4775</v>
      </c>
      <c r="B4785" s="90">
        <v>8.0066224341560801</v>
      </c>
    </row>
    <row r="4786" spans="1:2">
      <c r="A4786" s="32">
        <v>4776</v>
      </c>
      <c r="B4786" s="90">
        <v>9.0522929465282491</v>
      </c>
    </row>
    <row r="4787" spans="1:2">
      <c r="A4787" s="32">
        <v>4777</v>
      </c>
      <c r="B4787" s="90">
        <v>8.8869322036358565</v>
      </c>
    </row>
    <row r="4788" spans="1:2">
      <c r="A4788" s="32">
        <v>4778</v>
      </c>
      <c r="B4788" s="90">
        <v>8.1411920304440848</v>
      </c>
    </row>
    <row r="4789" spans="1:2">
      <c r="A4789" s="32">
        <v>4779</v>
      </c>
      <c r="B4789" s="90">
        <v>7.6548862371174113</v>
      </c>
    </row>
    <row r="4790" spans="1:2">
      <c r="A4790" s="32">
        <v>4780</v>
      </c>
      <c r="B4790" s="90">
        <v>7.5637027486422195</v>
      </c>
    </row>
    <row r="4791" spans="1:2">
      <c r="A4791" s="32">
        <v>4781</v>
      </c>
      <c r="B4791" s="90">
        <v>7.8988309696903816</v>
      </c>
    </row>
    <row r="4792" spans="1:2">
      <c r="A4792" s="32">
        <v>4782</v>
      </c>
      <c r="B4792" s="90">
        <v>9.7642846765038751</v>
      </c>
    </row>
    <row r="4793" spans="1:2">
      <c r="A4793" s="32">
        <v>4783</v>
      </c>
      <c r="B4793" s="90">
        <v>8.1423521393474445</v>
      </c>
    </row>
    <row r="4794" spans="1:2">
      <c r="A4794" s="32">
        <v>4784</v>
      </c>
      <c r="B4794" s="90">
        <v>7.8923938974928731</v>
      </c>
    </row>
    <row r="4795" spans="1:2">
      <c r="A4795" s="32">
        <v>4785</v>
      </c>
      <c r="B4795" s="90">
        <v>8.173534957072528</v>
      </c>
    </row>
    <row r="4796" spans="1:2">
      <c r="A4796" s="32">
        <v>4786</v>
      </c>
      <c r="B4796" s="90">
        <v>7.3412569037103754</v>
      </c>
    </row>
    <row r="4797" spans="1:2">
      <c r="A4797" s="32">
        <v>4787</v>
      </c>
      <c r="B4797" s="90">
        <v>8.4675789942382931</v>
      </c>
    </row>
    <row r="4798" spans="1:2">
      <c r="A4798" s="32">
        <v>4788</v>
      </c>
      <c r="B4798" s="90">
        <v>9.389844828634919</v>
      </c>
    </row>
    <row r="4799" spans="1:2">
      <c r="A4799" s="32">
        <v>4789</v>
      </c>
      <c r="B4799" s="90">
        <v>7.8476315586338883</v>
      </c>
    </row>
    <row r="4800" spans="1:2">
      <c r="A4800" s="32">
        <v>4790</v>
      </c>
      <c r="B4800" s="90">
        <v>7.5257142025975075</v>
      </c>
    </row>
    <row r="4801" spans="1:2">
      <c r="A4801" s="32">
        <v>4791</v>
      </c>
      <c r="B4801" s="90">
        <v>8.4615680536512716</v>
      </c>
    </row>
    <row r="4802" spans="1:2">
      <c r="A4802" s="32">
        <v>4792</v>
      </c>
      <c r="B4802" s="90">
        <v>7.5613996187107615</v>
      </c>
    </row>
    <row r="4803" spans="1:2">
      <c r="A4803" s="32">
        <v>4793</v>
      </c>
      <c r="B4803" s="90">
        <v>8.8697182358770004</v>
      </c>
    </row>
    <row r="4804" spans="1:2">
      <c r="A4804" s="32">
        <v>4794</v>
      </c>
      <c r="B4804" s="90">
        <v>8.8480942998738676</v>
      </c>
    </row>
    <row r="4805" spans="1:2">
      <c r="A4805" s="32">
        <v>4795</v>
      </c>
      <c r="B4805" s="90">
        <v>8.0378054107058823</v>
      </c>
    </row>
    <row r="4806" spans="1:2">
      <c r="A4806" s="32">
        <v>4796</v>
      </c>
      <c r="B4806" s="90">
        <v>7.4253308858888802</v>
      </c>
    </row>
    <row r="4807" spans="1:2">
      <c r="A4807" s="32">
        <v>4797</v>
      </c>
      <c r="B4807" s="90">
        <v>8.3530264263214775</v>
      </c>
    </row>
    <row r="4808" spans="1:2">
      <c r="A4808" s="32">
        <v>4798</v>
      </c>
      <c r="B4808" s="90">
        <v>7.6091629343391327</v>
      </c>
    </row>
    <row r="4809" spans="1:2">
      <c r="A4809" s="32">
        <v>4799</v>
      </c>
      <c r="B4809" s="90">
        <v>8.6137462018020017</v>
      </c>
    </row>
    <row r="4810" spans="1:2">
      <c r="A4810" s="32">
        <v>4800</v>
      </c>
      <c r="B4810" s="90">
        <v>9.2658014954435401</v>
      </c>
    </row>
    <row r="4811" spans="1:2">
      <c r="A4811" s="32">
        <v>4801</v>
      </c>
      <c r="B4811" s="90">
        <v>8.0193075018118716</v>
      </c>
    </row>
    <row r="4812" spans="1:2">
      <c r="A4812" s="32">
        <v>4802</v>
      </c>
      <c r="B4812" s="90">
        <v>7.4255497491548361</v>
      </c>
    </row>
    <row r="4813" spans="1:2">
      <c r="A4813" s="32">
        <v>4803</v>
      </c>
      <c r="B4813" s="90">
        <v>7.9770561897413064</v>
      </c>
    </row>
    <row r="4814" spans="1:2">
      <c r="A4814" s="32">
        <v>4804</v>
      </c>
      <c r="B4814" s="90">
        <v>7.8978571636972097</v>
      </c>
    </row>
    <row r="4815" spans="1:2">
      <c r="A4815" s="32">
        <v>4805</v>
      </c>
      <c r="B4815" s="90">
        <v>8.416332741364112</v>
      </c>
    </row>
    <row r="4816" spans="1:2">
      <c r="A4816" s="32">
        <v>4806</v>
      </c>
      <c r="B4816" s="90">
        <v>9.2686144446539291</v>
      </c>
    </row>
    <row r="4817" spans="1:2">
      <c r="A4817" s="32">
        <v>4807</v>
      </c>
      <c r="B4817" s="90">
        <v>8.2793513228605029</v>
      </c>
    </row>
    <row r="4818" spans="1:2">
      <c r="A4818" s="32">
        <v>4808</v>
      </c>
      <c r="B4818" s="90">
        <v>7.3458965199939081</v>
      </c>
    </row>
    <row r="4819" spans="1:2">
      <c r="A4819" s="32">
        <v>4809</v>
      </c>
      <c r="B4819" s="90">
        <v>7.8901021353973784</v>
      </c>
    </row>
    <row r="4820" spans="1:2">
      <c r="A4820" s="32">
        <v>4810</v>
      </c>
      <c r="B4820" s="90">
        <v>7.4550830826949532</v>
      </c>
    </row>
    <row r="4821" spans="1:2">
      <c r="A4821" s="32">
        <v>4811</v>
      </c>
      <c r="B4821" s="90">
        <v>10.234924418319562</v>
      </c>
    </row>
    <row r="4822" spans="1:2">
      <c r="A4822" s="32">
        <v>4812</v>
      </c>
      <c r="B4822" s="90">
        <v>8.1770277581965214</v>
      </c>
    </row>
    <row r="4823" spans="1:2">
      <c r="A4823" s="32">
        <v>4813</v>
      </c>
      <c r="B4823" s="90">
        <v>8.1524618602227541</v>
      </c>
    </row>
    <row r="4824" spans="1:2">
      <c r="A4824" s="32">
        <v>4814</v>
      </c>
      <c r="B4824" s="90">
        <v>8.1366645449809933</v>
      </c>
    </row>
    <row r="4825" spans="1:2">
      <c r="A4825" s="32">
        <v>4815</v>
      </c>
      <c r="B4825" s="90">
        <v>7.2469914034918608</v>
      </c>
    </row>
    <row r="4826" spans="1:2">
      <c r="A4826" s="32">
        <v>4816</v>
      </c>
      <c r="B4826" s="90">
        <v>7.9713597015719149</v>
      </c>
    </row>
    <row r="4827" spans="1:2">
      <c r="A4827" s="32">
        <v>4817</v>
      </c>
      <c r="B4827" s="90">
        <v>9.5431196700265861</v>
      </c>
    </row>
    <row r="4828" spans="1:2">
      <c r="A4828" s="32">
        <v>4818</v>
      </c>
      <c r="B4828" s="90">
        <v>8.2894980551814381</v>
      </c>
    </row>
    <row r="4829" spans="1:2">
      <c r="A4829" s="32">
        <v>4819</v>
      </c>
      <c r="B4829" s="90">
        <v>7.512058935437123</v>
      </c>
    </row>
    <row r="4830" spans="1:2">
      <c r="A4830" s="32">
        <v>4820</v>
      </c>
      <c r="B4830" s="90">
        <v>8.1731126349050527</v>
      </c>
    </row>
    <row r="4831" spans="1:2">
      <c r="A4831" s="32">
        <v>4821</v>
      </c>
      <c r="B4831" s="90">
        <v>7.8622444204102182</v>
      </c>
    </row>
    <row r="4832" spans="1:2">
      <c r="A4832" s="32">
        <v>4822</v>
      </c>
      <c r="B4832" s="90">
        <v>8.3615303885160515</v>
      </c>
    </row>
    <row r="4833" spans="1:2">
      <c r="A4833" s="32">
        <v>4823</v>
      </c>
      <c r="B4833" s="90">
        <v>9.1185112823019399</v>
      </c>
    </row>
    <row r="4834" spans="1:2">
      <c r="A4834" s="32">
        <v>4824</v>
      </c>
      <c r="B4834" s="90">
        <v>8.3033378645400884</v>
      </c>
    </row>
    <row r="4835" spans="1:2">
      <c r="A4835" s="32">
        <v>4825</v>
      </c>
      <c r="B4835" s="90">
        <v>7.3560342878499361</v>
      </c>
    </row>
    <row r="4836" spans="1:2">
      <c r="A4836" s="32">
        <v>4826</v>
      </c>
      <c r="B4836" s="90">
        <v>8.2841099167906194</v>
      </c>
    </row>
    <row r="4837" spans="1:2">
      <c r="A4837" s="32">
        <v>4827</v>
      </c>
      <c r="B4837" s="90">
        <v>7.3574606543506293</v>
      </c>
    </row>
    <row r="4838" spans="1:2">
      <c r="A4838" s="32">
        <v>4828</v>
      </c>
      <c r="B4838" s="90">
        <v>9.0130533227123912</v>
      </c>
    </row>
    <row r="4839" spans="1:2">
      <c r="A4839" s="32">
        <v>4829</v>
      </c>
      <c r="B4839" s="90">
        <v>8.7953018220278807</v>
      </c>
    </row>
    <row r="4840" spans="1:2">
      <c r="A4840" s="32">
        <v>4830</v>
      </c>
      <c r="B4840" s="90">
        <v>8.3359313333426321</v>
      </c>
    </row>
    <row r="4841" spans="1:2">
      <c r="A4841" s="32">
        <v>4831</v>
      </c>
      <c r="B4841" s="90">
        <v>7.2737343512112052</v>
      </c>
    </row>
    <row r="4842" spans="1:2">
      <c r="A4842" s="32">
        <v>4832</v>
      </c>
      <c r="B4842" s="90">
        <v>8.1270515016154761</v>
      </c>
    </row>
    <row r="4843" spans="1:2">
      <c r="A4843" s="32">
        <v>4833</v>
      </c>
      <c r="B4843" s="90">
        <v>7.7930800932447504</v>
      </c>
    </row>
    <row r="4844" spans="1:2">
      <c r="A4844" s="32">
        <v>4834</v>
      </c>
      <c r="B4844" s="90">
        <v>8.8658228200176019</v>
      </c>
    </row>
    <row r="4845" spans="1:2">
      <c r="A4845" s="32">
        <v>4835</v>
      </c>
      <c r="B4845" s="90">
        <v>8.7475204737595078</v>
      </c>
    </row>
    <row r="4846" spans="1:2">
      <c r="A4846" s="32">
        <v>4836</v>
      </c>
      <c r="B4846" s="90">
        <v>8.2872514835030309</v>
      </c>
    </row>
    <row r="4847" spans="1:2">
      <c r="A4847" s="32">
        <v>4837</v>
      </c>
      <c r="B4847" s="90">
        <v>7.6464262659979196</v>
      </c>
    </row>
    <row r="4848" spans="1:2">
      <c r="A4848" s="32">
        <v>4838</v>
      </c>
      <c r="B4848" s="90">
        <v>7.595124996442955</v>
      </c>
    </row>
    <row r="4849" spans="1:2">
      <c r="A4849" s="32">
        <v>4839</v>
      </c>
      <c r="B4849" s="90">
        <v>7.8237272363816599</v>
      </c>
    </row>
    <row r="4850" spans="1:2">
      <c r="A4850" s="32">
        <v>4840</v>
      </c>
      <c r="B4850" s="90">
        <v>9.1650530174569305</v>
      </c>
    </row>
    <row r="4851" spans="1:2">
      <c r="A4851" s="32">
        <v>4841</v>
      </c>
      <c r="B4851" s="90">
        <v>8.8869322036358565</v>
      </c>
    </row>
    <row r="4852" spans="1:2">
      <c r="A4852" s="32">
        <v>4842</v>
      </c>
      <c r="B4852" s="90">
        <v>8.1411920304440848</v>
      </c>
    </row>
    <row r="4853" spans="1:2">
      <c r="A4853" s="32">
        <v>4843</v>
      </c>
      <c r="B4853" s="90">
        <v>7.6548862371174113</v>
      </c>
    </row>
    <row r="4854" spans="1:2">
      <c r="A4854" s="32">
        <v>4844</v>
      </c>
      <c r="B4854" s="90">
        <v>7.5637027486422195</v>
      </c>
    </row>
    <row r="4855" spans="1:2">
      <c r="A4855" s="32">
        <v>4845</v>
      </c>
      <c r="B4855" s="90">
        <v>7.8988309696903816</v>
      </c>
    </row>
    <row r="4856" spans="1:2">
      <c r="A4856" s="32">
        <v>4846</v>
      </c>
      <c r="B4856" s="90">
        <v>9.7642846765038751</v>
      </c>
    </row>
    <row r="4857" spans="1:2">
      <c r="A4857" s="32">
        <v>4847</v>
      </c>
      <c r="B4857" s="90">
        <v>8.1423521393474445</v>
      </c>
    </row>
    <row r="4858" spans="1:2">
      <c r="A4858" s="32">
        <v>4848</v>
      </c>
      <c r="B4858" s="90">
        <v>7.8923938974928731</v>
      </c>
    </row>
    <row r="4859" spans="1:2">
      <c r="A4859" s="32">
        <v>4849</v>
      </c>
      <c r="B4859" s="90">
        <v>8.173534957072528</v>
      </c>
    </row>
    <row r="4860" spans="1:2">
      <c r="A4860" s="32">
        <v>4850</v>
      </c>
      <c r="B4860" s="90">
        <v>7.3412569037103754</v>
      </c>
    </row>
    <row r="4861" spans="1:2">
      <c r="A4861" s="32">
        <v>4851</v>
      </c>
      <c r="B4861" s="90">
        <v>8.4675789942382931</v>
      </c>
    </row>
    <row r="4862" spans="1:2">
      <c r="A4862" s="32">
        <v>4852</v>
      </c>
      <c r="B4862" s="90">
        <v>9.389844828634919</v>
      </c>
    </row>
    <row r="4863" spans="1:2">
      <c r="A4863" s="32">
        <v>4853</v>
      </c>
      <c r="B4863" s="90">
        <v>7.8476315586338883</v>
      </c>
    </row>
    <row r="4864" spans="1:2">
      <c r="A4864" s="32">
        <v>4854</v>
      </c>
      <c r="B4864" s="90">
        <v>7.5257142025975075</v>
      </c>
    </row>
    <row r="4865" spans="1:2">
      <c r="A4865" s="32">
        <v>4855</v>
      </c>
      <c r="B4865" s="90">
        <v>8.4615680536512716</v>
      </c>
    </row>
    <row r="4866" spans="1:2">
      <c r="A4866" s="32">
        <v>4856</v>
      </c>
      <c r="B4866" s="90">
        <v>7.5613996187107615</v>
      </c>
    </row>
    <row r="4867" spans="1:2">
      <c r="A4867" s="32">
        <v>4857</v>
      </c>
      <c r="B4867" s="90">
        <v>8.8697182358770004</v>
      </c>
    </row>
    <row r="4868" spans="1:2">
      <c r="A4868" s="32">
        <v>4858</v>
      </c>
      <c r="B4868" s="90">
        <v>8.8480942998738676</v>
      </c>
    </row>
    <row r="4869" spans="1:2">
      <c r="A4869" s="32">
        <v>4859</v>
      </c>
      <c r="B4869" s="90">
        <v>8.0378054107058823</v>
      </c>
    </row>
    <row r="4870" spans="1:2">
      <c r="A4870" s="32">
        <v>4860</v>
      </c>
      <c r="B4870" s="90">
        <v>7.4253308858888802</v>
      </c>
    </row>
    <row r="4871" spans="1:2">
      <c r="A4871" s="32">
        <v>4861</v>
      </c>
      <c r="B4871" s="90">
        <v>8.3530264263214775</v>
      </c>
    </row>
    <row r="4872" spans="1:2">
      <c r="A4872" s="32">
        <v>4862</v>
      </c>
      <c r="B4872" s="90">
        <v>7.6091629343391327</v>
      </c>
    </row>
    <row r="4873" spans="1:2">
      <c r="A4873" s="32">
        <v>4863</v>
      </c>
      <c r="B4873" s="90">
        <v>8.6137462018020017</v>
      </c>
    </row>
    <row r="4874" spans="1:2">
      <c r="A4874" s="32">
        <v>4864</v>
      </c>
      <c r="B4874" s="90">
        <v>9.2658014954435401</v>
      </c>
    </row>
    <row r="4875" spans="1:2">
      <c r="A4875" s="32">
        <v>4865</v>
      </c>
      <c r="B4875" s="90">
        <v>8.0193075018118716</v>
      </c>
    </row>
    <row r="4876" spans="1:2">
      <c r="A4876" s="32">
        <v>4866</v>
      </c>
      <c r="B4876" s="90">
        <v>7.4255497491548361</v>
      </c>
    </row>
    <row r="4877" spans="1:2">
      <c r="A4877" s="32">
        <v>4867</v>
      </c>
      <c r="B4877" s="90">
        <v>7.9770561897413064</v>
      </c>
    </row>
    <row r="4878" spans="1:2">
      <c r="A4878" s="32">
        <v>4868</v>
      </c>
      <c r="B4878" s="90">
        <v>7.8978571636972097</v>
      </c>
    </row>
    <row r="4879" spans="1:2">
      <c r="A4879" s="32">
        <v>4869</v>
      </c>
      <c r="B4879" s="90">
        <v>8.416332741364112</v>
      </c>
    </row>
    <row r="4880" spans="1:2">
      <c r="A4880" s="32">
        <v>4870</v>
      </c>
      <c r="B4880" s="90">
        <v>9.2686144446539291</v>
      </c>
    </row>
    <row r="4881" spans="1:2">
      <c r="A4881" s="32">
        <v>4871</v>
      </c>
      <c r="B4881" s="90">
        <v>8.2793513228605029</v>
      </c>
    </row>
    <row r="4882" spans="1:2">
      <c r="A4882" s="32">
        <v>4872</v>
      </c>
      <c r="B4882" s="90">
        <v>7.3458965199939081</v>
      </c>
    </row>
    <row r="4883" spans="1:2">
      <c r="A4883" s="32">
        <v>4873</v>
      </c>
      <c r="B4883" s="90">
        <v>7.8901021353973784</v>
      </c>
    </row>
    <row r="4884" spans="1:2">
      <c r="A4884" s="32">
        <v>4874</v>
      </c>
      <c r="B4884" s="90">
        <v>7.4550830826949532</v>
      </c>
    </row>
    <row r="4885" spans="1:2">
      <c r="A4885" s="32">
        <v>4875</v>
      </c>
      <c r="B4885" s="90">
        <v>10.234924418319562</v>
      </c>
    </row>
    <row r="4886" spans="1:2">
      <c r="A4886" s="32">
        <v>4876</v>
      </c>
      <c r="B4886" s="90">
        <v>8.1770277581965214</v>
      </c>
    </row>
    <row r="4887" spans="1:2">
      <c r="A4887" s="32">
        <v>4877</v>
      </c>
      <c r="B4887" s="90">
        <v>8.1524618602227541</v>
      </c>
    </row>
    <row r="4888" spans="1:2">
      <c r="A4888" s="32">
        <v>4878</v>
      </c>
      <c r="B4888" s="90">
        <v>8.1366645449809933</v>
      </c>
    </row>
    <row r="4889" spans="1:2">
      <c r="A4889" s="32">
        <v>4879</v>
      </c>
      <c r="B4889" s="90">
        <v>7.2469914034918608</v>
      </c>
    </row>
    <row r="4890" spans="1:2">
      <c r="A4890" s="32">
        <v>4880</v>
      </c>
      <c r="B4890" s="90">
        <v>7.9713597015719149</v>
      </c>
    </row>
    <row r="4891" spans="1:2">
      <c r="A4891" s="32">
        <v>4881</v>
      </c>
      <c r="B4891" s="90">
        <v>9.5431196700265861</v>
      </c>
    </row>
    <row r="4892" spans="1:2">
      <c r="A4892" s="32">
        <v>4882</v>
      </c>
      <c r="B4892" s="90">
        <v>8.2894980551814381</v>
      </c>
    </row>
    <row r="4893" spans="1:2">
      <c r="A4893" s="32">
        <v>4883</v>
      </c>
      <c r="B4893" s="90">
        <v>7.512058935437123</v>
      </c>
    </row>
    <row r="4894" spans="1:2">
      <c r="A4894" s="32">
        <v>4884</v>
      </c>
      <c r="B4894" s="90">
        <v>8.1731126349050527</v>
      </c>
    </row>
    <row r="4895" spans="1:2">
      <c r="A4895" s="32">
        <v>4885</v>
      </c>
      <c r="B4895" s="90">
        <v>7.8622444204102182</v>
      </c>
    </row>
    <row r="4896" spans="1:2">
      <c r="A4896" s="32">
        <v>4886</v>
      </c>
      <c r="B4896" s="90">
        <v>8.3615303885160515</v>
      </c>
    </row>
    <row r="4897" spans="1:2">
      <c r="A4897" s="32">
        <v>4887</v>
      </c>
      <c r="B4897" s="90">
        <v>9.1185112823019399</v>
      </c>
    </row>
    <row r="4898" spans="1:2">
      <c r="A4898" s="32">
        <v>4888</v>
      </c>
      <c r="B4898" s="90">
        <v>8.3033378645400884</v>
      </c>
    </row>
    <row r="4899" spans="1:2">
      <c r="A4899" s="32">
        <v>4889</v>
      </c>
      <c r="B4899" s="90">
        <v>7.3560342878499361</v>
      </c>
    </row>
    <row r="4900" spans="1:2">
      <c r="A4900" s="32">
        <v>4890</v>
      </c>
      <c r="B4900" s="90">
        <v>8.2841099167906194</v>
      </c>
    </row>
    <row r="4901" spans="1:2">
      <c r="A4901" s="32">
        <v>4891</v>
      </c>
      <c r="B4901" s="90">
        <v>7.3574606543506293</v>
      </c>
    </row>
    <row r="4902" spans="1:2">
      <c r="A4902" s="32">
        <v>4892</v>
      </c>
      <c r="B4902" s="90">
        <v>9.0130533227123912</v>
      </c>
    </row>
    <row r="4903" spans="1:2">
      <c r="A4903" s="32">
        <v>4893</v>
      </c>
      <c r="B4903" s="90">
        <v>8.1962689226959018</v>
      </c>
    </row>
    <row r="4904" spans="1:2">
      <c r="A4904" s="32">
        <v>4894</v>
      </c>
      <c r="B4904" s="90">
        <v>8.3434225578527954</v>
      </c>
    </row>
    <row r="4905" spans="1:2">
      <c r="A4905" s="32">
        <v>4895</v>
      </c>
      <c r="B4905" s="90">
        <v>7.9627243950312279</v>
      </c>
    </row>
    <row r="4906" spans="1:2">
      <c r="A4906" s="32">
        <v>4896</v>
      </c>
      <c r="B4906" s="90">
        <v>8.2497418355254979</v>
      </c>
    </row>
    <row r="4907" spans="1:2">
      <c r="A4907" s="32">
        <v>4897</v>
      </c>
      <c r="B4907" s="90">
        <v>8.4580478678212074</v>
      </c>
    </row>
    <row r="4908" spans="1:2">
      <c r="A4908" s="32">
        <v>4898</v>
      </c>
      <c r="B4908" s="90">
        <v>8.5774934436843537</v>
      </c>
    </row>
    <row r="4909" spans="1:2">
      <c r="A4909" s="32">
        <v>4899</v>
      </c>
      <c r="B4909" s="90">
        <v>7.5911123166759493</v>
      </c>
    </row>
    <row r="4910" spans="1:2">
      <c r="A4910" s="32">
        <v>4900</v>
      </c>
      <c r="B4910" s="90">
        <v>9.4420465453500331</v>
      </c>
    </row>
    <row r="4911" spans="1:2">
      <c r="A4911" s="32">
        <v>4901</v>
      </c>
      <c r="B4911" s="90">
        <v>7.5362641983368679</v>
      </c>
    </row>
    <row r="4912" spans="1:2">
      <c r="A4912" s="32">
        <v>4902</v>
      </c>
      <c r="B4912" s="90">
        <v>7.7112775706604175</v>
      </c>
    </row>
    <row r="4913" spans="1:2">
      <c r="A4913" s="32">
        <v>4903</v>
      </c>
      <c r="B4913" s="90">
        <v>9.4187041802822264</v>
      </c>
    </row>
    <row r="4914" spans="1:2">
      <c r="A4914" s="32">
        <v>4904</v>
      </c>
      <c r="B4914" s="90">
        <v>8.1798623388680998</v>
      </c>
    </row>
    <row r="4915" spans="1:2">
      <c r="A4915" s="32">
        <v>4905</v>
      </c>
      <c r="B4915" s="90">
        <v>7.4273292529926618</v>
      </c>
    </row>
    <row r="4916" spans="1:2">
      <c r="A4916" s="32">
        <v>4906</v>
      </c>
      <c r="B4916" s="90">
        <v>9.4363308285787078</v>
      </c>
    </row>
    <row r="4917" spans="1:2">
      <c r="A4917" s="32">
        <v>4907</v>
      </c>
      <c r="B4917" s="90">
        <v>7.9150452098977491</v>
      </c>
    </row>
    <row r="4918" spans="1:2">
      <c r="A4918" s="32">
        <v>4908</v>
      </c>
      <c r="B4918" s="90">
        <v>7.5418312058552335</v>
      </c>
    </row>
    <row r="4919" spans="1:2">
      <c r="A4919" s="32">
        <v>4909</v>
      </c>
      <c r="B4919" s="90">
        <v>9.2365372396862835</v>
      </c>
    </row>
    <row r="4920" spans="1:2">
      <c r="A4920" s="32">
        <v>4910</v>
      </c>
      <c r="B4920" s="90">
        <v>7.7836704492526287</v>
      </c>
    </row>
    <row r="4921" spans="1:2">
      <c r="A4921" s="32">
        <v>4911</v>
      </c>
      <c r="B4921" s="90">
        <v>7.8243194015848303</v>
      </c>
    </row>
    <row r="4922" spans="1:2">
      <c r="A4922" s="32">
        <v>4912</v>
      </c>
      <c r="B4922" s="90">
        <v>9.0119297347751157</v>
      </c>
    </row>
    <row r="4923" spans="1:2">
      <c r="A4923" s="32">
        <v>4913</v>
      </c>
      <c r="B4923" s="90">
        <v>7.852596562329758</v>
      </c>
    </row>
    <row r="4924" spans="1:2">
      <c r="A4924" s="32">
        <v>4914</v>
      </c>
      <c r="B4924" s="90">
        <v>8.3069522980335186</v>
      </c>
    </row>
    <row r="4925" spans="1:2">
      <c r="A4925" s="32">
        <v>4915</v>
      </c>
      <c r="B4925" s="90">
        <v>8.4954799247051422</v>
      </c>
    </row>
    <row r="4926" spans="1:2">
      <c r="A4926" s="32">
        <v>4916</v>
      </c>
      <c r="B4926" s="90">
        <v>8.1925937469111201</v>
      </c>
    </row>
    <row r="4927" spans="1:2">
      <c r="A4927" s="32">
        <v>4917</v>
      </c>
      <c r="B4927" s="90">
        <v>7.7336010712023588</v>
      </c>
    </row>
    <row r="4928" spans="1:2">
      <c r="A4928" s="32">
        <v>4918</v>
      </c>
      <c r="B4928" s="90">
        <v>9.0663650758576839</v>
      </c>
    </row>
    <row r="4929" spans="1:2">
      <c r="A4929" s="32">
        <v>4919</v>
      </c>
      <c r="B4929" s="90">
        <v>7.414079429352479</v>
      </c>
    </row>
    <row r="4930" spans="1:2">
      <c r="A4930" s="32">
        <v>4920</v>
      </c>
      <c r="B4930" s="90">
        <v>8.6227979392508853</v>
      </c>
    </row>
    <row r="4931" spans="1:2">
      <c r="A4931" s="32">
        <v>4921</v>
      </c>
      <c r="B4931" s="90">
        <v>8.5797040233085369</v>
      </c>
    </row>
    <row r="4932" spans="1:2">
      <c r="A4932" s="32">
        <v>4922</v>
      </c>
      <c r="B4932" s="90">
        <v>8.0504481163753479</v>
      </c>
    </row>
    <row r="4933" spans="1:2">
      <c r="A4933" s="32">
        <v>4923</v>
      </c>
      <c r="B4933" s="90">
        <v>7.9252559642989526</v>
      </c>
    </row>
    <row r="4934" spans="1:2">
      <c r="A4934" s="32">
        <v>4924</v>
      </c>
      <c r="B4934" s="90">
        <v>8.5956743861647666</v>
      </c>
    </row>
    <row r="4935" spans="1:2">
      <c r="A4935" s="32">
        <v>4925</v>
      </c>
      <c r="B4935" s="90">
        <v>8.0462240649320833</v>
      </c>
    </row>
    <row r="4936" spans="1:2">
      <c r="A4936" s="32">
        <v>4926</v>
      </c>
      <c r="B4936" s="90">
        <v>8.5383509346583644</v>
      </c>
    </row>
    <row r="4937" spans="1:2">
      <c r="A4937" s="32">
        <v>4927</v>
      </c>
      <c r="B4937" s="90">
        <v>8.4311487791810453</v>
      </c>
    </row>
    <row r="4938" spans="1:2">
      <c r="A4938" s="32">
        <v>4928</v>
      </c>
      <c r="B4938" s="90">
        <v>7.705716086365757</v>
      </c>
    </row>
    <row r="4939" spans="1:2">
      <c r="A4939" s="32">
        <v>4929</v>
      </c>
      <c r="B4939" s="90">
        <v>8.7146110697525341</v>
      </c>
    </row>
    <row r="4940" spans="1:2">
      <c r="A4940" s="32">
        <v>4930</v>
      </c>
      <c r="B4940" s="90">
        <v>7.7139242408300772</v>
      </c>
    </row>
    <row r="4941" spans="1:2">
      <c r="A4941" s="32">
        <v>4931</v>
      </c>
      <c r="B4941" s="90">
        <v>7.7477380381060303</v>
      </c>
    </row>
    <row r="4942" spans="1:2">
      <c r="A4942" s="32">
        <v>4932</v>
      </c>
      <c r="B4942" s="90">
        <v>9.1222954280239605</v>
      </c>
    </row>
    <row r="4943" spans="1:2">
      <c r="A4943" s="32">
        <v>4933</v>
      </c>
      <c r="B4943" s="90">
        <v>8.4167802136595107</v>
      </c>
    </row>
    <row r="4944" spans="1:2">
      <c r="A4944" s="32">
        <v>4934</v>
      </c>
      <c r="B4944" s="90">
        <v>7.3513334276007525</v>
      </c>
    </row>
    <row r="4945" spans="1:2">
      <c r="A4945" s="32">
        <v>4935</v>
      </c>
      <c r="B4945" s="90">
        <v>9.7954511355727742</v>
      </c>
    </row>
    <row r="4946" spans="1:2">
      <c r="A4946" s="32">
        <v>4936</v>
      </c>
      <c r="B4946" s="90">
        <v>7.465069031862452</v>
      </c>
    </row>
    <row r="4947" spans="1:2">
      <c r="A4947" s="32">
        <v>4937</v>
      </c>
      <c r="B4947" s="90">
        <v>7.8849036775873698</v>
      </c>
    </row>
    <row r="4948" spans="1:2">
      <c r="A4948" s="32">
        <v>4938</v>
      </c>
      <c r="B4948" s="90">
        <v>9.4889500441511512</v>
      </c>
    </row>
    <row r="4949" spans="1:2">
      <c r="A4949" s="32">
        <v>4939</v>
      </c>
      <c r="B4949" s="90">
        <v>7.8896590975506751</v>
      </c>
    </row>
    <row r="4950" spans="1:2">
      <c r="A4950" s="32">
        <v>4940</v>
      </c>
      <c r="B4950" s="90">
        <v>7.6324536023485239</v>
      </c>
    </row>
    <row r="4951" spans="1:2">
      <c r="A4951" s="32">
        <v>4941</v>
      </c>
      <c r="B4951" s="90">
        <v>9.1467247566407348</v>
      </c>
    </row>
    <row r="4952" spans="1:2">
      <c r="A4952" s="32">
        <v>4942</v>
      </c>
      <c r="B4952" s="90">
        <v>7.7505035216152134</v>
      </c>
    </row>
    <row r="4953" spans="1:2">
      <c r="A4953" s="32">
        <v>4943</v>
      </c>
      <c r="B4953" s="90">
        <v>8.0256994907329151</v>
      </c>
    </row>
    <row r="4954" spans="1:2">
      <c r="A4954" s="32">
        <v>4944</v>
      </c>
      <c r="B4954" s="90">
        <v>8.879946786608599</v>
      </c>
    </row>
    <row r="4955" spans="1:2">
      <c r="A4955" s="32">
        <v>4945</v>
      </c>
      <c r="B4955" s="90">
        <v>8.0836683573884454</v>
      </c>
    </row>
    <row r="4956" spans="1:2">
      <c r="A4956" s="32">
        <v>4946</v>
      </c>
      <c r="B4956" s="90">
        <v>7.8513486626318558</v>
      </c>
    </row>
    <row r="4957" spans="1:2">
      <c r="A4957" s="32">
        <v>4947</v>
      </c>
      <c r="B4957" s="90">
        <v>9.0464737632837888</v>
      </c>
    </row>
    <row r="4958" spans="1:2">
      <c r="A4958" s="32">
        <v>4948</v>
      </c>
      <c r="B4958" s="90">
        <v>7.4523212673889763</v>
      </c>
    </row>
    <row r="4959" spans="1:2">
      <c r="A4959" s="32">
        <v>4949</v>
      </c>
      <c r="B4959" s="90">
        <v>8.7368529203731864</v>
      </c>
    </row>
    <row r="4960" spans="1:2">
      <c r="A4960" s="32">
        <v>4950</v>
      </c>
      <c r="B4960" s="90">
        <v>8.1097226275747509</v>
      </c>
    </row>
    <row r="4961" spans="1:2">
      <c r="A4961" s="32">
        <v>4951</v>
      </c>
      <c r="B4961" s="90">
        <v>8.187006189419284</v>
      </c>
    </row>
    <row r="4962" spans="1:2">
      <c r="A4962" s="32">
        <v>4952</v>
      </c>
      <c r="B4962" s="90">
        <v>7.9858578285677098</v>
      </c>
    </row>
    <row r="4963" spans="1:2">
      <c r="A4963" s="32">
        <v>4953</v>
      </c>
      <c r="B4963" s="90">
        <v>8.6390572774053034</v>
      </c>
    </row>
    <row r="4964" spans="1:2">
      <c r="A4964" s="32">
        <v>4954</v>
      </c>
      <c r="B4964" s="90">
        <v>7.845162056127192</v>
      </c>
    </row>
    <row r="4965" spans="1:2">
      <c r="A4965" s="32">
        <v>4955</v>
      </c>
      <c r="B4965" s="90">
        <v>8.7972116098479489</v>
      </c>
    </row>
    <row r="4966" spans="1:2">
      <c r="A4966" s="32">
        <v>4956</v>
      </c>
      <c r="B4966" s="90">
        <v>8.2168692039865032</v>
      </c>
    </row>
    <row r="4967" spans="1:2">
      <c r="A4967" s="32">
        <v>4957</v>
      </c>
      <c r="B4967" s="90">
        <v>7.9196278333669436</v>
      </c>
    </row>
    <row r="4968" spans="1:2">
      <c r="A4968" s="32">
        <v>4958</v>
      </c>
      <c r="B4968" s="90">
        <v>8.3434225578527954</v>
      </c>
    </row>
    <row r="4969" spans="1:2">
      <c r="A4969" s="32">
        <v>4959</v>
      </c>
      <c r="B4969" s="90">
        <v>7.9627243950312279</v>
      </c>
    </row>
    <row r="4970" spans="1:2">
      <c r="A4970" s="32">
        <v>4960</v>
      </c>
      <c r="B4970" s="90">
        <v>8.2497418355254979</v>
      </c>
    </row>
    <row r="4971" spans="1:2">
      <c r="A4971" s="32">
        <v>4961</v>
      </c>
      <c r="B4971" s="90">
        <v>8.4580478678212074</v>
      </c>
    </row>
    <row r="4972" spans="1:2">
      <c r="A4972" s="32">
        <v>4962</v>
      </c>
      <c r="B4972" s="90">
        <v>8.5774934436843537</v>
      </c>
    </row>
    <row r="4973" spans="1:2">
      <c r="A4973" s="32">
        <v>4963</v>
      </c>
      <c r="B4973" s="90">
        <v>7.5911123166759493</v>
      </c>
    </row>
    <row r="4974" spans="1:2">
      <c r="A4974" s="32">
        <v>4964</v>
      </c>
      <c r="B4974" s="90">
        <v>9.4420465453500331</v>
      </c>
    </row>
    <row r="4975" spans="1:2">
      <c r="A4975" s="32">
        <v>4965</v>
      </c>
      <c r="B4975" s="90">
        <v>7.5362641983368679</v>
      </c>
    </row>
    <row r="4976" spans="1:2">
      <c r="A4976" s="32">
        <v>4966</v>
      </c>
      <c r="B4976" s="90">
        <v>7.7112775706604175</v>
      </c>
    </row>
    <row r="4977" spans="1:2">
      <c r="A4977" s="32">
        <v>4967</v>
      </c>
      <c r="B4977" s="90">
        <v>9.4187041802822264</v>
      </c>
    </row>
    <row r="4978" spans="1:2">
      <c r="A4978" s="32">
        <v>4968</v>
      </c>
      <c r="B4978" s="90">
        <v>8.1798623388680998</v>
      </c>
    </row>
    <row r="4979" spans="1:2">
      <c r="A4979" s="32">
        <v>4969</v>
      </c>
      <c r="B4979" s="90">
        <v>7.4273292529926618</v>
      </c>
    </row>
    <row r="4980" spans="1:2">
      <c r="A4980" s="32">
        <v>4970</v>
      </c>
      <c r="B4980" s="90">
        <v>9.4363308285787078</v>
      </c>
    </row>
    <row r="4981" spans="1:2">
      <c r="A4981" s="32">
        <v>4971</v>
      </c>
      <c r="B4981" s="90">
        <v>7.9150452098977491</v>
      </c>
    </row>
    <row r="4982" spans="1:2">
      <c r="A4982" s="32">
        <v>4972</v>
      </c>
      <c r="B4982" s="90">
        <v>7.5418312058552335</v>
      </c>
    </row>
    <row r="4983" spans="1:2">
      <c r="A4983" s="32">
        <v>4973</v>
      </c>
      <c r="B4983" s="90">
        <v>9.2365372396862835</v>
      </c>
    </row>
    <row r="4984" spans="1:2">
      <c r="A4984" s="32">
        <v>4974</v>
      </c>
      <c r="B4984" s="90">
        <v>7.7836704492526287</v>
      </c>
    </row>
    <row r="4985" spans="1:2">
      <c r="A4985" s="32">
        <v>4975</v>
      </c>
      <c r="B4985" s="90">
        <v>7.8243194015848303</v>
      </c>
    </row>
    <row r="4986" spans="1:2">
      <c r="A4986" s="32">
        <v>4976</v>
      </c>
      <c r="B4986" s="90">
        <v>9.0119297347751157</v>
      </c>
    </row>
    <row r="4987" spans="1:2">
      <c r="A4987" s="32">
        <v>4977</v>
      </c>
      <c r="B4987" s="90">
        <v>7.852596562329758</v>
      </c>
    </row>
    <row r="4988" spans="1:2">
      <c r="A4988" s="32">
        <v>4978</v>
      </c>
      <c r="B4988" s="90">
        <v>8.3069522980335186</v>
      </c>
    </row>
    <row r="4989" spans="1:2">
      <c r="A4989" s="32">
        <v>4979</v>
      </c>
      <c r="B4989" s="90">
        <v>8.4954799247051422</v>
      </c>
    </row>
    <row r="4990" spans="1:2">
      <c r="A4990" s="32">
        <v>4980</v>
      </c>
      <c r="B4990" s="90">
        <v>8.1925937469111201</v>
      </c>
    </row>
    <row r="4991" spans="1:2">
      <c r="A4991" s="32">
        <v>4981</v>
      </c>
      <c r="B4991" s="90">
        <v>7.7336010712023588</v>
      </c>
    </row>
    <row r="4992" spans="1:2">
      <c r="A4992" s="32">
        <v>4982</v>
      </c>
      <c r="B4992" s="90">
        <v>9.0663650758576839</v>
      </c>
    </row>
    <row r="4993" spans="1:2">
      <c r="A4993" s="32">
        <v>4983</v>
      </c>
      <c r="B4993" s="90">
        <v>7.414079429352479</v>
      </c>
    </row>
    <row r="4994" spans="1:2">
      <c r="A4994" s="32">
        <v>4984</v>
      </c>
      <c r="B4994" s="90">
        <v>8.6227979392508853</v>
      </c>
    </row>
    <row r="4995" spans="1:2">
      <c r="A4995" s="32">
        <v>4985</v>
      </c>
      <c r="B4995" s="90">
        <v>8.5797040233085369</v>
      </c>
    </row>
    <row r="4996" spans="1:2">
      <c r="A4996" s="32">
        <v>4986</v>
      </c>
      <c r="B4996" s="90">
        <v>8.0504481163753479</v>
      </c>
    </row>
    <row r="4997" spans="1:2">
      <c r="A4997" s="32">
        <v>4987</v>
      </c>
      <c r="B4997" s="90">
        <v>7.9252559642989526</v>
      </c>
    </row>
    <row r="4998" spans="1:2">
      <c r="A4998" s="32">
        <v>4988</v>
      </c>
      <c r="B4998" s="90">
        <v>8.5956743861647666</v>
      </c>
    </row>
    <row r="4999" spans="1:2">
      <c r="A4999" s="32">
        <v>4989</v>
      </c>
      <c r="B4999" s="90">
        <v>8.0462240649320833</v>
      </c>
    </row>
    <row r="5000" spans="1:2">
      <c r="A5000" s="32">
        <v>4990</v>
      </c>
      <c r="B5000" s="90">
        <v>8.5383509346583644</v>
      </c>
    </row>
    <row r="5001" spans="1:2">
      <c r="A5001" s="32">
        <v>4991</v>
      </c>
      <c r="B5001" s="90">
        <v>8.4311487791810453</v>
      </c>
    </row>
    <row r="5002" spans="1:2">
      <c r="A5002" s="32">
        <v>4992</v>
      </c>
      <c r="B5002" s="90">
        <v>7.705716086365757</v>
      </c>
    </row>
    <row r="5003" spans="1:2">
      <c r="A5003" s="32">
        <v>4993</v>
      </c>
      <c r="B5003" s="90">
        <v>8.7146110697525341</v>
      </c>
    </row>
    <row r="5004" spans="1:2">
      <c r="A5004" s="32">
        <v>4994</v>
      </c>
      <c r="B5004" s="90">
        <v>7.7139242408300772</v>
      </c>
    </row>
    <row r="5005" spans="1:2">
      <c r="A5005" s="32">
        <v>4995</v>
      </c>
      <c r="B5005" s="90">
        <v>7.7477380381060303</v>
      </c>
    </row>
    <row r="5006" spans="1:2">
      <c r="A5006" s="32">
        <v>4996</v>
      </c>
      <c r="B5006" s="90">
        <v>9.1222954280239605</v>
      </c>
    </row>
    <row r="5007" spans="1:2">
      <c r="A5007" s="32">
        <v>4997</v>
      </c>
      <c r="B5007" s="90">
        <v>8.4167802136595107</v>
      </c>
    </row>
    <row r="5008" spans="1:2">
      <c r="A5008" s="32">
        <v>4998</v>
      </c>
      <c r="B5008" s="90">
        <v>7.8546053194471419</v>
      </c>
    </row>
    <row r="5009" spans="1:2">
      <c r="A5009" s="32">
        <v>4999</v>
      </c>
      <c r="B5009" s="90">
        <v>8.0348161326015024</v>
      </c>
    </row>
    <row r="5010" spans="1:2">
      <c r="A5010" s="32">
        <v>5000</v>
      </c>
      <c r="B5010" s="90">
        <v>8.6565111224346936</v>
      </c>
    </row>
    <row r="5011" spans="1:2">
      <c r="A5011" s="32">
        <v>5001</v>
      </c>
      <c r="B5011" s="90">
        <v>7.8817245911581022</v>
      </c>
    </row>
    <row r="5012" spans="1:2">
      <c r="A5012" s="32">
        <v>5002</v>
      </c>
      <c r="B5012" s="90">
        <v>8.2445979597973018</v>
      </c>
    </row>
    <row r="5013" spans="1:2">
      <c r="A5013" s="32">
        <v>5003</v>
      </c>
      <c r="B5013" s="90">
        <v>9.4068497010281256</v>
      </c>
    </row>
    <row r="5014" spans="1:2">
      <c r="A5014" s="32">
        <v>5004</v>
      </c>
      <c r="B5014" s="90">
        <v>8.5080822718049873</v>
      </c>
    </row>
    <row r="5015" spans="1:2">
      <c r="A5015" s="32">
        <v>5005</v>
      </c>
      <c r="B5015" s="90">
        <v>8.0223635183798212</v>
      </c>
    </row>
    <row r="5016" spans="1:2">
      <c r="A5016" s="32">
        <v>5006</v>
      </c>
      <c r="B5016" s="90">
        <v>8.5687130095699935</v>
      </c>
    </row>
    <row r="5017" spans="1:2">
      <c r="A5017" s="32">
        <v>5007</v>
      </c>
      <c r="B5017" s="90">
        <v>7.2479258082516269</v>
      </c>
    </row>
    <row r="5018" spans="1:2">
      <c r="A5018" s="32">
        <v>5008</v>
      </c>
      <c r="B5018" s="90">
        <v>9.3969564595417445</v>
      </c>
    </row>
    <row r="5019" spans="1:2">
      <c r="A5019" s="32">
        <v>5009</v>
      </c>
      <c r="B5019" s="90">
        <v>9.3594870470002967</v>
      </c>
    </row>
    <row r="5020" spans="1:2">
      <c r="A5020" s="32">
        <v>5010</v>
      </c>
      <c r="B5020" s="90">
        <v>7.659541780261832</v>
      </c>
    </row>
    <row r="5021" spans="1:2">
      <c r="A5021" s="32">
        <v>5011</v>
      </c>
      <c r="B5021" s="90">
        <v>8.5958598671741413</v>
      </c>
    </row>
    <row r="5022" spans="1:2">
      <c r="A5022" s="32">
        <v>5012</v>
      </c>
      <c r="B5022" s="90">
        <v>8.4684883272195712</v>
      </c>
    </row>
    <row r="5023" spans="1:2">
      <c r="A5023" s="32">
        <v>5013</v>
      </c>
      <c r="B5023" s="90">
        <v>7.1518785033671328</v>
      </c>
    </row>
    <row r="5024" spans="1:2">
      <c r="A5024" s="32">
        <v>5014</v>
      </c>
      <c r="B5024" s="90">
        <v>9.4056309606591473</v>
      </c>
    </row>
    <row r="5025" spans="1:2">
      <c r="A5025" s="32">
        <v>5015</v>
      </c>
      <c r="B5025" s="90">
        <v>9.1520841691586092</v>
      </c>
    </row>
    <row r="5026" spans="1:2">
      <c r="A5026" s="32">
        <v>5016</v>
      </c>
      <c r="B5026" s="90">
        <v>7.7017350641844322</v>
      </c>
    </row>
    <row r="5027" spans="1:2">
      <c r="A5027" s="32">
        <v>5017</v>
      </c>
      <c r="B5027" s="90">
        <v>9.0756884596769396</v>
      </c>
    </row>
    <row r="5028" spans="1:2">
      <c r="A5028" s="32">
        <v>5018</v>
      </c>
      <c r="B5028" s="90">
        <v>8.0492717144797439</v>
      </c>
    </row>
    <row r="5029" spans="1:2">
      <c r="A5029" s="32">
        <v>5019</v>
      </c>
      <c r="B5029" s="90">
        <v>7.5300562147738361</v>
      </c>
    </row>
    <row r="5030" spans="1:2">
      <c r="A5030" s="32">
        <v>5020</v>
      </c>
      <c r="B5030" s="90">
        <v>9.1590248032773278</v>
      </c>
    </row>
    <row r="5031" spans="1:2">
      <c r="A5031" s="32">
        <v>5021</v>
      </c>
      <c r="B5031" s="90">
        <v>8.6077978725379989</v>
      </c>
    </row>
    <row r="5032" spans="1:2">
      <c r="A5032" s="32">
        <v>5022</v>
      </c>
      <c r="B5032" s="90">
        <v>8.2041314661398594</v>
      </c>
    </row>
    <row r="5033" spans="1:2">
      <c r="A5033" s="32">
        <v>5023</v>
      </c>
      <c r="B5033" s="90">
        <v>8.577347976213348</v>
      </c>
    </row>
    <row r="5034" spans="1:2">
      <c r="A5034" s="32">
        <v>5024</v>
      </c>
      <c r="B5034" s="90">
        <v>8.0563055205480651</v>
      </c>
    </row>
    <row r="5035" spans="1:2">
      <c r="A5035" s="32">
        <v>5025</v>
      </c>
      <c r="B5035" s="90">
        <v>7.566110872566373</v>
      </c>
    </row>
    <row r="5036" spans="1:2">
      <c r="A5036" s="32">
        <v>5026</v>
      </c>
      <c r="B5036" s="90">
        <v>9.5751516844378806</v>
      </c>
    </row>
    <row r="5037" spans="1:2">
      <c r="A5037" s="32">
        <v>5027</v>
      </c>
      <c r="B5037" s="90">
        <v>8.4285126081166002</v>
      </c>
    </row>
    <row r="5038" spans="1:2">
      <c r="A5038" s="32">
        <v>5028</v>
      </c>
      <c r="B5038" s="90">
        <v>7.9011346963352898</v>
      </c>
    </row>
    <row r="5039" spans="1:2">
      <c r="A5039" s="32">
        <v>5029</v>
      </c>
      <c r="B5039" s="90">
        <v>8.3608743740800797</v>
      </c>
    </row>
    <row r="5040" spans="1:2">
      <c r="A5040" s="32">
        <v>5030</v>
      </c>
      <c r="B5040" s="90">
        <v>8.2916921831514863</v>
      </c>
    </row>
    <row r="5041" spans="1:2">
      <c r="A5041" s="32">
        <v>5031</v>
      </c>
      <c r="B5041" s="90">
        <v>8.1743881051782257</v>
      </c>
    </row>
    <row r="5042" spans="1:2">
      <c r="A5042" s="32">
        <v>5032</v>
      </c>
      <c r="B5042" s="90">
        <v>9.1744994119961216</v>
      </c>
    </row>
    <row r="5043" spans="1:2">
      <c r="A5043" s="32">
        <v>5033</v>
      </c>
      <c r="B5043" s="90">
        <v>8.2459009321340009</v>
      </c>
    </row>
    <row r="5044" spans="1:2">
      <c r="A5044" s="32">
        <v>5034</v>
      </c>
      <c r="B5044" s="90">
        <v>8.5966782746787604</v>
      </c>
    </row>
    <row r="5045" spans="1:2">
      <c r="A5045" s="32">
        <v>5035</v>
      </c>
      <c r="B5045" s="90">
        <v>8.1979857571158234</v>
      </c>
    </row>
    <row r="5046" spans="1:2">
      <c r="A5046" s="32">
        <v>5036</v>
      </c>
      <c r="B5046" s="90">
        <v>7.6147441834012222</v>
      </c>
    </row>
    <row r="5047" spans="1:2">
      <c r="A5047" s="32">
        <v>5037</v>
      </c>
      <c r="B5047" s="90">
        <v>8.7750447785428491</v>
      </c>
    </row>
    <row r="5048" spans="1:2">
      <c r="A5048" s="32">
        <v>5038</v>
      </c>
      <c r="B5048" s="90">
        <v>9.2733558090294714</v>
      </c>
    </row>
    <row r="5049" spans="1:2">
      <c r="A5049" s="32">
        <v>5039</v>
      </c>
      <c r="B5049" s="90">
        <v>8.2502049303406366</v>
      </c>
    </row>
    <row r="5050" spans="1:2">
      <c r="A5050" s="32">
        <v>5040</v>
      </c>
      <c r="B5050" s="90">
        <v>8.2400035643880649</v>
      </c>
    </row>
    <row r="5051" spans="1:2">
      <c r="A5051" s="32">
        <v>5041</v>
      </c>
      <c r="B5051" s="90">
        <v>8.3682965881275244</v>
      </c>
    </row>
    <row r="5052" spans="1:2">
      <c r="A5052" s="32">
        <v>5042</v>
      </c>
      <c r="B5052" s="90">
        <v>7.27918823809435</v>
      </c>
    </row>
    <row r="5053" spans="1:2">
      <c r="A5053" s="32">
        <v>5043</v>
      </c>
      <c r="B5053" s="90">
        <v>9.3906454561993051</v>
      </c>
    </row>
    <row r="5054" spans="1:2">
      <c r="A5054" s="32">
        <v>5044</v>
      </c>
      <c r="B5054" s="90">
        <v>9.1403346376187375</v>
      </c>
    </row>
    <row r="5055" spans="1:2">
      <c r="A5055" s="32">
        <v>5045</v>
      </c>
      <c r="B5055" s="90">
        <v>7.8234416028837437</v>
      </c>
    </row>
    <row r="5056" spans="1:2">
      <c r="A5056" s="32">
        <v>5046</v>
      </c>
      <c r="B5056" s="90">
        <v>8.7476419732337884</v>
      </c>
    </row>
    <row r="5057" spans="1:2">
      <c r="A5057" s="32">
        <v>5047</v>
      </c>
      <c r="B5057" s="90">
        <v>8.3099266242611094</v>
      </c>
    </row>
    <row r="5058" spans="1:2">
      <c r="A5058" s="32">
        <v>5048</v>
      </c>
      <c r="B5058" s="90">
        <v>7.1864220493531308</v>
      </c>
    </row>
    <row r="5059" spans="1:2">
      <c r="A5059" s="32">
        <v>5049</v>
      </c>
      <c r="B5059" s="90">
        <v>9.542363785944092</v>
      </c>
    </row>
    <row r="5060" spans="1:2">
      <c r="A5060" s="32">
        <v>5050</v>
      </c>
      <c r="B5060" s="90">
        <v>8.8037348788151899</v>
      </c>
    </row>
    <row r="5061" spans="1:2">
      <c r="A5061" s="32">
        <v>5051</v>
      </c>
      <c r="B5061" s="90">
        <v>7.8756588365877844</v>
      </c>
    </row>
    <row r="5062" spans="1:2">
      <c r="A5062" s="32">
        <v>5052</v>
      </c>
      <c r="B5062" s="90">
        <v>8.8708809614425412</v>
      </c>
    </row>
    <row r="5063" spans="1:2">
      <c r="A5063" s="32">
        <v>5053</v>
      </c>
      <c r="B5063" s="90">
        <v>7.7411158679855534</v>
      </c>
    </row>
    <row r="5064" spans="1:2">
      <c r="A5064" s="32">
        <v>5054</v>
      </c>
      <c r="B5064" s="90">
        <v>7.9671198216993284</v>
      </c>
    </row>
    <row r="5065" spans="1:2">
      <c r="A5065" s="32">
        <v>5055</v>
      </c>
      <c r="B5065" s="90">
        <v>9.2418398386023153</v>
      </c>
    </row>
    <row r="5066" spans="1:2">
      <c r="A5066" s="32">
        <v>5056</v>
      </c>
      <c r="B5066" s="90">
        <v>8.494163585757228</v>
      </c>
    </row>
    <row r="5067" spans="1:2">
      <c r="A5067" s="32">
        <v>5057</v>
      </c>
      <c r="B5067" s="90">
        <v>7.9866595624470751</v>
      </c>
    </row>
    <row r="5068" spans="1:2">
      <c r="A5068" s="32">
        <v>5058</v>
      </c>
      <c r="B5068" s="90">
        <v>8.8329846070671056</v>
      </c>
    </row>
    <row r="5069" spans="1:2">
      <c r="A5069" s="32">
        <v>5059</v>
      </c>
      <c r="B5069" s="90">
        <v>8.0646089362832178</v>
      </c>
    </row>
    <row r="5070" spans="1:2">
      <c r="A5070" s="32">
        <v>5060</v>
      </c>
      <c r="B5070" s="90">
        <v>7.6537406919639439</v>
      </c>
    </row>
    <row r="5071" spans="1:2">
      <c r="A5071" s="32">
        <v>5061</v>
      </c>
      <c r="B5071" s="90">
        <v>9.5920800769097898</v>
      </c>
    </row>
    <row r="5072" spans="1:2">
      <c r="A5072" s="32">
        <v>5062</v>
      </c>
      <c r="B5072" s="90">
        <v>8.1261193211727427</v>
      </c>
    </row>
    <row r="5073" spans="1:2">
      <c r="A5073" s="32">
        <v>5063</v>
      </c>
      <c r="B5073" s="90">
        <v>8.0348161326015024</v>
      </c>
    </row>
    <row r="5074" spans="1:2">
      <c r="A5074" s="32">
        <v>5064</v>
      </c>
      <c r="B5074" s="90">
        <v>8.6565111224346936</v>
      </c>
    </row>
    <row r="5075" spans="1:2">
      <c r="A5075" s="32">
        <v>5065</v>
      </c>
      <c r="B5075" s="90">
        <v>7.8817245911581022</v>
      </c>
    </row>
    <row r="5076" spans="1:2">
      <c r="A5076" s="32">
        <v>5066</v>
      </c>
      <c r="B5076" s="90">
        <v>8.2445979597973018</v>
      </c>
    </row>
    <row r="5077" spans="1:2">
      <c r="A5077" s="32">
        <v>5067</v>
      </c>
      <c r="B5077" s="90">
        <v>9.4068497010281256</v>
      </c>
    </row>
    <row r="5078" spans="1:2">
      <c r="A5078" s="32">
        <v>5068</v>
      </c>
      <c r="B5078" s="90">
        <v>8.5080822718049873</v>
      </c>
    </row>
    <row r="5079" spans="1:2">
      <c r="A5079" s="32">
        <v>5069</v>
      </c>
      <c r="B5079" s="90">
        <v>8.0223635183798212</v>
      </c>
    </row>
    <row r="5080" spans="1:2">
      <c r="A5080" s="32">
        <v>5070</v>
      </c>
      <c r="B5080" s="90">
        <v>8.5687130095699935</v>
      </c>
    </row>
    <row r="5081" spans="1:2">
      <c r="A5081" s="32">
        <v>5071</v>
      </c>
      <c r="B5081" s="90">
        <v>7.2479258082516269</v>
      </c>
    </row>
    <row r="5082" spans="1:2">
      <c r="A5082" s="32">
        <v>5072</v>
      </c>
      <c r="B5082" s="90">
        <v>9.3969564595417445</v>
      </c>
    </row>
    <row r="5083" spans="1:2">
      <c r="A5083" s="32">
        <v>5073</v>
      </c>
      <c r="B5083" s="90">
        <v>9.3594870470002967</v>
      </c>
    </row>
    <row r="5084" spans="1:2">
      <c r="A5084" s="32">
        <v>5074</v>
      </c>
      <c r="B5084" s="90">
        <v>7.659541780261832</v>
      </c>
    </row>
    <row r="5085" spans="1:2">
      <c r="A5085" s="32">
        <v>5075</v>
      </c>
      <c r="B5085" s="90">
        <v>8.5958598671741413</v>
      </c>
    </row>
    <row r="5086" spans="1:2">
      <c r="A5086" s="32">
        <v>5076</v>
      </c>
      <c r="B5086" s="90">
        <v>8.4684883272195712</v>
      </c>
    </row>
    <row r="5087" spans="1:2">
      <c r="A5087" s="32">
        <v>5077</v>
      </c>
      <c r="B5087" s="90">
        <v>7.1518785033671328</v>
      </c>
    </row>
    <row r="5088" spans="1:2">
      <c r="A5088" s="32">
        <v>5078</v>
      </c>
      <c r="B5088" s="90">
        <v>9.4056309606591473</v>
      </c>
    </row>
    <row r="5089" spans="1:2">
      <c r="A5089" s="32">
        <v>5079</v>
      </c>
      <c r="B5089" s="90">
        <v>9.1520841691586092</v>
      </c>
    </row>
    <row r="5090" spans="1:2">
      <c r="A5090" s="32">
        <v>5080</v>
      </c>
      <c r="B5090" s="90">
        <v>7.7017350641844322</v>
      </c>
    </row>
    <row r="5091" spans="1:2">
      <c r="A5091" s="32">
        <v>5081</v>
      </c>
      <c r="B5091" s="90">
        <v>9.0756884596769396</v>
      </c>
    </row>
    <row r="5092" spans="1:2">
      <c r="A5092" s="32">
        <v>5082</v>
      </c>
      <c r="B5092" s="90">
        <v>8.0492717144797439</v>
      </c>
    </row>
    <row r="5093" spans="1:2">
      <c r="A5093" s="32">
        <v>5083</v>
      </c>
      <c r="B5093" s="90">
        <v>7.5300562147738361</v>
      </c>
    </row>
    <row r="5094" spans="1:2">
      <c r="A5094" s="32">
        <v>5084</v>
      </c>
      <c r="B5094" s="90">
        <v>9.1590248032773278</v>
      </c>
    </row>
    <row r="5095" spans="1:2">
      <c r="A5095" s="32">
        <v>5085</v>
      </c>
      <c r="B5095" s="90">
        <v>8.6077978725379989</v>
      </c>
    </row>
    <row r="5096" spans="1:2">
      <c r="A5096" s="32">
        <v>5086</v>
      </c>
      <c r="B5096" s="90">
        <v>8.2041314661398594</v>
      </c>
    </row>
    <row r="5097" spans="1:2">
      <c r="A5097" s="32">
        <v>5087</v>
      </c>
      <c r="B5097" s="90">
        <v>8.577347976213348</v>
      </c>
    </row>
    <row r="5098" spans="1:2">
      <c r="A5098" s="32">
        <v>5088</v>
      </c>
      <c r="B5098" s="90">
        <v>8.0563055205480651</v>
      </c>
    </row>
    <row r="5099" spans="1:2">
      <c r="A5099" s="32">
        <v>5089</v>
      </c>
      <c r="B5099" s="90">
        <v>7.566110872566373</v>
      </c>
    </row>
    <row r="5100" spans="1:2">
      <c r="A5100" s="32">
        <v>5090</v>
      </c>
      <c r="B5100" s="90">
        <v>9.5751516844378806</v>
      </c>
    </row>
    <row r="5101" spans="1:2">
      <c r="A5101" s="32">
        <v>5091</v>
      </c>
      <c r="B5101" s="90">
        <v>8.4285126081166002</v>
      </c>
    </row>
    <row r="5102" spans="1:2">
      <c r="A5102" s="32">
        <v>5092</v>
      </c>
      <c r="B5102" s="90">
        <v>7.9011346963352898</v>
      </c>
    </row>
    <row r="5103" spans="1:2">
      <c r="A5103" s="32">
        <v>5093</v>
      </c>
      <c r="B5103" s="90">
        <v>8.3608743740800797</v>
      </c>
    </row>
    <row r="5104" spans="1:2">
      <c r="A5104" s="32">
        <v>5094</v>
      </c>
      <c r="B5104" s="90">
        <v>8.2916921831514863</v>
      </c>
    </row>
    <row r="5105" spans="1:2">
      <c r="A5105" s="32">
        <v>5095</v>
      </c>
      <c r="B5105" s="90">
        <v>8.1743881051782257</v>
      </c>
    </row>
    <row r="5106" spans="1:2">
      <c r="A5106" s="32">
        <v>5096</v>
      </c>
      <c r="B5106" s="90">
        <v>9.1744994119961216</v>
      </c>
    </row>
    <row r="5107" spans="1:2">
      <c r="A5107" s="32">
        <v>5097</v>
      </c>
      <c r="B5107" s="90">
        <v>8.2459009321340009</v>
      </c>
    </row>
    <row r="5108" spans="1:2">
      <c r="A5108" s="32">
        <v>5098</v>
      </c>
      <c r="B5108" s="90">
        <v>8.5966782746787604</v>
      </c>
    </row>
    <row r="5109" spans="1:2">
      <c r="A5109" s="32">
        <v>5099</v>
      </c>
      <c r="B5109" s="90">
        <v>8.1979857571158234</v>
      </c>
    </row>
    <row r="5110" spans="1:2">
      <c r="A5110" s="32">
        <v>5100</v>
      </c>
      <c r="B5110" s="90">
        <v>7.6147441834012222</v>
      </c>
    </row>
    <row r="5111" spans="1:2">
      <c r="A5111" s="32">
        <v>5101</v>
      </c>
      <c r="B5111" s="90">
        <v>8.7750447785428491</v>
      </c>
    </row>
    <row r="5112" spans="1:2">
      <c r="A5112" s="32">
        <v>5102</v>
      </c>
      <c r="B5112" s="90">
        <v>9.2733558090294714</v>
      </c>
    </row>
    <row r="5113" spans="1:2">
      <c r="A5113" s="32">
        <v>5103</v>
      </c>
      <c r="B5113" s="90">
        <v>8.2502049303406366</v>
      </c>
    </row>
    <row r="5114" spans="1:2">
      <c r="A5114" s="32">
        <v>5104</v>
      </c>
      <c r="B5114" s="90">
        <v>8.2400035643880649</v>
      </c>
    </row>
    <row r="5115" spans="1:2">
      <c r="A5115" s="32">
        <v>5105</v>
      </c>
      <c r="B5115" s="90">
        <v>8.3682965881275244</v>
      </c>
    </row>
    <row r="5116" spans="1:2">
      <c r="A5116" s="32">
        <v>5106</v>
      </c>
      <c r="B5116" s="90">
        <v>7.27918823809435</v>
      </c>
    </row>
    <row r="5117" spans="1:2">
      <c r="A5117" s="32">
        <v>5107</v>
      </c>
      <c r="B5117" s="90">
        <v>9.3906454561993051</v>
      </c>
    </row>
    <row r="5118" spans="1:2">
      <c r="A5118" s="32">
        <v>5108</v>
      </c>
      <c r="B5118" s="90">
        <v>9.1403346376187375</v>
      </c>
    </row>
    <row r="5119" spans="1:2">
      <c r="A5119" s="32">
        <v>5109</v>
      </c>
      <c r="B5119" s="90">
        <v>7.8234416028837437</v>
      </c>
    </row>
    <row r="5120" spans="1:2">
      <c r="A5120" s="32">
        <v>5110</v>
      </c>
      <c r="B5120" s="90">
        <v>8.7476419732337884</v>
      </c>
    </row>
    <row r="5121" spans="1:2">
      <c r="A5121" s="32">
        <v>5111</v>
      </c>
      <c r="B5121" s="90">
        <v>8.3099266242611094</v>
      </c>
    </row>
    <row r="5122" spans="1:2">
      <c r="A5122" s="32">
        <v>5112</v>
      </c>
      <c r="B5122" s="90">
        <v>7.1864220493531308</v>
      </c>
    </row>
    <row r="5123" spans="1:2">
      <c r="A5123" s="32">
        <v>5113</v>
      </c>
      <c r="B5123" s="90">
        <v>9.542363785944092</v>
      </c>
    </row>
    <row r="5124" spans="1:2">
      <c r="A5124" s="32">
        <v>5114</v>
      </c>
      <c r="B5124" s="90">
        <v>8.8037348788151899</v>
      </c>
    </row>
    <row r="5125" spans="1:2">
      <c r="A5125" s="32">
        <v>5115</v>
      </c>
      <c r="B5125" s="90">
        <v>7.8756588365877844</v>
      </c>
    </row>
    <row r="5126" spans="1:2">
      <c r="A5126" s="32">
        <v>5116</v>
      </c>
      <c r="B5126" s="90">
        <v>8.2516723712676487</v>
      </c>
    </row>
    <row r="5127" spans="1:2">
      <c r="A5127" s="32">
        <v>5117</v>
      </c>
      <c r="B5127" s="90">
        <v>7.7104607616770284</v>
      </c>
    </row>
    <row r="5128" spans="1:2">
      <c r="A5128" s="32">
        <v>5118</v>
      </c>
      <c r="B5128" s="90">
        <v>8.9398293856402304</v>
      </c>
    </row>
    <row r="5129" spans="1:2">
      <c r="A5129" s="32">
        <v>5119</v>
      </c>
      <c r="B5129" s="90">
        <v>8.4195859783085449</v>
      </c>
    </row>
    <row r="5130" spans="1:2">
      <c r="A5130" s="32">
        <v>5120</v>
      </c>
      <c r="B5130" s="90">
        <v>7.8601468418844043</v>
      </c>
    </row>
    <row r="5131" spans="1:2">
      <c r="A5131" s="32">
        <v>5121</v>
      </c>
      <c r="B5131" s="90">
        <v>8.0177082285389201</v>
      </c>
    </row>
    <row r="5132" spans="1:2">
      <c r="A5132" s="32">
        <v>5122</v>
      </c>
      <c r="B5132" s="90">
        <v>7.9705208304337001</v>
      </c>
    </row>
    <row r="5133" spans="1:2">
      <c r="A5133" s="32">
        <v>5123</v>
      </c>
      <c r="B5133" s="90">
        <v>7.6017565398102631</v>
      </c>
    </row>
    <row r="5134" spans="1:2">
      <c r="A5134" s="32">
        <v>5124</v>
      </c>
      <c r="B5134" s="90">
        <v>9.0865403204539188</v>
      </c>
    </row>
    <row r="5135" spans="1:2">
      <c r="A5135" s="32">
        <v>5125</v>
      </c>
      <c r="B5135" s="90">
        <v>8.3501792213604897</v>
      </c>
    </row>
    <row r="5136" spans="1:2">
      <c r="A5136" s="32">
        <v>5126</v>
      </c>
      <c r="B5136" s="90">
        <v>8.1032310813281505</v>
      </c>
    </row>
    <row r="5137" spans="1:2">
      <c r="A5137" s="32">
        <v>5127</v>
      </c>
      <c r="B5137" s="90">
        <v>8.1305446968057158</v>
      </c>
    </row>
    <row r="5138" spans="1:2">
      <c r="A5138" s="32">
        <v>5128</v>
      </c>
      <c r="B5138" s="90">
        <v>7.8670070669232555</v>
      </c>
    </row>
    <row r="5139" spans="1:2">
      <c r="A5139" s="32">
        <v>5129</v>
      </c>
      <c r="B5139" s="90">
        <v>7.9187308473094395</v>
      </c>
    </row>
    <row r="5140" spans="1:2">
      <c r="A5140" s="32">
        <v>5130</v>
      </c>
      <c r="B5140" s="90">
        <v>9.0369956690645825</v>
      </c>
    </row>
    <row r="5141" spans="1:2">
      <c r="A5141" s="32">
        <v>5131</v>
      </c>
      <c r="B5141" s="90">
        <v>7.8722233129313528</v>
      </c>
    </row>
    <row r="5142" spans="1:2">
      <c r="A5142" s="32">
        <v>5132</v>
      </c>
      <c r="B5142" s="90">
        <v>8.5662785673462185</v>
      </c>
    </row>
    <row r="5143" spans="1:2">
      <c r="A5143" s="32">
        <v>5133</v>
      </c>
      <c r="B5143" s="90">
        <v>8.0437139527198003</v>
      </c>
    </row>
    <row r="5144" spans="1:2">
      <c r="A5144" s="32">
        <v>5134</v>
      </c>
      <c r="B5144" s="90">
        <v>7.456331492180782</v>
      </c>
    </row>
    <row r="5145" spans="1:2">
      <c r="A5145" s="32">
        <v>5135</v>
      </c>
      <c r="B5145" s="90">
        <v>8.3654724915010004</v>
      </c>
    </row>
    <row r="5146" spans="1:2">
      <c r="A5146" s="32">
        <v>5136</v>
      </c>
      <c r="B5146" s="90">
        <v>9.0053219609735073</v>
      </c>
    </row>
    <row r="5147" spans="1:2">
      <c r="A5147" s="32">
        <v>5137</v>
      </c>
      <c r="B5147" s="90">
        <v>7.812079518013106</v>
      </c>
    </row>
    <row r="5148" spans="1:2">
      <c r="A5148" s="32">
        <v>5138</v>
      </c>
      <c r="B5148" s="90">
        <v>8.0460071613450594</v>
      </c>
    </row>
    <row r="5149" spans="1:2">
      <c r="A5149" s="32">
        <v>5139</v>
      </c>
      <c r="B5149" s="90">
        <v>8.0550851777267383</v>
      </c>
    </row>
    <row r="5150" spans="1:2">
      <c r="A5150" s="32">
        <v>5140</v>
      </c>
      <c r="B5150" s="90">
        <v>7.2529312112458113</v>
      </c>
    </row>
    <row r="5151" spans="1:2">
      <c r="A5151" s="32">
        <v>5141</v>
      </c>
      <c r="B5151" s="90">
        <v>9.1014935071822674</v>
      </c>
    </row>
    <row r="5152" spans="1:2">
      <c r="A5152" s="32">
        <v>5142</v>
      </c>
      <c r="B5152" s="90">
        <v>8.8543785992310706</v>
      </c>
    </row>
    <row r="5153" spans="1:2">
      <c r="A5153" s="32">
        <v>5143</v>
      </c>
      <c r="B5153" s="90">
        <v>7.5599834647767397</v>
      </c>
    </row>
    <row r="5154" spans="1:2">
      <c r="A5154" s="32">
        <v>5144</v>
      </c>
      <c r="B5154" s="90">
        <v>8.3131864260978166</v>
      </c>
    </row>
    <row r="5155" spans="1:2">
      <c r="A5155" s="32">
        <v>5145</v>
      </c>
      <c r="B5155" s="90">
        <v>7.9145877705973851</v>
      </c>
    </row>
    <row r="5156" spans="1:2">
      <c r="A5156" s="32">
        <v>5146</v>
      </c>
      <c r="B5156" s="90">
        <v>7.5131162978778852</v>
      </c>
    </row>
    <row r="5157" spans="1:2">
      <c r="A5157" s="32">
        <v>5147</v>
      </c>
      <c r="B5157" s="90">
        <v>9.1872769401000944</v>
      </c>
    </row>
    <row r="5158" spans="1:2">
      <c r="A5158" s="32">
        <v>5148</v>
      </c>
      <c r="B5158" s="90">
        <v>8.1652444591013147</v>
      </c>
    </row>
    <row r="5159" spans="1:2">
      <c r="A5159" s="32">
        <v>5149</v>
      </c>
      <c r="B5159" s="90">
        <v>7.9928973796037663</v>
      </c>
    </row>
    <row r="5160" spans="1:2">
      <c r="A5160" s="32">
        <v>5150</v>
      </c>
      <c r="B5160" s="90">
        <v>8.0365000201176322</v>
      </c>
    </row>
    <row r="5161" spans="1:2">
      <c r="A5161" s="32">
        <v>5151</v>
      </c>
      <c r="B5161" s="90">
        <v>8.1048352746257795</v>
      </c>
    </row>
    <row r="5162" spans="1:2">
      <c r="A5162" s="32">
        <v>5152</v>
      </c>
      <c r="B5162" s="90">
        <v>7.7207956629638712</v>
      </c>
    </row>
    <row r="5163" spans="1:2">
      <c r="A5163" s="32">
        <v>5153</v>
      </c>
      <c r="B5163" s="90">
        <v>8.8270142613691558</v>
      </c>
    </row>
    <row r="5164" spans="1:2">
      <c r="A5164" s="32">
        <v>5154</v>
      </c>
      <c r="B5164" s="90">
        <v>8.3441505641419536</v>
      </c>
    </row>
    <row r="5165" spans="1:2">
      <c r="A5165" s="32">
        <v>5155</v>
      </c>
      <c r="B5165" s="90">
        <v>7.9911885752842649</v>
      </c>
    </row>
    <row r="5166" spans="1:2">
      <c r="A5166" s="32">
        <v>5156</v>
      </c>
      <c r="B5166" s="90">
        <v>8.2744685900372641</v>
      </c>
    </row>
    <row r="5167" spans="1:2">
      <c r="A5167" s="32">
        <v>5157</v>
      </c>
      <c r="B5167" s="90">
        <v>7.7975443313592638</v>
      </c>
    </row>
    <row r="5168" spans="1:2">
      <c r="A5168" s="32">
        <v>5158</v>
      </c>
      <c r="B5168" s="90">
        <v>7.8718133390153016</v>
      </c>
    </row>
    <row r="5169" spans="1:2">
      <c r="A5169" s="32">
        <v>5159</v>
      </c>
      <c r="B5169" s="90">
        <v>8.9900903966828878</v>
      </c>
    </row>
    <row r="5170" spans="1:2">
      <c r="A5170" s="32">
        <v>5160</v>
      </c>
      <c r="B5170" s="90">
        <v>8.2418312123118795</v>
      </c>
    </row>
    <row r="5171" spans="1:2">
      <c r="A5171" s="32">
        <v>5161</v>
      </c>
      <c r="B5171" s="90">
        <v>8.4400548032270404</v>
      </c>
    </row>
    <row r="5172" spans="1:2">
      <c r="A5172" s="32">
        <v>5162</v>
      </c>
      <c r="B5172" s="90">
        <v>7.9130194522401061</v>
      </c>
    </row>
    <row r="5173" spans="1:2">
      <c r="A5173" s="32">
        <v>5163</v>
      </c>
      <c r="B5173" s="90">
        <v>7.4639602588336684</v>
      </c>
    </row>
    <row r="5174" spans="1:2">
      <c r="A5174" s="32">
        <v>5164</v>
      </c>
      <c r="B5174" s="90">
        <v>8.4862458916427013</v>
      </c>
    </row>
    <row r="5175" spans="1:2">
      <c r="A5175" s="32">
        <v>5165</v>
      </c>
      <c r="B5175" s="90">
        <v>8.5195022469847714</v>
      </c>
    </row>
    <row r="5176" spans="1:2">
      <c r="A5176" s="32">
        <v>5166</v>
      </c>
      <c r="B5176" s="90">
        <v>8.3599300281149613</v>
      </c>
    </row>
    <row r="5177" spans="1:2">
      <c r="A5177" s="32">
        <v>5167</v>
      </c>
      <c r="B5177" s="90">
        <v>7.9743274082394855</v>
      </c>
    </row>
    <row r="5178" spans="1:2">
      <c r="A5178" s="32">
        <v>5168</v>
      </c>
      <c r="B5178" s="90">
        <v>8.0045809193420681</v>
      </c>
    </row>
    <row r="5179" spans="1:2">
      <c r="A5179" s="32">
        <v>5169</v>
      </c>
      <c r="B5179" s="90">
        <v>7.3686602607331517</v>
      </c>
    </row>
    <row r="5180" spans="1:2">
      <c r="A5180" s="32">
        <v>5170</v>
      </c>
      <c r="B5180" s="90">
        <v>8.5586156895841246</v>
      </c>
    </row>
    <row r="5181" spans="1:2">
      <c r="A5181" s="32">
        <v>5171</v>
      </c>
      <c r="B5181" s="90">
        <v>9.0744927919181801</v>
      </c>
    </row>
    <row r="5182" spans="1:2">
      <c r="A5182" s="32">
        <v>5172</v>
      </c>
      <c r="B5182" s="90">
        <v>7.7502730006334275</v>
      </c>
    </row>
    <row r="5183" spans="1:2">
      <c r="A5183" s="32">
        <v>5173</v>
      </c>
      <c r="B5183" s="90">
        <v>8.4451743402539385</v>
      </c>
    </row>
    <row r="5184" spans="1:2">
      <c r="A5184" s="32">
        <v>5174</v>
      </c>
      <c r="B5184" s="90">
        <v>7.736143640499586</v>
      </c>
    </row>
    <row r="5185" spans="1:2">
      <c r="A5185" s="32">
        <v>5175</v>
      </c>
      <c r="B5185" s="90">
        <v>7.0351283962194655</v>
      </c>
    </row>
    <row r="5186" spans="1:2">
      <c r="A5186" s="32">
        <v>5176</v>
      </c>
      <c r="B5186" s="90">
        <v>9.634458981164217</v>
      </c>
    </row>
    <row r="5187" spans="1:2">
      <c r="A5187" s="32">
        <v>5177</v>
      </c>
      <c r="B5187" s="90">
        <v>8.6385236729315071</v>
      </c>
    </row>
    <row r="5188" spans="1:2">
      <c r="A5188" s="32">
        <v>5178</v>
      </c>
      <c r="B5188" s="90">
        <v>7.6911027511348875</v>
      </c>
    </row>
    <row r="5189" spans="1:2">
      <c r="A5189" s="32">
        <v>5179</v>
      </c>
      <c r="B5189" s="90">
        <v>8.1467081429658563</v>
      </c>
    </row>
    <row r="5190" spans="1:2">
      <c r="A5190" s="32">
        <v>5180</v>
      </c>
      <c r="B5190" s="90">
        <v>8.0041214114721768</v>
      </c>
    </row>
    <row r="5191" spans="1:2">
      <c r="A5191" s="32">
        <v>5181</v>
      </c>
      <c r="B5191" s="90">
        <v>7.7104607616770284</v>
      </c>
    </row>
    <row r="5192" spans="1:2">
      <c r="A5192" s="32">
        <v>5182</v>
      </c>
      <c r="B5192" s="90">
        <v>8.9398293856402304</v>
      </c>
    </row>
    <row r="5193" spans="1:2">
      <c r="A5193" s="32">
        <v>5183</v>
      </c>
      <c r="B5193" s="90">
        <v>8.4195859783085449</v>
      </c>
    </row>
    <row r="5194" spans="1:2">
      <c r="A5194" s="32">
        <v>5184</v>
      </c>
      <c r="B5194" s="90">
        <v>7.8601468418844043</v>
      </c>
    </row>
    <row r="5195" spans="1:2">
      <c r="A5195" s="32">
        <v>5185</v>
      </c>
      <c r="B5195" s="90">
        <v>8.0177082285389201</v>
      </c>
    </row>
    <row r="5196" spans="1:2">
      <c r="A5196" s="32">
        <v>5186</v>
      </c>
      <c r="B5196" s="90">
        <v>7.9705208304337001</v>
      </c>
    </row>
    <row r="5197" spans="1:2">
      <c r="A5197" s="32">
        <v>5187</v>
      </c>
      <c r="B5197" s="90">
        <v>7.6017565398102631</v>
      </c>
    </row>
    <row r="5198" spans="1:2">
      <c r="A5198" s="32">
        <v>5188</v>
      </c>
      <c r="B5198" s="90">
        <v>9.0865403204539188</v>
      </c>
    </row>
    <row r="5199" spans="1:2">
      <c r="A5199" s="32">
        <v>5189</v>
      </c>
      <c r="B5199" s="90">
        <v>8.3501792213604897</v>
      </c>
    </row>
    <row r="5200" spans="1:2">
      <c r="A5200" s="32">
        <v>5190</v>
      </c>
      <c r="B5200" s="90">
        <v>8.1032310813281505</v>
      </c>
    </row>
    <row r="5201" spans="1:2">
      <c r="A5201" s="32">
        <v>5191</v>
      </c>
      <c r="B5201" s="90">
        <v>8.1305446968057158</v>
      </c>
    </row>
    <row r="5202" spans="1:2">
      <c r="A5202" s="32">
        <v>5192</v>
      </c>
      <c r="B5202" s="90">
        <v>7.8670070669232555</v>
      </c>
    </row>
    <row r="5203" spans="1:2">
      <c r="A5203" s="32">
        <v>5193</v>
      </c>
      <c r="B5203" s="90">
        <v>7.9187308473094395</v>
      </c>
    </row>
    <row r="5204" spans="1:2">
      <c r="A5204" s="32">
        <v>5194</v>
      </c>
      <c r="B5204" s="90">
        <v>9.0369956690645825</v>
      </c>
    </row>
    <row r="5205" spans="1:2">
      <c r="A5205" s="32">
        <v>5195</v>
      </c>
      <c r="B5205" s="90">
        <v>7.8722233129313528</v>
      </c>
    </row>
    <row r="5206" spans="1:2">
      <c r="A5206" s="32">
        <v>5196</v>
      </c>
      <c r="B5206" s="90">
        <v>8.5662785673462185</v>
      </c>
    </row>
    <row r="5207" spans="1:2">
      <c r="A5207" s="32">
        <v>5197</v>
      </c>
      <c r="B5207" s="90">
        <v>8.0437139527198003</v>
      </c>
    </row>
    <row r="5208" spans="1:2">
      <c r="A5208" s="32">
        <v>5198</v>
      </c>
      <c r="B5208" s="90">
        <v>7.456331492180782</v>
      </c>
    </row>
    <row r="5209" spans="1:2">
      <c r="A5209" s="32">
        <v>5199</v>
      </c>
      <c r="B5209" s="90">
        <v>8.3654724915010004</v>
      </c>
    </row>
    <row r="5210" spans="1:2">
      <c r="A5210" s="32">
        <v>5200</v>
      </c>
      <c r="B5210" s="90">
        <v>9.0053219609735073</v>
      </c>
    </row>
    <row r="5211" spans="1:2">
      <c r="A5211" s="32">
        <v>5201</v>
      </c>
      <c r="B5211" s="90">
        <v>7.812079518013106</v>
      </c>
    </row>
    <row r="5212" spans="1:2">
      <c r="A5212" s="32">
        <v>5202</v>
      </c>
      <c r="B5212" s="90">
        <v>8.0460071613450594</v>
      </c>
    </row>
    <row r="5213" spans="1:2">
      <c r="A5213" s="32">
        <v>5203</v>
      </c>
      <c r="B5213" s="90">
        <v>8.0550851777267383</v>
      </c>
    </row>
    <row r="5214" spans="1:2">
      <c r="A5214" s="32">
        <v>5204</v>
      </c>
      <c r="B5214" s="90">
        <v>7.2529312112458113</v>
      </c>
    </row>
    <row r="5215" spans="1:2">
      <c r="A5215" s="32">
        <v>5205</v>
      </c>
      <c r="B5215" s="90">
        <v>9.1014935071822674</v>
      </c>
    </row>
    <row r="5216" spans="1:2">
      <c r="A5216" s="32">
        <v>5206</v>
      </c>
      <c r="B5216" s="90">
        <v>8.8543785992310706</v>
      </c>
    </row>
    <row r="5217" spans="1:2">
      <c r="A5217" s="32">
        <v>5207</v>
      </c>
      <c r="B5217" s="90">
        <v>7.5599834647767397</v>
      </c>
    </row>
    <row r="5218" spans="1:2">
      <c r="A5218" s="32">
        <v>5208</v>
      </c>
      <c r="B5218" s="90">
        <v>8.3131864260978166</v>
      </c>
    </row>
    <row r="5219" spans="1:2">
      <c r="A5219" s="32">
        <v>5209</v>
      </c>
      <c r="B5219" s="90">
        <v>7.9145877705973851</v>
      </c>
    </row>
    <row r="5220" spans="1:2">
      <c r="A5220" s="32">
        <v>5210</v>
      </c>
      <c r="B5220" s="90">
        <v>7.5131162978778852</v>
      </c>
    </row>
    <row r="5221" spans="1:2">
      <c r="A5221" s="32">
        <v>5211</v>
      </c>
      <c r="B5221" s="90">
        <v>9.1872769401000944</v>
      </c>
    </row>
    <row r="5222" spans="1:2">
      <c r="A5222" s="32">
        <v>5212</v>
      </c>
      <c r="B5222" s="90">
        <v>8.1652444591013147</v>
      </c>
    </row>
    <row r="5223" spans="1:2">
      <c r="A5223" s="32">
        <v>5213</v>
      </c>
      <c r="B5223" s="90">
        <v>7.9928973796037663</v>
      </c>
    </row>
    <row r="5224" spans="1:2">
      <c r="A5224" s="32">
        <v>5214</v>
      </c>
      <c r="B5224" s="90">
        <v>8.0365000201176322</v>
      </c>
    </row>
    <row r="5225" spans="1:2">
      <c r="A5225" s="32">
        <v>5215</v>
      </c>
      <c r="B5225" s="90">
        <v>8.1048352746257795</v>
      </c>
    </row>
    <row r="5226" spans="1:2">
      <c r="A5226" s="32">
        <v>5216</v>
      </c>
      <c r="B5226" s="90">
        <v>7.7207956629638712</v>
      </c>
    </row>
    <row r="5227" spans="1:2">
      <c r="A5227" s="32">
        <v>5217</v>
      </c>
      <c r="B5227" s="90">
        <v>8.8270142613691558</v>
      </c>
    </row>
    <row r="5228" spans="1:2">
      <c r="A5228" s="32">
        <v>5218</v>
      </c>
      <c r="B5228" s="90">
        <v>8.3441505641419536</v>
      </c>
    </row>
    <row r="5229" spans="1:2">
      <c r="A5229" s="32">
        <v>5219</v>
      </c>
      <c r="B5229" s="90">
        <v>7.9911885752842649</v>
      </c>
    </row>
    <row r="5230" spans="1:2">
      <c r="A5230" s="32">
        <v>5220</v>
      </c>
      <c r="B5230" s="90">
        <v>8.2744685900372641</v>
      </c>
    </row>
    <row r="5231" spans="1:2">
      <c r="A5231" s="32">
        <v>5221</v>
      </c>
      <c r="B5231" s="90">
        <v>7.7975443313592638</v>
      </c>
    </row>
    <row r="5232" spans="1:2">
      <c r="A5232" s="32">
        <v>5222</v>
      </c>
      <c r="B5232" s="90">
        <v>7.8718133390153016</v>
      </c>
    </row>
    <row r="5233" spans="1:2">
      <c r="A5233" s="32">
        <v>5223</v>
      </c>
      <c r="B5233" s="90">
        <v>8.9900903966828878</v>
      </c>
    </row>
    <row r="5234" spans="1:2">
      <c r="A5234" s="32">
        <v>5224</v>
      </c>
      <c r="B5234" s="90">
        <v>8.2418312123118795</v>
      </c>
    </row>
    <row r="5235" spans="1:2">
      <c r="A5235" s="32">
        <v>5225</v>
      </c>
      <c r="B5235" s="90">
        <v>8.4400548032270404</v>
      </c>
    </row>
    <row r="5236" spans="1:2">
      <c r="A5236" s="32">
        <v>5226</v>
      </c>
      <c r="B5236" s="90">
        <v>7.9130194522401061</v>
      </c>
    </row>
    <row r="5237" spans="1:2">
      <c r="A5237" s="32">
        <v>5227</v>
      </c>
      <c r="B5237" s="90">
        <v>7.4639602588336684</v>
      </c>
    </row>
    <row r="5238" spans="1:2">
      <c r="A5238" s="32">
        <v>5228</v>
      </c>
      <c r="B5238" s="90">
        <v>8.4862458916427013</v>
      </c>
    </row>
    <row r="5239" spans="1:2">
      <c r="A5239" s="32">
        <v>5229</v>
      </c>
      <c r="B5239" s="90">
        <v>8.5195022469847714</v>
      </c>
    </row>
    <row r="5240" spans="1:2">
      <c r="A5240" s="32">
        <v>5230</v>
      </c>
      <c r="B5240" s="90">
        <v>8.3599300281149613</v>
      </c>
    </row>
    <row r="5241" spans="1:2">
      <c r="A5241" s="32">
        <v>5231</v>
      </c>
      <c r="B5241" s="90">
        <v>7.9743274082394855</v>
      </c>
    </row>
    <row r="5242" spans="1:2">
      <c r="A5242" s="32">
        <v>5232</v>
      </c>
      <c r="B5242" s="90">
        <v>8.0045809193420681</v>
      </c>
    </row>
    <row r="5243" spans="1:2">
      <c r="A5243" s="32">
        <v>5233</v>
      </c>
      <c r="B5243" s="90">
        <v>7.3686602607331517</v>
      </c>
    </row>
    <row r="5244" spans="1:2">
      <c r="A5244" s="32">
        <v>5234</v>
      </c>
      <c r="B5244" s="90">
        <v>8.5586156895841246</v>
      </c>
    </row>
    <row r="5245" spans="1:2">
      <c r="A5245" s="32">
        <v>5235</v>
      </c>
      <c r="B5245" s="90">
        <v>9.1318261768842479</v>
      </c>
    </row>
    <row r="5246" spans="1:2">
      <c r="A5246" s="32">
        <v>5236</v>
      </c>
      <c r="B5246" s="90">
        <v>8.2066828414285915</v>
      </c>
    </row>
    <row r="5247" spans="1:2">
      <c r="A5247" s="32">
        <v>5237</v>
      </c>
      <c r="B5247" s="90">
        <v>8.2554662550095852</v>
      </c>
    </row>
    <row r="5248" spans="1:2">
      <c r="A5248" s="32">
        <v>5238</v>
      </c>
      <c r="B5248" s="90">
        <v>6.935514239692079</v>
      </c>
    </row>
    <row r="5249" spans="1:2">
      <c r="A5249" s="32">
        <v>5239</v>
      </c>
      <c r="B5249" s="90">
        <v>7.8944022146555275</v>
      </c>
    </row>
    <row r="5250" spans="1:2">
      <c r="A5250" s="32">
        <v>5240</v>
      </c>
      <c r="B5250" s="90">
        <v>7.4184869971394294</v>
      </c>
    </row>
    <row r="5251" spans="1:2">
      <c r="A5251" s="32">
        <v>5241</v>
      </c>
      <c r="B5251" s="90">
        <v>8.8880443351112941</v>
      </c>
    </row>
    <row r="5252" spans="1:2">
      <c r="A5252" s="32">
        <v>5242</v>
      </c>
      <c r="B5252" s="90">
        <v>7.7394683476289039</v>
      </c>
    </row>
    <row r="5253" spans="1:2">
      <c r="A5253" s="32">
        <v>5243</v>
      </c>
      <c r="B5253" s="90">
        <v>7.9726640619740321</v>
      </c>
    </row>
    <row r="5254" spans="1:2">
      <c r="A5254" s="32">
        <v>5244</v>
      </c>
      <c r="B5254" s="90">
        <v>7.1993845600565489</v>
      </c>
    </row>
    <row r="5255" spans="1:2">
      <c r="A5255" s="32">
        <v>5245</v>
      </c>
      <c r="B5255" s="90">
        <v>7.6680681019440478</v>
      </c>
    </row>
    <row r="5256" spans="1:2">
      <c r="A5256" s="32">
        <v>5246</v>
      </c>
      <c r="B5256" s="90">
        <v>7.4809858522081001</v>
      </c>
    </row>
    <row r="5257" spans="1:2">
      <c r="A5257" s="32">
        <v>5247</v>
      </c>
      <c r="B5257" s="90">
        <v>8.7852568012712133</v>
      </c>
    </row>
    <row r="5258" spans="1:2">
      <c r="A5258" s="32">
        <v>5248</v>
      </c>
      <c r="B5258" s="90">
        <v>7.642310423758869</v>
      </c>
    </row>
    <row r="5259" spans="1:2">
      <c r="A5259" s="32">
        <v>5249</v>
      </c>
      <c r="B5259" s="90">
        <v>7.6176360798438081</v>
      </c>
    </row>
    <row r="5260" spans="1:2">
      <c r="A5260" s="32">
        <v>5250</v>
      </c>
      <c r="B5260" s="90">
        <v>7.6318681721591126</v>
      </c>
    </row>
    <row r="5261" spans="1:2">
      <c r="A5261" s="32">
        <v>5251</v>
      </c>
      <c r="B5261" s="90">
        <v>8.0408914997145331</v>
      </c>
    </row>
    <row r="5262" spans="1:2">
      <c r="A5262" s="32">
        <v>5252</v>
      </c>
      <c r="B5262" s="90">
        <v>7.4517604839228504</v>
      </c>
    </row>
    <row r="5263" spans="1:2">
      <c r="A5263" s="32">
        <v>5253</v>
      </c>
      <c r="B5263" s="90">
        <v>8.9630390728678702</v>
      </c>
    </row>
    <row r="5264" spans="1:2">
      <c r="A5264" s="32">
        <v>5254</v>
      </c>
      <c r="B5264" s="90">
        <v>7.3458052842111048</v>
      </c>
    </row>
    <row r="5265" spans="1:2">
      <c r="A5265" s="32">
        <v>5255</v>
      </c>
      <c r="B5265" s="90">
        <v>7.5577136345172926</v>
      </c>
    </row>
    <row r="5266" spans="1:2">
      <c r="A5266" s="32">
        <v>5256</v>
      </c>
      <c r="B5266" s="90">
        <v>7.6991295092759868</v>
      </c>
    </row>
    <row r="5267" spans="1:2">
      <c r="A5267" s="32">
        <v>5257</v>
      </c>
      <c r="B5267" s="90">
        <v>8.5103710749624319</v>
      </c>
    </row>
    <row r="5268" spans="1:2">
      <c r="A5268" s="32">
        <v>5258</v>
      </c>
      <c r="B5268" s="90">
        <v>6.8122476156752247</v>
      </c>
    </row>
    <row r="5269" spans="1:2">
      <c r="A5269" s="32">
        <v>5259</v>
      </c>
      <c r="B5269" s="90">
        <v>9.0278518156245262</v>
      </c>
    </row>
    <row r="5270" spans="1:2">
      <c r="A5270" s="32">
        <v>5260</v>
      </c>
      <c r="B5270" s="90">
        <v>7.7796261122383168</v>
      </c>
    </row>
    <row r="5271" spans="1:2">
      <c r="A5271" s="32">
        <v>5261</v>
      </c>
      <c r="B5271" s="90">
        <v>6.8901867709688007</v>
      </c>
    </row>
    <row r="5272" spans="1:2">
      <c r="A5272" s="32">
        <v>5262</v>
      </c>
      <c r="B5272" s="90">
        <v>7.8048813379903059</v>
      </c>
    </row>
    <row r="5273" spans="1:2">
      <c r="A5273" s="32">
        <v>5263</v>
      </c>
      <c r="B5273" s="90">
        <v>8.458165480201691</v>
      </c>
    </row>
    <row r="5274" spans="1:2">
      <c r="A5274" s="32">
        <v>5264</v>
      </c>
      <c r="B5274" s="90">
        <v>7.7444587646097185</v>
      </c>
    </row>
    <row r="5275" spans="1:2">
      <c r="A5275" s="32">
        <v>5265</v>
      </c>
      <c r="B5275" s="90">
        <v>8.2932413436401635</v>
      </c>
    </row>
    <row r="5276" spans="1:2">
      <c r="A5276" s="32">
        <v>5266</v>
      </c>
      <c r="B5276" s="90">
        <v>7.9209074696969202</v>
      </c>
    </row>
    <row r="5277" spans="1:2">
      <c r="A5277" s="32">
        <v>5267</v>
      </c>
      <c r="B5277" s="90">
        <v>7.1471618786109774</v>
      </c>
    </row>
    <row r="5278" spans="1:2">
      <c r="A5278" s="32">
        <v>5268</v>
      </c>
      <c r="B5278" s="90">
        <v>7.9959264216639871</v>
      </c>
    </row>
    <row r="5279" spans="1:2">
      <c r="A5279" s="32">
        <v>5269</v>
      </c>
      <c r="B5279" s="90">
        <v>8.0883966209638452</v>
      </c>
    </row>
    <row r="5280" spans="1:2">
      <c r="A5280" s="32">
        <v>5270</v>
      </c>
      <c r="B5280" s="90">
        <v>7.9306040831426854</v>
      </c>
    </row>
    <row r="5281" spans="1:2">
      <c r="A5281" s="32">
        <v>5271</v>
      </c>
      <c r="B5281" s="90">
        <v>7.9328830151715657</v>
      </c>
    </row>
    <row r="5282" spans="1:2">
      <c r="A5282" s="32">
        <v>5272</v>
      </c>
      <c r="B5282" s="90">
        <v>7.9298289325464895</v>
      </c>
    </row>
    <row r="5283" spans="1:2">
      <c r="A5283" s="32">
        <v>5273</v>
      </c>
      <c r="B5283" s="90">
        <v>7.1335952586313649</v>
      </c>
    </row>
    <row r="5284" spans="1:2">
      <c r="A5284" s="32">
        <v>5274</v>
      </c>
      <c r="B5284" s="90">
        <v>7.7205852531826773</v>
      </c>
    </row>
    <row r="5285" spans="1:2">
      <c r="A5285" s="32">
        <v>5275</v>
      </c>
      <c r="B5285" s="90">
        <v>7.479057979658295</v>
      </c>
    </row>
    <row r="5286" spans="1:2">
      <c r="A5286" s="32">
        <v>5276</v>
      </c>
      <c r="B5286" s="90">
        <v>9.1259543921228303</v>
      </c>
    </row>
    <row r="5287" spans="1:2">
      <c r="A5287" s="32">
        <v>5277</v>
      </c>
      <c r="B5287" s="90">
        <v>7.4868267246281794</v>
      </c>
    </row>
    <row r="5288" spans="1:2">
      <c r="A5288" s="32">
        <v>5278</v>
      </c>
      <c r="B5288" s="90">
        <v>7.8275834325173381</v>
      </c>
    </row>
    <row r="5289" spans="1:2">
      <c r="A5289" s="32">
        <v>5279</v>
      </c>
      <c r="B5289" s="90">
        <v>7.3840294239792073</v>
      </c>
    </row>
    <row r="5290" spans="1:2">
      <c r="A5290" s="32">
        <v>5280</v>
      </c>
      <c r="B5290" s="90">
        <v>7.8534003632918878</v>
      </c>
    </row>
    <row r="5291" spans="1:2">
      <c r="A5291" s="32">
        <v>5281</v>
      </c>
      <c r="B5291" s="90">
        <v>7.3177501168277246</v>
      </c>
    </row>
    <row r="5292" spans="1:2">
      <c r="A5292" s="32">
        <v>5282</v>
      </c>
      <c r="B5292" s="90">
        <v>8.9203894341938561</v>
      </c>
    </row>
    <row r="5293" spans="1:2">
      <c r="A5293" s="32">
        <v>5283</v>
      </c>
      <c r="B5293" s="90">
        <v>7.6508280664145838</v>
      </c>
    </row>
    <row r="5294" spans="1:2">
      <c r="A5294" s="32">
        <v>5284</v>
      </c>
      <c r="B5294" s="90">
        <v>7.3750448514870968</v>
      </c>
    </row>
    <row r="5295" spans="1:2">
      <c r="A5295" s="32">
        <v>5285</v>
      </c>
      <c r="B5295" s="90">
        <v>7.8571173884427647</v>
      </c>
    </row>
    <row r="5296" spans="1:2">
      <c r="A5296" s="32">
        <v>5286</v>
      </c>
      <c r="B5296" s="90">
        <v>8.2436375767994914</v>
      </c>
    </row>
    <row r="5297" spans="1:2">
      <c r="A5297" s="32">
        <v>5287</v>
      </c>
      <c r="B5297" s="90">
        <v>7.0275481169711407</v>
      </c>
    </row>
    <row r="5298" spans="1:2">
      <c r="A5298" s="32">
        <v>5288</v>
      </c>
      <c r="B5298" s="90">
        <v>8.8666496483914532</v>
      </c>
    </row>
    <row r="5299" spans="1:2">
      <c r="A5299" s="32">
        <v>5289</v>
      </c>
      <c r="B5299" s="90">
        <v>7.7683660197501707</v>
      </c>
    </row>
    <row r="5300" spans="1:2">
      <c r="A5300" s="32">
        <v>5290</v>
      </c>
      <c r="B5300" s="90">
        <v>7.1492871160340226</v>
      </c>
    </row>
    <row r="5301" spans="1:2">
      <c r="A5301" s="32">
        <v>5291</v>
      </c>
      <c r="B5301" s="90">
        <v>7.9566838243153502</v>
      </c>
    </row>
    <row r="5302" spans="1:2">
      <c r="A5302" s="32">
        <v>5292</v>
      </c>
      <c r="B5302" s="90">
        <v>8.2419911102172403</v>
      </c>
    </row>
    <row r="5303" spans="1:2">
      <c r="A5303" s="32">
        <v>5293</v>
      </c>
      <c r="B5303" s="90">
        <v>7.4386619642482188</v>
      </c>
    </row>
    <row r="5304" spans="1:2">
      <c r="A5304" s="32">
        <v>5294</v>
      </c>
      <c r="B5304" s="90">
        <v>8.3626178595380303</v>
      </c>
    </row>
    <row r="5305" spans="1:2">
      <c r="A5305" s="32">
        <v>5295</v>
      </c>
      <c r="B5305" s="90">
        <v>8.083079918884831</v>
      </c>
    </row>
    <row r="5306" spans="1:2">
      <c r="A5306" s="32">
        <v>5296</v>
      </c>
      <c r="B5306" s="90">
        <v>6.9137408595558414</v>
      </c>
    </row>
    <row r="5307" spans="1:2">
      <c r="A5307" s="32">
        <v>5297</v>
      </c>
      <c r="B5307" s="90">
        <v>7.9089149984156242</v>
      </c>
    </row>
    <row r="5308" spans="1:2">
      <c r="A5308" s="32">
        <v>5298</v>
      </c>
      <c r="B5308" s="90">
        <v>8.3089771778596511</v>
      </c>
    </row>
    <row r="5309" spans="1:2">
      <c r="A5309" s="32">
        <v>5299</v>
      </c>
      <c r="B5309" s="90">
        <v>7.5879833161255776</v>
      </c>
    </row>
    <row r="5310" spans="1:2">
      <c r="A5310" s="32">
        <v>5300</v>
      </c>
      <c r="B5310" s="90">
        <v>8.2066828414285915</v>
      </c>
    </row>
    <row r="5311" spans="1:2">
      <c r="A5311" s="32">
        <v>5301</v>
      </c>
      <c r="B5311" s="90">
        <v>8.2554662550095852</v>
      </c>
    </row>
    <row r="5312" spans="1:2">
      <c r="A5312" s="32">
        <v>5302</v>
      </c>
      <c r="B5312" s="90">
        <v>6.935514239692079</v>
      </c>
    </row>
    <row r="5313" spans="1:2">
      <c r="A5313" s="32">
        <v>5303</v>
      </c>
      <c r="B5313" s="90">
        <v>7.8944022146555275</v>
      </c>
    </row>
    <row r="5314" spans="1:2">
      <c r="A5314" s="32">
        <v>5304</v>
      </c>
      <c r="B5314" s="90">
        <v>7.4184869971394294</v>
      </c>
    </row>
    <row r="5315" spans="1:2">
      <c r="A5315" s="32">
        <v>5305</v>
      </c>
      <c r="B5315" s="90">
        <v>8.8880443351112941</v>
      </c>
    </row>
    <row r="5316" spans="1:2">
      <c r="A5316" s="32">
        <v>5306</v>
      </c>
      <c r="B5316" s="90">
        <v>7.7394683476289039</v>
      </c>
    </row>
    <row r="5317" spans="1:2">
      <c r="A5317" s="32">
        <v>5307</v>
      </c>
      <c r="B5317" s="90">
        <v>7.9726640619740321</v>
      </c>
    </row>
    <row r="5318" spans="1:2">
      <c r="A5318" s="32">
        <v>5308</v>
      </c>
      <c r="B5318" s="90">
        <v>7.1993845600565489</v>
      </c>
    </row>
    <row r="5319" spans="1:2">
      <c r="A5319" s="32">
        <v>5309</v>
      </c>
      <c r="B5319" s="90">
        <v>7.6680681019440478</v>
      </c>
    </row>
    <row r="5320" spans="1:2">
      <c r="A5320" s="32">
        <v>5310</v>
      </c>
      <c r="B5320" s="90">
        <v>7.4809858522081001</v>
      </c>
    </row>
    <row r="5321" spans="1:2">
      <c r="A5321" s="32">
        <v>5311</v>
      </c>
      <c r="B5321" s="90">
        <v>8.7852568012712133</v>
      </c>
    </row>
    <row r="5322" spans="1:2">
      <c r="A5322" s="32">
        <v>5312</v>
      </c>
      <c r="B5322" s="90">
        <v>7.642310423758869</v>
      </c>
    </row>
    <row r="5323" spans="1:2">
      <c r="A5323" s="32">
        <v>5313</v>
      </c>
      <c r="B5323" s="90">
        <v>7.6176360798438081</v>
      </c>
    </row>
    <row r="5324" spans="1:2">
      <c r="A5324" s="32">
        <v>5314</v>
      </c>
      <c r="B5324" s="90">
        <v>7.6318681721591126</v>
      </c>
    </row>
    <row r="5325" spans="1:2">
      <c r="A5325" s="32">
        <v>5315</v>
      </c>
      <c r="B5325" s="90">
        <v>8.0408914997145331</v>
      </c>
    </row>
    <row r="5326" spans="1:2">
      <c r="A5326" s="32">
        <v>5316</v>
      </c>
      <c r="B5326" s="90">
        <v>7.4517604839228504</v>
      </c>
    </row>
    <row r="5327" spans="1:2">
      <c r="A5327" s="32">
        <v>5317</v>
      </c>
      <c r="B5327" s="90">
        <v>8.9630390728678702</v>
      </c>
    </row>
    <row r="5328" spans="1:2">
      <c r="A5328" s="32">
        <v>5318</v>
      </c>
      <c r="B5328" s="90">
        <v>7.3458052842111048</v>
      </c>
    </row>
    <row r="5329" spans="1:2">
      <c r="A5329" s="32">
        <v>5319</v>
      </c>
      <c r="B5329" s="90">
        <v>7.5577136345172926</v>
      </c>
    </row>
    <row r="5330" spans="1:2">
      <c r="A5330" s="32">
        <v>5320</v>
      </c>
      <c r="B5330" s="90">
        <v>7.6991295092759868</v>
      </c>
    </row>
    <row r="5331" spans="1:2">
      <c r="A5331" s="32">
        <v>5321</v>
      </c>
      <c r="B5331" s="90">
        <v>8.5103710749624319</v>
      </c>
    </row>
    <row r="5332" spans="1:2">
      <c r="A5332" s="32">
        <v>5322</v>
      </c>
      <c r="B5332" s="90">
        <v>6.8122476156752247</v>
      </c>
    </row>
    <row r="5333" spans="1:2">
      <c r="A5333" s="32">
        <v>5323</v>
      </c>
      <c r="B5333" s="90">
        <v>9.0278518156245262</v>
      </c>
    </row>
    <row r="5334" spans="1:2">
      <c r="A5334" s="32">
        <v>5324</v>
      </c>
      <c r="B5334" s="90">
        <v>7.7796261122383168</v>
      </c>
    </row>
    <row r="5335" spans="1:2">
      <c r="A5335" s="32">
        <v>5325</v>
      </c>
      <c r="B5335" s="90">
        <v>6.8901867709688007</v>
      </c>
    </row>
    <row r="5336" spans="1:2">
      <c r="A5336" s="32">
        <v>5326</v>
      </c>
      <c r="B5336" s="90">
        <v>7.8048813379903059</v>
      </c>
    </row>
    <row r="5337" spans="1:2">
      <c r="A5337" s="32">
        <v>5327</v>
      </c>
      <c r="B5337" s="90">
        <v>8.458165480201691</v>
      </c>
    </row>
    <row r="5338" spans="1:2">
      <c r="A5338" s="32">
        <v>5328</v>
      </c>
      <c r="B5338" s="90">
        <v>7.7444587646097185</v>
      </c>
    </row>
    <row r="5339" spans="1:2">
      <c r="A5339" s="32">
        <v>5329</v>
      </c>
      <c r="B5339" s="90">
        <v>8.2932413436401635</v>
      </c>
    </row>
    <row r="5340" spans="1:2">
      <c r="A5340" s="32">
        <v>5330</v>
      </c>
      <c r="B5340" s="90">
        <v>7.9209074696969202</v>
      </c>
    </row>
    <row r="5341" spans="1:2">
      <c r="A5341" s="32">
        <v>5331</v>
      </c>
      <c r="B5341" s="90">
        <v>7.1471618786109774</v>
      </c>
    </row>
    <row r="5342" spans="1:2">
      <c r="A5342" s="32">
        <v>5332</v>
      </c>
      <c r="B5342" s="90">
        <v>7.9959264216639871</v>
      </c>
    </row>
    <row r="5343" spans="1:2">
      <c r="A5343" s="32">
        <v>5333</v>
      </c>
      <c r="B5343" s="90">
        <v>8.0883966209638452</v>
      </c>
    </row>
    <row r="5344" spans="1:2">
      <c r="A5344" s="32">
        <v>5334</v>
      </c>
      <c r="B5344" s="90">
        <v>7.9306040831426854</v>
      </c>
    </row>
    <row r="5345" spans="1:2">
      <c r="A5345" s="32">
        <v>5335</v>
      </c>
      <c r="B5345" s="90">
        <v>7.9328830151715657</v>
      </c>
    </row>
    <row r="5346" spans="1:2">
      <c r="A5346" s="32">
        <v>5336</v>
      </c>
      <c r="B5346" s="90">
        <v>7.9298289325464895</v>
      </c>
    </row>
    <row r="5347" spans="1:2">
      <c r="A5347" s="32">
        <v>5337</v>
      </c>
      <c r="B5347" s="90">
        <v>7.1335952586313649</v>
      </c>
    </row>
    <row r="5348" spans="1:2">
      <c r="A5348" s="32">
        <v>5338</v>
      </c>
      <c r="B5348" s="90">
        <v>7.1924555969554733</v>
      </c>
    </row>
    <row r="5349" spans="1:2">
      <c r="A5349" s="32">
        <v>5339</v>
      </c>
      <c r="B5349" s="90">
        <v>8.3410333645970525</v>
      </c>
    </row>
    <row r="5350" spans="1:2">
      <c r="A5350" s="32">
        <v>5340</v>
      </c>
      <c r="B5350" s="90">
        <v>8.1028058911320393</v>
      </c>
    </row>
    <row r="5351" spans="1:2">
      <c r="A5351" s="32">
        <v>5341</v>
      </c>
      <c r="B5351" s="90">
        <v>7.9970419096600747</v>
      </c>
    </row>
    <row r="5352" spans="1:2">
      <c r="A5352" s="32">
        <v>5342</v>
      </c>
      <c r="B5352" s="90">
        <v>6.8901371030567553</v>
      </c>
    </row>
    <row r="5353" spans="1:2">
      <c r="A5353" s="32">
        <v>5343</v>
      </c>
      <c r="B5353" s="90">
        <v>7.944063855946605</v>
      </c>
    </row>
    <row r="5354" spans="1:2">
      <c r="A5354" s="32">
        <v>5344</v>
      </c>
      <c r="B5354" s="90">
        <v>7.9500641330027104</v>
      </c>
    </row>
    <row r="5355" spans="1:2">
      <c r="A5355" s="32">
        <v>5345</v>
      </c>
      <c r="B5355" s="90">
        <v>7.8320042071699314</v>
      </c>
    </row>
    <row r="5356" spans="1:2">
      <c r="A5356" s="32">
        <v>5346</v>
      </c>
      <c r="B5356" s="90">
        <v>8.7749548864160438</v>
      </c>
    </row>
    <row r="5357" spans="1:2">
      <c r="A5357" s="32">
        <v>5347</v>
      </c>
      <c r="B5357" s="90">
        <v>7.7840491282382489</v>
      </c>
    </row>
    <row r="5358" spans="1:2">
      <c r="A5358" s="32">
        <v>5348</v>
      </c>
      <c r="B5358" s="90">
        <v>7.4110286558108029</v>
      </c>
    </row>
    <row r="5359" spans="1:2">
      <c r="A5359" s="32">
        <v>5349</v>
      </c>
      <c r="B5359" s="90">
        <v>7.8290972334514715</v>
      </c>
    </row>
    <row r="5360" spans="1:2">
      <c r="A5360" s="32">
        <v>5350</v>
      </c>
      <c r="B5360" s="90">
        <v>7.9875565806335365</v>
      </c>
    </row>
    <row r="5361" spans="1:2">
      <c r="A5361" s="32">
        <v>5351</v>
      </c>
      <c r="B5361" s="90">
        <v>8.0536927401316785</v>
      </c>
    </row>
    <row r="5362" spans="1:2">
      <c r="A5362" s="32">
        <v>5352</v>
      </c>
      <c r="B5362" s="90">
        <v>8.1234829993010216</v>
      </c>
    </row>
    <row r="5363" spans="1:2">
      <c r="A5363" s="32">
        <v>5353</v>
      </c>
      <c r="B5363" s="90">
        <v>7.9352867909002711</v>
      </c>
    </row>
    <row r="5364" spans="1:2">
      <c r="A5364" s="32">
        <v>5354</v>
      </c>
      <c r="B5364" s="90">
        <v>7.7653891697935959</v>
      </c>
    </row>
    <row r="5365" spans="1:2">
      <c r="A5365" s="32">
        <v>5355</v>
      </c>
      <c r="B5365" s="90">
        <v>7.9573405756310311</v>
      </c>
    </row>
    <row r="5366" spans="1:2">
      <c r="A5366" s="32">
        <v>5356</v>
      </c>
      <c r="B5366" s="90">
        <v>7.8437482266859799</v>
      </c>
    </row>
    <row r="5367" spans="1:2">
      <c r="A5367" s="32">
        <v>5357</v>
      </c>
      <c r="B5367" s="90">
        <v>7.6554131127483016</v>
      </c>
    </row>
    <row r="5368" spans="1:2">
      <c r="A5368" s="32">
        <v>5358</v>
      </c>
      <c r="B5368" s="90">
        <v>8.3467529710474206</v>
      </c>
    </row>
    <row r="5369" spans="1:2">
      <c r="A5369" s="32">
        <v>5359</v>
      </c>
      <c r="B5369" s="90">
        <v>7.6661737697013317</v>
      </c>
    </row>
    <row r="5370" spans="1:2">
      <c r="A5370" s="32">
        <v>5360</v>
      </c>
      <c r="B5370" s="90">
        <v>7.9189627075126703</v>
      </c>
    </row>
    <row r="5371" spans="1:2">
      <c r="A5371" s="32">
        <v>5361</v>
      </c>
      <c r="B5371" s="90">
        <v>7.5291182065029592</v>
      </c>
    </row>
    <row r="5372" spans="1:2">
      <c r="A5372" s="32">
        <v>5362</v>
      </c>
      <c r="B5372" s="90">
        <v>8.2985297122659354</v>
      </c>
    </row>
    <row r="5373" spans="1:2">
      <c r="A5373" s="32">
        <v>5363</v>
      </c>
      <c r="B5373" s="90">
        <v>8.2857504795533696</v>
      </c>
    </row>
    <row r="5374" spans="1:2">
      <c r="A5374" s="32">
        <v>5364</v>
      </c>
      <c r="B5374" s="90">
        <v>7.599374725081268</v>
      </c>
    </row>
    <row r="5375" spans="1:2">
      <c r="A5375" s="32">
        <v>5365</v>
      </c>
      <c r="B5375" s="90">
        <v>7.7650731615345165</v>
      </c>
    </row>
    <row r="5376" spans="1:2">
      <c r="A5376" s="32">
        <v>5366</v>
      </c>
      <c r="B5376" s="90">
        <v>7.861547820394331</v>
      </c>
    </row>
    <row r="5377" spans="1:2">
      <c r="A5377" s="32">
        <v>5367</v>
      </c>
      <c r="B5377" s="90">
        <v>7.4448093159742497</v>
      </c>
    </row>
    <row r="5378" spans="1:2">
      <c r="A5378" s="32">
        <v>5368</v>
      </c>
      <c r="B5378" s="90">
        <v>8.5147299043807241</v>
      </c>
    </row>
    <row r="5379" spans="1:2">
      <c r="A5379" s="32">
        <v>5369</v>
      </c>
      <c r="B5379" s="90">
        <v>8.3789765652877382</v>
      </c>
    </row>
    <row r="5380" spans="1:2">
      <c r="A5380" s="32">
        <v>5370</v>
      </c>
      <c r="B5380" s="90">
        <v>7.6485703576921775</v>
      </c>
    </row>
    <row r="5381" spans="1:2">
      <c r="A5381" s="32">
        <v>5371</v>
      </c>
      <c r="B5381" s="90">
        <v>7.3574509849761087</v>
      </c>
    </row>
    <row r="5382" spans="1:2">
      <c r="A5382" s="32">
        <v>5372</v>
      </c>
      <c r="B5382" s="90">
        <v>7.9159187464148983</v>
      </c>
    </row>
    <row r="5383" spans="1:2">
      <c r="A5383" s="32">
        <v>5373</v>
      </c>
      <c r="B5383" s="90">
        <v>8.1968038065183162</v>
      </c>
    </row>
    <row r="5384" spans="1:2">
      <c r="A5384" s="32">
        <v>5374</v>
      </c>
      <c r="B5384" s="90">
        <v>7.4247148005862611</v>
      </c>
    </row>
    <row r="5385" spans="1:2">
      <c r="A5385" s="32">
        <v>5375</v>
      </c>
      <c r="B5385" s="90">
        <v>8.8709035810500989</v>
      </c>
    </row>
    <row r="5386" spans="1:2">
      <c r="A5386" s="32">
        <v>5376</v>
      </c>
      <c r="B5386" s="90">
        <v>7.8504755762363869</v>
      </c>
    </row>
    <row r="5387" spans="1:2">
      <c r="A5387" s="32">
        <v>5377</v>
      </c>
      <c r="B5387" s="90">
        <v>7.4556066001546633</v>
      </c>
    </row>
    <row r="5388" spans="1:2">
      <c r="A5388" s="32">
        <v>5378</v>
      </c>
      <c r="B5388" s="90">
        <v>7.4661442344595548</v>
      </c>
    </row>
    <row r="5389" spans="1:2">
      <c r="A5389" s="32">
        <v>5379</v>
      </c>
      <c r="B5389" s="90">
        <v>8.1716359203517754</v>
      </c>
    </row>
    <row r="5390" spans="1:2">
      <c r="A5390" s="32">
        <v>5380</v>
      </c>
      <c r="B5390" s="90">
        <v>7.8523171969166512</v>
      </c>
    </row>
    <row r="5391" spans="1:2">
      <c r="A5391" s="32">
        <v>5381</v>
      </c>
      <c r="B5391" s="90">
        <v>8.6082218375291077</v>
      </c>
    </row>
    <row r="5392" spans="1:2">
      <c r="A5392" s="32">
        <v>5382</v>
      </c>
      <c r="B5392" s="90">
        <v>7.5201991815109244</v>
      </c>
    </row>
    <row r="5393" spans="1:2">
      <c r="A5393" s="32">
        <v>5383</v>
      </c>
      <c r="B5393" s="90">
        <v>7.7983905489348375</v>
      </c>
    </row>
    <row r="5394" spans="1:2">
      <c r="A5394" s="32">
        <v>5384</v>
      </c>
      <c r="B5394" s="90">
        <v>7.9681732691577762</v>
      </c>
    </row>
    <row r="5395" spans="1:2">
      <c r="A5395" s="32">
        <v>5385</v>
      </c>
      <c r="B5395" s="90">
        <v>7.6792356110021212</v>
      </c>
    </row>
    <row r="5396" spans="1:2">
      <c r="A5396" s="32">
        <v>5386</v>
      </c>
      <c r="B5396" s="90">
        <v>7.9112377350505083</v>
      </c>
    </row>
    <row r="5397" spans="1:2">
      <c r="A5397" s="32">
        <v>5387</v>
      </c>
      <c r="B5397" s="90">
        <v>8.4087658380280832</v>
      </c>
    </row>
    <row r="5398" spans="1:2">
      <c r="A5398" s="32">
        <v>5388</v>
      </c>
      <c r="B5398" s="90">
        <v>7.9647179819445801</v>
      </c>
    </row>
    <row r="5399" spans="1:2">
      <c r="A5399" s="32">
        <v>5389</v>
      </c>
      <c r="B5399" s="90">
        <v>7.5870410078002619</v>
      </c>
    </row>
    <row r="5400" spans="1:2">
      <c r="A5400" s="32">
        <v>5390</v>
      </c>
      <c r="B5400" s="90">
        <v>7.9715551039174208</v>
      </c>
    </row>
    <row r="5401" spans="1:2">
      <c r="A5401" s="32">
        <v>5391</v>
      </c>
      <c r="B5401" s="90">
        <v>7.6520411365737822</v>
      </c>
    </row>
    <row r="5402" spans="1:2">
      <c r="A5402" s="32">
        <v>5392</v>
      </c>
      <c r="B5402" s="90">
        <v>7.8244520482549209</v>
      </c>
    </row>
    <row r="5403" spans="1:2">
      <c r="A5403" s="32">
        <v>5393</v>
      </c>
      <c r="B5403" s="90">
        <v>8.1678616887322928</v>
      </c>
    </row>
    <row r="5404" spans="1:2">
      <c r="A5404" s="32">
        <v>5394</v>
      </c>
      <c r="B5404" s="90">
        <v>7.8780784548302538</v>
      </c>
    </row>
    <row r="5405" spans="1:2">
      <c r="A5405" s="32">
        <v>5395</v>
      </c>
      <c r="B5405" s="90">
        <v>7.7358167183569257</v>
      </c>
    </row>
    <row r="5406" spans="1:2">
      <c r="A5406" s="32">
        <v>5396</v>
      </c>
      <c r="B5406" s="90">
        <v>7.7330528579382944</v>
      </c>
    </row>
    <row r="5407" spans="1:2">
      <c r="A5407" s="32">
        <v>5397</v>
      </c>
      <c r="B5407" s="90">
        <v>8.261702992186466</v>
      </c>
    </row>
    <row r="5408" spans="1:2">
      <c r="A5408" s="32">
        <v>5398</v>
      </c>
      <c r="B5408" s="90">
        <v>8.4915795539654511</v>
      </c>
    </row>
    <row r="5409" spans="1:2">
      <c r="A5409" s="32">
        <v>5399</v>
      </c>
      <c r="B5409" s="90">
        <v>7.4753148275761792</v>
      </c>
    </row>
    <row r="5410" spans="1:2">
      <c r="A5410" s="32">
        <v>5400</v>
      </c>
      <c r="B5410" s="90">
        <v>7.616030565345322</v>
      </c>
    </row>
    <row r="5411" spans="1:2">
      <c r="A5411" s="32">
        <v>5401</v>
      </c>
      <c r="B5411" s="90">
        <v>7.810946888956078</v>
      </c>
    </row>
    <row r="5412" spans="1:2">
      <c r="A5412" s="32">
        <v>5402</v>
      </c>
      <c r="B5412" s="90">
        <v>7.9627695624870913</v>
      </c>
    </row>
    <row r="5413" spans="1:2">
      <c r="A5413" s="32">
        <v>5403</v>
      </c>
      <c r="B5413" s="90">
        <v>8.3410333645970525</v>
      </c>
    </row>
    <row r="5414" spans="1:2">
      <c r="A5414" s="32">
        <v>5404</v>
      </c>
      <c r="B5414" s="90">
        <v>8.1028058911320393</v>
      </c>
    </row>
    <row r="5415" spans="1:2">
      <c r="A5415" s="32">
        <v>5405</v>
      </c>
      <c r="B5415" s="90">
        <v>7.9970419096600747</v>
      </c>
    </row>
    <row r="5416" spans="1:2">
      <c r="A5416" s="32">
        <v>5406</v>
      </c>
      <c r="B5416" s="90">
        <v>6.8901371030567553</v>
      </c>
    </row>
    <row r="5417" spans="1:2">
      <c r="A5417" s="32">
        <v>5407</v>
      </c>
      <c r="B5417" s="90">
        <v>7.944063855946605</v>
      </c>
    </row>
    <row r="5418" spans="1:2">
      <c r="A5418" s="32">
        <v>5408</v>
      </c>
      <c r="B5418" s="90">
        <v>7.9500641330027104</v>
      </c>
    </row>
    <row r="5419" spans="1:2">
      <c r="A5419" s="32">
        <v>5409</v>
      </c>
      <c r="B5419" s="90">
        <v>7.8320042071699314</v>
      </c>
    </row>
    <row r="5420" spans="1:2">
      <c r="A5420" s="32">
        <v>5410</v>
      </c>
      <c r="B5420" s="90">
        <v>8.7749548864160438</v>
      </c>
    </row>
    <row r="5421" spans="1:2">
      <c r="A5421" s="32">
        <v>5411</v>
      </c>
      <c r="B5421" s="90">
        <v>7.7840491282382489</v>
      </c>
    </row>
    <row r="5422" spans="1:2">
      <c r="A5422" s="32">
        <v>5412</v>
      </c>
      <c r="B5422" s="90">
        <v>7.4110286558108029</v>
      </c>
    </row>
    <row r="5423" spans="1:2">
      <c r="A5423" s="32">
        <v>5413</v>
      </c>
      <c r="B5423" s="90">
        <v>7.8290972334514715</v>
      </c>
    </row>
    <row r="5424" spans="1:2">
      <c r="A5424" s="32">
        <v>5414</v>
      </c>
      <c r="B5424" s="90">
        <v>7.9875565806335365</v>
      </c>
    </row>
    <row r="5425" spans="1:2">
      <c r="A5425" s="32">
        <v>5415</v>
      </c>
      <c r="B5425" s="90">
        <v>8.0536927401316785</v>
      </c>
    </row>
    <row r="5426" spans="1:2">
      <c r="A5426" s="32">
        <v>5416</v>
      </c>
      <c r="B5426" s="90">
        <v>8.1234829993010216</v>
      </c>
    </row>
    <row r="5427" spans="1:2">
      <c r="A5427" s="32">
        <v>5417</v>
      </c>
      <c r="B5427" s="90">
        <v>7.5493690580939585</v>
      </c>
    </row>
    <row r="5428" spans="1:2">
      <c r="A5428" s="32">
        <v>5418</v>
      </c>
      <c r="B5428" s="90">
        <v>7.5103495079935687</v>
      </c>
    </row>
    <row r="5429" spans="1:2">
      <c r="A5429" s="32">
        <v>5419</v>
      </c>
      <c r="B5429" s="90">
        <v>9.2142971384486625</v>
      </c>
    </row>
    <row r="5430" spans="1:2">
      <c r="A5430" s="32">
        <v>5420</v>
      </c>
      <c r="B5430" s="90">
        <v>7.9731156692721452</v>
      </c>
    </row>
    <row r="5431" spans="1:2">
      <c r="A5431" s="32">
        <v>5421</v>
      </c>
      <c r="B5431" s="90">
        <v>7.4127718527359034</v>
      </c>
    </row>
    <row r="5432" spans="1:2">
      <c r="A5432" s="32">
        <v>5422</v>
      </c>
      <c r="B5432" s="90">
        <v>7.5456459846887114</v>
      </c>
    </row>
    <row r="5433" spans="1:2">
      <c r="A5433" s="32">
        <v>5423</v>
      </c>
      <c r="B5433" s="90">
        <v>8.1348888648758475</v>
      </c>
    </row>
    <row r="5434" spans="1:2">
      <c r="A5434" s="32">
        <v>5424</v>
      </c>
      <c r="B5434" s="90">
        <v>7.6416050700077287</v>
      </c>
    </row>
    <row r="5435" spans="1:2">
      <c r="A5435" s="32">
        <v>5425</v>
      </c>
      <c r="B5435" s="90">
        <v>9.0215341402950902</v>
      </c>
    </row>
    <row r="5436" spans="1:2">
      <c r="A5436" s="32">
        <v>5426</v>
      </c>
      <c r="B5436" s="90">
        <v>8.2905520695198032</v>
      </c>
    </row>
    <row r="5437" spans="1:2">
      <c r="A5437" s="32">
        <v>5427</v>
      </c>
      <c r="B5437" s="90">
        <v>7.2385296056351498</v>
      </c>
    </row>
    <row r="5438" spans="1:2">
      <c r="A5438" s="32">
        <v>5428</v>
      </c>
      <c r="B5438" s="90">
        <v>8.2005252556228037</v>
      </c>
    </row>
    <row r="5439" spans="1:2">
      <c r="A5439" s="32">
        <v>5429</v>
      </c>
      <c r="B5439" s="90">
        <v>7.496356580139893</v>
      </c>
    </row>
    <row r="5440" spans="1:2">
      <c r="A5440" s="32">
        <v>5430</v>
      </c>
      <c r="B5440" s="90">
        <v>7.9709439061482259</v>
      </c>
    </row>
    <row r="5441" spans="1:2">
      <c r="A5441" s="32">
        <v>5431</v>
      </c>
      <c r="B5441" s="90">
        <v>8.4023645463320999</v>
      </c>
    </row>
    <row r="5442" spans="1:2">
      <c r="A5442" s="32">
        <v>5432</v>
      </c>
      <c r="B5442" s="90">
        <v>8.497612379734619</v>
      </c>
    </row>
    <row r="5443" spans="1:2">
      <c r="A5443" s="32">
        <v>5433</v>
      </c>
      <c r="B5443" s="90">
        <v>7.0364673850037507</v>
      </c>
    </row>
    <row r="5444" spans="1:2">
      <c r="A5444" s="32">
        <v>5434</v>
      </c>
      <c r="B5444" s="90">
        <v>8.5687357173104104</v>
      </c>
    </row>
    <row r="5445" spans="1:2">
      <c r="A5445" s="32">
        <v>5435</v>
      </c>
      <c r="B5445" s="90">
        <v>7.1502109805406668</v>
      </c>
    </row>
    <row r="5446" spans="1:2">
      <c r="A5446" s="32">
        <v>5436</v>
      </c>
      <c r="B5446" s="90">
        <v>8.6889690430022402</v>
      </c>
    </row>
    <row r="5447" spans="1:2">
      <c r="A5447" s="32">
        <v>5437</v>
      </c>
      <c r="B5447" s="90">
        <v>8.1017334966045222</v>
      </c>
    </row>
    <row r="5448" spans="1:2">
      <c r="A5448" s="32">
        <v>5438</v>
      </c>
      <c r="B5448" s="90">
        <v>7.802312228088927</v>
      </c>
    </row>
    <row r="5449" spans="1:2">
      <c r="A5449" s="32">
        <v>5439</v>
      </c>
      <c r="B5449" s="90">
        <v>7.6687648631484642</v>
      </c>
    </row>
    <row r="5450" spans="1:2">
      <c r="A5450" s="32">
        <v>5440</v>
      </c>
      <c r="B5450" s="90">
        <v>8.0713094828906744</v>
      </c>
    </row>
    <row r="5451" spans="1:2">
      <c r="A5451" s="32">
        <v>5441</v>
      </c>
      <c r="B5451" s="90">
        <v>7.3415600142367463</v>
      </c>
    </row>
    <row r="5452" spans="1:2">
      <c r="A5452" s="32">
        <v>5442</v>
      </c>
      <c r="B5452" s="90">
        <v>8.7449876830327575</v>
      </c>
    </row>
    <row r="5453" spans="1:2">
      <c r="A5453" s="32">
        <v>5443</v>
      </c>
      <c r="B5453" s="90">
        <v>7.6525367844087233</v>
      </c>
    </row>
    <row r="5454" spans="1:2">
      <c r="A5454" s="32">
        <v>5444</v>
      </c>
      <c r="B5454" s="90">
        <v>8.2607146798498228</v>
      </c>
    </row>
    <row r="5455" spans="1:2">
      <c r="A5455" s="32">
        <v>5445</v>
      </c>
      <c r="B5455" s="90">
        <v>7.3019592301627485</v>
      </c>
    </row>
    <row r="5456" spans="1:2">
      <c r="A5456" s="32">
        <v>5446</v>
      </c>
      <c r="B5456" s="90">
        <v>8.3507668351480397</v>
      </c>
    </row>
    <row r="5457" spans="1:2">
      <c r="A5457" s="32">
        <v>5447</v>
      </c>
      <c r="B5457" s="90">
        <v>7.4318719349823459</v>
      </c>
    </row>
    <row r="5458" spans="1:2">
      <c r="A5458" s="32">
        <v>5448</v>
      </c>
      <c r="B5458" s="90">
        <v>8.810452251496903</v>
      </c>
    </row>
    <row r="5459" spans="1:2">
      <c r="A5459" s="32">
        <v>5449</v>
      </c>
      <c r="B5459" s="90">
        <v>7.8075825782974784</v>
      </c>
    </row>
    <row r="5460" spans="1:2">
      <c r="A5460" s="32">
        <v>5450</v>
      </c>
      <c r="B5460" s="90">
        <v>8.0075612895320916</v>
      </c>
    </row>
    <row r="5461" spans="1:2">
      <c r="A5461" s="32">
        <v>5451</v>
      </c>
      <c r="B5461" s="90">
        <v>7.3733909028376594</v>
      </c>
    </row>
    <row r="5462" spans="1:2">
      <c r="A5462" s="32">
        <v>5452</v>
      </c>
      <c r="B5462" s="90">
        <v>8.3174897695865564</v>
      </c>
    </row>
    <row r="5463" spans="1:2">
      <c r="A5463" s="32">
        <v>5453</v>
      </c>
      <c r="B5463" s="90">
        <v>7.5774398724636516</v>
      </c>
    </row>
    <row r="5464" spans="1:2">
      <c r="A5464" s="32">
        <v>5454</v>
      </c>
      <c r="B5464" s="90">
        <v>8.7790932760870568</v>
      </c>
    </row>
    <row r="5465" spans="1:2">
      <c r="A5465" s="32">
        <v>5455</v>
      </c>
      <c r="B5465" s="90">
        <v>7.8242854188883078</v>
      </c>
    </row>
    <row r="5466" spans="1:2">
      <c r="A5466" s="32">
        <v>5456</v>
      </c>
      <c r="B5466" s="90">
        <v>7.6612298812844273</v>
      </c>
    </row>
    <row r="5467" spans="1:2">
      <c r="A5467" s="32">
        <v>5457</v>
      </c>
      <c r="B5467" s="90">
        <v>7.9314347146944915</v>
      </c>
    </row>
    <row r="5468" spans="1:2">
      <c r="A5468" s="32">
        <v>5458</v>
      </c>
      <c r="B5468" s="90">
        <v>7.7008565692427755</v>
      </c>
    </row>
    <row r="5469" spans="1:2">
      <c r="A5469" s="32">
        <v>5459</v>
      </c>
      <c r="B5469" s="90">
        <v>7.6837555077192645</v>
      </c>
    </row>
    <row r="5470" spans="1:2">
      <c r="A5470" s="32">
        <v>5460</v>
      </c>
      <c r="B5470" s="90">
        <v>8.9442243505698542</v>
      </c>
    </row>
    <row r="5471" spans="1:2">
      <c r="A5471" s="32">
        <v>5461</v>
      </c>
      <c r="B5471" s="90">
        <v>8.4004051919290106</v>
      </c>
    </row>
    <row r="5472" spans="1:2">
      <c r="A5472" s="32">
        <v>5462</v>
      </c>
      <c r="B5472" s="90">
        <v>6.9889653110396326</v>
      </c>
    </row>
    <row r="5473" spans="1:2">
      <c r="A5473" s="32">
        <v>5463</v>
      </c>
      <c r="B5473" s="90">
        <v>8.7201242586473739</v>
      </c>
    </row>
    <row r="5474" spans="1:2">
      <c r="A5474" s="32">
        <v>5464</v>
      </c>
      <c r="B5474" s="90">
        <v>7.2190055741078183</v>
      </c>
    </row>
    <row r="5475" spans="1:2">
      <c r="A5475" s="32">
        <v>5465</v>
      </c>
      <c r="B5475" s="90">
        <v>8.2525157385016321</v>
      </c>
    </row>
    <row r="5476" spans="1:2">
      <c r="A5476" s="32">
        <v>5466</v>
      </c>
      <c r="B5476" s="90">
        <v>8.3511215064359146</v>
      </c>
    </row>
    <row r="5477" spans="1:2">
      <c r="A5477" s="32">
        <v>5467</v>
      </c>
      <c r="B5477" s="90">
        <v>7.9348141859489854</v>
      </c>
    </row>
    <row r="5478" spans="1:2">
      <c r="A5478" s="32">
        <v>5468</v>
      </c>
      <c r="B5478" s="90">
        <v>7.4972873646649099</v>
      </c>
    </row>
    <row r="5479" spans="1:2">
      <c r="A5479" s="32">
        <v>5469</v>
      </c>
      <c r="B5479" s="90">
        <v>8.1572174271296412</v>
      </c>
    </row>
    <row r="5480" spans="1:2">
      <c r="A5480" s="32">
        <v>5470</v>
      </c>
      <c r="B5480" s="90">
        <v>7.3487348827264984</v>
      </c>
    </row>
    <row r="5481" spans="1:2">
      <c r="A5481" s="32">
        <v>5471</v>
      </c>
      <c r="B5481" s="90">
        <v>8.6771858285136663</v>
      </c>
    </row>
    <row r="5482" spans="1:2">
      <c r="A5482" s="32">
        <v>5472</v>
      </c>
      <c r="B5482" s="90">
        <v>7.887502941028055</v>
      </c>
    </row>
    <row r="5483" spans="1:2">
      <c r="A5483" s="32">
        <v>5473</v>
      </c>
      <c r="B5483" s="90">
        <v>7.7857679856282447</v>
      </c>
    </row>
    <row r="5484" spans="1:2">
      <c r="A5484" s="32">
        <v>5474</v>
      </c>
      <c r="B5484" s="90">
        <v>8.0886645974321443</v>
      </c>
    </row>
    <row r="5485" spans="1:2">
      <c r="A5485" s="32">
        <v>5475</v>
      </c>
      <c r="B5485" s="90">
        <v>7.9784098673616768</v>
      </c>
    </row>
    <row r="5486" spans="1:2">
      <c r="A5486" s="32">
        <v>5476</v>
      </c>
      <c r="B5486" s="90">
        <v>7.1952366086861428</v>
      </c>
    </row>
    <row r="5487" spans="1:2">
      <c r="A5487" s="32">
        <v>5477</v>
      </c>
      <c r="B5487" s="90">
        <v>8.9314520046714581</v>
      </c>
    </row>
    <row r="5488" spans="1:2">
      <c r="A5488" s="32">
        <v>5478</v>
      </c>
      <c r="B5488" s="90">
        <v>7.6804672339730615</v>
      </c>
    </row>
    <row r="5489" spans="1:2">
      <c r="A5489" s="32">
        <v>5479</v>
      </c>
      <c r="B5489" s="90">
        <v>8.3594839826058269</v>
      </c>
    </row>
    <row r="5490" spans="1:2">
      <c r="A5490" s="32">
        <v>5480</v>
      </c>
      <c r="B5490" s="90">
        <v>7.0156680277493919</v>
      </c>
    </row>
    <row r="5491" spans="1:2">
      <c r="A5491" s="32">
        <v>5481</v>
      </c>
      <c r="B5491" s="90">
        <v>8.2398568522189208</v>
      </c>
    </row>
    <row r="5492" spans="1:2">
      <c r="A5492" s="32">
        <v>5482</v>
      </c>
      <c r="B5492" s="90">
        <v>7.5103495079935687</v>
      </c>
    </row>
    <row r="5493" spans="1:2">
      <c r="A5493" s="32">
        <v>5483</v>
      </c>
      <c r="B5493" s="90">
        <v>9.2142971384486625</v>
      </c>
    </row>
    <row r="5494" spans="1:2">
      <c r="A5494" s="32">
        <v>5484</v>
      </c>
      <c r="B5494" s="90">
        <v>7.9731156692721452</v>
      </c>
    </row>
    <row r="5495" spans="1:2">
      <c r="A5495" s="32">
        <v>5485</v>
      </c>
      <c r="B5495" s="90">
        <v>7.4127718527359034</v>
      </c>
    </row>
    <row r="5496" spans="1:2">
      <c r="A5496" s="32">
        <v>5486</v>
      </c>
      <c r="B5496" s="90">
        <v>7.5456459846887114</v>
      </c>
    </row>
    <row r="5497" spans="1:2">
      <c r="A5497" s="32">
        <v>5487</v>
      </c>
      <c r="B5497" s="90">
        <v>8.1348888648758475</v>
      </c>
    </row>
    <row r="5498" spans="1:2">
      <c r="A5498" s="32">
        <v>5488</v>
      </c>
      <c r="B5498" s="90">
        <v>7.6416050700077287</v>
      </c>
    </row>
    <row r="5499" spans="1:2">
      <c r="A5499" s="32">
        <v>5489</v>
      </c>
      <c r="B5499" s="90">
        <v>9.0215341402950902</v>
      </c>
    </row>
    <row r="5500" spans="1:2">
      <c r="A5500" s="32">
        <v>5490</v>
      </c>
      <c r="B5500" s="90">
        <v>8.2905520695198032</v>
      </c>
    </row>
    <row r="5501" spans="1:2">
      <c r="A5501" s="32">
        <v>5491</v>
      </c>
      <c r="B5501" s="90">
        <v>7.2385296056351498</v>
      </c>
    </row>
    <row r="5502" spans="1:2">
      <c r="A5502" s="32">
        <v>5492</v>
      </c>
      <c r="B5502" s="90">
        <v>8.2005252556228037</v>
      </c>
    </row>
    <row r="5503" spans="1:2">
      <c r="A5503" s="32">
        <v>5493</v>
      </c>
      <c r="B5503" s="90">
        <v>7.496356580139893</v>
      </c>
    </row>
    <row r="5504" spans="1:2">
      <c r="A5504" s="32">
        <v>5494</v>
      </c>
      <c r="B5504" s="90">
        <v>7.9709439061482259</v>
      </c>
    </row>
    <row r="5505" spans="1:2">
      <c r="A5505" s="32">
        <v>5495</v>
      </c>
      <c r="B5505" s="90">
        <v>8.4023645463320999</v>
      </c>
    </row>
    <row r="5506" spans="1:2">
      <c r="A5506" s="32">
        <v>5496</v>
      </c>
      <c r="B5506" s="90">
        <v>8.497612379734619</v>
      </c>
    </row>
    <row r="5507" spans="1:2">
      <c r="A5507" s="32">
        <v>5497</v>
      </c>
      <c r="B5507" s="90">
        <v>7.0364673850037507</v>
      </c>
    </row>
    <row r="5508" spans="1:2">
      <c r="A5508" s="32">
        <v>5498</v>
      </c>
      <c r="B5508" s="90">
        <v>8.5687357173104104</v>
      </c>
    </row>
    <row r="5509" spans="1:2">
      <c r="A5509" s="32">
        <v>5499</v>
      </c>
      <c r="B5509" s="90">
        <v>7.1502109805406668</v>
      </c>
    </row>
    <row r="5510" spans="1:2">
      <c r="A5510" s="32">
        <v>5500</v>
      </c>
      <c r="B5510" s="90">
        <v>8.6889690430022402</v>
      </c>
    </row>
    <row r="5511" spans="1:2">
      <c r="A5511" s="32">
        <v>5501</v>
      </c>
      <c r="B5511" s="90">
        <v>8.1017334966045222</v>
      </c>
    </row>
    <row r="5512" spans="1:2">
      <c r="A5512" s="32">
        <v>5502</v>
      </c>
      <c r="B5512" s="90">
        <v>7.802312228088927</v>
      </c>
    </row>
    <row r="5513" spans="1:2">
      <c r="A5513" s="32">
        <v>5503</v>
      </c>
      <c r="B5513" s="90">
        <v>7.6687648631484642</v>
      </c>
    </row>
    <row r="5514" spans="1:2">
      <c r="A5514" s="32">
        <v>5504</v>
      </c>
      <c r="B5514" s="90">
        <v>8.0713094828906744</v>
      </c>
    </row>
    <row r="5515" spans="1:2">
      <c r="A5515" s="32">
        <v>5505</v>
      </c>
      <c r="B5515" s="90">
        <v>7.3415600142367463</v>
      </c>
    </row>
    <row r="5516" spans="1:2">
      <c r="A5516" s="32">
        <v>5506</v>
      </c>
      <c r="B5516" s="90">
        <v>8.7449876830327575</v>
      </c>
    </row>
    <row r="5517" spans="1:2">
      <c r="A5517" s="32">
        <v>5507</v>
      </c>
      <c r="B5517" s="90">
        <v>7.6525367844087233</v>
      </c>
    </row>
    <row r="5518" spans="1:2">
      <c r="A5518" s="32">
        <v>5508</v>
      </c>
      <c r="B5518" s="90">
        <v>8.2607146798498228</v>
      </c>
    </row>
    <row r="5519" spans="1:2">
      <c r="A5519" s="32">
        <v>5509</v>
      </c>
      <c r="B5519" s="90">
        <v>7.3019592301627485</v>
      </c>
    </row>
    <row r="5520" spans="1:2">
      <c r="A5520" s="32">
        <v>5510</v>
      </c>
      <c r="B5520" s="90">
        <v>8.3507668351480397</v>
      </c>
    </row>
    <row r="5521" spans="1:2">
      <c r="A5521" s="32">
        <v>5511</v>
      </c>
      <c r="B5521" s="90">
        <v>7.4318719349823459</v>
      </c>
    </row>
    <row r="5522" spans="1:2">
      <c r="A5522" s="32">
        <v>5512</v>
      </c>
      <c r="B5522" s="90">
        <v>8.810452251496903</v>
      </c>
    </row>
    <row r="5523" spans="1:2">
      <c r="A5523" s="32">
        <v>5513</v>
      </c>
      <c r="B5523" s="90">
        <v>7.8075825782974784</v>
      </c>
    </row>
    <row r="5524" spans="1:2">
      <c r="A5524" s="32">
        <v>5514</v>
      </c>
      <c r="B5524" s="90">
        <v>8.0075612895320916</v>
      </c>
    </row>
    <row r="5525" spans="1:2">
      <c r="A5525" s="32">
        <v>5515</v>
      </c>
      <c r="B5525" s="90">
        <v>7.3733909028376594</v>
      </c>
    </row>
    <row r="5526" spans="1:2">
      <c r="A5526" s="32">
        <v>5516</v>
      </c>
      <c r="B5526" s="90">
        <v>8.3174897695865564</v>
      </c>
    </row>
    <row r="5527" spans="1:2">
      <c r="A5527" s="32">
        <v>5517</v>
      </c>
      <c r="B5527" s="90">
        <v>7.5774398724636516</v>
      </c>
    </row>
    <row r="5528" spans="1:2">
      <c r="A5528" s="32">
        <v>5518</v>
      </c>
      <c r="B5528" s="90">
        <v>8.7790932760870568</v>
      </c>
    </row>
    <row r="5529" spans="1:2">
      <c r="A5529" s="32">
        <v>5519</v>
      </c>
      <c r="B5529" s="90">
        <v>7.8242854188883078</v>
      </c>
    </row>
    <row r="5530" spans="1:2">
      <c r="A5530" s="32">
        <v>5520</v>
      </c>
      <c r="B5530" s="90">
        <v>7.6612298812844273</v>
      </c>
    </row>
    <row r="5531" spans="1:2">
      <c r="A5531" s="32">
        <v>5521</v>
      </c>
      <c r="B5531" s="90">
        <v>7.9314347146944915</v>
      </c>
    </row>
    <row r="5532" spans="1:2">
      <c r="A5532" s="32">
        <v>5522</v>
      </c>
      <c r="B5532" s="90">
        <v>7.7008565692427755</v>
      </c>
    </row>
    <row r="5533" spans="1:2">
      <c r="A5533" s="32">
        <v>5523</v>
      </c>
      <c r="B5533" s="90">
        <v>7.6837555077192645</v>
      </c>
    </row>
    <row r="5534" spans="1:2">
      <c r="A5534" s="32">
        <v>5524</v>
      </c>
      <c r="B5534" s="90">
        <v>8.9442243505698542</v>
      </c>
    </row>
    <row r="5535" spans="1:2">
      <c r="A5535" s="32">
        <v>5525</v>
      </c>
      <c r="B5535" s="90">
        <v>8.4004051919290106</v>
      </c>
    </row>
    <row r="5536" spans="1:2">
      <c r="A5536" s="32">
        <v>5526</v>
      </c>
      <c r="B5536" s="90">
        <v>6.9889653110396326</v>
      </c>
    </row>
    <row r="5537" spans="1:2">
      <c r="A5537" s="32">
        <v>5527</v>
      </c>
      <c r="B5537" s="90">
        <v>8.7201242586473739</v>
      </c>
    </row>
    <row r="5538" spans="1:2">
      <c r="A5538" s="32">
        <v>5528</v>
      </c>
      <c r="B5538" s="90">
        <v>7.2190055741078183</v>
      </c>
    </row>
    <row r="5539" spans="1:2">
      <c r="A5539" s="32">
        <v>5529</v>
      </c>
      <c r="B5539" s="90">
        <v>8.2525157385016321</v>
      </c>
    </row>
    <row r="5540" spans="1:2">
      <c r="A5540" s="32">
        <v>5530</v>
      </c>
      <c r="B5540" s="90">
        <v>8.3511215064359146</v>
      </c>
    </row>
    <row r="5541" spans="1:2">
      <c r="A5541" s="32">
        <v>5531</v>
      </c>
      <c r="B5541" s="90">
        <v>7.6531854476011167</v>
      </c>
    </row>
    <row r="5542" spans="1:2">
      <c r="A5542" s="32">
        <v>5532</v>
      </c>
      <c r="B5542" s="90">
        <v>8.0497060405698022</v>
      </c>
    </row>
    <row r="5543" spans="1:2">
      <c r="A5543" s="32">
        <v>5533</v>
      </c>
      <c r="B5543" s="90">
        <v>6.7636962486890075</v>
      </c>
    </row>
    <row r="5544" spans="1:2">
      <c r="A5544" s="32">
        <v>5534</v>
      </c>
      <c r="B5544" s="90">
        <v>8.8566810518235499</v>
      </c>
    </row>
    <row r="5545" spans="1:2">
      <c r="A5545" s="32">
        <v>5535</v>
      </c>
      <c r="B5545" s="90">
        <v>6.6778658352957985</v>
      </c>
    </row>
    <row r="5546" spans="1:2">
      <c r="A5546" s="32">
        <v>5536</v>
      </c>
      <c r="B5546" s="90">
        <v>9.0457646313461417</v>
      </c>
    </row>
    <row r="5547" spans="1:2">
      <c r="A5547" s="32">
        <v>5537</v>
      </c>
      <c r="B5547" s="90">
        <v>8.0956883044177115</v>
      </c>
    </row>
    <row r="5548" spans="1:2">
      <c r="A5548" s="32">
        <v>5538</v>
      </c>
      <c r="B5548" s="90">
        <v>8.0538320463369466</v>
      </c>
    </row>
    <row r="5549" spans="1:2">
      <c r="A5549" s="32">
        <v>5539</v>
      </c>
      <c r="B5549" s="90">
        <v>7.0968976155866033</v>
      </c>
    </row>
    <row r="5550" spans="1:2">
      <c r="A5550" s="32">
        <v>5540</v>
      </c>
      <c r="B5550" s="90">
        <v>8.4372996432537199</v>
      </c>
    </row>
    <row r="5551" spans="1:2">
      <c r="A5551" s="32">
        <v>5541</v>
      </c>
      <c r="B5551" s="90">
        <v>7.0491791650893774</v>
      </c>
    </row>
    <row r="5552" spans="1:2">
      <c r="A5552" s="32">
        <v>5542</v>
      </c>
      <c r="B5552" s="90">
        <v>8.5803302908222001</v>
      </c>
    </row>
    <row r="5553" spans="1:2">
      <c r="A5553" s="32">
        <v>5543</v>
      </c>
      <c r="B5553" s="90">
        <v>8.0770954794351475</v>
      </c>
    </row>
    <row r="5554" spans="1:2">
      <c r="A5554" s="32">
        <v>5544</v>
      </c>
      <c r="B5554" s="90">
        <v>7.8505987560750494</v>
      </c>
    </row>
    <row r="5555" spans="1:2">
      <c r="A5555" s="32">
        <v>5545</v>
      </c>
      <c r="B5555" s="90">
        <v>7.5302930829329924</v>
      </c>
    </row>
    <row r="5556" spans="1:2">
      <c r="A5556" s="32">
        <v>5546</v>
      </c>
      <c r="B5556" s="90">
        <v>7.8434240997473976</v>
      </c>
    </row>
    <row r="5557" spans="1:2">
      <c r="A5557" s="32">
        <v>5547</v>
      </c>
      <c r="B5557" s="90">
        <v>7.6019617188402835</v>
      </c>
    </row>
    <row r="5558" spans="1:2">
      <c r="A5558" s="32">
        <v>5548</v>
      </c>
      <c r="B5558" s="90">
        <v>8.5762344912526522</v>
      </c>
    </row>
    <row r="5559" spans="1:2">
      <c r="A5559" s="32">
        <v>5549</v>
      </c>
      <c r="B5559" s="90">
        <v>7.786661354189194</v>
      </c>
    </row>
    <row r="5560" spans="1:2">
      <c r="A5560" s="32">
        <v>5550</v>
      </c>
      <c r="B5560" s="90">
        <v>7.5656700165673598</v>
      </c>
    </row>
    <row r="5561" spans="1:2">
      <c r="A5561" s="32">
        <v>5551</v>
      </c>
      <c r="B5561" s="90">
        <v>7.6757722957111616</v>
      </c>
    </row>
    <row r="5562" spans="1:2">
      <c r="A5562" s="32">
        <v>5552</v>
      </c>
      <c r="B5562" s="90">
        <v>7.8536553385107899</v>
      </c>
    </row>
    <row r="5563" spans="1:2">
      <c r="A5563" s="32">
        <v>5553</v>
      </c>
      <c r="B5563" s="90">
        <v>7.5114435519815448</v>
      </c>
    </row>
    <row r="5564" spans="1:2">
      <c r="A5564" s="32">
        <v>5554</v>
      </c>
      <c r="B5564" s="90">
        <v>8.8005415593402621</v>
      </c>
    </row>
    <row r="5565" spans="1:2">
      <c r="A5565" s="32">
        <v>5555</v>
      </c>
      <c r="B5565" s="90">
        <v>7.973934150928728</v>
      </c>
    </row>
    <row r="5566" spans="1:2">
      <c r="A5566" s="32">
        <v>5556</v>
      </c>
      <c r="B5566" s="90">
        <v>7.2005343400410231</v>
      </c>
    </row>
    <row r="5567" spans="1:2">
      <c r="A5567" s="32">
        <v>5557</v>
      </c>
      <c r="B5567" s="90">
        <v>8.3816986305925081</v>
      </c>
    </row>
    <row r="5568" spans="1:2">
      <c r="A5568" s="32">
        <v>5558</v>
      </c>
      <c r="B5568" s="90">
        <v>6.918502150949533</v>
      </c>
    </row>
    <row r="5569" spans="1:2">
      <c r="A5569" s="32">
        <v>5559</v>
      </c>
      <c r="B5569" s="90">
        <v>8.2976772311678157</v>
      </c>
    </row>
    <row r="5570" spans="1:2">
      <c r="A5570" s="32">
        <v>5560</v>
      </c>
      <c r="B5570" s="90">
        <v>8.3964442112126392</v>
      </c>
    </row>
    <row r="5571" spans="1:2">
      <c r="A5571" s="32">
        <v>5561</v>
      </c>
      <c r="B5571" s="90">
        <v>7.9271931395310897</v>
      </c>
    </row>
    <row r="5572" spans="1:2">
      <c r="A5572" s="32">
        <v>5562</v>
      </c>
      <c r="B5572" s="90">
        <v>6.9475985354612098</v>
      </c>
    </row>
    <row r="5573" spans="1:2">
      <c r="A5573" s="32">
        <v>5563</v>
      </c>
      <c r="B5573" s="90">
        <v>8.3043589969262825</v>
      </c>
    </row>
    <row r="5574" spans="1:2">
      <c r="A5574" s="32">
        <v>5564</v>
      </c>
      <c r="B5574" s="90">
        <v>7.2647272196068933</v>
      </c>
    </row>
    <row r="5575" spans="1:2">
      <c r="A5575" s="32">
        <v>5565</v>
      </c>
      <c r="B5575" s="90">
        <v>8.6863954934281722</v>
      </c>
    </row>
    <row r="5576" spans="1:2">
      <c r="A5576" s="32">
        <v>5566</v>
      </c>
      <c r="B5576" s="90">
        <v>7.9361360859671404</v>
      </c>
    </row>
    <row r="5577" spans="1:2">
      <c r="A5577" s="32">
        <v>5567</v>
      </c>
      <c r="B5577" s="90">
        <v>8.1735684305779408</v>
      </c>
    </row>
    <row r="5578" spans="1:2">
      <c r="A5578" s="32">
        <v>5568</v>
      </c>
      <c r="B5578" s="90">
        <v>6.8864655591601807</v>
      </c>
    </row>
    <row r="5579" spans="1:2">
      <c r="A5579" s="32">
        <v>5569</v>
      </c>
      <c r="B5579" s="90">
        <v>8.9320750397913251</v>
      </c>
    </row>
    <row r="5580" spans="1:2">
      <c r="A5580" s="32">
        <v>5570</v>
      </c>
      <c r="B5580" s="90">
        <v>6.778760012503751</v>
      </c>
    </row>
    <row r="5581" spans="1:2">
      <c r="A5581" s="32">
        <v>5571</v>
      </c>
      <c r="B5581" s="90">
        <v>8.8418991084505176</v>
      </c>
    </row>
    <row r="5582" spans="1:2">
      <c r="A5582" s="32">
        <v>5572</v>
      </c>
      <c r="B5582" s="90">
        <v>7.879574940741449</v>
      </c>
    </row>
    <row r="5583" spans="1:2">
      <c r="A5583" s="32">
        <v>5573</v>
      </c>
      <c r="B5583" s="90">
        <v>7.9411820214061564</v>
      </c>
    </row>
    <row r="5584" spans="1:2">
      <c r="A5584" s="32">
        <v>5574</v>
      </c>
      <c r="B5584" s="90">
        <v>7.536657891266346</v>
      </c>
    </row>
    <row r="5585" spans="1:2">
      <c r="A5585" s="32">
        <v>5575</v>
      </c>
      <c r="B5585" s="90">
        <v>7.9833064278244947</v>
      </c>
    </row>
    <row r="5586" spans="1:2">
      <c r="A5586" s="32">
        <v>5576</v>
      </c>
      <c r="B5586" s="90">
        <v>7.1465889153243101</v>
      </c>
    </row>
    <row r="5587" spans="1:2">
      <c r="A5587" s="32">
        <v>5577</v>
      </c>
      <c r="B5587" s="90">
        <v>8.9971120696524611</v>
      </c>
    </row>
    <row r="5588" spans="1:2">
      <c r="A5588" s="32">
        <v>5578</v>
      </c>
      <c r="B5588" s="90">
        <v>7.8648734730529366</v>
      </c>
    </row>
    <row r="5589" spans="1:2">
      <c r="A5589" s="32">
        <v>5579</v>
      </c>
      <c r="B5589" s="90">
        <v>7.6163934908957547</v>
      </c>
    </row>
    <row r="5590" spans="1:2">
      <c r="A5590" s="32">
        <v>5580</v>
      </c>
      <c r="B5590" s="90">
        <v>7.4767172305670151</v>
      </c>
    </row>
    <row r="5591" spans="1:2">
      <c r="A5591" s="32">
        <v>5581</v>
      </c>
      <c r="B5591" s="90">
        <v>7.9439938753834998</v>
      </c>
    </row>
    <row r="5592" spans="1:2">
      <c r="A5592" s="32">
        <v>5582</v>
      </c>
      <c r="B5592" s="90">
        <v>7.6922267469971057</v>
      </c>
    </row>
    <row r="5593" spans="1:2">
      <c r="A5593" s="32">
        <v>5583</v>
      </c>
      <c r="B5593" s="90">
        <v>8.297736814262139</v>
      </c>
    </row>
    <row r="5594" spans="1:2">
      <c r="A5594" s="32">
        <v>5584</v>
      </c>
      <c r="B5594" s="90">
        <v>8.028343922873546</v>
      </c>
    </row>
    <row r="5595" spans="1:2">
      <c r="A5595" s="32">
        <v>5585</v>
      </c>
      <c r="B5595" s="90">
        <v>7.2882508968963888</v>
      </c>
    </row>
    <row r="5596" spans="1:2">
      <c r="A5596" s="32">
        <v>5586</v>
      </c>
      <c r="B5596" s="90">
        <v>8.5544455086428464</v>
      </c>
    </row>
    <row r="5597" spans="1:2">
      <c r="A5597" s="32">
        <v>5587</v>
      </c>
      <c r="B5597" s="90">
        <v>6.8370067047287373</v>
      </c>
    </row>
    <row r="5598" spans="1:2">
      <c r="A5598" s="32">
        <v>5588</v>
      </c>
      <c r="B5598" s="90">
        <v>8.4515019588231457</v>
      </c>
    </row>
    <row r="5599" spans="1:2">
      <c r="A5599" s="32">
        <v>5589</v>
      </c>
      <c r="B5599" s="90">
        <v>8.3628045763094789</v>
      </c>
    </row>
    <row r="5600" spans="1:2">
      <c r="A5600" s="32">
        <v>5590</v>
      </c>
      <c r="B5600" s="90">
        <v>7.8294088906170982</v>
      </c>
    </row>
    <row r="5601" spans="1:2">
      <c r="A5601" s="32">
        <v>5591</v>
      </c>
      <c r="B5601" s="90">
        <v>7.038496493223791</v>
      </c>
    </row>
    <row r="5602" spans="1:2">
      <c r="A5602" s="32">
        <v>5592</v>
      </c>
      <c r="B5602" s="90">
        <v>8.2439177598889959</v>
      </c>
    </row>
    <row r="5603" spans="1:2">
      <c r="A5603" s="32">
        <v>5593</v>
      </c>
      <c r="B5603" s="90">
        <v>7.2382563839104774</v>
      </c>
    </row>
    <row r="5604" spans="1:2">
      <c r="A5604" s="32">
        <v>5594</v>
      </c>
      <c r="B5604" s="90">
        <v>8.3947831745349184</v>
      </c>
    </row>
    <row r="5605" spans="1:2">
      <c r="A5605" s="32">
        <v>5595</v>
      </c>
      <c r="B5605" s="90">
        <v>8.3205799604103063</v>
      </c>
    </row>
    <row r="5606" spans="1:2">
      <c r="A5606" s="32">
        <v>5596</v>
      </c>
      <c r="B5606" s="90">
        <v>8.0497060405698022</v>
      </c>
    </row>
    <row r="5607" spans="1:2">
      <c r="A5607" s="32">
        <v>5597</v>
      </c>
      <c r="B5607" s="90">
        <v>6.7636962486890075</v>
      </c>
    </row>
    <row r="5608" spans="1:2">
      <c r="A5608" s="32">
        <v>5598</v>
      </c>
      <c r="B5608" s="90">
        <v>8.8566810518235499</v>
      </c>
    </row>
    <row r="5609" spans="1:2">
      <c r="A5609" s="32">
        <v>5599</v>
      </c>
      <c r="B5609" s="90">
        <v>6.6778658352957985</v>
      </c>
    </row>
    <row r="5610" spans="1:2">
      <c r="A5610" s="32">
        <v>5600</v>
      </c>
      <c r="B5610" s="90">
        <v>9.0457646313461417</v>
      </c>
    </row>
    <row r="5611" spans="1:2">
      <c r="A5611" s="32">
        <v>5601</v>
      </c>
      <c r="B5611" s="90">
        <v>8.0956883044177115</v>
      </c>
    </row>
    <row r="5612" spans="1:2">
      <c r="A5612" s="32">
        <v>5602</v>
      </c>
      <c r="B5612" s="90">
        <v>8.0538320463369466</v>
      </c>
    </row>
    <row r="5613" spans="1:2">
      <c r="A5613" s="32">
        <v>5603</v>
      </c>
      <c r="B5613" s="90">
        <v>7.0968976155866033</v>
      </c>
    </row>
    <row r="5614" spans="1:2">
      <c r="A5614" s="32">
        <v>5604</v>
      </c>
      <c r="B5614" s="90">
        <v>8.4372996432537199</v>
      </c>
    </row>
    <row r="5615" spans="1:2">
      <c r="A5615" s="32">
        <v>5605</v>
      </c>
      <c r="B5615" s="90">
        <v>7.0491791650893774</v>
      </c>
    </row>
    <row r="5616" spans="1:2">
      <c r="A5616" s="32">
        <v>5606</v>
      </c>
      <c r="B5616" s="90">
        <v>8.5803302908222001</v>
      </c>
    </row>
    <row r="5617" spans="1:2">
      <c r="A5617" s="32">
        <v>5607</v>
      </c>
      <c r="B5617" s="90">
        <v>8.0770954794351475</v>
      </c>
    </row>
    <row r="5618" spans="1:2">
      <c r="A5618" s="32">
        <v>5608</v>
      </c>
      <c r="B5618" s="90">
        <v>7.8505987560750494</v>
      </c>
    </row>
    <row r="5619" spans="1:2">
      <c r="A5619" s="32">
        <v>5609</v>
      </c>
      <c r="B5619" s="90">
        <v>7.5302930829329924</v>
      </c>
    </row>
    <row r="5620" spans="1:2">
      <c r="A5620" s="32">
        <v>5610</v>
      </c>
      <c r="B5620" s="90">
        <v>7.8434240997473976</v>
      </c>
    </row>
    <row r="5621" spans="1:2">
      <c r="A5621" s="32">
        <v>5611</v>
      </c>
      <c r="B5621" s="90">
        <v>7.6019617188402835</v>
      </c>
    </row>
    <row r="5622" spans="1:2">
      <c r="A5622" s="32">
        <v>5612</v>
      </c>
      <c r="B5622" s="90">
        <v>8.8565008752117915</v>
      </c>
    </row>
    <row r="5623" spans="1:2">
      <c r="A5623" s="32">
        <v>5613</v>
      </c>
      <c r="B5623" s="90">
        <v>8.0905757126790192</v>
      </c>
    </row>
    <row r="5624" spans="1:2">
      <c r="A5624" s="32">
        <v>5614</v>
      </c>
      <c r="B5624" s="90">
        <v>7.3254716421081101</v>
      </c>
    </row>
    <row r="5625" spans="1:2">
      <c r="A5625" s="32">
        <v>5615</v>
      </c>
      <c r="B5625" s="90">
        <v>7.4587484241507864</v>
      </c>
    </row>
    <row r="5626" spans="1:2">
      <c r="A5626" s="32">
        <v>5616</v>
      </c>
      <c r="B5626" s="90">
        <v>7.937455241554817</v>
      </c>
    </row>
    <row r="5627" spans="1:2">
      <c r="A5627" s="32">
        <v>5617</v>
      </c>
      <c r="B5627" s="90">
        <v>8.9434262692281887</v>
      </c>
    </row>
    <row r="5628" spans="1:2">
      <c r="A5628" s="32">
        <v>5618</v>
      </c>
      <c r="B5628" s="90">
        <v>7.9983917107281712</v>
      </c>
    </row>
    <row r="5629" spans="1:2">
      <c r="A5629" s="32">
        <v>5619</v>
      </c>
      <c r="B5629" s="90">
        <v>8.0072642980907762</v>
      </c>
    </row>
    <row r="5630" spans="1:2">
      <c r="A5630" s="32">
        <v>5620</v>
      </c>
      <c r="B5630" s="90">
        <v>7.0990738249779222</v>
      </c>
    </row>
    <row r="5631" spans="1:2">
      <c r="A5631" s="32">
        <v>5621</v>
      </c>
      <c r="B5631" s="90">
        <v>7.8590796617964669</v>
      </c>
    </row>
    <row r="5632" spans="1:2">
      <c r="A5632" s="32">
        <v>5622</v>
      </c>
      <c r="B5632" s="90">
        <v>7.895753250818391</v>
      </c>
    </row>
    <row r="5633" spans="1:2">
      <c r="A5633" s="32">
        <v>5623</v>
      </c>
      <c r="B5633" s="90">
        <v>9.1931128619848437</v>
      </c>
    </row>
    <row r="5634" spans="1:2">
      <c r="A5634" s="32">
        <v>5624</v>
      </c>
      <c r="B5634" s="90">
        <v>8.0743764661826685</v>
      </c>
    </row>
    <row r="5635" spans="1:2">
      <c r="A5635" s="32">
        <v>5625</v>
      </c>
      <c r="B5635" s="90">
        <v>7.8621489563601399</v>
      </c>
    </row>
    <row r="5636" spans="1:2">
      <c r="A5636" s="32">
        <v>5626</v>
      </c>
      <c r="B5636" s="90">
        <v>7.0840082931897363</v>
      </c>
    </row>
    <row r="5637" spans="1:2">
      <c r="A5637" s="32">
        <v>5627</v>
      </c>
      <c r="B5637" s="90">
        <v>7.5866055164267827</v>
      </c>
    </row>
    <row r="5638" spans="1:2">
      <c r="A5638" s="32">
        <v>5628</v>
      </c>
      <c r="B5638" s="90">
        <v>8.7834168491543441</v>
      </c>
    </row>
    <row r="5639" spans="1:2">
      <c r="A5639" s="32">
        <v>5629</v>
      </c>
      <c r="B5639" s="90">
        <v>8.7460115396822022</v>
      </c>
    </row>
    <row r="5640" spans="1:2">
      <c r="A5640" s="32">
        <v>5630</v>
      </c>
      <c r="B5640" s="90">
        <v>7.8443108364184067</v>
      </c>
    </row>
    <row r="5641" spans="1:2">
      <c r="A5641" s="32">
        <v>5631</v>
      </c>
      <c r="B5641" s="90">
        <v>7.7027793253770751</v>
      </c>
    </row>
    <row r="5642" spans="1:2">
      <c r="A5642" s="32">
        <v>5632</v>
      </c>
      <c r="B5642" s="90">
        <v>7.1163895244785245</v>
      </c>
    </row>
    <row r="5643" spans="1:2">
      <c r="A5643" s="32">
        <v>5633</v>
      </c>
      <c r="B5643" s="90">
        <v>7.7588482736637916</v>
      </c>
    </row>
    <row r="5644" spans="1:2">
      <c r="A5644" s="32">
        <v>5634</v>
      </c>
      <c r="B5644" s="90">
        <v>9.274201199397563</v>
      </c>
    </row>
    <row r="5645" spans="1:2">
      <c r="A5645" s="32">
        <v>5635</v>
      </c>
      <c r="B5645" s="90">
        <v>8.3855999900135725</v>
      </c>
    </row>
    <row r="5646" spans="1:2">
      <c r="A5646" s="32">
        <v>5636</v>
      </c>
      <c r="B5646" s="90">
        <v>8.0130849467960985</v>
      </c>
    </row>
    <row r="5647" spans="1:2">
      <c r="A5647" s="32">
        <v>5637</v>
      </c>
      <c r="B5647" s="90">
        <v>7.163215401033086</v>
      </c>
    </row>
    <row r="5648" spans="1:2">
      <c r="A5648" s="32">
        <v>5638</v>
      </c>
      <c r="B5648" s="90">
        <v>7.3659594780267774</v>
      </c>
    </row>
    <row r="5649" spans="1:2">
      <c r="A5649" s="32">
        <v>5639</v>
      </c>
      <c r="B5649" s="90">
        <v>7.7146453508756947</v>
      </c>
    </row>
    <row r="5650" spans="1:2">
      <c r="A5650" s="32">
        <v>5640</v>
      </c>
      <c r="B5650" s="90">
        <v>9.8733861362956112</v>
      </c>
    </row>
    <row r="5651" spans="1:2">
      <c r="A5651" s="32">
        <v>5641</v>
      </c>
      <c r="B5651" s="90">
        <v>7.6818016558042759</v>
      </c>
    </row>
    <row r="5652" spans="1:2">
      <c r="A5652" s="32">
        <v>5642</v>
      </c>
      <c r="B5652" s="90">
        <v>8.2712618764225301</v>
      </c>
    </row>
    <row r="5653" spans="1:2">
      <c r="A5653" s="32">
        <v>5643</v>
      </c>
      <c r="B5653" s="90">
        <v>7.3372786714515454</v>
      </c>
    </row>
    <row r="5654" spans="1:2">
      <c r="A5654" s="32">
        <v>5644</v>
      </c>
      <c r="B5654" s="90">
        <v>7.5572578021259957</v>
      </c>
    </row>
    <row r="5655" spans="1:2">
      <c r="A5655" s="32">
        <v>5645</v>
      </c>
      <c r="B5655" s="90">
        <v>7.8445275809359183</v>
      </c>
    </row>
    <row r="5656" spans="1:2">
      <c r="A5656" s="32">
        <v>5646</v>
      </c>
      <c r="B5656" s="90">
        <v>8.9100023650178475</v>
      </c>
    </row>
    <row r="5657" spans="1:2">
      <c r="A5657" s="32">
        <v>5647</v>
      </c>
      <c r="B5657" s="90">
        <v>7.9866173881135865</v>
      </c>
    </row>
    <row r="5658" spans="1:2">
      <c r="A5658" s="32">
        <v>5648</v>
      </c>
      <c r="B5658" s="90">
        <v>8.1021766578028327</v>
      </c>
    </row>
    <row r="5659" spans="1:2">
      <c r="A5659" s="32">
        <v>5649</v>
      </c>
      <c r="B5659" s="90">
        <v>7.4352948017375082</v>
      </c>
    </row>
    <row r="5660" spans="1:2">
      <c r="A5660" s="32">
        <v>5650</v>
      </c>
      <c r="B5660" s="90">
        <v>7.5329803662007464</v>
      </c>
    </row>
    <row r="5661" spans="1:2">
      <c r="A5661" s="32">
        <v>5651</v>
      </c>
      <c r="B5661" s="90">
        <v>7.9422777790312233</v>
      </c>
    </row>
    <row r="5662" spans="1:2">
      <c r="A5662" s="32">
        <v>5652</v>
      </c>
      <c r="B5662" s="90">
        <v>8.9347193537512712</v>
      </c>
    </row>
    <row r="5663" spans="1:2">
      <c r="A5663" s="32">
        <v>5653</v>
      </c>
      <c r="B5663" s="90">
        <v>8.1469461047389711</v>
      </c>
    </row>
    <row r="5664" spans="1:2">
      <c r="A5664" s="32">
        <v>5654</v>
      </c>
      <c r="B5664" s="90">
        <v>7.7479113573030745</v>
      </c>
    </row>
    <row r="5665" spans="1:2">
      <c r="A5665" s="32">
        <v>5655</v>
      </c>
      <c r="B5665" s="90">
        <v>7.2657153963266081</v>
      </c>
    </row>
    <row r="5666" spans="1:2">
      <c r="A5666" s="32">
        <v>5656</v>
      </c>
      <c r="B5666" s="90">
        <v>7.8764280606001229</v>
      </c>
    </row>
    <row r="5667" spans="1:2">
      <c r="A5667" s="32">
        <v>5657</v>
      </c>
      <c r="B5667" s="90">
        <v>7.9158435681018533</v>
      </c>
    </row>
    <row r="5668" spans="1:2">
      <c r="A5668" s="32">
        <v>5658</v>
      </c>
      <c r="B5668" s="90">
        <v>9.2969050885066782</v>
      </c>
    </row>
    <row r="5669" spans="1:2">
      <c r="A5669" s="32">
        <v>5659</v>
      </c>
      <c r="B5669" s="90">
        <v>7.9368523066433045</v>
      </c>
    </row>
    <row r="5670" spans="1:2">
      <c r="A5670" s="32">
        <v>5660</v>
      </c>
      <c r="B5670" s="90">
        <v>7.8110309825747439</v>
      </c>
    </row>
    <row r="5671" spans="1:2">
      <c r="A5671" s="32">
        <v>5661</v>
      </c>
      <c r="B5671" s="90">
        <v>7.0779656679120739</v>
      </c>
    </row>
    <row r="5672" spans="1:2">
      <c r="A5672" s="32">
        <v>5662</v>
      </c>
      <c r="B5672" s="90">
        <v>7.8095368800485634</v>
      </c>
    </row>
    <row r="5673" spans="1:2">
      <c r="A5673" s="32">
        <v>5663</v>
      </c>
      <c r="B5673" s="90">
        <v>8.7545152257435426</v>
      </c>
    </row>
    <row r="5674" spans="1:2">
      <c r="A5674" s="32">
        <v>5664</v>
      </c>
      <c r="B5674" s="90">
        <v>8.8194910825880957</v>
      </c>
    </row>
    <row r="5675" spans="1:2">
      <c r="A5675" s="32">
        <v>5665</v>
      </c>
      <c r="B5675" s="90">
        <v>7.8605366434549913</v>
      </c>
    </row>
    <row r="5676" spans="1:2">
      <c r="A5676" s="32">
        <v>5666</v>
      </c>
      <c r="B5676" s="90">
        <v>7.2407559117969553</v>
      </c>
    </row>
    <row r="5677" spans="1:2">
      <c r="A5677" s="32">
        <v>5667</v>
      </c>
      <c r="B5677" s="90">
        <v>7.4081275861657865</v>
      </c>
    </row>
    <row r="5678" spans="1:2">
      <c r="A5678" s="32">
        <v>5668</v>
      </c>
      <c r="B5678" s="90">
        <v>7.7950582908580648</v>
      </c>
    </row>
    <row r="5679" spans="1:2">
      <c r="A5679" s="32">
        <v>5669</v>
      </c>
      <c r="B5679" s="90">
        <v>9.7636916748977445</v>
      </c>
    </row>
    <row r="5680" spans="1:2">
      <c r="A5680" s="32">
        <v>5670</v>
      </c>
      <c r="B5680" s="90">
        <v>7.973171912825662</v>
      </c>
    </row>
    <row r="5681" spans="1:2">
      <c r="A5681" s="32">
        <v>5671</v>
      </c>
      <c r="B5681" s="90">
        <v>7.7258219753788593</v>
      </c>
    </row>
    <row r="5682" spans="1:2">
      <c r="A5682" s="32">
        <v>5672</v>
      </c>
      <c r="B5682" s="90">
        <v>7.5047307201611257</v>
      </c>
    </row>
    <row r="5683" spans="1:2">
      <c r="A5683" s="32">
        <v>5673</v>
      </c>
      <c r="B5683" s="90">
        <v>7.5676919653179864</v>
      </c>
    </row>
    <row r="5684" spans="1:2">
      <c r="A5684" s="32">
        <v>5674</v>
      </c>
      <c r="B5684" s="90">
        <v>7.6965189703701267</v>
      </c>
    </row>
    <row r="5685" spans="1:2">
      <c r="A5685" s="32">
        <v>5675</v>
      </c>
      <c r="B5685" s="90">
        <v>9.2381172371310516</v>
      </c>
    </row>
    <row r="5686" spans="1:2">
      <c r="A5686" s="32">
        <v>5676</v>
      </c>
      <c r="B5686" s="90">
        <v>8.0817418631914393</v>
      </c>
    </row>
    <row r="5687" spans="1:2">
      <c r="A5687" s="32">
        <v>5677</v>
      </c>
      <c r="B5687" s="90">
        <v>8.0905757126790192</v>
      </c>
    </row>
    <row r="5688" spans="1:2">
      <c r="A5688" s="32">
        <v>5678</v>
      </c>
      <c r="B5688" s="90">
        <v>7.3254716421081101</v>
      </c>
    </row>
    <row r="5689" spans="1:2">
      <c r="A5689" s="32">
        <v>5679</v>
      </c>
      <c r="B5689" s="90">
        <v>7.4587484241507864</v>
      </c>
    </row>
    <row r="5690" spans="1:2">
      <c r="A5690" s="32">
        <v>5680</v>
      </c>
      <c r="B5690" s="90">
        <v>7.937455241554817</v>
      </c>
    </row>
    <row r="5691" spans="1:2">
      <c r="A5691" s="32">
        <v>5681</v>
      </c>
      <c r="B5691" s="90">
        <v>8.9434262692281887</v>
      </c>
    </row>
    <row r="5692" spans="1:2">
      <c r="A5692" s="32">
        <v>5682</v>
      </c>
      <c r="B5692" s="90">
        <v>7.9983917107281712</v>
      </c>
    </row>
    <row r="5693" spans="1:2">
      <c r="A5693" s="32">
        <v>5683</v>
      </c>
      <c r="B5693" s="90">
        <v>8.0072642980907762</v>
      </c>
    </row>
    <row r="5694" spans="1:2">
      <c r="A5694" s="32">
        <v>5684</v>
      </c>
      <c r="B5694" s="90">
        <v>7.0990738249779222</v>
      </c>
    </row>
    <row r="5695" spans="1:2">
      <c r="A5695" s="32">
        <v>5685</v>
      </c>
      <c r="B5695" s="90">
        <v>7.8590796617964669</v>
      </c>
    </row>
    <row r="5696" spans="1:2">
      <c r="A5696" s="32">
        <v>5686</v>
      </c>
      <c r="B5696" s="90">
        <v>9.0020220826902886</v>
      </c>
    </row>
    <row r="5697" spans="1:2">
      <c r="A5697" s="32">
        <v>5687</v>
      </c>
      <c r="B5697" s="90">
        <v>7.3106521115819456</v>
      </c>
    </row>
    <row r="5698" spans="1:2">
      <c r="A5698" s="32">
        <v>5688</v>
      </c>
      <c r="B5698" s="90">
        <v>8.0538773142495241</v>
      </c>
    </row>
    <row r="5699" spans="1:2">
      <c r="A5699" s="32">
        <v>5689</v>
      </c>
      <c r="B5699" s="90">
        <v>7.9514382343225121</v>
      </c>
    </row>
    <row r="5700" spans="1:2">
      <c r="A5700" s="32">
        <v>5690</v>
      </c>
      <c r="B5700" s="90">
        <v>7.0391562907698804</v>
      </c>
    </row>
    <row r="5701" spans="1:2">
      <c r="A5701" s="32">
        <v>5691</v>
      </c>
      <c r="B5701" s="90">
        <v>8.5487484713927628</v>
      </c>
    </row>
    <row r="5702" spans="1:2">
      <c r="A5702" s="32">
        <v>5692</v>
      </c>
      <c r="B5702" s="90">
        <v>8.7919862619412417</v>
      </c>
    </row>
    <row r="5703" spans="1:2">
      <c r="A5703" s="32">
        <v>5693</v>
      </c>
      <c r="B5703" s="90">
        <v>7.0712538843838839</v>
      </c>
    </row>
    <row r="5704" spans="1:2">
      <c r="A5704" s="32">
        <v>5694</v>
      </c>
      <c r="B5704" s="90">
        <v>8.8350263269563509</v>
      </c>
    </row>
    <row r="5705" spans="1:2">
      <c r="A5705" s="32">
        <v>5695</v>
      </c>
      <c r="B5705" s="90">
        <v>7.5068965747929655</v>
      </c>
    </row>
    <row r="5706" spans="1:2">
      <c r="A5706" s="32">
        <v>5696</v>
      </c>
      <c r="B5706" s="90">
        <v>7.1230100486944181</v>
      </c>
    </row>
    <row r="5707" spans="1:2">
      <c r="A5707" s="32">
        <v>5697</v>
      </c>
      <c r="B5707" s="90">
        <v>8.3611367076716459</v>
      </c>
    </row>
    <row r="5708" spans="1:2">
      <c r="A5708" s="32">
        <v>5698</v>
      </c>
      <c r="B5708" s="90">
        <v>8.9199018685647964</v>
      </c>
    </row>
    <row r="5709" spans="1:2">
      <c r="A5709" s="32">
        <v>5699</v>
      </c>
      <c r="B5709" s="90">
        <v>7.1052726845376126</v>
      </c>
    </row>
    <row r="5710" spans="1:2">
      <c r="A5710" s="32">
        <v>5700</v>
      </c>
      <c r="B5710" s="90">
        <v>8.4692270586993175</v>
      </c>
    </row>
    <row r="5711" spans="1:2">
      <c r="A5711" s="32">
        <v>5701</v>
      </c>
      <c r="B5711" s="90">
        <v>7.5282099359218142</v>
      </c>
    </row>
    <row r="5712" spans="1:2">
      <c r="A5712" s="32">
        <v>5702</v>
      </c>
      <c r="B5712" s="90">
        <v>7.5104804017379312</v>
      </c>
    </row>
    <row r="5713" spans="1:2">
      <c r="A5713" s="32">
        <v>5703</v>
      </c>
      <c r="B5713" s="90">
        <v>8.8621075075775284</v>
      </c>
    </row>
    <row r="5714" spans="1:2">
      <c r="A5714" s="32">
        <v>5704</v>
      </c>
      <c r="B5714" s="90">
        <v>7.7776567937410581</v>
      </c>
    </row>
    <row r="5715" spans="1:2">
      <c r="A5715" s="32">
        <v>5705</v>
      </c>
      <c r="B5715" s="90">
        <v>7.7706147535466092</v>
      </c>
    </row>
    <row r="5716" spans="1:2">
      <c r="A5716" s="32">
        <v>5706</v>
      </c>
      <c r="B5716" s="90">
        <v>8.0396857208882757</v>
      </c>
    </row>
    <row r="5717" spans="1:2">
      <c r="A5717" s="32">
        <v>5707</v>
      </c>
      <c r="B5717" s="90">
        <v>7.4751135124348291</v>
      </c>
    </row>
    <row r="5718" spans="1:2">
      <c r="A5718" s="32">
        <v>5708</v>
      </c>
      <c r="B5718" s="90">
        <v>8.2054312095385029</v>
      </c>
    </row>
    <row r="5719" spans="1:2">
      <c r="A5719" s="32">
        <v>5709</v>
      </c>
      <c r="B5719" s="90">
        <v>8.2859538134261594</v>
      </c>
    </row>
    <row r="5720" spans="1:2">
      <c r="A5720" s="32">
        <v>5710</v>
      </c>
      <c r="B5720" s="90">
        <v>7.8222595939029231</v>
      </c>
    </row>
    <row r="5721" spans="1:2">
      <c r="A5721" s="32">
        <v>5711</v>
      </c>
      <c r="B5721" s="90">
        <v>7.647636594004207</v>
      </c>
    </row>
    <row r="5722" spans="1:2">
      <c r="A5722" s="32">
        <v>5712</v>
      </c>
      <c r="B5722" s="90">
        <v>8.0539956241676727</v>
      </c>
    </row>
    <row r="5723" spans="1:2">
      <c r="A5723" s="32">
        <v>5713</v>
      </c>
      <c r="B5723" s="90">
        <v>7.7221260410481927</v>
      </c>
    </row>
    <row r="5724" spans="1:2">
      <c r="A5724" s="32">
        <v>5714</v>
      </c>
      <c r="B5724" s="90">
        <v>8.166040200849265</v>
      </c>
    </row>
    <row r="5725" spans="1:2">
      <c r="A5725" s="32">
        <v>5715</v>
      </c>
      <c r="B5725" s="90">
        <v>8.5930883345841611</v>
      </c>
    </row>
    <row r="5726" spans="1:2">
      <c r="A5726" s="32">
        <v>5716</v>
      </c>
      <c r="B5726" s="90">
        <v>7.297139648008776</v>
      </c>
    </row>
    <row r="5727" spans="1:2">
      <c r="A5727" s="32">
        <v>5717</v>
      </c>
      <c r="B5727" s="90">
        <v>8.0351297800778649</v>
      </c>
    </row>
    <row r="5728" spans="1:2">
      <c r="A5728" s="32">
        <v>5718</v>
      </c>
      <c r="B5728" s="90">
        <v>7.7035648710447839</v>
      </c>
    </row>
    <row r="5729" spans="1:2">
      <c r="A5729" s="32">
        <v>5719</v>
      </c>
      <c r="B5729" s="90">
        <v>7.6073095098143639</v>
      </c>
    </row>
    <row r="5730" spans="1:2">
      <c r="A5730" s="32">
        <v>5720</v>
      </c>
      <c r="B5730" s="90">
        <v>7.9774538413676437</v>
      </c>
    </row>
    <row r="5731" spans="1:2">
      <c r="A5731" s="32">
        <v>5721</v>
      </c>
      <c r="B5731" s="90">
        <v>9.04473138837057</v>
      </c>
    </row>
    <row r="5732" spans="1:2">
      <c r="A5732" s="32">
        <v>5722</v>
      </c>
      <c r="B5732" s="90">
        <v>7.265241890020401</v>
      </c>
    </row>
    <row r="5733" spans="1:2">
      <c r="A5733" s="32">
        <v>5723</v>
      </c>
      <c r="B5733" s="90">
        <v>8.1706702413390069</v>
      </c>
    </row>
    <row r="5734" spans="1:2">
      <c r="A5734" s="32">
        <v>5724</v>
      </c>
      <c r="B5734" s="90">
        <v>7.9102821444266249</v>
      </c>
    </row>
    <row r="5735" spans="1:2">
      <c r="A5735" s="32">
        <v>5725</v>
      </c>
      <c r="B5735" s="90">
        <v>7.1333752545010096</v>
      </c>
    </row>
    <row r="5736" spans="1:2">
      <c r="A5736" s="32">
        <v>5726</v>
      </c>
      <c r="B5736" s="90">
        <v>8.1309675058731781</v>
      </c>
    </row>
    <row r="5737" spans="1:2">
      <c r="A5737" s="32">
        <v>5727</v>
      </c>
      <c r="B5737" s="90">
        <v>8.8447599803654757</v>
      </c>
    </row>
    <row r="5738" spans="1:2">
      <c r="A5738" s="32">
        <v>5728</v>
      </c>
      <c r="B5738" s="90">
        <v>7.2002933426853106</v>
      </c>
    </row>
    <row r="5739" spans="1:2">
      <c r="A5739" s="32">
        <v>5729</v>
      </c>
      <c r="B5739" s="90">
        <v>8.7290497876556206</v>
      </c>
    </row>
    <row r="5740" spans="1:2">
      <c r="A5740" s="32">
        <v>5730</v>
      </c>
      <c r="B5740" s="90">
        <v>7.6257133053493789</v>
      </c>
    </row>
    <row r="5741" spans="1:2">
      <c r="A5741" s="32">
        <v>5731</v>
      </c>
      <c r="B5741" s="90">
        <v>7.3394156479559163</v>
      </c>
    </row>
    <row r="5742" spans="1:2">
      <c r="A5742" s="32">
        <v>5732</v>
      </c>
      <c r="B5742" s="90">
        <v>8.7554584412362448</v>
      </c>
    </row>
    <row r="5743" spans="1:2">
      <c r="A5743" s="32">
        <v>5733</v>
      </c>
      <c r="B5743" s="90">
        <v>8.4663246088769117</v>
      </c>
    </row>
    <row r="5744" spans="1:2">
      <c r="A5744" s="32">
        <v>5734</v>
      </c>
      <c r="B5744" s="90">
        <v>7.1115120129870286</v>
      </c>
    </row>
    <row r="5745" spans="1:2">
      <c r="A5745" s="32">
        <v>5735</v>
      </c>
      <c r="B5745" s="90">
        <v>8.5949577931909875</v>
      </c>
    </row>
    <row r="5746" spans="1:2">
      <c r="A5746" s="32">
        <v>5736</v>
      </c>
      <c r="B5746" s="90">
        <v>7.1729471055262017</v>
      </c>
    </row>
    <row r="5747" spans="1:2">
      <c r="A5747" s="32">
        <v>5737</v>
      </c>
      <c r="B5747" s="90">
        <v>7.8850105317827666</v>
      </c>
    </row>
    <row r="5748" spans="1:2">
      <c r="A5748" s="32">
        <v>5738</v>
      </c>
      <c r="B5748" s="90">
        <v>8.6153787426568513</v>
      </c>
    </row>
    <row r="5749" spans="1:2">
      <c r="A5749" s="32">
        <v>5739</v>
      </c>
      <c r="B5749" s="90">
        <v>7.7319013381920572</v>
      </c>
    </row>
    <row r="5750" spans="1:2">
      <c r="A5750" s="32">
        <v>5740</v>
      </c>
      <c r="B5750" s="90">
        <v>7.7928080879973614</v>
      </c>
    </row>
    <row r="5751" spans="1:2">
      <c r="A5751" s="32">
        <v>5741</v>
      </c>
      <c r="B5751" s="90">
        <v>7.9902937876896143</v>
      </c>
    </row>
    <row r="5752" spans="1:2">
      <c r="A5752" s="32">
        <v>5742</v>
      </c>
      <c r="B5752" s="90">
        <v>7.4747463976855064</v>
      </c>
    </row>
    <row r="5753" spans="1:2">
      <c r="A5753" s="32">
        <v>5743</v>
      </c>
      <c r="B5753" s="90">
        <v>8.1853375507634478</v>
      </c>
    </row>
    <row r="5754" spans="1:2">
      <c r="A5754" s="32">
        <v>5744</v>
      </c>
      <c r="B5754" s="90">
        <v>8.6077191959469737</v>
      </c>
    </row>
    <row r="5755" spans="1:2">
      <c r="A5755" s="32">
        <v>5745</v>
      </c>
      <c r="B5755" s="90">
        <v>7.431172587540499</v>
      </c>
    </row>
    <row r="5756" spans="1:2">
      <c r="A5756" s="32">
        <v>5746</v>
      </c>
      <c r="B5756" s="90">
        <v>7.7744638887961015</v>
      </c>
    </row>
    <row r="5757" spans="1:2">
      <c r="A5757" s="32">
        <v>5747</v>
      </c>
      <c r="B5757" s="90">
        <v>8.1540329127418758</v>
      </c>
    </row>
    <row r="5758" spans="1:2">
      <c r="A5758" s="32">
        <v>5748</v>
      </c>
      <c r="B5758" s="90">
        <v>7.4374068214470217</v>
      </c>
    </row>
    <row r="5759" spans="1:2">
      <c r="A5759" s="32">
        <v>5749</v>
      </c>
      <c r="B5759" s="90">
        <v>8.4099971037401549</v>
      </c>
    </row>
    <row r="5760" spans="1:2">
      <c r="A5760" s="32">
        <v>5750</v>
      </c>
      <c r="B5760" s="90">
        <v>8.5790477358217458</v>
      </c>
    </row>
    <row r="5761" spans="1:2">
      <c r="A5761" s="32">
        <v>5751</v>
      </c>
      <c r="B5761" s="90">
        <v>7.3106521115819456</v>
      </c>
    </row>
    <row r="5762" spans="1:2">
      <c r="A5762" s="32">
        <v>5752</v>
      </c>
      <c r="B5762" s="90">
        <v>8.0538773142495241</v>
      </c>
    </row>
    <row r="5763" spans="1:2">
      <c r="A5763" s="32">
        <v>5753</v>
      </c>
      <c r="B5763" s="90">
        <v>7.9514382343225121</v>
      </c>
    </row>
    <row r="5764" spans="1:2">
      <c r="A5764" s="32">
        <v>5754</v>
      </c>
      <c r="B5764" s="90">
        <v>7.0391562907698804</v>
      </c>
    </row>
    <row r="5765" spans="1:2">
      <c r="A5765" s="32">
        <v>5755</v>
      </c>
      <c r="B5765" s="90">
        <v>8.5487484713927628</v>
      </c>
    </row>
    <row r="5766" spans="1:2">
      <c r="A5766" s="32">
        <v>5756</v>
      </c>
      <c r="B5766" s="90">
        <v>8.7919862619412417</v>
      </c>
    </row>
    <row r="5767" spans="1:2">
      <c r="A5767" s="32">
        <v>5757</v>
      </c>
      <c r="B5767" s="90">
        <v>7.0712538843838839</v>
      </c>
    </row>
    <row r="5768" spans="1:2">
      <c r="A5768" s="32">
        <v>5758</v>
      </c>
      <c r="B5768" s="90">
        <v>8.8350263269563509</v>
      </c>
    </row>
    <row r="5769" spans="1:2">
      <c r="A5769" s="32">
        <v>5759</v>
      </c>
      <c r="B5769" s="90">
        <v>7.5068965747929655</v>
      </c>
    </row>
    <row r="5770" spans="1:2">
      <c r="A5770" s="32">
        <v>5760</v>
      </c>
      <c r="B5770" s="90">
        <v>7.1230100486944181</v>
      </c>
    </row>
    <row r="5771" spans="1:2">
      <c r="A5771" s="32">
        <v>5761</v>
      </c>
      <c r="B5771" s="90">
        <v>8.3611367076716459</v>
      </c>
    </row>
    <row r="5772" spans="1:2">
      <c r="A5772" s="32">
        <v>5762</v>
      </c>
      <c r="B5772" s="90">
        <v>8.9199018685647964</v>
      </c>
    </row>
    <row r="5773" spans="1:2">
      <c r="A5773" s="32">
        <v>5763</v>
      </c>
      <c r="B5773" s="90">
        <v>7.1052726845376126</v>
      </c>
    </row>
    <row r="5774" spans="1:2">
      <c r="A5774" s="32">
        <v>5764</v>
      </c>
      <c r="B5774" s="90">
        <v>8.4692270586993175</v>
      </c>
    </row>
    <row r="5775" spans="1:2">
      <c r="A5775" s="32">
        <v>5765</v>
      </c>
      <c r="B5775" s="90">
        <v>7.5282099359218142</v>
      </c>
    </row>
    <row r="5776" spans="1:2">
      <c r="A5776" s="32">
        <v>5766</v>
      </c>
      <c r="B5776" s="90">
        <v>7.5104804017379312</v>
      </c>
    </row>
    <row r="5777" spans="1:2">
      <c r="A5777" s="32">
        <v>5767</v>
      </c>
      <c r="B5777" s="90">
        <v>8.8621075075775284</v>
      </c>
    </row>
    <row r="5778" spans="1:2">
      <c r="A5778" s="32">
        <v>5768</v>
      </c>
      <c r="B5778" s="90">
        <v>7.7776567937410581</v>
      </c>
    </row>
    <row r="5779" spans="1:2">
      <c r="A5779" s="32">
        <v>5769</v>
      </c>
      <c r="B5779" s="90">
        <v>7.7706147535466092</v>
      </c>
    </row>
    <row r="5780" spans="1:2">
      <c r="A5780" s="32">
        <v>5770</v>
      </c>
      <c r="B5780" s="90">
        <v>8.0396857208882757</v>
      </c>
    </row>
    <row r="5781" spans="1:2">
      <c r="A5781" s="32">
        <v>5771</v>
      </c>
      <c r="B5781" s="90">
        <v>7.4751135124348291</v>
      </c>
    </row>
    <row r="5782" spans="1:2">
      <c r="A5782" s="32">
        <v>5772</v>
      </c>
      <c r="B5782" s="90">
        <v>8.2054312095385029</v>
      </c>
    </row>
    <row r="5783" spans="1:2">
      <c r="A5783" s="32">
        <v>5773</v>
      </c>
      <c r="B5783" s="90">
        <v>8.2859538134261594</v>
      </c>
    </row>
    <row r="5784" spans="1:2">
      <c r="A5784" s="32">
        <v>5774</v>
      </c>
      <c r="B5784" s="90">
        <v>7.8222595939029231</v>
      </c>
    </row>
    <row r="5785" spans="1:2">
      <c r="A5785" s="32">
        <v>5775</v>
      </c>
      <c r="B5785" s="90">
        <v>7.647636594004207</v>
      </c>
    </row>
    <row r="5786" spans="1:2">
      <c r="A5786" s="32">
        <v>5776</v>
      </c>
      <c r="B5786" s="90">
        <v>8.0539956241676727</v>
      </c>
    </row>
    <row r="5787" spans="1:2">
      <c r="A5787" s="32">
        <v>5777</v>
      </c>
      <c r="B5787" s="90">
        <v>7.7221260410481927</v>
      </c>
    </row>
    <row r="5788" spans="1:2">
      <c r="A5788" s="32">
        <v>5778</v>
      </c>
      <c r="B5788" s="90">
        <v>8.166040200849265</v>
      </c>
    </row>
    <row r="5789" spans="1:2">
      <c r="A5789" s="32">
        <v>5779</v>
      </c>
      <c r="B5789" s="90">
        <v>8.5930883345841611</v>
      </c>
    </row>
    <row r="5790" spans="1:2">
      <c r="A5790" s="32">
        <v>5780</v>
      </c>
      <c r="B5790" s="90">
        <v>7.297139648008776</v>
      </c>
    </row>
    <row r="5791" spans="1:2">
      <c r="A5791" s="32">
        <v>5781</v>
      </c>
      <c r="B5791" s="90">
        <v>8.0351297800778649</v>
      </c>
    </row>
    <row r="5792" spans="1:2">
      <c r="A5792" s="32">
        <v>5782</v>
      </c>
      <c r="B5792" s="90">
        <v>7.7035648710447839</v>
      </c>
    </row>
    <row r="5793" spans="1:2">
      <c r="A5793" s="32">
        <v>5783</v>
      </c>
      <c r="B5793" s="90">
        <v>7.6073095098143639</v>
      </c>
    </row>
    <row r="5794" spans="1:2">
      <c r="A5794" s="32">
        <v>5784</v>
      </c>
      <c r="B5794" s="90">
        <v>7.9774538413676437</v>
      </c>
    </row>
    <row r="5795" spans="1:2">
      <c r="A5795" s="32">
        <v>5785</v>
      </c>
      <c r="B5795" s="90">
        <v>9.04473138837057</v>
      </c>
    </row>
    <row r="5796" spans="1:2">
      <c r="A5796" s="32">
        <v>5786</v>
      </c>
      <c r="B5796" s="90">
        <v>7.265241890020401</v>
      </c>
    </row>
    <row r="5797" spans="1:2">
      <c r="A5797" s="32">
        <v>5787</v>
      </c>
      <c r="B5797" s="90">
        <v>8.1706702413390069</v>
      </c>
    </row>
    <row r="5798" spans="1:2">
      <c r="A5798" s="32">
        <v>5788</v>
      </c>
      <c r="B5798" s="90">
        <v>7.9102821444266249</v>
      </c>
    </row>
    <row r="5799" spans="1:2">
      <c r="A5799" s="32">
        <v>5789</v>
      </c>
      <c r="B5799" s="90">
        <v>7.1333752545010096</v>
      </c>
    </row>
    <row r="5800" spans="1:2">
      <c r="A5800" s="32">
        <v>5790</v>
      </c>
      <c r="B5800" s="90">
        <v>8.1309675058731781</v>
      </c>
    </row>
    <row r="5801" spans="1:2">
      <c r="A5801" s="32">
        <v>5791</v>
      </c>
      <c r="B5801" s="90">
        <v>8.8447599803654757</v>
      </c>
    </row>
    <row r="5802" spans="1:2">
      <c r="A5802" s="32">
        <v>5792</v>
      </c>
      <c r="B5802" s="90">
        <v>7.2002933426853106</v>
      </c>
    </row>
    <row r="5803" spans="1:2">
      <c r="A5803" s="32">
        <v>5793</v>
      </c>
      <c r="B5803" s="90">
        <v>8.7290497876556206</v>
      </c>
    </row>
    <row r="5804" spans="1:2">
      <c r="A5804" s="32">
        <v>5794</v>
      </c>
      <c r="B5804" s="90">
        <v>7.6257133053493789</v>
      </c>
    </row>
    <row r="5805" spans="1:2">
      <c r="A5805" s="32">
        <v>5795</v>
      </c>
      <c r="B5805" s="90">
        <v>7.3394156479559163</v>
      </c>
    </row>
    <row r="5806" spans="1:2">
      <c r="A5806" s="32">
        <v>5796</v>
      </c>
      <c r="B5806" s="90">
        <v>8.7554584412362448</v>
      </c>
    </row>
    <row r="5807" spans="1:2">
      <c r="A5807" s="32">
        <v>5797</v>
      </c>
      <c r="B5807" s="90">
        <v>8.4663246088769117</v>
      </c>
    </row>
    <row r="5808" spans="1:2">
      <c r="A5808" s="32">
        <v>5798</v>
      </c>
      <c r="B5808" s="90">
        <v>7.1115120129870286</v>
      </c>
    </row>
    <row r="5809" spans="1:2">
      <c r="A5809" s="32">
        <v>5799</v>
      </c>
      <c r="B5809" s="90">
        <v>8.5949577931909875</v>
      </c>
    </row>
    <row r="5810" spans="1:2">
      <c r="A5810" s="32">
        <v>5800</v>
      </c>
      <c r="B5810" s="90">
        <v>7.1729471055262017</v>
      </c>
    </row>
    <row r="5811" spans="1:2">
      <c r="A5811" s="32">
        <v>5801</v>
      </c>
      <c r="B5811" s="90">
        <v>7.8850105317827666</v>
      </c>
    </row>
    <row r="5812" spans="1:2">
      <c r="A5812" s="32">
        <v>5802</v>
      </c>
      <c r="B5812" s="90">
        <v>8.6153787426568513</v>
      </c>
    </row>
    <row r="5813" spans="1:2">
      <c r="A5813" s="32">
        <v>5803</v>
      </c>
      <c r="B5813" s="90">
        <v>7.7319013381920572</v>
      </c>
    </row>
    <row r="5814" spans="1:2">
      <c r="A5814" s="32">
        <v>5804</v>
      </c>
      <c r="B5814" s="90">
        <v>7.7928080879973614</v>
      </c>
    </row>
    <row r="5815" spans="1:2">
      <c r="A5815" s="32">
        <v>5805</v>
      </c>
      <c r="B5815" s="90">
        <v>8.7391841928465119</v>
      </c>
    </row>
    <row r="5816" spans="1:2">
      <c r="A5816" s="32">
        <v>5806</v>
      </c>
      <c r="B5816" s="90">
        <v>7.0634269620711461</v>
      </c>
    </row>
    <row r="5817" spans="1:2">
      <c r="A5817" s="32">
        <v>5807</v>
      </c>
      <c r="B5817" s="90">
        <v>8.279047618791143</v>
      </c>
    </row>
    <row r="5818" spans="1:2">
      <c r="A5818" s="32">
        <v>5808</v>
      </c>
      <c r="B5818" s="90">
        <v>8.0698618089312877</v>
      </c>
    </row>
    <row r="5819" spans="1:2">
      <c r="A5819" s="32">
        <v>5809</v>
      </c>
      <c r="B5819" s="90">
        <v>8.0019707244286078</v>
      </c>
    </row>
    <row r="5820" spans="1:2">
      <c r="A5820" s="32">
        <v>5810</v>
      </c>
      <c r="B5820" s="90">
        <v>7.6878127114747254</v>
      </c>
    </row>
    <row r="5821" spans="1:2">
      <c r="A5821" s="32">
        <v>5811</v>
      </c>
      <c r="B5821" s="90">
        <v>8.9317213391154286</v>
      </c>
    </row>
    <row r="5822" spans="1:2">
      <c r="A5822" s="32">
        <v>5812</v>
      </c>
      <c r="B5822" s="90">
        <v>7.326898671343435</v>
      </c>
    </row>
    <row r="5823" spans="1:2">
      <c r="A5823" s="32">
        <v>5813</v>
      </c>
      <c r="B5823" s="90">
        <v>7.9213482351427453</v>
      </c>
    </row>
    <row r="5824" spans="1:2">
      <c r="A5824" s="32">
        <v>5814</v>
      </c>
      <c r="B5824" s="90">
        <v>8.7665781910739593</v>
      </c>
    </row>
    <row r="5825" spans="1:2">
      <c r="A5825" s="32">
        <v>5815</v>
      </c>
      <c r="B5825" s="90">
        <v>7.5387649023504588</v>
      </c>
    </row>
    <row r="5826" spans="1:2">
      <c r="A5826" s="32">
        <v>5816</v>
      </c>
      <c r="B5826" s="90">
        <v>7.5971458541743697</v>
      </c>
    </row>
    <row r="5827" spans="1:2">
      <c r="A5827" s="32">
        <v>5817</v>
      </c>
      <c r="B5827" s="90">
        <v>9.0864088573032404</v>
      </c>
    </row>
    <row r="5828" spans="1:2">
      <c r="A5828" s="32">
        <v>5818</v>
      </c>
      <c r="B5828" s="90">
        <v>7.5159920891156764</v>
      </c>
    </row>
    <row r="5829" spans="1:2">
      <c r="A5829" s="32">
        <v>5819</v>
      </c>
      <c r="B5829" s="90">
        <v>7.5405041906317463</v>
      </c>
    </row>
    <row r="5830" spans="1:2">
      <c r="A5830" s="32">
        <v>5820</v>
      </c>
      <c r="B5830" s="90">
        <v>8.5743183042045263</v>
      </c>
    </row>
    <row r="5831" spans="1:2">
      <c r="A5831" s="32">
        <v>5821</v>
      </c>
      <c r="B5831" s="90">
        <v>7.826588302777914</v>
      </c>
    </row>
    <row r="5832" spans="1:2">
      <c r="A5832" s="32">
        <v>5822</v>
      </c>
      <c r="B5832" s="90">
        <v>7.6294711732092209</v>
      </c>
    </row>
    <row r="5833" spans="1:2">
      <c r="A5833" s="32">
        <v>5823</v>
      </c>
      <c r="B5833" s="90">
        <v>9.233977296153947</v>
      </c>
    </row>
    <row r="5834" spans="1:2">
      <c r="A5834" s="32">
        <v>5824</v>
      </c>
      <c r="B5834" s="90">
        <v>7.2904094001878619</v>
      </c>
    </row>
    <row r="5835" spans="1:2">
      <c r="A5835" s="32">
        <v>5825</v>
      </c>
      <c r="B5835" s="90">
        <v>7.7076720566899981</v>
      </c>
    </row>
    <row r="5836" spans="1:2">
      <c r="A5836" s="32">
        <v>5826</v>
      </c>
      <c r="B5836" s="90">
        <v>8.5594458464760734</v>
      </c>
    </row>
    <row r="5837" spans="1:2">
      <c r="A5837" s="32">
        <v>5827</v>
      </c>
      <c r="B5837" s="90">
        <v>7.7210695649540648</v>
      </c>
    </row>
    <row r="5838" spans="1:2">
      <c r="A5838" s="32">
        <v>5828</v>
      </c>
      <c r="B5838" s="90">
        <v>8.3760974316025223</v>
      </c>
    </row>
    <row r="5839" spans="1:2">
      <c r="A5839" s="32">
        <v>5829</v>
      </c>
      <c r="B5839" s="90">
        <v>8.0566059571858748</v>
      </c>
    </row>
    <row r="5840" spans="1:2">
      <c r="A5840" s="32">
        <v>5830</v>
      </c>
      <c r="B5840" s="90">
        <v>7.2861864447948328</v>
      </c>
    </row>
    <row r="5841" spans="1:2">
      <c r="A5841" s="32">
        <v>5831</v>
      </c>
      <c r="B5841" s="90">
        <v>8.1448729457204845</v>
      </c>
    </row>
    <row r="5842" spans="1:2">
      <c r="A5842" s="32">
        <v>5832</v>
      </c>
      <c r="B5842" s="90">
        <v>8.4097376643942336</v>
      </c>
    </row>
    <row r="5843" spans="1:2">
      <c r="A5843" s="32">
        <v>5833</v>
      </c>
      <c r="B5843" s="90">
        <v>7.4861867851322712</v>
      </c>
    </row>
    <row r="5844" spans="1:2">
      <c r="A5844" s="32">
        <v>5834</v>
      </c>
      <c r="B5844" s="90">
        <v>9.2981045979596519</v>
      </c>
    </row>
    <row r="5845" spans="1:2">
      <c r="A5845" s="32">
        <v>5835</v>
      </c>
      <c r="B5845" s="90">
        <v>7.7693259618611563</v>
      </c>
    </row>
    <row r="5846" spans="1:2">
      <c r="A5846" s="32">
        <v>5836</v>
      </c>
      <c r="B5846" s="90">
        <v>7.4914378536053601</v>
      </c>
    </row>
    <row r="5847" spans="1:2">
      <c r="A5847" s="32">
        <v>5837</v>
      </c>
      <c r="B5847" s="90">
        <v>8.3346436933912411</v>
      </c>
    </row>
    <row r="5848" spans="1:2">
      <c r="A5848" s="32">
        <v>5838</v>
      </c>
      <c r="B5848" s="90">
        <v>7.9424216622397221</v>
      </c>
    </row>
    <row r="5849" spans="1:2">
      <c r="A5849" s="32">
        <v>5839</v>
      </c>
      <c r="B5849" s="90">
        <v>7.1521446418630923</v>
      </c>
    </row>
    <row r="5850" spans="1:2">
      <c r="A5850" s="32">
        <v>5840</v>
      </c>
      <c r="B5850" s="90">
        <v>9.4657578038505168</v>
      </c>
    </row>
    <row r="5851" spans="1:2">
      <c r="A5851" s="32">
        <v>5841</v>
      </c>
      <c r="B5851" s="90">
        <v>7.3215790889304317</v>
      </c>
    </row>
    <row r="5852" spans="1:2">
      <c r="A5852" s="32">
        <v>5842</v>
      </c>
      <c r="B5852" s="90">
        <v>7.9813716055571282</v>
      </c>
    </row>
    <row r="5853" spans="1:2">
      <c r="A5853" s="32">
        <v>5843</v>
      </c>
      <c r="B5853" s="90">
        <v>8.2233836399289935</v>
      </c>
    </row>
    <row r="5854" spans="1:2">
      <c r="A5854" s="32">
        <v>5844</v>
      </c>
      <c r="B5854" s="90">
        <v>8.055966460040592</v>
      </c>
    </row>
    <row r="5855" spans="1:2">
      <c r="A5855" s="32">
        <v>5845</v>
      </c>
      <c r="B5855" s="90">
        <v>7.5372660193772809</v>
      </c>
    </row>
    <row r="5856" spans="1:2">
      <c r="A5856" s="32">
        <v>5846</v>
      </c>
      <c r="B5856" s="90">
        <v>9.0109563196732765</v>
      </c>
    </row>
    <row r="5857" spans="1:2">
      <c r="A5857" s="32">
        <v>5847</v>
      </c>
      <c r="B5857" s="90">
        <v>7.6644589897997335</v>
      </c>
    </row>
    <row r="5858" spans="1:2">
      <c r="A5858" s="32">
        <v>5848</v>
      </c>
      <c r="B5858" s="90">
        <v>7.7648380076124077</v>
      </c>
    </row>
    <row r="5859" spans="1:2">
      <c r="A5859" s="32">
        <v>5849</v>
      </c>
      <c r="B5859" s="90">
        <v>8.3622953124812796</v>
      </c>
    </row>
    <row r="5860" spans="1:2">
      <c r="A5860" s="32">
        <v>5850</v>
      </c>
      <c r="B5860" s="90">
        <v>7.7270246951693693</v>
      </c>
    </row>
    <row r="5861" spans="1:2">
      <c r="A5861" s="32">
        <v>5851</v>
      </c>
      <c r="B5861" s="90">
        <v>7.6772700650913803</v>
      </c>
    </row>
    <row r="5862" spans="1:2">
      <c r="A5862" s="32">
        <v>5852</v>
      </c>
      <c r="B5862" s="90">
        <v>9.2332922379779951</v>
      </c>
    </row>
    <row r="5863" spans="1:2">
      <c r="A5863" s="32">
        <v>5853</v>
      </c>
      <c r="B5863" s="90">
        <v>7.1882168649013858</v>
      </c>
    </row>
    <row r="5864" spans="1:2">
      <c r="A5864" s="32">
        <v>5854</v>
      </c>
      <c r="B5864" s="90">
        <v>7.5175547299444307</v>
      </c>
    </row>
    <row r="5865" spans="1:2">
      <c r="A5865" s="32">
        <v>5855</v>
      </c>
      <c r="B5865" s="90">
        <v>8.746100098888725</v>
      </c>
    </row>
    <row r="5866" spans="1:2">
      <c r="A5866" s="32">
        <v>5856</v>
      </c>
      <c r="B5866" s="90">
        <v>7.5633760795020395</v>
      </c>
    </row>
    <row r="5867" spans="1:2">
      <c r="A5867" s="32">
        <v>5857</v>
      </c>
      <c r="B5867" s="90">
        <v>8.4123375944246099</v>
      </c>
    </row>
    <row r="5868" spans="1:2">
      <c r="A5868" s="32">
        <v>5858</v>
      </c>
      <c r="B5868" s="90">
        <v>8.3423570321533393</v>
      </c>
    </row>
    <row r="5869" spans="1:2">
      <c r="A5869" s="32">
        <v>5859</v>
      </c>
      <c r="B5869" s="90">
        <v>7.2967441678090941</v>
      </c>
    </row>
    <row r="5870" spans="1:2">
      <c r="A5870" s="32">
        <v>5860</v>
      </c>
      <c r="B5870" s="90">
        <v>8.0088549930507575</v>
      </c>
    </row>
    <row r="5871" spans="1:2">
      <c r="A5871" s="32">
        <v>5861</v>
      </c>
      <c r="B5871" s="90">
        <v>8.6378401562145477</v>
      </c>
    </row>
    <row r="5872" spans="1:2">
      <c r="A5872" s="32">
        <v>5862</v>
      </c>
      <c r="B5872" s="90">
        <v>7.333516824440899</v>
      </c>
    </row>
    <row r="5873" spans="1:2">
      <c r="A5873" s="32">
        <v>5863</v>
      </c>
      <c r="B5873" s="90">
        <v>8.9954906252374229</v>
      </c>
    </row>
    <row r="5874" spans="1:2">
      <c r="A5874" s="32">
        <v>5864</v>
      </c>
      <c r="B5874" s="90">
        <v>8.0529765639215203</v>
      </c>
    </row>
    <row r="5875" spans="1:2">
      <c r="A5875" s="32">
        <v>5865</v>
      </c>
      <c r="B5875" s="90">
        <v>7.0263570335589964</v>
      </c>
    </row>
    <row r="5876" spans="1:2">
      <c r="A5876" s="32">
        <v>5866</v>
      </c>
      <c r="B5876" s="90">
        <v>8.654146646603694</v>
      </c>
    </row>
    <row r="5877" spans="1:2">
      <c r="A5877" s="32">
        <v>5867</v>
      </c>
      <c r="B5877" s="90">
        <v>8.195623773686135</v>
      </c>
    </row>
    <row r="5878" spans="1:2">
      <c r="A5878" s="32">
        <v>5868</v>
      </c>
      <c r="B5878" s="90">
        <v>6.9965709285049167</v>
      </c>
    </row>
    <row r="5879" spans="1:2">
      <c r="A5879" s="32">
        <v>5869</v>
      </c>
      <c r="B5879" s="90">
        <v>9.7126636685666643</v>
      </c>
    </row>
    <row r="5880" spans="1:2">
      <c r="A5880" s="32">
        <v>5870</v>
      </c>
      <c r="B5880" s="90">
        <v>7.0634269620711461</v>
      </c>
    </row>
    <row r="5881" spans="1:2">
      <c r="A5881" s="32">
        <v>5871</v>
      </c>
      <c r="B5881" s="90">
        <v>8.279047618791143</v>
      </c>
    </row>
    <row r="5882" spans="1:2">
      <c r="A5882" s="32">
        <v>5872</v>
      </c>
      <c r="B5882" s="90">
        <v>8.0698618089312877</v>
      </c>
    </row>
    <row r="5883" spans="1:2">
      <c r="A5883" s="32">
        <v>5873</v>
      </c>
      <c r="B5883" s="90">
        <v>8.0019707244286078</v>
      </c>
    </row>
    <row r="5884" spans="1:2">
      <c r="A5884" s="32">
        <v>5874</v>
      </c>
      <c r="B5884" s="90">
        <v>7.6878127114747254</v>
      </c>
    </row>
    <row r="5885" spans="1:2">
      <c r="A5885" s="32">
        <v>5875</v>
      </c>
      <c r="B5885" s="90">
        <v>8.9317213391154286</v>
      </c>
    </row>
    <row r="5886" spans="1:2">
      <c r="A5886" s="32">
        <v>5876</v>
      </c>
      <c r="B5886" s="90">
        <v>7.326898671343435</v>
      </c>
    </row>
    <row r="5887" spans="1:2">
      <c r="A5887" s="32">
        <v>5877</v>
      </c>
      <c r="B5887" s="90">
        <v>7.9213482351427453</v>
      </c>
    </row>
    <row r="5888" spans="1:2">
      <c r="A5888" s="32">
        <v>5878</v>
      </c>
      <c r="B5888" s="90">
        <v>8.7665781910739593</v>
      </c>
    </row>
    <row r="5889" spans="1:2">
      <c r="A5889" s="32">
        <v>5879</v>
      </c>
      <c r="B5889" s="90">
        <v>7.5387649023504588</v>
      </c>
    </row>
    <row r="5890" spans="1:2">
      <c r="A5890" s="32">
        <v>5880</v>
      </c>
      <c r="B5890" s="90">
        <v>7.5971458541743697</v>
      </c>
    </row>
    <row r="5891" spans="1:2">
      <c r="A5891" s="32">
        <v>5881</v>
      </c>
      <c r="B5891" s="90">
        <v>9.0864088573032404</v>
      </c>
    </row>
    <row r="5892" spans="1:2">
      <c r="A5892" s="32">
        <v>5882</v>
      </c>
      <c r="B5892" s="90">
        <v>7.5159920891156764</v>
      </c>
    </row>
    <row r="5893" spans="1:2">
      <c r="A5893" s="32">
        <v>5883</v>
      </c>
      <c r="B5893" s="90">
        <v>7.5405041906317463</v>
      </c>
    </row>
    <row r="5894" spans="1:2">
      <c r="A5894" s="32">
        <v>5884</v>
      </c>
      <c r="B5894" s="90">
        <v>8.5743183042045263</v>
      </c>
    </row>
    <row r="5895" spans="1:2">
      <c r="A5895" s="32">
        <v>5885</v>
      </c>
      <c r="B5895" s="90">
        <v>7.826588302777914</v>
      </c>
    </row>
    <row r="5896" spans="1:2">
      <c r="A5896" s="32">
        <v>5886</v>
      </c>
      <c r="B5896" s="90">
        <v>7.6294711732092209</v>
      </c>
    </row>
    <row r="5897" spans="1:2">
      <c r="A5897" s="32">
        <v>5887</v>
      </c>
      <c r="B5897" s="90">
        <v>9.233977296153947</v>
      </c>
    </row>
    <row r="5898" spans="1:2">
      <c r="A5898" s="32">
        <v>5888</v>
      </c>
      <c r="B5898" s="90">
        <v>7.2904094001878619</v>
      </c>
    </row>
    <row r="5899" spans="1:2">
      <c r="A5899" s="32">
        <v>5889</v>
      </c>
      <c r="B5899" s="90">
        <v>7.7076720566899981</v>
      </c>
    </row>
    <row r="5900" spans="1:2">
      <c r="A5900" s="32">
        <v>5890</v>
      </c>
      <c r="B5900" s="90">
        <v>8.5594458464760734</v>
      </c>
    </row>
    <row r="5901" spans="1:2">
      <c r="A5901" s="32">
        <v>5891</v>
      </c>
      <c r="B5901" s="90">
        <v>7.7210695649540648</v>
      </c>
    </row>
    <row r="5902" spans="1:2">
      <c r="A5902" s="32">
        <v>5892</v>
      </c>
      <c r="B5902" s="90">
        <v>8.3760974316025223</v>
      </c>
    </row>
    <row r="5903" spans="1:2">
      <c r="A5903" s="32">
        <v>5893</v>
      </c>
      <c r="B5903" s="90">
        <v>8.0566059571858748</v>
      </c>
    </row>
    <row r="5904" spans="1:2">
      <c r="A5904" s="32">
        <v>5894</v>
      </c>
      <c r="B5904" s="90">
        <v>7.2861864447948328</v>
      </c>
    </row>
    <row r="5905" spans="1:2">
      <c r="A5905" s="32">
        <v>5895</v>
      </c>
      <c r="B5905" s="90">
        <v>8.1448729457204845</v>
      </c>
    </row>
    <row r="5906" spans="1:2">
      <c r="A5906" s="32">
        <v>5896</v>
      </c>
      <c r="B5906" s="90">
        <v>8.4097376643942336</v>
      </c>
    </row>
    <row r="5907" spans="1:2">
      <c r="A5907" s="32">
        <v>5897</v>
      </c>
      <c r="B5907" s="90">
        <v>7.4861867851322712</v>
      </c>
    </row>
    <row r="5908" spans="1:2">
      <c r="A5908" s="32">
        <v>5898</v>
      </c>
      <c r="B5908" s="90">
        <v>9.2981045979596519</v>
      </c>
    </row>
    <row r="5909" spans="1:2">
      <c r="A5909" s="32">
        <v>5899</v>
      </c>
      <c r="B5909" s="90">
        <v>7.7693259618611563</v>
      </c>
    </row>
    <row r="5910" spans="1:2">
      <c r="A5910" s="32">
        <v>5900</v>
      </c>
      <c r="B5910" s="90">
        <v>7.4914378536053601</v>
      </c>
    </row>
    <row r="5911" spans="1:2">
      <c r="A5911" s="32">
        <v>5901</v>
      </c>
      <c r="B5911" s="90">
        <v>8.3346436933912411</v>
      </c>
    </row>
    <row r="5912" spans="1:2">
      <c r="A5912" s="32">
        <v>5902</v>
      </c>
      <c r="B5912" s="90">
        <v>7.9424216622397221</v>
      </c>
    </row>
    <row r="5913" spans="1:2">
      <c r="A5913" s="32">
        <v>5903</v>
      </c>
      <c r="B5913" s="90">
        <v>7.1521446418630923</v>
      </c>
    </row>
    <row r="5914" spans="1:2">
      <c r="A5914" s="32">
        <v>5904</v>
      </c>
      <c r="B5914" s="90">
        <v>9.4657578038505168</v>
      </c>
    </row>
    <row r="5915" spans="1:2">
      <c r="A5915" s="32">
        <v>5905</v>
      </c>
      <c r="B5915" s="90">
        <v>7.3215790889304317</v>
      </c>
    </row>
    <row r="5916" spans="1:2">
      <c r="A5916" s="32">
        <v>5906</v>
      </c>
      <c r="B5916" s="90">
        <v>7.9813716055571282</v>
      </c>
    </row>
    <row r="5917" spans="1:2">
      <c r="A5917" s="32">
        <v>5907</v>
      </c>
      <c r="B5917" s="90">
        <v>8.2233836399289935</v>
      </c>
    </row>
    <row r="5918" spans="1:2">
      <c r="A5918" s="32">
        <v>5908</v>
      </c>
      <c r="B5918" s="90">
        <v>8.055966460040592</v>
      </c>
    </row>
    <row r="5919" spans="1:2">
      <c r="A5919" s="32">
        <v>5909</v>
      </c>
      <c r="B5919" s="90">
        <v>7.5372660193772809</v>
      </c>
    </row>
    <row r="5920" spans="1:2">
      <c r="A5920" s="32">
        <v>5910</v>
      </c>
      <c r="B5920" s="90">
        <v>9.0109563196732765</v>
      </c>
    </row>
    <row r="5921" spans="1:2">
      <c r="A5921" s="32">
        <v>5911</v>
      </c>
      <c r="B5921" s="90">
        <v>7.6644589897997335</v>
      </c>
    </row>
    <row r="5922" spans="1:2">
      <c r="A5922" s="32">
        <v>5912</v>
      </c>
      <c r="B5922" s="90">
        <v>7.7648380076124077</v>
      </c>
    </row>
    <row r="5923" spans="1:2">
      <c r="A5923" s="32">
        <v>5913</v>
      </c>
      <c r="B5923" s="90">
        <v>8.3622953124812796</v>
      </c>
    </row>
    <row r="5924" spans="1:2">
      <c r="A5924" s="32">
        <v>5914</v>
      </c>
      <c r="B5924" s="90">
        <v>7.7270246951693693</v>
      </c>
    </row>
    <row r="5925" spans="1:2">
      <c r="A5925" s="32">
        <v>5915</v>
      </c>
      <c r="B5925" s="90">
        <v>7.6772700650913803</v>
      </c>
    </row>
    <row r="5926" spans="1:2">
      <c r="A5926" s="32">
        <v>5916</v>
      </c>
      <c r="B5926" s="90">
        <v>9.2332922379779951</v>
      </c>
    </row>
    <row r="5927" spans="1:2">
      <c r="A5927" s="32">
        <v>5917</v>
      </c>
      <c r="B5927" s="90">
        <v>7.1882168649013858</v>
      </c>
    </row>
    <row r="5928" spans="1:2">
      <c r="A5928" s="32">
        <v>5918</v>
      </c>
      <c r="B5928" s="90">
        <v>7.5175547299444307</v>
      </c>
    </row>
    <row r="5929" spans="1:2">
      <c r="A5929" s="32">
        <v>5919</v>
      </c>
      <c r="B5929" s="90">
        <v>8.746100098888725</v>
      </c>
    </row>
    <row r="5930" spans="1:2">
      <c r="A5930" s="32">
        <v>5920</v>
      </c>
      <c r="B5930" s="90">
        <v>7.5633760795020395</v>
      </c>
    </row>
    <row r="5931" spans="1:2">
      <c r="A5931" s="32">
        <v>5921</v>
      </c>
      <c r="B5931" s="90">
        <v>8.4123375944246099</v>
      </c>
    </row>
    <row r="5932" spans="1:2">
      <c r="A5932" s="32">
        <v>5922</v>
      </c>
      <c r="B5932" s="90">
        <v>8.3423570321533393</v>
      </c>
    </row>
    <row r="5933" spans="1:2">
      <c r="A5933" s="32">
        <v>5923</v>
      </c>
      <c r="B5933" s="90">
        <v>7.4624678390938044</v>
      </c>
    </row>
    <row r="5934" spans="1:2">
      <c r="A5934" s="32">
        <v>5924</v>
      </c>
      <c r="B5934" s="90">
        <v>7.3321637196796496</v>
      </c>
    </row>
    <row r="5935" spans="1:2">
      <c r="A5935" s="32">
        <v>5925</v>
      </c>
      <c r="B5935" s="90">
        <v>7.3741309578725147</v>
      </c>
    </row>
    <row r="5936" spans="1:2">
      <c r="A5936" s="32">
        <v>5926</v>
      </c>
      <c r="B5936" s="90">
        <v>9.1921600419035201</v>
      </c>
    </row>
    <row r="5937" spans="1:2">
      <c r="A5937" s="32">
        <v>5927</v>
      </c>
      <c r="B5937" s="90">
        <v>9.166584555950843</v>
      </c>
    </row>
    <row r="5938" spans="1:2">
      <c r="A5938" s="32">
        <v>5928</v>
      </c>
      <c r="B5938" s="90">
        <v>8.3015140325741221</v>
      </c>
    </row>
    <row r="5939" spans="1:2">
      <c r="A5939" s="32">
        <v>5929</v>
      </c>
      <c r="B5939" s="90">
        <v>7.3920962453759396</v>
      </c>
    </row>
    <row r="5940" spans="1:2">
      <c r="A5940" s="32">
        <v>5930</v>
      </c>
      <c r="B5940" s="90">
        <v>6.8760222446006916</v>
      </c>
    </row>
    <row r="5941" spans="1:2">
      <c r="A5941" s="32">
        <v>5931</v>
      </c>
      <c r="B5941" s="90">
        <v>8.2064345077547731</v>
      </c>
    </row>
    <row r="5942" spans="1:2">
      <c r="A5942" s="32">
        <v>5932</v>
      </c>
      <c r="B5942" s="90">
        <v>9.1002449528082998</v>
      </c>
    </row>
    <row r="5943" spans="1:2">
      <c r="A5943" s="32">
        <v>5933</v>
      </c>
      <c r="B5943" s="90">
        <v>9.3315313923582632</v>
      </c>
    </row>
    <row r="5944" spans="1:2">
      <c r="A5944" s="32">
        <v>5934</v>
      </c>
      <c r="B5944" s="90">
        <v>7.5479831062527074</v>
      </c>
    </row>
    <row r="5945" spans="1:2">
      <c r="A5945" s="32">
        <v>5935</v>
      </c>
      <c r="B5945" s="90">
        <v>7.8160976269139359</v>
      </c>
    </row>
    <row r="5946" spans="1:2">
      <c r="A5946" s="32">
        <v>5936</v>
      </c>
      <c r="B5946" s="90">
        <v>6.4827218438027803</v>
      </c>
    </row>
    <row r="5947" spans="1:2">
      <c r="A5947" s="32">
        <v>5937</v>
      </c>
      <c r="B5947" s="90">
        <v>8.4280184376740799</v>
      </c>
    </row>
    <row r="5948" spans="1:2">
      <c r="A5948" s="32">
        <v>5938</v>
      </c>
      <c r="B5948" s="90">
        <v>9.3333482616768659</v>
      </c>
    </row>
    <row r="5949" spans="1:2">
      <c r="A5949" s="32">
        <v>5939</v>
      </c>
      <c r="B5949" s="90">
        <v>9.1174968247568593</v>
      </c>
    </row>
    <row r="5950" spans="1:2">
      <c r="A5950" s="32">
        <v>5940</v>
      </c>
      <c r="B5950" s="90">
        <v>7.9763368777501649</v>
      </c>
    </row>
    <row r="5951" spans="1:2">
      <c r="A5951" s="32">
        <v>5941</v>
      </c>
      <c r="B5951" s="90">
        <v>7.5537897798320719</v>
      </c>
    </row>
    <row r="5952" spans="1:2">
      <c r="A5952" s="32">
        <v>5942</v>
      </c>
      <c r="B5952" s="90">
        <v>6.4235179684919528</v>
      </c>
    </row>
    <row r="5953" spans="1:2">
      <c r="A5953" s="32">
        <v>5943</v>
      </c>
      <c r="B5953" s="90">
        <v>8.0148736459775414</v>
      </c>
    </row>
    <row r="5954" spans="1:2">
      <c r="A5954" s="32">
        <v>5944</v>
      </c>
      <c r="B5954" s="90">
        <v>9.9652746281664601</v>
      </c>
    </row>
    <row r="5955" spans="1:2">
      <c r="A5955" s="32">
        <v>5945</v>
      </c>
      <c r="B5955" s="90">
        <v>9.0478791503794955</v>
      </c>
    </row>
    <row r="5956" spans="1:2">
      <c r="A5956" s="32">
        <v>5946</v>
      </c>
      <c r="B5956" s="90">
        <v>7.9598997873784043</v>
      </c>
    </row>
    <row r="5957" spans="1:2">
      <c r="A5957" s="32">
        <v>5947</v>
      </c>
      <c r="B5957" s="90">
        <v>7.4793942382036729</v>
      </c>
    </row>
    <row r="5958" spans="1:2">
      <c r="A5958" s="32">
        <v>5948</v>
      </c>
      <c r="B5958" s="90">
        <v>6.3067916517839411</v>
      </c>
    </row>
    <row r="5959" spans="1:2">
      <c r="A5959" s="32">
        <v>5949</v>
      </c>
      <c r="B5959" s="90">
        <v>8.8675598941116185</v>
      </c>
    </row>
    <row r="5960" spans="1:2">
      <c r="A5960" s="32">
        <v>5950</v>
      </c>
      <c r="B5960" s="90">
        <v>9.2599175049987839</v>
      </c>
    </row>
    <row r="5961" spans="1:2">
      <c r="A5961" s="32">
        <v>5951</v>
      </c>
      <c r="B5961" s="90">
        <v>9.1614800498600015</v>
      </c>
    </row>
    <row r="5962" spans="1:2">
      <c r="A5962" s="32">
        <v>5952</v>
      </c>
      <c r="B5962" s="90">
        <v>7.3980849851480244</v>
      </c>
    </row>
    <row r="5963" spans="1:2">
      <c r="A5963" s="32">
        <v>5953</v>
      </c>
      <c r="B5963" s="90">
        <v>7.5248308103091821</v>
      </c>
    </row>
    <row r="5964" spans="1:2">
      <c r="A5964" s="32">
        <v>5954</v>
      </c>
      <c r="B5964" s="90">
        <v>6.7346347479414721</v>
      </c>
    </row>
    <row r="5965" spans="1:2">
      <c r="A5965" s="32">
        <v>5955</v>
      </c>
      <c r="B5965" s="90">
        <v>9.1943882303636695</v>
      </c>
    </row>
    <row r="5966" spans="1:2">
      <c r="A5966" s="32">
        <v>5956</v>
      </c>
      <c r="B5966" s="90">
        <v>9.2017329556001357</v>
      </c>
    </row>
    <row r="5967" spans="1:2">
      <c r="A5967" s="32">
        <v>5957</v>
      </c>
      <c r="B5967" s="90">
        <v>8.1667875946542416</v>
      </c>
    </row>
    <row r="5968" spans="1:2">
      <c r="A5968" s="32">
        <v>5958</v>
      </c>
      <c r="B5968" s="90">
        <v>7.4141327486976643</v>
      </c>
    </row>
    <row r="5969" spans="1:2">
      <c r="A5969" s="32">
        <v>5959</v>
      </c>
      <c r="B5969" s="90">
        <v>7.1524284154217899</v>
      </c>
    </row>
    <row r="5970" spans="1:2">
      <c r="A5970" s="32">
        <v>5960</v>
      </c>
      <c r="B5970" s="90">
        <v>7.8226215544369584</v>
      </c>
    </row>
    <row r="5971" spans="1:2">
      <c r="A5971" s="32">
        <v>5961</v>
      </c>
      <c r="B5971" s="90">
        <v>9.1129415114120533</v>
      </c>
    </row>
    <row r="5972" spans="1:2">
      <c r="A5972" s="32">
        <v>5962</v>
      </c>
      <c r="B5972" s="90">
        <v>9.0064539389792238</v>
      </c>
    </row>
    <row r="5973" spans="1:2">
      <c r="A5973" s="32">
        <v>5963</v>
      </c>
      <c r="B5973" s="90">
        <v>8.0323919250947231</v>
      </c>
    </row>
    <row r="5974" spans="1:2">
      <c r="A5974" s="32">
        <v>5964</v>
      </c>
      <c r="B5974" s="90">
        <v>7.6853143837517637</v>
      </c>
    </row>
    <row r="5975" spans="1:2">
      <c r="A5975" s="32">
        <v>5965</v>
      </c>
      <c r="B5975" s="90">
        <v>6.764458454324684</v>
      </c>
    </row>
    <row r="5976" spans="1:2">
      <c r="A5976" s="32">
        <v>5966</v>
      </c>
      <c r="B5976" s="90">
        <v>8.0437649906958448</v>
      </c>
    </row>
    <row r="5977" spans="1:2">
      <c r="A5977" s="32">
        <v>5967</v>
      </c>
      <c r="B5977" s="90">
        <v>9.4491313793749878</v>
      </c>
    </row>
    <row r="5978" spans="1:2">
      <c r="A5978" s="32">
        <v>5968</v>
      </c>
      <c r="B5978" s="90">
        <v>9.0249777517417709</v>
      </c>
    </row>
    <row r="5979" spans="1:2">
      <c r="A5979" s="32">
        <v>5969</v>
      </c>
      <c r="B5979" s="90">
        <v>7.9368866857769413</v>
      </c>
    </row>
    <row r="5980" spans="1:2">
      <c r="A5980" s="32">
        <v>5970</v>
      </c>
      <c r="B5980" s="90">
        <v>7.5049827714139683</v>
      </c>
    </row>
    <row r="5981" spans="1:2">
      <c r="A5981" s="32">
        <v>5971</v>
      </c>
      <c r="B5981" s="90">
        <v>6.6235528619373172</v>
      </c>
    </row>
    <row r="5982" spans="1:2">
      <c r="A5982" s="32">
        <v>5972</v>
      </c>
      <c r="B5982" s="90">
        <v>8.2181544151148263</v>
      </c>
    </row>
    <row r="5983" spans="1:2">
      <c r="A5983" s="32">
        <v>5973</v>
      </c>
      <c r="B5983" s="90">
        <v>9.5984654308857742</v>
      </c>
    </row>
    <row r="5984" spans="1:2">
      <c r="A5984" s="32">
        <v>5974</v>
      </c>
      <c r="B5984" s="90">
        <v>9.0657179753573036</v>
      </c>
    </row>
    <row r="5985" spans="1:2">
      <c r="A5985" s="32">
        <v>5975</v>
      </c>
      <c r="B5985" s="90">
        <v>7.8860561225643417</v>
      </c>
    </row>
    <row r="5986" spans="1:2">
      <c r="A5986" s="32">
        <v>5976</v>
      </c>
      <c r="B5986" s="90">
        <v>7.4572736097641625</v>
      </c>
    </row>
    <row r="5987" spans="1:2">
      <c r="A5987" s="32">
        <v>5977</v>
      </c>
      <c r="B5987" s="90">
        <v>6.6223191754217838</v>
      </c>
    </row>
    <row r="5988" spans="1:2">
      <c r="A5988" s="32">
        <v>5978</v>
      </c>
      <c r="B5988" s="90">
        <v>8.2797889673650005</v>
      </c>
    </row>
    <row r="5989" spans="1:2">
      <c r="A5989" s="32">
        <v>5979</v>
      </c>
      <c r="B5989" s="90">
        <v>9.5250134231155172</v>
      </c>
    </row>
    <row r="5990" spans="1:2">
      <c r="A5990" s="32">
        <v>5980</v>
      </c>
      <c r="B5990" s="90">
        <v>8.8689406308320677</v>
      </c>
    </row>
    <row r="5991" spans="1:2">
      <c r="A5991" s="32">
        <v>5981</v>
      </c>
      <c r="B5991" s="90">
        <v>7.9385778796974993</v>
      </c>
    </row>
    <row r="5992" spans="1:2">
      <c r="A5992" s="32">
        <v>5982</v>
      </c>
      <c r="B5992" s="90">
        <v>7.3793247479392594</v>
      </c>
    </row>
    <row r="5993" spans="1:2">
      <c r="A5993" s="32">
        <v>5983</v>
      </c>
      <c r="B5993" s="90">
        <v>6.5834249843239432</v>
      </c>
    </row>
    <row r="5994" spans="1:2">
      <c r="A5994" s="32">
        <v>5984</v>
      </c>
      <c r="B5994" s="90">
        <v>8.8033656378819991</v>
      </c>
    </row>
    <row r="5995" spans="1:2">
      <c r="A5995" s="32">
        <v>5985</v>
      </c>
      <c r="B5995" s="90">
        <v>9.0603160412741488</v>
      </c>
    </row>
    <row r="5996" spans="1:2">
      <c r="A5996" s="32">
        <v>5986</v>
      </c>
      <c r="B5996" s="90">
        <v>9.2757129904719591</v>
      </c>
    </row>
    <row r="5997" spans="1:2">
      <c r="A5997" s="32">
        <v>5987</v>
      </c>
      <c r="B5997" s="90">
        <v>6.9626809497005882</v>
      </c>
    </row>
    <row r="5998" spans="1:2">
      <c r="A5998" s="32">
        <v>5988</v>
      </c>
      <c r="B5998" s="90">
        <v>7.3321637196796496</v>
      </c>
    </row>
    <row r="5999" spans="1:2">
      <c r="A5999" s="32">
        <v>5989</v>
      </c>
      <c r="B5999" s="90">
        <v>7.3741309578725147</v>
      </c>
    </row>
    <row r="6000" spans="1:2">
      <c r="A6000" s="32">
        <v>5990</v>
      </c>
      <c r="B6000" s="90">
        <v>9.1921600419035201</v>
      </c>
    </row>
    <row r="6001" spans="1:2">
      <c r="A6001" s="32">
        <v>5991</v>
      </c>
      <c r="B6001" s="90">
        <v>9.166584555950843</v>
      </c>
    </row>
    <row r="6002" spans="1:2">
      <c r="A6002" s="32">
        <v>5992</v>
      </c>
      <c r="B6002" s="90">
        <v>8.3015140325741221</v>
      </c>
    </row>
    <row r="6003" spans="1:2">
      <c r="A6003" s="32">
        <v>5993</v>
      </c>
      <c r="B6003" s="90">
        <v>7.3920962453759396</v>
      </c>
    </row>
    <row r="6004" spans="1:2">
      <c r="A6004" s="32">
        <v>5994</v>
      </c>
      <c r="B6004" s="90">
        <v>6.8760222446006916</v>
      </c>
    </row>
    <row r="6005" spans="1:2">
      <c r="A6005" s="32">
        <v>5995</v>
      </c>
      <c r="B6005" s="90">
        <v>8.2064345077547731</v>
      </c>
    </row>
    <row r="6006" spans="1:2">
      <c r="A6006" s="32">
        <v>5996</v>
      </c>
      <c r="B6006" s="90">
        <v>9.1002449528082998</v>
      </c>
    </row>
    <row r="6007" spans="1:2">
      <c r="A6007" s="32">
        <v>5997</v>
      </c>
      <c r="B6007" s="90">
        <v>9.3315313923582632</v>
      </c>
    </row>
    <row r="6008" spans="1:2">
      <c r="A6008" s="32">
        <v>5998</v>
      </c>
      <c r="B6008" s="90">
        <v>7.5479831062527074</v>
      </c>
    </row>
    <row r="6009" spans="1:2">
      <c r="A6009" s="32">
        <v>5999</v>
      </c>
      <c r="B6009" s="90">
        <v>7.8160976269139359</v>
      </c>
    </row>
    <row r="6010" spans="1:2">
      <c r="A6010" s="32">
        <v>6000</v>
      </c>
      <c r="B6010" s="90">
        <v>6.4827218438027803</v>
      </c>
    </row>
    <row r="6011" spans="1:2">
      <c r="A6011" s="32">
        <v>6001</v>
      </c>
      <c r="B6011" s="90">
        <v>8.4280184376740799</v>
      </c>
    </row>
    <row r="6012" spans="1:2">
      <c r="A6012" s="32">
        <v>6002</v>
      </c>
      <c r="B6012" s="90">
        <v>9.3333482616768659</v>
      </c>
    </row>
    <row r="6013" spans="1:2">
      <c r="A6013" s="32">
        <v>6003</v>
      </c>
      <c r="B6013" s="90">
        <v>9.1174968247568593</v>
      </c>
    </row>
    <row r="6014" spans="1:2">
      <c r="A6014" s="32">
        <v>6004</v>
      </c>
      <c r="B6014" s="90">
        <v>7.9763368777501649</v>
      </c>
    </row>
    <row r="6015" spans="1:2">
      <c r="A6015" s="32">
        <v>6005</v>
      </c>
      <c r="B6015" s="90">
        <v>7.5537897798320719</v>
      </c>
    </row>
    <row r="6016" spans="1:2">
      <c r="A6016" s="32">
        <v>6006</v>
      </c>
      <c r="B6016" s="90">
        <v>6.4235179684919528</v>
      </c>
    </row>
    <row r="6017" spans="1:2">
      <c r="A6017" s="32">
        <v>6007</v>
      </c>
      <c r="B6017" s="90">
        <v>8.0148736459775414</v>
      </c>
    </row>
    <row r="6018" spans="1:2">
      <c r="A6018" s="32">
        <v>6008</v>
      </c>
      <c r="B6018" s="90">
        <v>9.9652746281664601</v>
      </c>
    </row>
    <row r="6019" spans="1:2">
      <c r="A6019" s="32">
        <v>6009</v>
      </c>
      <c r="B6019" s="90">
        <v>9.0478791503794955</v>
      </c>
    </row>
    <row r="6020" spans="1:2">
      <c r="A6020" s="32">
        <v>6010</v>
      </c>
      <c r="B6020" s="90">
        <v>7.9598997873784043</v>
      </c>
    </row>
    <row r="6021" spans="1:2">
      <c r="A6021" s="32">
        <v>6011</v>
      </c>
      <c r="B6021" s="90">
        <v>7.4793942382036729</v>
      </c>
    </row>
    <row r="6022" spans="1:2">
      <c r="A6022" s="32">
        <v>6012</v>
      </c>
      <c r="B6022" s="90">
        <v>6.3067916517839411</v>
      </c>
    </row>
    <row r="6023" spans="1:2">
      <c r="A6023" s="32">
        <v>6013</v>
      </c>
      <c r="B6023" s="90">
        <v>8.8675598941116185</v>
      </c>
    </row>
    <row r="6024" spans="1:2">
      <c r="A6024" s="32">
        <v>6014</v>
      </c>
      <c r="B6024" s="90">
        <v>9.2599175049987839</v>
      </c>
    </row>
    <row r="6025" spans="1:2">
      <c r="A6025" s="32">
        <v>6015</v>
      </c>
      <c r="B6025" s="90">
        <v>9.1614800498600015</v>
      </c>
    </row>
    <row r="6026" spans="1:2">
      <c r="A6026" s="32">
        <v>6016</v>
      </c>
      <c r="B6026" s="90">
        <v>7.3980849851480244</v>
      </c>
    </row>
    <row r="6027" spans="1:2">
      <c r="A6027" s="32">
        <v>6017</v>
      </c>
      <c r="B6027" s="90">
        <v>7.5248308103091821</v>
      </c>
    </row>
    <row r="6028" spans="1:2">
      <c r="A6028" s="32">
        <v>6018</v>
      </c>
      <c r="B6028" s="90">
        <v>6.7346347479414721</v>
      </c>
    </row>
    <row r="6029" spans="1:2">
      <c r="A6029" s="32">
        <v>6019</v>
      </c>
      <c r="B6029" s="90">
        <v>9.1943882303636695</v>
      </c>
    </row>
    <row r="6030" spans="1:2">
      <c r="A6030" s="32">
        <v>6020</v>
      </c>
      <c r="B6030" s="90">
        <v>9.2017329556001357</v>
      </c>
    </row>
    <row r="6031" spans="1:2">
      <c r="A6031" s="32">
        <v>6021</v>
      </c>
      <c r="B6031" s="90">
        <v>8.1667875946542416</v>
      </c>
    </row>
    <row r="6032" spans="1:2">
      <c r="A6032" s="32">
        <v>6022</v>
      </c>
      <c r="B6032" s="90">
        <v>7.4141327486976643</v>
      </c>
    </row>
    <row r="6033" spans="1:2">
      <c r="A6033" s="32">
        <v>6023</v>
      </c>
      <c r="B6033" s="90">
        <v>7.1524284154217899</v>
      </c>
    </row>
    <row r="6034" spans="1:2">
      <c r="A6034" s="32">
        <v>6024</v>
      </c>
      <c r="B6034" s="90">
        <v>7.8226215544369584</v>
      </c>
    </row>
    <row r="6035" spans="1:2">
      <c r="A6035" s="32">
        <v>6025</v>
      </c>
      <c r="B6035" s="90">
        <v>9.1129415114120533</v>
      </c>
    </row>
    <row r="6036" spans="1:2">
      <c r="A6036" s="32">
        <v>6026</v>
      </c>
      <c r="B6036" s="90">
        <v>9.0064539389792238</v>
      </c>
    </row>
    <row r="6037" spans="1:2">
      <c r="A6037" s="32">
        <v>6027</v>
      </c>
      <c r="B6037" s="90">
        <v>8.0323919250947231</v>
      </c>
    </row>
    <row r="6038" spans="1:2">
      <c r="A6038" s="32">
        <v>6028</v>
      </c>
      <c r="B6038" s="90">
        <v>7.6853143837517637</v>
      </c>
    </row>
    <row r="6039" spans="1:2">
      <c r="A6039" s="32">
        <v>6029</v>
      </c>
      <c r="B6039" s="90">
        <v>6.764458454324684</v>
      </c>
    </row>
    <row r="6040" spans="1:2">
      <c r="A6040" s="32">
        <v>6030</v>
      </c>
      <c r="B6040" s="90">
        <v>8.0437649906958448</v>
      </c>
    </row>
    <row r="6041" spans="1:2">
      <c r="A6041" s="32">
        <v>6031</v>
      </c>
      <c r="B6041" s="90">
        <v>9.4491313793749878</v>
      </c>
    </row>
    <row r="6042" spans="1:2">
      <c r="A6042" s="32">
        <v>6032</v>
      </c>
      <c r="B6042" s="90">
        <v>9.0249777517417709</v>
      </c>
    </row>
    <row r="6043" spans="1:2">
      <c r="A6043" s="32">
        <v>6033</v>
      </c>
      <c r="B6043" s="90">
        <v>7.9368866857769413</v>
      </c>
    </row>
    <row r="6044" spans="1:2">
      <c r="A6044" s="32">
        <v>6034</v>
      </c>
      <c r="B6044" s="90">
        <v>9.435563917053539</v>
      </c>
    </row>
    <row r="6045" spans="1:2">
      <c r="A6045" s="32">
        <v>6035</v>
      </c>
      <c r="B6045" s="90">
        <v>7.7149338002131644</v>
      </c>
    </row>
    <row r="6046" spans="1:2">
      <c r="A6046" s="32">
        <v>6036</v>
      </c>
      <c r="B6046" s="90">
        <v>7.5452170584417235</v>
      </c>
    </row>
    <row r="6047" spans="1:2">
      <c r="A6047" s="32">
        <v>6037</v>
      </c>
      <c r="B6047" s="90">
        <v>7.6072744992352446</v>
      </c>
    </row>
    <row r="6048" spans="1:2">
      <c r="A6048" s="32">
        <v>6038</v>
      </c>
      <c r="B6048" s="90">
        <v>7.5511824756962698</v>
      </c>
    </row>
    <row r="6049" spans="1:2">
      <c r="A6049" s="32">
        <v>6039</v>
      </c>
      <c r="B6049" s="90">
        <v>8.5918918646602762</v>
      </c>
    </row>
    <row r="6050" spans="1:2">
      <c r="A6050" s="32">
        <v>6040</v>
      </c>
      <c r="B6050" s="90">
        <v>9.859520296507684</v>
      </c>
    </row>
    <row r="6051" spans="1:2">
      <c r="A6051" s="32">
        <v>6041</v>
      </c>
      <c r="B6051" s="90">
        <v>7.4636559676444625</v>
      </c>
    </row>
    <row r="6052" spans="1:2">
      <c r="A6052" s="32">
        <v>6042</v>
      </c>
      <c r="B6052" s="90">
        <v>7.139128565931939</v>
      </c>
    </row>
    <row r="6053" spans="1:2">
      <c r="A6053" s="32">
        <v>6043</v>
      </c>
      <c r="B6053" s="90">
        <v>7.6203314686883843</v>
      </c>
    </row>
    <row r="6054" spans="1:2">
      <c r="A6054" s="32">
        <v>6044</v>
      </c>
      <c r="B6054" s="90">
        <v>8.1040345002514567</v>
      </c>
    </row>
    <row r="6055" spans="1:2">
      <c r="A6055" s="32">
        <v>6045</v>
      </c>
      <c r="B6055" s="90">
        <v>8.4777611808729514</v>
      </c>
    </row>
    <row r="6056" spans="1:2">
      <c r="A6056" s="32">
        <v>6046</v>
      </c>
      <c r="B6056" s="90">
        <v>9.256691253490299</v>
      </c>
    </row>
    <row r="6057" spans="1:2">
      <c r="A6057" s="32">
        <v>6047</v>
      </c>
      <c r="B6057" s="90">
        <v>7.6831348277070663</v>
      </c>
    </row>
    <row r="6058" spans="1:2">
      <c r="A6058" s="32">
        <v>6048</v>
      </c>
      <c r="B6058" s="90">
        <v>7.4468610875595243</v>
      </c>
    </row>
    <row r="6059" spans="1:2">
      <c r="A6059" s="32">
        <v>6049</v>
      </c>
      <c r="B6059" s="90">
        <v>7.5877322427912413</v>
      </c>
    </row>
    <row r="6060" spans="1:2">
      <c r="A6060" s="32">
        <v>6050</v>
      </c>
      <c r="B6060" s="90">
        <v>8.6408156269813361</v>
      </c>
    </row>
    <row r="6061" spans="1:2">
      <c r="A6061" s="32">
        <v>6051</v>
      </c>
      <c r="B6061" s="90">
        <v>8.1715050514528382</v>
      </c>
    </row>
    <row r="6062" spans="1:2">
      <c r="A6062" s="32">
        <v>6052</v>
      </c>
      <c r="B6062" s="90">
        <v>8.1237029891591543</v>
      </c>
    </row>
    <row r="6063" spans="1:2">
      <c r="A6063" s="32">
        <v>6053</v>
      </c>
      <c r="B6063" s="90">
        <v>8.1597432681809892</v>
      </c>
    </row>
    <row r="6064" spans="1:2">
      <c r="A6064" s="32">
        <v>6054</v>
      </c>
      <c r="B6064" s="90">
        <v>7.9093487044820128</v>
      </c>
    </row>
    <row r="6065" spans="1:2">
      <c r="A6065" s="32">
        <v>6055</v>
      </c>
      <c r="B6065" s="90">
        <v>7.2497286674328381</v>
      </c>
    </row>
    <row r="6066" spans="1:2">
      <c r="A6066" s="32">
        <v>6056</v>
      </c>
      <c r="B6066" s="90">
        <v>8.3777249424325753</v>
      </c>
    </row>
    <row r="6067" spans="1:2">
      <c r="A6067" s="32">
        <v>6057</v>
      </c>
      <c r="B6067" s="90">
        <v>8.4826955280956522</v>
      </c>
    </row>
    <row r="6068" spans="1:2">
      <c r="A6068" s="32">
        <v>6058</v>
      </c>
      <c r="B6068" s="90">
        <v>7.8190029932200344</v>
      </c>
    </row>
    <row r="6069" spans="1:2">
      <c r="A6069" s="32">
        <v>6059</v>
      </c>
      <c r="B6069" s="90">
        <v>8.1424497025196043</v>
      </c>
    </row>
    <row r="6070" spans="1:2">
      <c r="A6070" s="32">
        <v>6060</v>
      </c>
      <c r="B6070" s="90">
        <v>7.7513227499055519</v>
      </c>
    </row>
    <row r="6071" spans="1:2">
      <c r="A6071" s="32">
        <v>6061</v>
      </c>
      <c r="B6071" s="90">
        <v>7.3135749495097571</v>
      </c>
    </row>
    <row r="6072" spans="1:2">
      <c r="A6072" s="32">
        <v>6062</v>
      </c>
      <c r="B6072" s="90">
        <v>8.4275906057331351</v>
      </c>
    </row>
    <row r="6073" spans="1:2">
      <c r="A6073" s="32">
        <v>6063</v>
      </c>
      <c r="B6073" s="90">
        <v>9.1034049391328988</v>
      </c>
    </row>
    <row r="6074" spans="1:2">
      <c r="A6074" s="32">
        <v>6064</v>
      </c>
      <c r="B6074" s="90">
        <v>7.6680227337597975</v>
      </c>
    </row>
    <row r="6075" spans="1:2">
      <c r="A6075" s="32">
        <v>6065</v>
      </c>
      <c r="B6075" s="90">
        <v>8.0444077546045314</v>
      </c>
    </row>
    <row r="6076" spans="1:2">
      <c r="A6076" s="32">
        <v>6066</v>
      </c>
      <c r="B6076" s="90">
        <v>7.6588592067848191</v>
      </c>
    </row>
    <row r="6077" spans="1:2">
      <c r="A6077" s="32">
        <v>6067</v>
      </c>
      <c r="B6077" s="90">
        <v>7.5887011377122642</v>
      </c>
    </row>
    <row r="6078" spans="1:2">
      <c r="A6078" s="32">
        <v>6068</v>
      </c>
      <c r="B6078" s="90">
        <v>8.3925764468219981</v>
      </c>
    </row>
    <row r="6079" spans="1:2">
      <c r="A6079" s="32">
        <v>6069</v>
      </c>
      <c r="B6079" s="90">
        <v>9.7915771138140144</v>
      </c>
    </row>
    <row r="6080" spans="1:2">
      <c r="A6080" s="32">
        <v>6070</v>
      </c>
      <c r="B6080" s="90">
        <v>7.6262016619591479</v>
      </c>
    </row>
    <row r="6081" spans="1:2">
      <c r="A6081" s="32">
        <v>6071</v>
      </c>
      <c r="B6081" s="90">
        <v>7.3450482297445552</v>
      </c>
    </row>
    <row r="6082" spans="1:2">
      <c r="A6082" s="32">
        <v>6072</v>
      </c>
      <c r="B6082" s="90">
        <v>7.8228527944112072</v>
      </c>
    </row>
    <row r="6083" spans="1:2">
      <c r="A6083" s="32">
        <v>6073</v>
      </c>
      <c r="B6083" s="90">
        <v>7.4761621949201036</v>
      </c>
    </row>
    <row r="6084" spans="1:2">
      <c r="A6084" s="32">
        <v>6074</v>
      </c>
      <c r="B6084" s="90">
        <v>8.4114665257607317</v>
      </c>
    </row>
    <row r="6085" spans="1:2">
      <c r="A6085" s="32">
        <v>6075</v>
      </c>
      <c r="B6085" s="90">
        <v>9.7524083015546257</v>
      </c>
    </row>
    <row r="6086" spans="1:2">
      <c r="A6086" s="32">
        <v>6076</v>
      </c>
      <c r="B6086" s="90">
        <v>7.6515447477652083</v>
      </c>
    </row>
    <row r="6087" spans="1:2">
      <c r="A6087" s="32">
        <v>6077</v>
      </c>
      <c r="B6087" s="90">
        <v>7.0912104712978152</v>
      </c>
    </row>
    <row r="6088" spans="1:2">
      <c r="A6088" s="32">
        <v>6078</v>
      </c>
      <c r="B6088" s="90">
        <v>7.891184264495072</v>
      </c>
    </row>
    <row r="6089" spans="1:2">
      <c r="A6089" s="32">
        <v>6079</v>
      </c>
      <c r="B6089" s="90">
        <v>8.1975831980863774</v>
      </c>
    </row>
    <row r="6090" spans="1:2">
      <c r="A6090" s="32">
        <v>6080</v>
      </c>
      <c r="B6090" s="90">
        <v>8.1148434590661793</v>
      </c>
    </row>
    <row r="6091" spans="1:2">
      <c r="A6091" s="32">
        <v>6081</v>
      </c>
      <c r="B6091" s="90">
        <v>9.150814882168735</v>
      </c>
    </row>
    <row r="6092" spans="1:2">
      <c r="A6092" s="32">
        <v>6082</v>
      </c>
      <c r="B6092" s="90">
        <v>7.5987572727991006</v>
      </c>
    </row>
    <row r="6093" spans="1:2">
      <c r="A6093" s="32">
        <v>6083</v>
      </c>
      <c r="B6093" s="90">
        <v>7.7226449705092293</v>
      </c>
    </row>
    <row r="6094" spans="1:2">
      <c r="A6094" s="32">
        <v>6084</v>
      </c>
      <c r="B6094" s="90">
        <v>7.5132692804962558</v>
      </c>
    </row>
    <row r="6095" spans="1:2">
      <c r="A6095" s="32">
        <v>6085</v>
      </c>
      <c r="B6095" s="90">
        <v>8.145865625346655</v>
      </c>
    </row>
    <row r="6096" spans="1:2">
      <c r="A6096" s="32">
        <v>6086</v>
      </c>
      <c r="B6096" s="90">
        <v>8.2128670781899764</v>
      </c>
    </row>
    <row r="6097" spans="1:2">
      <c r="A6097" s="32">
        <v>6087</v>
      </c>
      <c r="B6097" s="90">
        <v>8.1667992870379589</v>
      </c>
    </row>
    <row r="6098" spans="1:2">
      <c r="A6098" s="32">
        <v>6088</v>
      </c>
      <c r="B6098" s="90">
        <v>8.0692609577367094</v>
      </c>
    </row>
    <row r="6099" spans="1:2">
      <c r="A6099" s="32">
        <v>6089</v>
      </c>
      <c r="B6099" s="90">
        <v>7.7588143666527323</v>
      </c>
    </row>
    <row r="6100" spans="1:2">
      <c r="A6100" s="32">
        <v>6090</v>
      </c>
      <c r="B6100" s="90">
        <v>7.5176747615195865</v>
      </c>
    </row>
    <row r="6101" spans="1:2">
      <c r="A6101" s="32">
        <v>6091</v>
      </c>
      <c r="B6101" s="90">
        <v>8.343489727208901</v>
      </c>
    </row>
    <row r="6102" spans="1:2">
      <c r="A6102" s="32">
        <v>6092</v>
      </c>
      <c r="B6102" s="90">
        <v>9.0765798223382479</v>
      </c>
    </row>
    <row r="6103" spans="1:2">
      <c r="A6103" s="32">
        <v>6093</v>
      </c>
      <c r="B6103" s="90">
        <v>7.6689837738251185</v>
      </c>
    </row>
    <row r="6104" spans="1:2">
      <c r="A6104" s="32">
        <v>6094</v>
      </c>
      <c r="B6104" s="90">
        <v>7.9825359077269944</v>
      </c>
    </row>
    <row r="6105" spans="1:2">
      <c r="A6105" s="32">
        <v>6095</v>
      </c>
      <c r="B6105" s="90">
        <v>7.636344418766293</v>
      </c>
    </row>
    <row r="6106" spans="1:2">
      <c r="A6106" s="32">
        <v>6096</v>
      </c>
      <c r="B6106" s="90">
        <v>7.7230754075445773</v>
      </c>
    </row>
    <row r="6107" spans="1:2">
      <c r="A6107" s="32">
        <v>6097</v>
      </c>
      <c r="B6107" s="90">
        <v>8.3183452929013981</v>
      </c>
    </row>
    <row r="6108" spans="1:2">
      <c r="A6108" s="32">
        <v>6098</v>
      </c>
      <c r="B6108" s="90">
        <v>9.3538315303338155</v>
      </c>
    </row>
    <row r="6109" spans="1:2">
      <c r="A6109" s="32">
        <v>6099</v>
      </c>
      <c r="B6109" s="90">
        <v>7.7149338002131644</v>
      </c>
    </row>
    <row r="6110" spans="1:2">
      <c r="A6110" s="32">
        <v>6100</v>
      </c>
      <c r="B6110" s="90">
        <v>7.5452170584417235</v>
      </c>
    </row>
    <row r="6111" spans="1:2">
      <c r="A6111" s="32">
        <v>6101</v>
      </c>
      <c r="B6111" s="90">
        <v>7.6072744992352446</v>
      </c>
    </row>
    <row r="6112" spans="1:2">
      <c r="A6112" s="32">
        <v>6102</v>
      </c>
      <c r="B6112" s="90">
        <v>7.5511824756962698</v>
      </c>
    </row>
    <row r="6113" spans="1:2">
      <c r="A6113" s="32">
        <v>6103</v>
      </c>
      <c r="B6113" s="90">
        <v>8.5918918646602762</v>
      </c>
    </row>
    <row r="6114" spans="1:2">
      <c r="A6114" s="32">
        <v>6104</v>
      </c>
      <c r="B6114" s="90">
        <v>9.859520296507684</v>
      </c>
    </row>
    <row r="6115" spans="1:2">
      <c r="A6115" s="32">
        <v>6105</v>
      </c>
      <c r="B6115" s="90">
        <v>7.4636559676444625</v>
      </c>
    </row>
    <row r="6116" spans="1:2">
      <c r="A6116" s="32">
        <v>6106</v>
      </c>
      <c r="B6116" s="90">
        <v>7.139128565931939</v>
      </c>
    </row>
    <row r="6117" spans="1:2">
      <c r="A6117" s="32">
        <v>6107</v>
      </c>
      <c r="B6117" s="90">
        <v>7.6203314686883843</v>
      </c>
    </row>
    <row r="6118" spans="1:2">
      <c r="A6118" s="32">
        <v>6108</v>
      </c>
      <c r="B6118" s="90">
        <v>8.1040345002514567</v>
      </c>
    </row>
    <row r="6119" spans="1:2">
      <c r="A6119" s="32">
        <v>6109</v>
      </c>
      <c r="B6119" s="90">
        <v>8.4777611808729514</v>
      </c>
    </row>
    <row r="6120" spans="1:2">
      <c r="A6120" s="32">
        <v>6110</v>
      </c>
      <c r="B6120" s="90">
        <v>9.256691253490299</v>
      </c>
    </row>
    <row r="6121" spans="1:2">
      <c r="A6121" s="32">
        <v>6111</v>
      </c>
      <c r="B6121" s="90">
        <v>7.6831348277070663</v>
      </c>
    </row>
    <row r="6122" spans="1:2">
      <c r="A6122" s="32">
        <v>6112</v>
      </c>
      <c r="B6122" s="90">
        <v>7.4468610875595243</v>
      </c>
    </row>
    <row r="6123" spans="1:2">
      <c r="A6123" s="32">
        <v>6113</v>
      </c>
      <c r="B6123" s="90">
        <v>7.5877322427912413</v>
      </c>
    </row>
    <row r="6124" spans="1:2">
      <c r="A6124" s="32">
        <v>6114</v>
      </c>
      <c r="B6124" s="90">
        <v>8.6408156269813361</v>
      </c>
    </row>
    <row r="6125" spans="1:2">
      <c r="A6125" s="32">
        <v>6115</v>
      </c>
      <c r="B6125" s="90">
        <v>8.1715050514528382</v>
      </c>
    </row>
    <row r="6126" spans="1:2">
      <c r="A6126" s="32">
        <v>6116</v>
      </c>
      <c r="B6126" s="90">
        <v>8.1237029891591543</v>
      </c>
    </row>
    <row r="6127" spans="1:2">
      <c r="A6127" s="32">
        <v>6117</v>
      </c>
      <c r="B6127" s="90">
        <v>8.1597432681809892</v>
      </c>
    </row>
    <row r="6128" spans="1:2">
      <c r="A6128" s="32">
        <v>6118</v>
      </c>
      <c r="B6128" s="90">
        <v>7.9093487044820128</v>
      </c>
    </row>
    <row r="6129" spans="1:2">
      <c r="A6129" s="32">
        <v>6119</v>
      </c>
      <c r="B6129" s="90">
        <v>7.2497286674328381</v>
      </c>
    </row>
    <row r="6130" spans="1:2">
      <c r="A6130" s="32">
        <v>6120</v>
      </c>
      <c r="B6130" s="90">
        <v>8.3777249424325753</v>
      </c>
    </row>
    <row r="6131" spans="1:2">
      <c r="A6131" s="32">
        <v>6121</v>
      </c>
      <c r="B6131" s="90">
        <v>8.4826955280956522</v>
      </c>
    </row>
    <row r="6132" spans="1:2">
      <c r="A6132" s="32">
        <v>6122</v>
      </c>
      <c r="B6132" s="90">
        <v>7.8190029932200344</v>
      </c>
    </row>
    <row r="6133" spans="1:2">
      <c r="A6133" s="32">
        <v>6123</v>
      </c>
      <c r="B6133" s="90">
        <v>8.1424497025196043</v>
      </c>
    </row>
    <row r="6134" spans="1:2">
      <c r="A6134" s="32">
        <v>6124</v>
      </c>
      <c r="B6134" s="90">
        <v>7.7513227499055519</v>
      </c>
    </row>
    <row r="6135" spans="1:2">
      <c r="A6135" s="32">
        <v>6125</v>
      </c>
      <c r="B6135" s="90">
        <v>7.3135749495097571</v>
      </c>
    </row>
    <row r="6136" spans="1:2">
      <c r="A6136" s="32">
        <v>6126</v>
      </c>
      <c r="B6136" s="90">
        <v>8.4275906057331351</v>
      </c>
    </row>
    <row r="6137" spans="1:2">
      <c r="A6137" s="32">
        <v>6127</v>
      </c>
      <c r="B6137" s="90">
        <v>9.1034049391328988</v>
      </c>
    </row>
    <row r="6138" spans="1:2">
      <c r="A6138" s="32">
        <v>6128</v>
      </c>
      <c r="B6138" s="90">
        <v>7.6680227337597975</v>
      </c>
    </row>
    <row r="6139" spans="1:2">
      <c r="A6139" s="32">
        <v>6129</v>
      </c>
      <c r="B6139" s="90">
        <v>8.0444077546045314</v>
      </c>
    </row>
    <row r="6140" spans="1:2">
      <c r="A6140" s="32">
        <v>6130</v>
      </c>
      <c r="B6140" s="90">
        <v>7.6588592067848191</v>
      </c>
    </row>
    <row r="6141" spans="1:2">
      <c r="A6141" s="32">
        <v>6131</v>
      </c>
      <c r="B6141" s="90">
        <v>7.5887011377122642</v>
      </c>
    </row>
    <row r="6142" spans="1:2">
      <c r="A6142" s="32">
        <v>6132</v>
      </c>
      <c r="B6142" s="90">
        <v>9.2543190107164754</v>
      </c>
    </row>
    <row r="6143" spans="1:2">
      <c r="A6143" s="32">
        <v>6133</v>
      </c>
      <c r="B6143" s="90">
        <v>7.681850338581202</v>
      </c>
    </row>
    <row r="6144" spans="1:2">
      <c r="A6144" s="32">
        <v>6134</v>
      </c>
      <c r="B6144" s="90">
        <v>8.0705955348601144</v>
      </c>
    </row>
    <row r="6145" spans="1:2">
      <c r="A6145" s="32">
        <v>6135</v>
      </c>
      <c r="B6145" s="90">
        <v>7.4736020777289802</v>
      </c>
    </row>
    <row r="6146" spans="1:2">
      <c r="A6146" s="32">
        <v>6136</v>
      </c>
      <c r="B6146" s="90">
        <v>7.9764190173606115</v>
      </c>
    </row>
    <row r="6147" spans="1:2">
      <c r="A6147" s="32">
        <v>6137</v>
      </c>
      <c r="B6147" s="90">
        <v>8.6760215523240536</v>
      </c>
    </row>
    <row r="6148" spans="1:2">
      <c r="A6148" s="32">
        <v>6138</v>
      </c>
      <c r="B6148" s="90">
        <v>9.1032356012338411</v>
      </c>
    </row>
    <row r="6149" spans="1:2">
      <c r="A6149" s="32">
        <v>6139</v>
      </c>
      <c r="B6149" s="90">
        <v>7.217524981178455</v>
      </c>
    </row>
    <row r="6150" spans="1:2">
      <c r="A6150" s="32">
        <v>6140</v>
      </c>
      <c r="B6150" s="90">
        <v>7.9254147528285603</v>
      </c>
    </row>
    <row r="6151" spans="1:2">
      <c r="A6151" s="32">
        <v>6141</v>
      </c>
      <c r="B6151" s="90">
        <v>7.3163990254318847</v>
      </c>
    </row>
    <row r="6152" spans="1:2">
      <c r="A6152" s="32">
        <v>6142</v>
      </c>
      <c r="B6152" s="90">
        <v>8.4522221897967906</v>
      </c>
    </row>
    <row r="6153" spans="1:2">
      <c r="A6153" s="32">
        <v>6143</v>
      </c>
      <c r="B6153" s="90">
        <v>8.7587297746184323</v>
      </c>
    </row>
    <row r="6154" spans="1:2">
      <c r="A6154" s="32">
        <v>6144</v>
      </c>
      <c r="B6154" s="90">
        <v>8.5841728669558748</v>
      </c>
    </row>
    <row r="6155" spans="1:2">
      <c r="A6155" s="32">
        <v>6145</v>
      </c>
      <c r="B6155" s="90">
        <v>7.7867975716639526</v>
      </c>
    </row>
    <row r="6156" spans="1:2">
      <c r="A6156" s="32">
        <v>6146</v>
      </c>
      <c r="B6156" s="90">
        <v>7.6684380101674474</v>
      </c>
    </row>
    <row r="6157" spans="1:2">
      <c r="A6157" s="32">
        <v>6147</v>
      </c>
      <c r="B6157" s="90">
        <v>7.4149567960918619</v>
      </c>
    </row>
    <row r="6158" spans="1:2">
      <c r="A6158" s="32">
        <v>6148</v>
      </c>
      <c r="B6158" s="90">
        <v>9.0411355354027627</v>
      </c>
    </row>
    <row r="6159" spans="1:2">
      <c r="A6159" s="32">
        <v>6149</v>
      </c>
      <c r="B6159" s="90">
        <v>7.5447007848161682</v>
      </c>
    </row>
    <row r="6160" spans="1:2">
      <c r="A6160" s="32">
        <v>6150</v>
      </c>
      <c r="B6160" s="90">
        <v>9.4003035719036632</v>
      </c>
    </row>
    <row r="6161" spans="1:2">
      <c r="A6161" s="32">
        <v>6151</v>
      </c>
      <c r="B6161" s="90">
        <v>7.6563265711642794</v>
      </c>
    </row>
    <row r="6162" spans="1:2">
      <c r="A6162" s="32">
        <v>6152</v>
      </c>
      <c r="B6162" s="90">
        <v>7.3763561688507391</v>
      </c>
    </row>
    <row r="6163" spans="1:2">
      <c r="A6163" s="32">
        <v>6153</v>
      </c>
      <c r="B6163" s="90">
        <v>7.6136821081761168</v>
      </c>
    </row>
    <row r="6164" spans="1:2">
      <c r="A6164" s="32">
        <v>6154</v>
      </c>
      <c r="B6164" s="90">
        <v>9.007211354303557</v>
      </c>
    </row>
    <row r="6165" spans="1:2">
      <c r="A6165" s="32">
        <v>6155</v>
      </c>
      <c r="B6165" s="90">
        <v>7.9636167630713608</v>
      </c>
    </row>
    <row r="6166" spans="1:2">
      <c r="A6166" s="32">
        <v>6156</v>
      </c>
      <c r="B6166" s="90">
        <v>8.3699771932838836</v>
      </c>
    </row>
    <row r="6167" spans="1:2">
      <c r="A6167" s="32">
        <v>6157</v>
      </c>
      <c r="B6167" s="90">
        <v>7.9905794842261555</v>
      </c>
    </row>
    <row r="6168" spans="1:2">
      <c r="A6168" s="32">
        <v>6158</v>
      </c>
      <c r="B6168" s="90">
        <v>7.6572110811790512</v>
      </c>
    </row>
    <row r="6169" spans="1:2">
      <c r="A6169" s="32">
        <v>6159</v>
      </c>
      <c r="B6169" s="90">
        <v>7.5267978307172037</v>
      </c>
    </row>
    <row r="6170" spans="1:2">
      <c r="A6170" s="32">
        <v>6160</v>
      </c>
      <c r="B6170" s="90">
        <v>8.8857945003626995</v>
      </c>
    </row>
    <row r="6171" spans="1:2">
      <c r="A6171" s="32">
        <v>6161</v>
      </c>
      <c r="B6171" s="90">
        <v>8.726490255611651</v>
      </c>
    </row>
    <row r="6172" spans="1:2">
      <c r="A6172" s="32">
        <v>6162</v>
      </c>
      <c r="B6172" s="90">
        <v>7.9369524514972776</v>
      </c>
    </row>
    <row r="6173" spans="1:2">
      <c r="A6173" s="32">
        <v>6163</v>
      </c>
      <c r="B6173" s="90">
        <v>7.6866256125187995</v>
      </c>
    </row>
    <row r="6174" spans="1:2">
      <c r="A6174" s="32">
        <v>6164</v>
      </c>
      <c r="B6174" s="90">
        <v>7.529632019814966</v>
      </c>
    </row>
    <row r="6175" spans="1:2">
      <c r="A6175" s="32">
        <v>6165</v>
      </c>
      <c r="B6175" s="90">
        <v>8.1469021544606175</v>
      </c>
    </row>
    <row r="6176" spans="1:2">
      <c r="A6176" s="32">
        <v>6166</v>
      </c>
      <c r="B6176" s="90">
        <v>8.3682271693628074</v>
      </c>
    </row>
    <row r="6177" spans="1:2">
      <c r="A6177" s="32">
        <v>6167</v>
      </c>
      <c r="B6177" s="90">
        <v>9.0403836816391223</v>
      </c>
    </row>
    <row r="6178" spans="1:2">
      <c r="A6178" s="32">
        <v>6168</v>
      </c>
      <c r="B6178" s="90">
        <v>7.3171761418271286</v>
      </c>
    </row>
    <row r="6179" spans="1:2">
      <c r="A6179" s="32">
        <v>6169</v>
      </c>
      <c r="B6179" s="90">
        <v>8.1654318607616538</v>
      </c>
    </row>
    <row r="6180" spans="1:2">
      <c r="A6180" s="32">
        <v>6170</v>
      </c>
      <c r="B6180" s="90">
        <v>7.4046432885786881</v>
      </c>
    </row>
    <row r="6181" spans="1:2">
      <c r="A6181" s="32">
        <v>6171</v>
      </c>
      <c r="B6181" s="90">
        <v>7.9930296254665905</v>
      </c>
    </row>
    <row r="6182" spans="1:2">
      <c r="A6182" s="32">
        <v>6172</v>
      </c>
      <c r="B6182" s="90">
        <v>8.8912285829068587</v>
      </c>
    </row>
    <row r="6183" spans="1:2">
      <c r="A6183" s="32">
        <v>6173</v>
      </c>
      <c r="B6183" s="90">
        <v>8.7827728684133053</v>
      </c>
    </row>
    <row r="6184" spans="1:2">
      <c r="A6184" s="32">
        <v>6174</v>
      </c>
      <c r="B6184" s="90">
        <v>7.554409316656403</v>
      </c>
    </row>
    <row r="6185" spans="1:2">
      <c r="A6185" s="32">
        <v>6175</v>
      </c>
      <c r="B6185" s="90">
        <v>7.9013707790680678</v>
      </c>
    </row>
    <row r="6186" spans="1:2">
      <c r="A6186" s="32">
        <v>6176</v>
      </c>
      <c r="B6186" s="90">
        <v>7.3855771402331767</v>
      </c>
    </row>
    <row r="6187" spans="1:2">
      <c r="A6187" s="32">
        <v>6177</v>
      </c>
      <c r="B6187" s="90">
        <v>8.3613916237561163</v>
      </c>
    </row>
    <row r="6188" spans="1:2">
      <c r="A6188" s="32">
        <v>6178</v>
      </c>
      <c r="B6188" s="90">
        <v>8.4172110447252937</v>
      </c>
    </row>
    <row r="6189" spans="1:2">
      <c r="A6189" s="32">
        <v>6179</v>
      </c>
      <c r="B6189" s="90">
        <v>8.8966981853381366</v>
      </c>
    </row>
    <row r="6190" spans="1:2">
      <c r="A6190" s="32">
        <v>6180</v>
      </c>
      <c r="B6190" s="90">
        <v>7.6787730815466277</v>
      </c>
    </row>
    <row r="6191" spans="1:2">
      <c r="A6191" s="32">
        <v>6181</v>
      </c>
      <c r="B6191" s="90">
        <v>7.5849703696135631</v>
      </c>
    </row>
    <row r="6192" spans="1:2">
      <c r="A6192" s="32">
        <v>6182</v>
      </c>
      <c r="B6192" s="90">
        <v>7.5568265056951089</v>
      </c>
    </row>
    <row r="6193" spans="1:2">
      <c r="A6193" s="32">
        <v>6183</v>
      </c>
      <c r="B6193" s="90">
        <v>8.9516428028745736</v>
      </c>
    </row>
    <row r="6194" spans="1:2">
      <c r="A6194" s="32">
        <v>6184</v>
      </c>
      <c r="B6194" s="90">
        <v>7.7503608136247033</v>
      </c>
    </row>
    <row r="6195" spans="1:2">
      <c r="A6195" s="32">
        <v>6185</v>
      </c>
      <c r="B6195" s="90">
        <v>8.8854568955407753</v>
      </c>
    </row>
    <row r="6196" spans="1:2">
      <c r="A6196" s="32">
        <v>6186</v>
      </c>
      <c r="B6196" s="90">
        <v>8.021157139879163</v>
      </c>
    </row>
    <row r="6197" spans="1:2">
      <c r="A6197" s="32">
        <v>6187</v>
      </c>
      <c r="B6197" s="90">
        <v>7.2449197210115912</v>
      </c>
    </row>
    <row r="6198" spans="1:2">
      <c r="A6198" s="32">
        <v>6188</v>
      </c>
      <c r="B6198" s="90">
        <v>7.6494097515191655</v>
      </c>
    </row>
    <row r="6199" spans="1:2">
      <c r="A6199" s="32">
        <v>6189</v>
      </c>
      <c r="B6199" s="90">
        <v>9.1006103904416484</v>
      </c>
    </row>
    <row r="6200" spans="1:2">
      <c r="A6200" s="32">
        <v>6190</v>
      </c>
      <c r="B6200" s="90">
        <v>7.971377387090568</v>
      </c>
    </row>
    <row r="6201" spans="1:2">
      <c r="A6201" s="32">
        <v>6191</v>
      </c>
      <c r="B6201" s="90">
        <v>8.3061411681297148</v>
      </c>
    </row>
    <row r="6202" spans="1:2">
      <c r="A6202" s="32">
        <v>6192</v>
      </c>
      <c r="B6202" s="90">
        <v>7.9862243443548557</v>
      </c>
    </row>
    <row r="6203" spans="1:2">
      <c r="A6203" s="32">
        <v>6193</v>
      </c>
      <c r="B6203" s="90">
        <v>7.6136888543736099</v>
      </c>
    </row>
    <row r="6204" spans="1:2">
      <c r="A6204" s="32">
        <v>6194</v>
      </c>
      <c r="B6204" s="90">
        <v>7.8630714993447288</v>
      </c>
    </row>
    <row r="6205" spans="1:2">
      <c r="A6205" s="32">
        <v>6195</v>
      </c>
      <c r="B6205" s="90">
        <v>8.6178807131567563</v>
      </c>
    </row>
    <row r="6206" spans="1:2">
      <c r="A6206" s="32">
        <v>6196</v>
      </c>
      <c r="B6206" s="90">
        <v>8.6293702012099534</v>
      </c>
    </row>
    <row r="6207" spans="1:2">
      <c r="A6207" s="32">
        <v>6197</v>
      </c>
      <c r="B6207" s="90">
        <v>7.681850338581202</v>
      </c>
    </row>
    <row r="6208" spans="1:2">
      <c r="A6208" s="32">
        <v>6198</v>
      </c>
      <c r="B6208" s="90">
        <v>8.0705955348601144</v>
      </c>
    </row>
    <row r="6209" spans="1:2">
      <c r="A6209" s="32">
        <v>6199</v>
      </c>
      <c r="B6209" s="90">
        <v>7.4736020777289802</v>
      </c>
    </row>
    <row r="6210" spans="1:2">
      <c r="A6210" s="32">
        <v>6200</v>
      </c>
      <c r="B6210" s="90">
        <v>7.9764190173606115</v>
      </c>
    </row>
    <row r="6211" spans="1:2">
      <c r="A6211" s="32">
        <v>6201</v>
      </c>
      <c r="B6211" s="90">
        <v>8.6760215523240536</v>
      </c>
    </row>
    <row r="6212" spans="1:2">
      <c r="A6212" s="32">
        <v>6202</v>
      </c>
      <c r="B6212" s="90">
        <v>9.1032356012338411</v>
      </c>
    </row>
    <row r="6213" spans="1:2">
      <c r="A6213" s="32">
        <v>6203</v>
      </c>
      <c r="B6213" s="90">
        <v>7.217524981178455</v>
      </c>
    </row>
    <row r="6214" spans="1:2">
      <c r="A6214" s="32">
        <v>6204</v>
      </c>
      <c r="B6214" s="90">
        <v>7.9254147528285603</v>
      </c>
    </row>
    <row r="6215" spans="1:2">
      <c r="A6215" s="32">
        <v>6205</v>
      </c>
      <c r="B6215" s="90">
        <v>7.3163990254318847</v>
      </c>
    </row>
    <row r="6216" spans="1:2">
      <c r="A6216" s="32">
        <v>6206</v>
      </c>
      <c r="B6216" s="90">
        <v>8.6041365291166407</v>
      </c>
    </row>
    <row r="6217" spans="1:2">
      <c r="A6217" s="32">
        <v>6207</v>
      </c>
      <c r="B6217" s="90">
        <v>8.334195137076307</v>
      </c>
    </row>
    <row r="6218" spans="1:2">
      <c r="A6218" s="32">
        <v>6208</v>
      </c>
      <c r="B6218" s="90">
        <v>8.038651113015872</v>
      </c>
    </row>
    <row r="6219" spans="1:2">
      <c r="A6219" s="32">
        <v>6209</v>
      </c>
      <c r="B6219" s="90">
        <v>7.1681495238116284</v>
      </c>
    </row>
    <row r="6220" spans="1:2">
      <c r="A6220" s="32">
        <v>6210</v>
      </c>
      <c r="B6220" s="90">
        <v>7.9556654009211902</v>
      </c>
    </row>
    <row r="6221" spans="1:2">
      <c r="A6221" s="32">
        <v>6211</v>
      </c>
      <c r="B6221" s="90">
        <v>9.0218832214221489</v>
      </c>
    </row>
    <row r="6222" spans="1:2">
      <c r="A6222" s="32">
        <v>6212</v>
      </c>
      <c r="B6222" s="90">
        <v>8.2639119474764939</v>
      </c>
    </row>
    <row r="6223" spans="1:2">
      <c r="A6223" s="32">
        <v>6213</v>
      </c>
      <c r="B6223" s="90">
        <v>8.4949023651252382</v>
      </c>
    </row>
    <row r="6224" spans="1:2">
      <c r="A6224" s="32">
        <v>6214</v>
      </c>
      <c r="B6224" s="90">
        <v>7.6384778643226694</v>
      </c>
    </row>
    <row r="6225" spans="1:2">
      <c r="A6225" s="32">
        <v>6215</v>
      </c>
      <c r="B6225" s="90">
        <v>7.3224685508256044</v>
      </c>
    </row>
    <row r="6226" spans="1:2">
      <c r="A6226" s="32">
        <v>6216</v>
      </c>
      <c r="B6226" s="90">
        <v>8.6534205246577738</v>
      </c>
    </row>
    <row r="6227" spans="1:2">
      <c r="A6227" s="32">
        <v>6217</v>
      </c>
      <c r="B6227" s="90">
        <v>8.5176511822925693</v>
      </c>
    </row>
    <row r="6228" spans="1:2">
      <c r="A6228" s="32">
        <v>6218</v>
      </c>
      <c r="B6228" s="90">
        <v>8.4143048945243457</v>
      </c>
    </row>
    <row r="6229" spans="1:2">
      <c r="A6229" s="32">
        <v>6219</v>
      </c>
      <c r="B6229" s="90">
        <v>8.2040867097335468</v>
      </c>
    </row>
    <row r="6230" spans="1:2">
      <c r="A6230" s="32">
        <v>6220</v>
      </c>
      <c r="B6230" s="90">
        <v>7.4908705827658073</v>
      </c>
    </row>
    <row r="6231" spans="1:2">
      <c r="A6231" s="32">
        <v>6221</v>
      </c>
      <c r="B6231" s="90">
        <v>7.8386539124027523</v>
      </c>
    </row>
    <row r="6232" spans="1:2">
      <c r="A6232" s="32">
        <v>6222</v>
      </c>
      <c r="B6232" s="90">
        <v>8.2966805215690353</v>
      </c>
    </row>
    <row r="6233" spans="1:2">
      <c r="A6233" s="32">
        <v>6223</v>
      </c>
      <c r="B6233" s="90">
        <v>8.8466370387432409</v>
      </c>
    </row>
    <row r="6234" spans="1:2">
      <c r="A6234" s="32">
        <v>6224</v>
      </c>
      <c r="B6234" s="90">
        <v>8.2291323391424172</v>
      </c>
    </row>
    <row r="6235" spans="1:2">
      <c r="A6235" s="32">
        <v>6225</v>
      </c>
      <c r="B6235" s="90">
        <v>8.1068275952814179</v>
      </c>
    </row>
    <row r="6236" spans="1:2">
      <c r="A6236" s="32">
        <v>6226</v>
      </c>
      <c r="B6236" s="90">
        <v>7.6176220165101229</v>
      </c>
    </row>
    <row r="6237" spans="1:2">
      <c r="A6237" s="32">
        <v>6227</v>
      </c>
      <c r="B6237" s="90">
        <v>7.7952849694354933</v>
      </c>
    </row>
    <row r="6238" spans="1:2">
      <c r="A6238" s="32">
        <v>6228</v>
      </c>
      <c r="B6238" s="90">
        <v>8.3964773517080253</v>
      </c>
    </row>
    <row r="6239" spans="1:2">
      <c r="A6239" s="32">
        <v>6229</v>
      </c>
      <c r="B6239" s="90">
        <v>9.3052943728902839</v>
      </c>
    </row>
    <row r="6240" spans="1:2">
      <c r="A6240" s="32">
        <v>6230</v>
      </c>
      <c r="B6240" s="90">
        <v>8.0549126297914313</v>
      </c>
    </row>
    <row r="6241" spans="1:2">
      <c r="A6241" s="32">
        <v>6231</v>
      </c>
      <c r="B6241" s="90">
        <v>7.9822752781817377</v>
      </c>
    </row>
    <row r="6242" spans="1:2">
      <c r="A6242" s="32">
        <v>6232</v>
      </c>
      <c r="B6242" s="90">
        <v>7.7427822310961139</v>
      </c>
    </row>
    <row r="6243" spans="1:2">
      <c r="A6243" s="32">
        <v>6233</v>
      </c>
      <c r="B6243" s="90">
        <v>7.7078705328837831</v>
      </c>
    </row>
    <row r="6244" spans="1:2">
      <c r="A6244" s="32">
        <v>6234</v>
      </c>
      <c r="B6244" s="90">
        <v>8.8352486849364844</v>
      </c>
    </row>
    <row r="6245" spans="1:2">
      <c r="A6245" s="32">
        <v>6235</v>
      </c>
      <c r="B6245" s="90">
        <v>8.5532511504327573</v>
      </c>
    </row>
    <row r="6246" spans="1:2">
      <c r="A6246" s="32">
        <v>6236</v>
      </c>
      <c r="B6246" s="90">
        <v>8.0737923173919732</v>
      </c>
    </row>
    <row r="6247" spans="1:2">
      <c r="A6247" s="32">
        <v>6237</v>
      </c>
      <c r="B6247" s="90">
        <v>8.0423109168317808</v>
      </c>
    </row>
    <row r="6248" spans="1:2">
      <c r="A6248" s="32">
        <v>6238</v>
      </c>
      <c r="B6248" s="90">
        <v>7.4374354263238249</v>
      </c>
    </row>
    <row r="6249" spans="1:2">
      <c r="A6249" s="32">
        <v>6239</v>
      </c>
      <c r="B6249" s="90">
        <v>7.959974673162459</v>
      </c>
    </row>
    <row r="6250" spans="1:2">
      <c r="A6250" s="32">
        <v>6240</v>
      </c>
      <c r="B6250" s="90">
        <v>8.8008215849015841</v>
      </c>
    </row>
    <row r="6251" spans="1:2">
      <c r="A6251" s="32">
        <v>6241</v>
      </c>
      <c r="B6251" s="90">
        <v>8.4891894657217577</v>
      </c>
    </row>
    <row r="6252" spans="1:2">
      <c r="A6252" s="32">
        <v>6242</v>
      </c>
      <c r="B6252" s="90">
        <v>8.6318963731986251</v>
      </c>
    </row>
    <row r="6253" spans="1:2">
      <c r="A6253" s="32">
        <v>6243</v>
      </c>
      <c r="B6253" s="90">
        <v>7.5788540051717064</v>
      </c>
    </row>
    <row r="6254" spans="1:2">
      <c r="A6254" s="32">
        <v>6244</v>
      </c>
      <c r="B6254" s="90">
        <v>7.3540944041169896</v>
      </c>
    </row>
    <row r="6255" spans="1:2">
      <c r="A6255" s="32">
        <v>6245</v>
      </c>
      <c r="B6255" s="90">
        <v>8.2944152900204422</v>
      </c>
    </row>
    <row r="6256" spans="1:2">
      <c r="A6256" s="32">
        <v>6246</v>
      </c>
      <c r="B6256" s="90">
        <v>8.579420187653108</v>
      </c>
    </row>
    <row r="6257" spans="1:2">
      <c r="A6257" s="32">
        <v>6247</v>
      </c>
      <c r="B6257" s="90">
        <v>8.6090274412729713</v>
      </c>
    </row>
    <row r="6258" spans="1:2">
      <c r="A6258" s="32">
        <v>6248</v>
      </c>
      <c r="B6258" s="90">
        <v>8.2780038043243103</v>
      </c>
    </row>
    <row r="6259" spans="1:2">
      <c r="A6259" s="32">
        <v>6249</v>
      </c>
      <c r="B6259" s="90">
        <v>7.5821562241795597</v>
      </c>
    </row>
    <row r="6260" spans="1:2">
      <c r="A6260" s="32">
        <v>6250</v>
      </c>
      <c r="B6260" s="90">
        <v>7.3004056160836992</v>
      </c>
    </row>
    <row r="6261" spans="1:2">
      <c r="A6261" s="32">
        <v>6251</v>
      </c>
      <c r="B6261" s="90">
        <v>8.7198517477589021</v>
      </c>
    </row>
    <row r="6262" spans="1:2">
      <c r="A6262" s="32">
        <v>6252</v>
      </c>
      <c r="B6262" s="90">
        <v>8.9593506697803722</v>
      </c>
    </row>
    <row r="6263" spans="1:2">
      <c r="A6263" s="32">
        <v>6253</v>
      </c>
      <c r="B6263" s="90">
        <v>7.9777247417882959</v>
      </c>
    </row>
    <row r="6264" spans="1:2">
      <c r="A6264" s="32">
        <v>6254</v>
      </c>
      <c r="B6264" s="90">
        <v>8.1113582710667647</v>
      </c>
    </row>
    <row r="6265" spans="1:2">
      <c r="A6265" s="32">
        <v>6255</v>
      </c>
      <c r="B6265" s="90">
        <v>7.5226488397102687</v>
      </c>
    </row>
    <row r="6266" spans="1:2">
      <c r="A6266" s="32">
        <v>6256</v>
      </c>
      <c r="B6266" s="90">
        <v>8.0155643123610218</v>
      </c>
    </row>
    <row r="6267" spans="1:2">
      <c r="A6267" s="32">
        <v>6257</v>
      </c>
      <c r="B6267" s="90">
        <v>8.3258353711433877</v>
      </c>
    </row>
    <row r="6268" spans="1:2">
      <c r="A6268" s="32">
        <v>6258</v>
      </c>
      <c r="B6268" s="90">
        <v>9.1817362680593533</v>
      </c>
    </row>
    <row r="6269" spans="1:2">
      <c r="A6269" s="32">
        <v>6259</v>
      </c>
      <c r="B6269" s="90">
        <v>7.7490259339543321</v>
      </c>
    </row>
    <row r="6270" spans="1:2">
      <c r="A6270" s="32">
        <v>6260</v>
      </c>
      <c r="B6270" s="90">
        <v>8.0867742185802527</v>
      </c>
    </row>
    <row r="6271" spans="1:2">
      <c r="A6271" s="32">
        <v>6261</v>
      </c>
      <c r="B6271" s="90">
        <v>7.7491313094726362</v>
      </c>
    </row>
    <row r="6272" spans="1:2">
      <c r="A6272" s="32">
        <v>6262</v>
      </c>
      <c r="B6272" s="90">
        <v>8.6618594841417007</v>
      </c>
    </row>
    <row r="6273" spans="1:2">
      <c r="A6273" s="32">
        <v>6263</v>
      </c>
      <c r="B6273" s="90">
        <v>7.8038586399757772</v>
      </c>
    </row>
    <row r="6274" spans="1:2">
      <c r="A6274" s="32">
        <v>6264</v>
      </c>
      <c r="B6274" s="90">
        <v>7.7155150387213896</v>
      </c>
    </row>
    <row r="6275" spans="1:2">
      <c r="A6275" s="32">
        <v>6265</v>
      </c>
      <c r="B6275" s="90">
        <v>7.6286214256139573</v>
      </c>
    </row>
    <row r="6276" spans="1:2">
      <c r="A6276" s="32">
        <v>6266</v>
      </c>
      <c r="B6276" s="90">
        <v>7.7202428323428745</v>
      </c>
    </row>
    <row r="6277" spans="1:2">
      <c r="A6277" s="32">
        <v>6267</v>
      </c>
      <c r="B6277" s="90">
        <v>8.7577997896876312</v>
      </c>
    </row>
    <row r="6278" spans="1:2">
      <c r="A6278" s="32">
        <v>6268</v>
      </c>
      <c r="B6278" s="90">
        <v>9.2341456751535826</v>
      </c>
    </row>
    <row r="6279" spans="1:2">
      <c r="A6279" s="32">
        <v>6269</v>
      </c>
      <c r="B6279" s="90">
        <v>7.1807548642839709</v>
      </c>
    </row>
    <row r="6280" spans="1:2">
      <c r="A6280" s="32">
        <v>6270</v>
      </c>
      <c r="B6280" s="90">
        <v>7.7541563849030144</v>
      </c>
    </row>
    <row r="6281" spans="1:2">
      <c r="A6281" s="32">
        <v>6271</v>
      </c>
      <c r="B6281" s="90">
        <v>7.8318301256355252</v>
      </c>
    </row>
    <row r="6282" spans="1:2">
      <c r="A6282" s="32">
        <v>6272</v>
      </c>
      <c r="B6282" s="90">
        <v>8.2193495820859326</v>
      </c>
    </row>
    <row r="6283" spans="1:2">
      <c r="A6283" s="32">
        <v>6273</v>
      </c>
      <c r="B6283" s="90">
        <v>8.7706853129860587</v>
      </c>
    </row>
    <row r="6284" spans="1:2">
      <c r="A6284" s="32">
        <v>6274</v>
      </c>
      <c r="B6284" s="90">
        <v>8.8923101019054798</v>
      </c>
    </row>
    <row r="6285" spans="1:2">
      <c r="A6285" s="32">
        <v>6275</v>
      </c>
      <c r="B6285" s="90">
        <v>7.3551893411974003</v>
      </c>
    </row>
    <row r="6286" spans="1:2">
      <c r="A6286" s="32">
        <v>6276</v>
      </c>
      <c r="B6286" s="90">
        <v>7.6629194053237288</v>
      </c>
    </row>
    <row r="6287" spans="1:2">
      <c r="A6287" s="32">
        <v>6277</v>
      </c>
      <c r="B6287" s="90">
        <v>7.9182150904786255</v>
      </c>
    </row>
    <row r="6288" spans="1:2">
      <c r="A6288" s="32">
        <v>6278</v>
      </c>
      <c r="B6288" s="90">
        <v>8.4456453744076541</v>
      </c>
    </row>
    <row r="6289" spans="1:2">
      <c r="A6289" s="32">
        <v>6279</v>
      </c>
      <c r="B6289" s="90">
        <v>8.5089444211405745</v>
      </c>
    </row>
    <row r="6290" spans="1:2">
      <c r="A6290" s="32">
        <v>6280</v>
      </c>
      <c r="B6290" s="90">
        <v>9.2357845612454863</v>
      </c>
    </row>
    <row r="6291" spans="1:2">
      <c r="A6291" s="32">
        <v>6281</v>
      </c>
      <c r="B6291" s="90">
        <v>7.0998700797746181</v>
      </c>
    </row>
    <row r="6292" spans="1:2">
      <c r="A6292" s="32">
        <v>6282</v>
      </c>
      <c r="B6292" s="90">
        <v>7.5213412419626442</v>
      </c>
    </row>
    <row r="6293" spans="1:2">
      <c r="A6293" s="32">
        <v>6283</v>
      </c>
      <c r="B6293" s="90">
        <v>7.6563794546324395</v>
      </c>
    </row>
    <row r="6294" spans="1:2">
      <c r="A6294" s="32">
        <v>6284</v>
      </c>
      <c r="B6294" s="90">
        <v>9.3728809244992597</v>
      </c>
    </row>
    <row r="6295" spans="1:2">
      <c r="A6295" s="32">
        <v>6285</v>
      </c>
      <c r="B6295" s="90">
        <v>8.0373587882524209</v>
      </c>
    </row>
    <row r="6296" spans="1:2">
      <c r="A6296" s="32">
        <v>6286</v>
      </c>
      <c r="B6296" s="90">
        <v>8.7881408253911957</v>
      </c>
    </row>
    <row r="6297" spans="1:2">
      <c r="A6297" s="32">
        <v>6287</v>
      </c>
      <c r="B6297" s="90">
        <v>7.725819778773757</v>
      </c>
    </row>
    <row r="6298" spans="1:2">
      <c r="A6298" s="32">
        <v>6288</v>
      </c>
      <c r="B6298" s="90">
        <v>7.2521940508941158</v>
      </c>
    </row>
    <row r="6299" spans="1:2">
      <c r="A6299" s="32">
        <v>6289</v>
      </c>
      <c r="B6299" s="90">
        <v>7.5715236757809503</v>
      </c>
    </row>
    <row r="6300" spans="1:2">
      <c r="A6300" s="32">
        <v>6290</v>
      </c>
      <c r="B6300" s="90">
        <v>9.6885357285221385</v>
      </c>
    </row>
    <row r="6301" spans="1:2">
      <c r="A6301" s="32">
        <v>6291</v>
      </c>
      <c r="B6301" s="90">
        <v>8.3704502859543997</v>
      </c>
    </row>
    <row r="6302" spans="1:2">
      <c r="A6302" s="32">
        <v>6292</v>
      </c>
      <c r="B6302" s="90">
        <v>8.0059517002000966</v>
      </c>
    </row>
    <row r="6303" spans="1:2">
      <c r="A6303" s="32">
        <v>6293</v>
      </c>
      <c r="B6303" s="90">
        <v>7.5163926507785916</v>
      </c>
    </row>
    <row r="6304" spans="1:2">
      <c r="A6304" s="32">
        <v>6294</v>
      </c>
      <c r="B6304" s="90">
        <v>7.7149445861728667</v>
      </c>
    </row>
    <row r="6305" spans="1:2">
      <c r="A6305" s="32">
        <v>6295</v>
      </c>
      <c r="B6305" s="90">
        <v>7.4411208063905239</v>
      </c>
    </row>
    <row r="6306" spans="1:2">
      <c r="A6306" s="32">
        <v>6296</v>
      </c>
      <c r="B6306" s="90">
        <v>9.2950582267254642</v>
      </c>
    </row>
    <row r="6307" spans="1:2">
      <c r="A6307" s="32">
        <v>6297</v>
      </c>
      <c r="B6307" s="90">
        <v>9.1328873534165957</v>
      </c>
    </row>
    <row r="6308" spans="1:2">
      <c r="A6308" s="32">
        <v>6298</v>
      </c>
      <c r="B6308" s="90">
        <v>7.443890232499613</v>
      </c>
    </row>
    <row r="6309" spans="1:2">
      <c r="A6309" s="32">
        <v>6299</v>
      </c>
      <c r="B6309" s="90">
        <v>7.7301038917837808</v>
      </c>
    </row>
    <row r="6310" spans="1:2">
      <c r="A6310" s="32">
        <v>6300</v>
      </c>
      <c r="B6310" s="90">
        <v>7.6145530950459737</v>
      </c>
    </row>
    <row r="6311" spans="1:2">
      <c r="A6311" s="32">
        <v>6301</v>
      </c>
      <c r="B6311" s="90">
        <v>7.9672456138150443</v>
      </c>
    </row>
    <row r="6312" spans="1:2">
      <c r="A6312" s="32">
        <v>6302</v>
      </c>
      <c r="B6312" s="90">
        <v>8.9737420316583449</v>
      </c>
    </row>
    <row r="6313" spans="1:2">
      <c r="A6313" s="32">
        <v>6303</v>
      </c>
      <c r="B6313" s="90">
        <v>9.0050356699620178</v>
      </c>
    </row>
    <row r="6314" spans="1:2">
      <c r="A6314" s="32">
        <v>6304</v>
      </c>
      <c r="B6314" s="90">
        <v>7.5020389653164479</v>
      </c>
    </row>
    <row r="6315" spans="1:2">
      <c r="A6315" s="32">
        <v>6305</v>
      </c>
      <c r="B6315" s="90">
        <v>7.3107375921403319</v>
      </c>
    </row>
    <row r="6316" spans="1:2">
      <c r="A6316" s="32">
        <v>6306</v>
      </c>
      <c r="B6316" s="90">
        <v>8.1123053997669299</v>
      </c>
    </row>
    <row r="6317" spans="1:2">
      <c r="A6317" s="32">
        <v>6307</v>
      </c>
      <c r="B6317" s="90">
        <v>8.1046137745207254</v>
      </c>
    </row>
    <row r="6318" spans="1:2">
      <c r="A6318" s="32">
        <v>6308</v>
      </c>
      <c r="B6318" s="90">
        <v>8.7293240026374441</v>
      </c>
    </row>
    <row r="6319" spans="1:2">
      <c r="A6319" s="32">
        <v>6309</v>
      </c>
      <c r="B6319" s="90">
        <v>9.3004383638570065</v>
      </c>
    </row>
    <row r="6320" spans="1:2">
      <c r="A6320" s="32">
        <v>6310</v>
      </c>
      <c r="B6320" s="90">
        <v>7.0980250830341252</v>
      </c>
    </row>
    <row r="6321" spans="1:2">
      <c r="A6321" s="32">
        <v>6311</v>
      </c>
      <c r="B6321" s="90">
        <v>7.6646297078053038</v>
      </c>
    </row>
    <row r="6322" spans="1:2">
      <c r="A6322" s="32">
        <v>6312</v>
      </c>
      <c r="B6322" s="90">
        <v>7.3675809711040134</v>
      </c>
    </row>
    <row r="6323" spans="1:2">
      <c r="A6323" s="32">
        <v>6313</v>
      </c>
      <c r="B6323" s="90">
        <v>9.4743440893411712</v>
      </c>
    </row>
    <row r="6324" spans="1:2">
      <c r="A6324" s="32">
        <v>6314</v>
      </c>
      <c r="B6324" s="90">
        <v>8.1561150793876838</v>
      </c>
    </row>
    <row r="6325" spans="1:2">
      <c r="A6325" s="32">
        <v>6315</v>
      </c>
      <c r="B6325" s="90">
        <v>9.0313798060918842</v>
      </c>
    </row>
    <row r="6326" spans="1:2">
      <c r="A6326" s="32">
        <v>6316</v>
      </c>
      <c r="B6326" s="90">
        <v>7.2863227894926172</v>
      </c>
    </row>
    <row r="6327" spans="1:2">
      <c r="A6327" s="32">
        <v>6317</v>
      </c>
      <c r="B6327" s="90">
        <v>7.3320926898221455</v>
      </c>
    </row>
    <row r="6328" spans="1:2">
      <c r="A6328" s="32">
        <v>6318</v>
      </c>
      <c r="B6328" s="90">
        <v>7.7011811740293137</v>
      </c>
    </row>
    <row r="6329" spans="1:2">
      <c r="A6329" s="32">
        <v>6319</v>
      </c>
      <c r="B6329" s="90">
        <v>9.3399437329807267</v>
      </c>
    </row>
    <row r="6330" spans="1:2">
      <c r="A6330" s="32">
        <v>6320</v>
      </c>
      <c r="B6330" s="90">
        <v>8.4596222179275813</v>
      </c>
    </row>
    <row r="6331" spans="1:2">
      <c r="A6331" s="32">
        <v>6321</v>
      </c>
      <c r="B6331" s="90">
        <v>8.3553200996094592</v>
      </c>
    </row>
    <row r="6332" spans="1:2">
      <c r="A6332" s="32">
        <v>6322</v>
      </c>
      <c r="B6332" s="90">
        <v>7.6183473961900043</v>
      </c>
    </row>
    <row r="6333" spans="1:2">
      <c r="A6333" s="32">
        <v>6323</v>
      </c>
      <c r="B6333" s="90">
        <v>7.191265953430503</v>
      </c>
    </row>
    <row r="6334" spans="1:2">
      <c r="A6334" s="32">
        <v>6324</v>
      </c>
      <c r="B6334" s="90">
        <v>7.9626915288896107</v>
      </c>
    </row>
    <row r="6335" spans="1:2">
      <c r="A6335" s="32">
        <v>6325</v>
      </c>
      <c r="B6335" s="90">
        <v>9.4423492925084034</v>
      </c>
    </row>
    <row r="6336" spans="1:2">
      <c r="A6336" s="32">
        <v>6326</v>
      </c>
      <c r="B6336" s="90">
        <v>8.6618594841417007</v>
      </c>
    </row>
    <row r="6337" spans="1:2">
      <c r="A6337" s="32">
        <v>6327</v>
      </c>
      <c r="B6337" s="90">
        <v>7.8038586399757772</v>
      </c>
    </row>
    <row r="6338" spans="1:2">
      <c r="A6338" s="32">
        <v>6328</v>
      </c>
      <c r="B6338" s="90">
        <v>7.7155150387213896</v>
      </c>
    </row>
    <row r="6339" spans="1:2">
      <c r="A6339" s="32">
        <v>6329</v>
      </c>
      <c r="B6339" s="90">
        <v>7.6286214256139573</v>
      </c>
    </row>
    <row r="6340" spans="1:2">
      <c r="A6340" s="32">
        <v>6330</v>
      </c>
      <c r="B6340" s="90">
        <v>7.7202428323428745</v>
      </c>
    </row>
    <row r="6341" spans="1:2">
      <c r="A6341" s="32">
        <v>6331</v>
      </c>
      <c r="B6341" s="90">
        <v>8.7577997896876312</v>
      </c>
    </row>
    <row r="6342" spans="1:2">
      <c r="A6342" s="32">
        <v>6332</v>
      </c>
      <c r="B6342" s="90">
        <v>9.2341456751535826</v>
      </c>
    </row>
    <row r="6343" spans="1:2">
      <c r="A6343" s="32">
        <v>6333</v>
      </c>
      <c r="B6343" s="90">
        <v>7.1807548642839709</v>
      </c>
    </row>
    <row r="6344" spans="1:2">
      <c r="A6344" s="32">
        <v>6334</v>
      </c>
      <c r="B6344" s="90">
        <v>7.7541563849030144</v>
      </c>
    </row>
    <row r="6345" spans="1:2">
      <c r="A6345" s="32">
        <v>6335</v>
      </c>
      <c r="B6345" s="90">
        <v>7.8318301256355252</v>
      </c>
    </row>
    <row r="6346" spans="1:2">
      <c r="A6346" s="32">
        <v>6336</v>
      </c>
      <c r="B6346" s="90">
        <v>8.2193495820859326</v>
      </c>
    </row>
    <row r="6347" spans="1:2">
      <c r="A6347" s="32">
        <v>6337</v>
      </c>
      <c r="B6347" s="90">
        <v>8.7706853129860587</v>
      </c>
    </row>
    <row r="6348" spans="1:2">
      <c r="A6348" s="32">
        <v>6338</v>
      </c>
      <c r="B6348" s="90">
        <v>8.8923101019054798</v>
      </c>
    </row>
    <row r="6349" spans="1:2">
      <c r="A6349" s="32">
        <v>6339</v>
      </c>
      <c r="B6349" s="90">
        <v>7.3551893411974003</v>
      </c>
    </row>
    <row r="6350" spans="1:2">
      <c r="A6350" s="32">
        <v>6340</v>
      </c>
      <c r="B6350" s="90">
        <v>7.6629194053237288</v>
      </c>
    </row>
    <row r="6351" spans="1:2">
      <c r="A6351" s="32">
        <v>6341</v>
      </c>
      <c r="B6351" s="90">
        <v>7.9182150904786255</v>
      </c>
    </row>
    <row r="6352" spans="1:2">
      <c r="A6352" s="32">
        <v>6342</v>
      </c>
      <c r="B6352" s="90">
        <v>8.4456453744076541</v>
      </c>
    </row>
    <row r="6353" spans="1:2">
      <c r="A6353" s="32">
        <v>6343</v>
      </c>
      <c r="B6353" s="90">
        <v>8.5089444211405745</v>
      </c>
    </row>
    <row r="6354" spans="1:2">
      <c r="A6354" s="32">
        <v>6344</v>
      </c>
      <c r="B6354" s="90">
        <v>9.2357845612454863</v>
      </c>
    </row>
    <row r="6355" spans="1:2">
      <c r="A6355" s="32">
        <v>6345</v>
      </c>
      <c r="B6355" s="90">
        <v>7.0998700797746181</v>
      </c>
    </row>
    <row r="6356" spans="1:2">
      <c r="A6356" s="32">
        <v>6346</v>
      </c>
      <c r="B6356" s="90">
        <v>7.5213412419626442</v>
      </c>
    </row>
    <row r="6357" spans="1:2">
      <c r="A6357" s="32">
        <v>6347</v>
      </c>
      <c r="B6357" s="90">
        <v>7.6563794546324395</v>
      </c>
    </row>
    <row r="6358" spans="1:2">
      <c r="A6358" s="32">
        <v>6348</v>
      </c>
      <c r="B6358" s="90">
        <v>9.3728809244992597</v>
      </c>
    </row>
    <row r="6359" spans="1:2">
      <c r="A6359" s="32">
        <v>6349</v>
      </c>
      <c r="B6359" s="90">
        <v>8.0373587882524209</v>
      </c>
    </row>
    <row r="6360" spans="1:2">
      <c r="A6360" s="32">
        <v>6350</v>
      </c>
      <c r="B6360" s="90">
        <v>8.7881408253911957</v>
      </c>
    </row>
    <row r="6361" spans="1:2">
      <c r="A6361" s="32">
        <v>6351</v>
      </c>
      <c r="B6361" s="90">
        <v>7.725819778773757</v>
      </c>
    </row>
    <row r="6362" spans="1:2">
      <c r="A6362" s="32">
        <v>6352</v>
      </c>
      <c r="B6362" s="90">
        <v>7.2521940508941158</v>
      </c>
    </row>
    <row r="6363" spans="1:2">
      <c r="A6363" s="32">
        <v>6353</v>
      </c>
      <c r="B6363" s="90">
        <v>7.5715236757809503</v>
      </c>
    </row>
    <row r="6364" spans="1:2">
      <c r="A6364" s="32">
        <v>6354</v>
      </c>
      <c r="B6364" s="90">
        <v>9.6885357285221385</v>
      </c>
    </row>
    <row r="6365" spans="1:2">
      <c r="A6365" s="32">
        <v>6355</v>
      </c>
      <c r="B6365" s="90">
        <v>8.3704502859543997</v>
      </c>
    </row>
    <row r="6366" spans="1:2">
      <c r="A6366" s="32">
        <v>6356</v>
      </c>
      <c r="B6366" s="90">
        <v>8.0059517002000966</v>
      </c>
    </row>
    <row r="6367" spans="1:2">
      <c r="A6367" s="32">
        <v>6357</v>
      </c>
      <c r="B6367" s="90">
        <v>7.5163926507785916</v>
      </c>
    </row>
    <row r="6368" spans="1:2">
      <c r="A6368" s="32">
        <v>6358</v>
      </c>
      <c r="B6368" s="90">
        <v>7.7149445861728667</v>
      </c>
    </row>
    <row r="6369" spans="1:2">
      <c r="A6369" s="32">
        <v>6359</v>
      </c>
      <c r="B6369" s="90">
        <v>7.4411208063905239</v>
      </c>
    </row>
    <row r="6370" spans="1:2">
      <c r="A6370" s="32">
        <v>6360</v>
      </c>
      <c r="B6370" s="90">
        <v>9.2950582267254642</v>
      </c>
    </row>
    <row r="6371" spans="1:2">
      <c r="A6371" s="32">
        <v>6361</v>
      </c>
      <c r="B6371" s="90">
        <v>9.1328873534165957</v>
      </c>
    </row>
    <row r="6372" spans="1:2">
      <c r="A6372" s="32">
        <v>6362</v>
      </c>
      <c r="B6372" s="90">
        <v>7.443890232499613</v>
      </c>
    </row>
    <row r="6373" spans="1:2">
      <c r="A6373" s="32">
        <v>6363</v>
      </c>
      <c r="B6373" s="90">
        <v>7.7301038917837808</v>
      </c>
    </row>
    <row r="6374" spans="1:2">
      <c r="A6374" s="32">
        <v>6364</v>
      </c>
      <c r="B6374" s="90">
        <v>7.6145530950459737</v>
      </c>
    </row>
    <row r="6375" spans="1:2">
      <c r="A6375" s="32">
        <v>6365</v>
      </c>
      <c r="B6375" s="90">
        <v>7.9672456138150443</v>
      </c>
    </row>
    <row r="6376" spans="1:2">
      <c r="A6376" s="32">
        <v>6366</v>
      </c>
      <c r="B6376" s="90">
        <v>8.9737420316583449</v>
      </c>
    </row>
    <row r="6377" spans="1:2">
      <c r="A6377" s="32">
        <v>6367</v>
      </c>
      <c r="B6377" s="90">
        <v>9.0050356699620178</v>
      </c>
    </row>
    <row r="6378" spans="1:2">
      <c r="A6378" s="32">
        <v>6368</v>
      </c>
      <c r="B6378" s="90">
        <v>7.5020389653164479</v>
      </c>
    </row>
    <row r="6379" spans="1:2">
      <c r="A6379" s="32">
        <v>6369</v>
      </c>
      <c r="B6379" s="90">
        <v>7.3107375921403319</v>
      </c>
    </row>
    <row r="6380" spans="1:2">
      <c r="A6380" s="32">
        <v>6370</v>
      </c>
      <c r="B6380" s="90">
        <v>8.1123053997669299</v>
      </c>
    </row>
    <row r="6381" spans="1:2">
      <c r="A6381" s="32">
        <v>6371</v>
      </c>
      <c r="B6381" s="90">
        <v>8.1046137745207254</v>
      </c>
    </row>
    <row r="6382" spans="1:2">
      <c r="A6382" s="32">
        <v>6372</v>
      </c>
      <c r="B6382" s="90">
        <v>8.7293240026374441</v>
      </c>
    </row>
    <row r="6383" spans="1:2">
      <c r="A6383" s="32">
        <v>6373</v>
      </c>
      <c r="B6383" s="90">
        <v>9.3004383638570065</v>
      </c>
    </row>
    <row r="6384" spans="1:2">
      <c r="A6384" s="32">
        <v>6374</v>
      </c>
      <c r="B6384" s="90">
        <v>7.0980250830341252</v>
      </c>
    </row>
    <row r="6385" spans="1:2">
      <c r="A6385" s="32">
        <v>6375</v>
      </c>
      <c r="B6385" s="90">
        <v>7.6646297078053038</v>
      </c>
    </row>
    <row r="6386" spans="1:2">
      <c r="A6386" s="32">
        <v>6376</v>
      </c>
      <c r="B6386" s="90">
        <v>7.3675809711040134</v>
      </c>
    </row>
    <row r="6387" spans="1:2">
      <c r="A6387" s="32">
        <v>6377</v>
      </c>
      <c r="B6387" s="90">
        <v>9.4743440893411712</v>
      </c>
    </row>
    <row r="6388" spans="1:2">
      <c r="A6388" s="32">
        <v>6378</v>
      </c>
      <c r="B6388" s="90">
        <v>8.1561150793876838</v>
      </c>
    </row>
    <row r="6389" spans="1:2">
      <c r="A6389" s="32">
        <v>6379</v>
      </c>
      <c r="B6389" s="90">
        <v>9.0313798060918842</v>
      </c>
    </row>
    <row r="6390" spans="1:2">
      <c r="A6390" s="32">
        <v>6380</v>
      </c>
      <c r="B6390" s="90">
        <v>7.2863227894926172</v>
      </c>
    </row>
    <row r="6391" spans="1:2">
      <c r="A6391" s="32">
        <v>6381</v>
      </c>
      <c r="B6391" s="90">
        <v>8.291832264300206</v>
      </c>
    </row>
    <row r="6392" spans="1:2">
      <c r="A6392" s="32">
        <v>6382</v>
      </c>
      <c r="B6392" s="90">
        <v>8.0005071020690046</v>
      </c>
    </row>
    <row r="6393" spans="1:2">
      <c r="A6393" s="32">
        <v>6383</v>
      </c>
      <c r="B6393" s="90">
        <v>7.9242759505094718</v>
      </c>
    </row>
    <row r="6394" spans="1:2">
      <c r="A6394" s="32">
        <v>6384</v>
      </c>
      <c r="B6394" s="90">
        <v>8.144020482844013</v>
      </c>
    </row>
    <row r="6395" spans="1:2">
      <c r="A6395" s="32">
        <v>6385</v>
      </c>
      <c r="B6395" s="90">
        <v>7.7528209291080268</v>
      </c>
    </row>
    <row r="6396" spans="1:2">
      <c r="A6396" s="32">
        <v>6386</v>
      </c>
      <c r="B6396" s="90">
        <v>7.8879182211246164</v>
      </c>
    </row>
    <row r="6397" spans="1:2">
      <c r="A6397" s="32">
        <v>6387</v>
      </c>
      <c r="B6397" s="90">
        <v>9.5702236626169483</v>
      </c>
    </row>
    <row r="6398" spans="1:2">
      <c r="A6398" s="32">
        <v>6388</v>
      </c>
      <c r="B6398" s="90">
        <v>7.9430058463943389</v>
      </c>
    </row>
    <row r="6399" spans="1:2">
      <c r="A6399" s="32">
        <v>6389</v>
      </c>
      <c r="B6399" s="90">
        <v>8.1202257538881533</v>
      </c>
    </row>
    <row r="6400" spans="1:2">
      <c r="A6400" s="32">
        <v>6390</v>
      </c>
      <c r="B6400" s="90">
        <v>7.824228939593934</v>
      </c>
    </row>
    <row r="6401" spans="1:2">
      <c r="A6401" s="32">
        <v>6391</v>
      </c>
      <c r="B6401" s="90">
        <v>8.033674026720286</v>
      </c>
    </row>
    <row r="6402" spans="1:2">
      <c r="A6402" s="32">
        <v>6392</v>
      </c>
      <c r="B6402" s="90">
        <v>8.6197589173071325</v>
      </c>
    </row>
    <row r="6403" spans="1:2">
      <c r="A6403" s="32">
        <v>6393</v>
      </c>
      <c r="B6403" s="90">
        <v>8.9670743198058833</v>
      </c>
    </row>
    <row r="6404" spans="1:2">
      <c r="A6404" s="32">
        <v>6394</v>
      </c>
      <c r="B6404" s="90">
        <v>7.3796071369027194</v>
      </c>
    </row>
    <row r="6405" spans="1:2">
      <c r="A6405" s="32">
        <v>6395</v>
      </c>
      <c r="B6405" s="90">
        <v>8.90473953792789</v>
      </c>
    </row>
    <row r="6406" spans="1:2">
      <c r="A6406" s="32">
        <v>6396</v>
      </c>
      <c r="B6406" s="90">
        <v>7.6799743097850124</v>
      </c>
    </row>
    <row r="6407" spans="1:2">
      <c r="A6407" s="32">
        <v>6397</v>
      </c>
      <c r="B6407" s="90">
        <v>8.1283714958612698</v>
      </c>
    </row>
    <row r="6408" spans="1:2">
      <c r="A6408" s="32">
        <v>6398</v>
      </c>
      <c r="B6408" s="90">
        <v>8.5918849580815859</v>
      </c>
    </row>
    <row r="6409" spans="1:2">
      <c r="A6409" s="32">
        <v>6399</v>
      </c>
      <c r="B6409" s="90">
        <v>8.4864442270726332</v>
      </c>
    </row>
    <row r="6410" spans="1:2">
      <c r="A6410" s="32">
        <v>6400</v>
      </c>
      <c r="B6410" s="90">
        <v>7.5060564655727759</v>
      </c>
    </row>
    <row r="6411" spans="1:2">
      <c r="A6411" s="32">
        <v>6401</v>
      </c>
      <c r="B6411" s="90">
        <v>8.5931122858578064</v>
      </c>
    </row>
    <row r="6412" spans="1:2">
      <c r="A6412" s="32">
        <v>6402</v>
      </c>
      <c r="B6412" s="90">
        <v>8.1650550112744682</v>
      </c>
    </row>
    <row r="6413" spans="1:2">
      <c r="A6413" s="32">
        <v>6403</v>
      </c>
      <c r="B6413" s="90">
        <v>8.1087790001053968</v>
      </c>
    </row>
    <row r="6414" spans="1:2">
      <c r="A6414" s="32">
        <v>6404</v>
      </c>
      <c r="B6414" s="90">
        <v>8.4055474489762876</v>
      </c>
    </row>
    <row r="6415" spans="1:2">
      <c r="A6415" s="32">
        <v>6405</v>
      </c>
      <c r="B6415" s="90">
        <v>8.798121786452052</v>
      </c>
    </row>
    <row r="6416" spans="1:2">
      <c r="A6416" s="32">
        <v>6406</v>
      </c>
      <c r="B6416" s="90">
        <v>7.6123118121823659</v>
      </c>
    </row>
    <row r="6417" spans="1:2">
      <c r="A6417" s="32">
        <v>6407</v>
      </c>
      <c r="B6417" s="90">
        <v>8.2249605756667759</v>
      </c>
    </row>
    <row r="6418" spans="1:2">
      <c r="A6418" s="32">
        <v>6408</v>
      </c>
      <c r="B6418" s="90">
        <v>7.9957740584111008</v>
      </c>
    </row>
    <row r="6419" spans="1:2">
      <c r="A6419" s="32">
        <v>6409</v>
      </c>
      <c r="B6419" s="90">
        <v>8.0535921443826997</v>
      </c>
    </row>
    <row r="6420" spans="1:2">
      <c r="A6420" s="32">
        <v>6410</v>
      </c>
      <c r="B6420" s="90">
        <v>9.4104787036146345</v>
      </c>
    </row>
    <row r="6421" spans="1:2">
      <c r="A6421" s="32">
        <v>6411</v>
      </c>
      <c r="B6421" s="90">
        <v>8.0878888989762281</v>
      </c>
    </row>
    <row r="6422" spans="1:2">
      <c r="A6422" s="32">
        <v>6412</v>
      </c>
      <c r="B6422" s="90">
        <v>7.7705950222068294</v>
      </c>
    </row>
    <row r="6423" spans="1:2">
      <c r="A6423" s="32">
        <v>6413</v>
      </c>
      <c r="B6423" s="90">
        <v>8.8704543621124401</v>
      </c>
    </row>
    <row r="6424" spans="1:2">
      <c r="A6424" s="32">
        <v>6414</v>
      </c>
      <c r="B6424" s="90">
        <v>7.5162366585198273</v>
      </c>
    </row>
    <row r="6425" spans="1:2">
      <c r="A6425" s="32">
        <v>6415</v>
      </c>
      <c r="B6425" s="90">
        <v>7.8364227208448574</v>
      </c>
    </row>
    <row r="6426" spans="1:2">
      <c r="A6426" s="32">
        <v>6416</v>
      </c>
      <c r="B6426" s="90">
        <v>9.3013761868509341</v>
      </c>
    </row>
    <row r="6427" spans="1:2">
      <c r="A6427" s="32">
        <v>6417</v>
      </c>
      <c r="B6427" s="90">
        <v>8.1352924067339156</v>
      </c>
    </row>
    <row r="6428" spans="1:2">
      <c r="A6428" s="32">
        <v>6418</v>
      </c>
      <c r="B6428" s="90">
        <v>8.2478672103594803</v>
      </c>
    </row>
    <row r="6429" spans="1:2">
      <c r="A6429" s="32">
        <v>6419</v>
      </c>
      <c r="B6429" s="90">
        <v>7.7079760595737161</v>
      </c>
    </row>
    <row r="6430" spans="1:2">
      <c r="A6430" s="32">
        <v>6420</v>
      </c>
      <c r="B6430" s="90">
        <v>7.9247446931428804</v>
      </c>
    </row>
    <row r="6431" spans="1:2">
      <c r="A6431" s="32">
        <v>6421</v>
      </c>
      <c r="B6431" s="90">
        <v>8.4204032423719521</v>
      </c>
    </row>
    <row r="6432" spans="1:2">
      <c r="A6432" s="32">
        <v>6422</v>
      </c>
      <c r="B6432" s="90">
        <v>9.1459872848504578</v>
      </c>
    </row>
    <row r="6433" spans="1:2">
      <c r="A6433" s="32">
        <v>6423</v>
      </c>
      <c r="B6433" s="90">
        <v>7.5536280017489821</v>
      </c>
    </row>
    <row r="6434" spans="1:2">
      <c r="A6434" s="32">
        <v>6424</v>
      </c>
      <c r="B6434" s="90">
        <v>8.672251135508116</v>
      </c>
    </row>
    <row r="6435" spans="1:2">
      <c r="A6435" s="32">
        <v>6425</v>
      </c>
      <c r="B6435" s="90">
        <v>7.6576746963634648</v>
      </c>
    </row>
    <row r="6436" spans="1:2">
      <c r="A6436" s="32">
        <v>6426</v>
      </c>
      <c r="B6436" s="90">
        <v>8.1874465696164638</v>
      </c>
    </row>
    <row r="6437" spans="1:2">
      <c r="A6437" s="32">
        <v>6427</v>
      </c>
      <c r="B6437" s="90">
        <v>8.5189465333776333</v>
      </c>
    </row>
    <row r="6438" spans="1:2">
      <c r="A6438" s="32">
        <v>6428</v>
      </c>
      <c r="B6438" s="90">
        <v>8.8126718510034134</v>
      </c>
    </row>
    <row r="6439" spans="1:2">
      <c r="A6439" s="32">
        <v>6429</v>
      </c>
      <c r="B6439" s="90">
        <v>7.2467352951556947</v>
      </c>
    </row>
    <row r="6440" spans="1:2">
      <c r="A6440" s="32">
        <v>6430</v>
      </c>
      <c r="B6440" s="90">
        <v>9.0603847797454318</v>
      </c>
    </row>
    <row r="6441" spans="1:2">
      <c r="A6441" s="32">
        <v>6431</v>
      </c>
      <c r="B6441" s="90">
        <v>7.7517267996171357</v>
      </c>
    </row>
    <row r="6442" spans="1:2">
      <c r="A6442" s="32">
        <v>6432</v>
      </c>
      <c r="B6442" s="90">
        <v>8.1182586082156778</v>
      </c>
    </row>
    <row r="6443" spans="1:2">
      <c r="A6443" s="32">
        <v>6433</v>
      </c>
      <c r="B6443" s="90">
        <v>8.6707576637880823</v>
      </c>
    </row>
    <row r="6444" spans="1:2">
      <c r="A6444" s="32">
        <v>6434</v>
      </c>
      <c r="B6444" s="90">
        <v>8.6265538489688307</v>
      </c>
    </row>
    <row r="6445" spans="1:2">
      <c r="A6445" s="32">
        <v>6435</v>
      </c>
      <c r="B6445" s="90">
        <v>7.618979409676756</v>
      </c>
    </row>
    <row r="6446" spans="1:2">
      <c r="A6446" s="32">
        <v>6436</v>
      </c>
      <c r="B6446" s="90">
        <v>8.1857598416717128</v>
      </c>
    </row>
    <row r="6447" spans="1:2">
      <c r="A6447" s="32">
        <v>6437</v>
      </c>
      <c r="B6447" s="90">
        <v>8.2644608748829036</v>
      </c>
    </row>
    <row r="6448" spans="1:2">
      <c r="A6448" s="32">
        <v>6438</v>
      </c>
      <c r="B6448" s="90">
        <v>7.8659046299960407</v>
      </c>
    </row>
    <row r="6449" spans="1:2">
      <c r="A6449" s="32">
        <v>6439</v>
      </c>
      <c r="B6449" s="90">
        <v>8.9095602989982368</v>
      </c>
    </row>
    <row r="6450" spans="1:2">
      <c r="A6450" s="32">
        <v>6440</v>
      </c>
      <c r="B6450" s="90">
        <v>8.4733430108343555</v>
      </c>
    </row>
    <row r="6451" spans="1:2">
      <c r="A6451" s="32">
        <v>6441</v>
      </c>
      <c r="B6451" s="90">
        <v>7.8224740221217353</v>
      </c>
    </row>
    <row r="6452" spans="1:2">
      <c r="A6452" s="32">
        <v>6442</v>
      </c>
      <c r="B6452" s="90">
        <v>8.2965117805579247</v>
      </c>
    </row>
    <row r="6453" spans="1:2">
      <c r="A6453" s="32">
        <v>6443</v>
      </c>
      <c r="B6453" s="90">
        <v>8.1174421917172772</v>
      </c>
    </row>
    <row r="6454" spans="1:2">
      <c r="A6454" s="32">
        <v>6444</v>
      </c>
      <c r="B6454" s="90">
        <v>7.8105843827178685</v>
      </c>
    </row>
    <row r="6455" spans="1:2">
      <c r="A6455" s="32">
        <v>6445</v>
      </c>
      <c r="B6455" s="90">
        <v>9.5183453748689306</v>
      </c>
    </row>
    <row r="6456" spans="1:2">
      <c r="A6456" s="32">
        <v>6446</v>
      </c>
      <c r="B6456" s="90">
        <v>8.0005071020690046</v>
      </c>
    </row>
    <row r="6457" spans="1:2">
      <c r="A6457" s="32">
        <v>6447</v>
      </c>
      <c r="B6457" s="90">
        <v>7.9242759505094718</v>
      </c>
    </row>
    <row r="6458" spans="1:2">
      <c r="A6458" s="32">
        <v>6448</v>
      </c>
      <c r="B6458" s="90">
        <v>8.144020482844013</v>
      </c>
    </row>
    <row r="6459" spans="1:2">
      <c r="A6459" s="32">
        <v>6449</v>
      </c>
      <c r="B6459" s="90">
        <v>7.7528209291080268</v>
      </c>
    </row>
    <row r="6460" spans="1:2">
      <c r="A6460" s="32">
        <v>6450</v>
      </c>
      <c r="B6460" s="90">
        <v>7.8879182211246164</v>
      </c>
    </row>
    <row r="6461" spans="1:2">
      <c r="A6461" s="32">
        <v>6451</v>
      </c>
      <c r="B6461" s="90">
        <v>9.5702236626169483</v>
      </c>
    </row>
    <row r="6462" spans="1:2">
      <c r="A6462" s="32">
        <v>6452</v>
      </c>
      <c r="B6462" s="90">
        <v>7.9430058463943389</v>
      </c>
    </row>
    <row r="6463" spans="1:2">
      <c r="A6463" s="32">
        <v>6453</v>
      </c>
      <c r="B6463" s="90">
        <v>8.1202257538881533</v>
      </c>
    </row>
    <row r="6464" spans="1:2">
      <c r="A6464" s="32">
        <v>6454</v>
      </c>
      <c r="B6464" s="90">
        <v>8.8359304684679394</v>
      </c>
    </row>
    <row r="6465" spans="1:2">
      <c r="A6465" s="32">
        <v>6455</v>
      </c>
      <c r="B6465" s="90">
        <v>7.9980764983539627</v>
      </c>
    </row>
    <row r="6466" spans="1:2">
      <c r="A6466" s="32">
        <v>6456</v>
      </c>
      <c r="B6466" s="90">
        <v>8.7463158241490095</v>
      </c>
    </row>
    <row r="6467" spans="1:2">
      <c r="A6467" s="32">
        <v>6457</v>
      </c>
      <c r="B6467" s="90">
        <v>7.7895165939645485</v>
      </c>
    </row>
    <row r="6468" spans="1:2">
      <c r="A6468" s="32">
        <v>6458</v>
      </c>
      <c r="B6468" s="90">
        <v>8.8700756335044169</v>
      </c>
    </row>
    <row r="6469" spans="1:2">
      <c r="A6469" s="32">
        <v>6459</v>
      </c>
      <c r="B6469" s="90">
        <v>7.5978409842993013</v>
      </c>
    </row>
    <row r="6470" spans="1:2">
      <c r="A6470" s="32">
        <v>6460</v>
      </c>
      <c r="B6470" s="90">
        <v>8.3938314578147235</v>
      </c>
    </row>
    <row r="6471" spans="1:2">
      <c r="A6471" s="32">
        <v>6461</v>
      </c>
      <c r="B6471" s="90">
        <v>8.3169822104591891</v>
      </c>
    </row>
    <row r="6472" spans="1:2">
      <c r="A6472" s="32">
        <v>6462</v>
      </c>
      <c r="B6472" s="90">
        <v>8.4209784730148094</v>
      </c>
    </row>
    <row r="6473" spans="1:2">
      <c r="A6473" s="32">
        <v>6463</v>
      </c>
      <c r="B6473" s="90">
        <v>8.6945888577172372</v>
      </c>
    </row>
    <row r="6474" spans="1:2">
      <c r="A6474" s="32">
        <v>6464</v>
      </c>
      <c r="B6474" s="90">
        <v>7.8661835835901144</v>
      </c>
    </row>
    <row r="6475" spans="1:2">
      <c r="A6475" s="32">
        <v>6465</v>
      </c>
      <c r="B6475" s="90">
        <v>7.6949095565474908</v>
      </c>
    </row>
    <row r="6476" spans="1:2">
      <c r="A6476" s="32">
        <v>6466</v>
      </c>
      <c r="B6476" s="90">
        <v>8.3647718774169419</v>
      </c>
    </row>
    <row r="6477" spans="1:2">
      <c r="A6477" s="32">
        <v>6467</v>
      </c>
      <c r="B6477" s="90">
        <v>8.6687333848367061</v>
      </c>
    </row>
    <row r="6478" spans="1:2">
      <c r="A6478" s="32">
        <v>6468</v>
      </c>
      <c r="B6478" s="90">
        <v>8.06409256581642</v>
      </c>
    </row>
    <row r="6479" spans="1:2">
      <c r="A6479" s="32">
        <v>6469</v>
      </c>
      <c r="B6479" s="90">
        <v>9.2492647633276359</v>
      </c>
    </row>
    <row r="6480" spans="1:2">
      <c r="A6480" s="32">
        <v>6470</v>
      </c>
      <c r="B6480" s="90">
        <v>7.7652527562328766</v>
      </c>
    </row>
    <row r="6481" spans="1:2">
      <c r="A6481" s="32">
        <v>6471</v>
      </c>
      <c r="B6481" s="90">
        <v>7.7881770183573584</v>
      </c>
    </row>
    <row r="6482" spans="1:2">
      <c r="A6482" s="32">
        <v>6472</v>
      </c>
      <c r="B6482" s="90">
        <v>8.206577005808473</v>
      </c>
    </row>
    <row r="6483" spans="1:2">
      <c r="A6483" s="32">
        <v>6473</v>
      </c>
      <c r="B6483" s="90">
        <v>8.7639009252859577</v>
      </c>
    </row>
    <row r="6484" spans="1:2">
      <c r="A6484" s="32">
        <v>6474</v>
      </c>
      <c r="B6484" s="90">
        <v>8.2345573405185046</v>
      </c>
    </row>
    <row r="6485" spans="1:2">
      <c r="A6485" s="32">
        <v>6475</v>
      </c>
      <c r="B6485" s="90">
        <v>8.9099322642296528</v>
      </c>
    </row>
    <row r="6486" spans="1:2">
      <c r="A6486" s="32">
        <v>6476</v>
      </c>
      <c r="B6486" s="90">
        <v>7.8818312903263728</v>
      </c>
    </row>
    <row r="6487" spans="1:2">
      <c r="A6487" s="32">
        <v>6477</v>
      </c>
      <c r="B6487" s="90">
        <v>7.5714940315543089</v>
      </c>
    </row>
    <row r="6488" spans="1:2">
      <c r="A6488" s="32">
        <v>6478</v>
      </c>
      <c r="B6488" s="90">
        <v>8.2952183617508108</v>
      </c>
    </row>
    <row r="6489" spans="1:2">
      <c r="A6489" s="32">
        <v>6479</v>
      </c>
      <c r="B6489" s="90">
        <v>8.3672625063682826</v>
      </c>
    </row>
    <row r="6490" spans="1:2">
      <c r="A6490" s="32">
        <v>6480</v>
      </c>
      <c r="B6490" s="90">
        <v>8.4112521301530645</v>
      </c>
    </row>
    <row r="6491" spans="1:2">
      <c r="A6491" s="32">
        <v>6481</v>
      </c>
      <c r="B6491" s="90">
        <v>8.530709948639652</v>
      </c>
    </row>
    <row r="6492" spans="1:2">
      <c r="A6492" s="32">
        <v>6482</v>
      </c>
      <c r="B6492" s="90">
        <v>7.8351543398821022</v>
      </c>
    </row>
    <row r="6493" spans="1:2">
      <c r="A6493" s="32">
        <v>6483</v>
      </c>
      <c r="B6493" s="90">
        <v>8.278014729430776</v>
      </c>
    </row>
    <row r="6494" spans="1:2">
      <c r="A6494" s="32">
        <v>6484</v>
      </c>
      <c r="B6494" s="90">
        <v>8.0443815091651274</v>
      </c>
    </row>
    <row r="6495" spans="1:2">
      <c r="A6495" s="32">
        <v>6485</v>
      </c>
      <c r="B6495" s="90">
        <v>8.5482763456440143</v>
      </c>
    </row>
    <row r="6496" spans="1:2">
      <c r="A6496" s="32">
        <v>6486</v>
      </c>
      <c r="B6496" s="90">
        <v>7.7977734472757341</v>
      </c>
    </row>
    <row r="6497" spans="1:2">
      <c r="A6497" s="32">
        <v>6487</v>
      </c>
      <c r="B6497" s="90">
        <v>9.2956646001703351</v>
      </c>
    </row>
    <row r="6498" spans="1:2">
      <c r="A6498" s="32">
        <v>6488</v>
      </c>
      <c r="B6498" s="90">
        <v>7.3650028492783788</v>
      </c>
    </row>
    <row r="6499" spans="1:2">
      <c r="A6499" s="32">
        <v>6489</v>
      </c>
      <c r="B6499" s="90">
        <v>8.2380184419710378</v>
      </c>
    </row>
    <row r="6500" spans="1:2">
      <c r="A6500" s="32">
        <v>6490</v>
      </c>
      <c r="B6500" s="90">
        <v>8.2934922878356456</v>
      </c>
    </row>
    <row r="6501" spans="1:2">
      <c r="A6501" s="32">
        <v>6491</v>
      </c>
      <c r="B6501" s="90">
        <v>8.7379266975891223</v>
      </c>
    </row>
    <row r="6502" spans="1:2">
      <c r="A6502" s="32">
        <v>6492</v>
      </c>
      <c r="B6502" s="90">
        <v>8.4847951454522939</v>
      </c>
    </row>
    <row r="6503" spans="1:2">
      <c r="A6503" s="32">
        <v>6493</v>
      </c>
      <c r="B6503" s="90">
        <v>8.2119302843879787</v>
      </c>
    </row>
    <row r="6504" spans="1:2">
      <c r="A6504" s="32">
        <v>6494</v>
      </c>
      <c r="B6504" s="90">
        <v>7.483353898423676</v>
      </c>
    </row>
    <row r="6505" spans="1:2">
      <c r="A6505" s="32">
        <v>6495</v>
      </c>
      <c r="B6505" s="90">
        <v>8.3658607539951237</v>
      </c>
    </row>
    <row r="6506" spans="1:2">
      <c r="A6506" s="32">
        <v>6496</v>
      </c>
      <c r="B6506" s="90">
        <v>8.227689785195917</v>
      </c>
    </row>
    <row r="6507" spans="1:2">
      <c r="A6507" s="32">
        <v>6497</v>
      </c>
      <c r="B6507" s="90">
        <v>8.5258316720324103</v>
      </c>
    </row>
    <row r="6508" spans="1:2">
      <c r="A6508" s="32">
        <v>6498</v>
      </c>
      <c r="B6508" s="90">
        <v>9.1051669453137727</v>
      </c>
    </row>
    <row r="6509" spans="1:2">
      <c r="A6509" s="32">
        <v>6499</v>
      </c>
      <c r="B6509" s="90">
        <v>7.7356215798117667</v>
      </c>
    </row>
    <row r="6510" spans="1:2">
      <c r="A6510" s="32">
        <v>6500</v>
      </c>
      <c r="B6510" s="90">
        <v>8.0039518983220326</v>
      </c>
    </row>
    <row r="6511" spans="1:2">
      <c r="A6511" s="32">
        <v>6501</v>
      </c>
      <c r="B6511" s="90">
        <v>8.1605939806690024</v>
      </c>
    </row>
    <row r="6512" spans="1:2">
      <c r="A6512" s="32">
        <v>6502</v>
      </c>
      <c r="B6512" s="90">
        <v>8.5094679203024057</v>
      </c>
    </row>
    <row r="6513" spans="1:2">
      <c r="A6513" s="32">
        <v>6503</v>
      </c>
      <c r="B6513" s="90">
        <v>8.2058678134909595</v>
      </c>
    </row>
    <row r="6514" spans="1:2">
      <c r="A6514" s="32">
        <v>6504</v>
      </c>
      <c r="B6514" s="90">
        <v>9.2598415498904583</v>
      </c>
    </row>
    <row r="6515" spans="1:2">
      <c r="A6515" s="32">
        <v>6505</v>
      </c>
      <c r="B6515" s="90">
        <v>7.4887680363922007</v>
      </c>
    </row>
    <row r="6516" spans="1:2">
      <c r="A6516" s="32">
        <v>6506</v>
      </c>
      <c r="B6516" s="90">
        <v>7.8181347109760386</v>
      </c>
    </row>
    <row r="6517" spans="1:2">
      <c r="A6517" s="32">
        <v>6507</v>
      </c>
      <c r="B6517" s="90">
        <v>8.1887082798129658</v>
      </c>
    </row>
    <row r="6518" spans="1:2">
      <c r="A6518" s="32">
        <v>6508</v>
      </c>
      <c r="B6518" s="90">
        <v>8.5710407293214068</v>
      </c>
    </row>
    <row r="6519" spans="1:2">
      <c r="A6519" s="32">
        <v>6509</v>
      </c>
      <c r="B6519" s="90">
        <v>8.4141243384128082</v>
      </c>
    </row>
    <row r="6520" spans="1:2">
      <c r="A6520" s="32">
        <v>6510</v>
      </c>
      <c r="B6520" s="90">
        <v>8.605148075094732</v>
      </c>
    </row>
    <row r="6521" spans="1:2">
      <c r="A6521" s="32">
        <v>6511</v>
      </c>
      <c r="B6521" s="90">
        <v>8.0073571311796528</v>
      </c>
    </row>
    <row r="6522" spans="1:2">
      <c r="A6522" s="32">
        <v>6512</v>
      </c>
      <c r="B6522" s="90">
        <v>7.7387028924053194</v>
      </c>
    </row>
    <row r="6523" spans="1:2">
      <c r="A6523" s="32">
        <v>6513</v>
      </c>
      <c r="B6523" s="90">
        <v>8.3916965078351815</v>
      </c>
    </row>
    <row r="6524" spans="1:2">
      <c r="A6524" s="32">
        <v>6514</v>
      </c>
      <c r="B6524" s="90">
        <v>8.3645509965027696</v>
      </c>
    </row>
    <row r="6525" spans="1:2">
      <c r="A6525" s="32">
        <v>6515</v>
      </c>
      <c r="B6525" s="90">
        <v>7.9941434775795921</v>
      </c>
    </row>
    <row r="6526" spans="1:2">
      <c r="A6526" s="32">
        <v>6516</v>
      </c>
      <c r="B6526" s="90">
        <v>9.0231031567978999</v>
      </c>
    </row>
    <row r="6527" spans="1:2">
      <c r="A6527" s="32">
        <v>6517</v>
      </c>
      <c r="B6527" s="90">
        <v>7.6756728643794467</v>
      </c>
    </row>
    <row r="6528" spans="1:2">
      <c r="A6528" s="32">
        <v>6518</v>
      </c>
      <c r="B6528" s="90">
        <v>8.3019186577788009</v>
      </c>
    </row>
    <row r="6529" spans="1:2">
      <c r="A6529" s="32">
        <v>6519</v>
      </c>
      <c r="B6529" s="90">
        <v>7.9980764983539627</v>
      </c>
    </row>
    <row r="6530" spans="1:2">
      <c r="A6530" s="32">
        <v>6520</v>
      </c>
      <c r="B6530" s="90">
        <v>8.7463158241490095</v>
      </c>
    </row>
    <row r="6531" spans="1:2">
      <c r="A6531" s="32">
        <v>6521</v>
      </c>
      <c r="B6531" s="90">
        <v>7.7895165939645485</v>
      </c>
    </row>
    <row r="6532" spans="1:2">
      <c r="A6532" s="32">
        <v>6522</v>
      </c>
      <c r="B6532" s="90">
        <v>8.8700756335044169</v>
      </c>
    </row>
    <row r="6533" spans="1:2">
      <c r="A6533" s="32">
        <v>6523</v>
      </c>
      <c r="B6533" s="90">
        <v>7.5978409842993013</v>
      </c>
    </row>
    <row r="6534" spans="1:2">
      <c r="A6534" s="32">
        <v>6524</v>
      </c>
      <c r="B6534" s="90">
        <v>8.3938314578147235</v>
      </c>
    </row>
    <row r="6535" spans="1:2">
      <c r="A6535" s="32">
        <v>6525</v>
      </c>
      <c r="B6535" s="90">
        <v>8.3169822104591891</v>
      </c>
    </row>
    <row r="6536" spans="1:2">
      <c r="A6536" s="32">
        <v>6526</v>
      </c>
      <c r="B6536" s="90">
        <v>8.4209784730148094</v>
      </c>
    </row>
    <row r="6537" spans="1:2">
      <c r="A6537" s="32">
        <v>6527</v>
      </c>
      <c r="B6537" s="90">
        <v>8.6945888577172372</v>
      </c>
    </row>
    <row r="6538" spans="1:2">
      <c r="A6538" s="32">
        <v>6528</v>
      </c>
      <c r="B6538" s="90">
        <v>7.8661835835901144</v>
      </c>
    </row>
    <row r="6539" spans="1:2">
      <c r="A6539" s="32">
        <v>6529</v>
      </c>
      <c r="B6539" s="90">
        <v>7.6949095565474908</v>
      </c>
    </row>
    <row r="6540" spans="1:2">
      <c r="A6540" s="32">
        <v>6530</v>
      </c>
      <c r="B6540" s="90">
        <v>8.3647718774169419</v>
      </c>
    </row>
    <row r="6541" spans="1:2">
      <c r="A6541" s="32">
        <v>6531</v>
      </c>
      <c r="B6541" s="90">
        <v>8.6687333848367061</v>
      </c>
    </row>
    <row r="6542" spans="1:2">
      <c r="A6542" s="32">
        <v>6532</v>
      </c>
      <c r="B6542" s="90">
        <v>8.5062823146387885</v>
      </c>
    </row>
    <row r="6543" spans="1:2">
      <c r="A6543" s="32">
        <v>6533</v>
      </c>
      <c r="B6543" s="90">
        <v>8.879860395403453</v>
      </c>
    </row>
    <row r="6544" spans="1:2">
      <c r="A6544" s="32">
        <v>6534</v>
      </c>
      <c r="B6544" s="90">
        <v>8.1124310591756679</v>
      </c>
    </row>
    <row r="6545" spans="1:2">
      <c r="A6545" s="32">
        <v>6535</v>
      </c>
      <c r="B6545" s="90">
        <v>6.7354914445559615</v>
      </c>
    </row>
    <row r="6546" spans="1:2">
      <c r="A6546" s="32">
        <v>6536</v>
      </c>
      <c r="B6546" s="90">
        <v>8.590560504182303</v>
      </c>
    </row>
    <row r="6547" spans="1:2">
      <c r="A6547" s="32">
        <v>6537</v>
      </c>
      <c r="B6547" s="90">
        <v>7.4334445192188277</v>
      </c>
    </row>
    <row r="6548" spans="1:2">
      <c r="A6548" s="32">
        <v>6538</v>
      </c>
      <c r="B6548" s="90">
        <v>8.2858922393699093</v>
      </c>
    </row>
    <row r="6549" spans="1:2">
      <c r="A6549" s="32">
        <v>6539</v>
      </c>
      <c r="B6549" s="90">
        <v>8.4064480246819908</v>
      </c>
    </row>
    <row r="6550" spans="1:2">
      <c r="A6550" s="32">
        <v>6540</v>
      </c>
      <c r="B6550" s="90">
        <v>8.3719650420368001</v>
      </c>
    </row>
    <row r="6551" spans="1:2">
      <c r="A6551" s="32">
        <v>6541</v>
      </c>
      <c r="B6551" s="90">
        <v>6.3004797059607807</v>
      </c>
    </row>
    <row r="6552" spans="1:2">
      <c r="A6552" s="32">
        <v>6542</v>
      </c>
      <c r="B6552" s="90">
        <v>9.2215548264586822</v>
      </c>
    </row>
    <row r="6553" spans="1:2">
      <c r="A6553" s="32">
        <v>6543</v>
      </c>
      <c r="B6553" s="90">
        <v>6.9578802277370304</v>
      </c>
    </row>
    <row r="6554" spans="1:2">
      <c r="A6554" s="32">
        <v>6544</v>
      </c>
      <c r="B6554" s="90">
        <v>8.800467294317011</v>
      </c>
    </row>
    <row r="6555" spans="1:2">
      <c r="A6555" s="32">
        <v>6545</v>
      </c>
      <c r="B6555" s="90">
        <v>8.4296624880280433</v>
      </c>
    </row>
    <row r="6556" spans="1:2">
      <c r="A6556" s="32">
        <v>6546</v>
      </c>
      <c r="B6556" s="90">
        <v>7.9187446983198297</v>
      </c>
    </row>
    <row r="6557" spans="1:2">
      <c r="A6557" s="32">
        <v>6547</v>
      </c>
      <c r="B6557" s="90">
        <v>6.6781545155391635</v>
      </c>
    </row>
    <row r="6558" spans="1:2">
      <c r="A6558" s="32">
        <v>6548</v>
      </c>
      <c r="B6558" s="90">
        <v>8.6017377021144412</v>
      </c>
    </row>
    <row r="6559" spans="1:2">
      <c r="A6559" s="32">
        <v>6549</v>
      </c>
      <c r="B6559" s="90">
        <v>7.2533646427326088</v>
      </c>
    </row>
    <row r="6560" spans="1:2">
      <c r="A6560" s="32">
        <v>6550</v>
      </c>
      <c r="B6560" s="90">
        <v>8.8077993520773319</v>
      </c>
    </row>
    <row r="6561" spans="1:2">
      <c r="A6561" s="32">
        <v>6551</v>
      </c>
      <c r="B6561" s="90">
        <v>8.4713051959263126</v>
      </c>
    </row>
    <row r="6562" spans="1:2">
      <c r="A6562" s="32">
        <v>6552</v>
      </c>
      <c r="B6562" s="90">
        <v>7.7457341252370755</v>
      </c>
    </row>
    <row r="6563" spans="1:2">
      <c r="A6563" s="32">
        <v>6553</v>
      </c>
      <c r="B6563" s="90">
        <v>7.0428784428404843</v>
      </c>
    </row>
    <row r="6564" spans="1:2">
      <c r="A6564" s="32">
        <v>6554</v>
      </c>
      <c r="B6564" s="90">
        <v>8.3681965746351974</v>
      </c>
    </row>
    <row r="6565" spans="1:2">
      <c r="A6565" s="32">
        <v>6555</v>
      </c>
      <c r="B6565" s="90">
        <v>7.5166217539122497</v>
      </c>
    </row>
    <row r="6566" spans="1:2">
      <c r="A6566" s="32">
        <v>6556</v>
      </c>
      <c r="B6566" s="90">
        <v>8.8761752266739595</v>
      </c>
    </row>
    <row r="6567" spans="1:2">
      <c r="A6567" s="32">
        <v>6557</v>
      </c>
      <c r="B6567" s="90">
        <v>8.2340956685047555</v>
      </c>
    </row>
    <row r="6568" spans="1:2">
      <c r="A6568" s="32">
        <v>6558</v>
      </c>
      <c r="B6568" s="90">
        <v>6.9614814309608768</v>
      </c>
    </row>
    <row r="6569" spans="1:2">
      <c r="A6569" s="32">
        <v>6559</v>
      </c>
      <c r="B6569" s="90">
        <v>7.8688806985640616</v>
      </c>
    </row>
    <row r="6570" spans="1:2">
      <c r="A6570" s="32">
        <v>6560</v>
      </c>
      <c r="B6570" s="90">
        <v>8.2745156394422459</v>
      </c>
    </row>
    <row r="6571" spans="1:2">
      <c r="A6571" s="32">
        <v>6561</v>
      </c>
      <c r="B6571" s="90">
        <v>7.0963838105924095</v>
      </c>
    </row>
    <row r="6572" spans="1:2">
      <c r="A6572" s="32">
        <v>6562</v>
      </c>
      <c r="B6572" s="90">
        <v>9.2736234676085498</v>
      </c>
    </row>
    <row r="6573" spans="1:2">
      <c r="A6573" s="32">
        <v>6563</v>
      </c>
      <c r="B6573" s="90">
        <v>8.2657864088029296</v>
      </c>
    </row>
    <row r="6574" spans="1:2">
      <c r="A6574" s="32">
        <v>6564</v>
      </c>
      <c r="B6574" s="90">
        <v>6.7609551251737949</v>
      </c>
    </row>
    <row r="6575" spans="1:2">
      <c r="A6575" s="32">
        <v>6565</v>
      </c>
      <c r="B6575" s="90">
        <v>8.8159598330670832</v>
      </c>
    </row>
    <row r="6576" spans="1:2">
      <c r="A6576" s="32">
        <v>6566</v>
      </c>
      <c r="B6576" s="90">
        <v>7.2530364590471219</v>
      </c>
    </row>
    <row r="6577" spans="1:2">
      <c r="A6577" s="32">
        <v>6567</v>
      </c>
      <c r="B6577" s="90">
        <v>8.1416381028831122</v>
      </c>
    </row>
    <row r="6578" spans="1:2">
      <c r="A6578" s="32">
        <v>6568</v>
      </c>
      <c r="B6578" s="90">
        <v>8.6308923234923753</v>
      </c>
    </row>
    <row r="6579" spans="1:2">
      <c r="A6579" s="32">
        <v>6569</v>
      </c>
      <c r="B6579" s="90">
        <v>7.9210553277209108</v>
      </c>
    </row>
    <row r="6580" spans="1:2">
      <c r="A6580" s="32">
        <v>6570</v>
      </c>
      <c r="B6580" s="90">
        <v>6.6313124345482413</v>
      </c>
    </row>
    <row r="6581" spans="1:2">
      <c r="A6581" s="32">
        <v>6571</v>
      </c>
      <c r="B6581" s="90">
        <v>9.0665713196168962</v>
      </c>
    </row>
    <row r="6582" spans="1:2">
      <c r="A6582" s="32">
        <v>6572</v>
      </c>
      <c r="B6582" s="90">
        <v>7.1000794896616473</v>
      </c>
    </row>
    <row r="6583" spans="1:2">
      <c r="A6583" s="32">
        <v>6573</v>
      </c>
      <c r="B6583" s="90">
        <v>8.6206195907442957</v>
      </c>
    </row>
    <row r="6584" spans="1:2">
      <c r="A6584" s="32">
        <v>6574</v>
      </c>
      <c r="B6584" s="90">
        <v>8.2419151383223053</v>
      </c>
    </row>
    <row r="6585" spans="1:2">
      <c r="A6585" s="32">
        <v>6575</v>
      </c>
      <c r="B6585" s="90">
        <v>8.2825513350372066</v>
      </c>
    </row>
    <row r="6586" spans="1:2">
      <c r="A6586" s="32">
        <v>6576</v>
      </c>
      <c r="B6586" s="90">
        <v>6.3903221425144965</v>
      </c>
    </row>
    <row r="6587" spans="1:2">
      <c r="A6587" s="32">
        <v>6577</v>
      </c>
      <c r="B6587" s="90">
        <v>8.9721240903405022</v>
      </c>
    </row>
    <row r="6588" spans="1:2">
      <c r="A6588" s="32">
        <v>6578</v>
      </c>
      <c r="B6588" s="90">
        <v>7.1539675550029447</v>
      </c>
    </row>
    <row r="6589" spans="1:2">
      <c r="A6589" s="32">
        <v>6579</v>
      </c>
      <c r="B6589" s="90">
        <v>8.8168524124193617</v>
      </c>
    </row>
    <row r="6590" spans="1:2">
      <c r="A6590" s="32">
        <v>6580</v>
      </c>
      <c r="B6590" s="90">
        <v>8.5786635817433634</v>
      </c>
    </row>
    <row r="6591" spans="1:2">
      <c r="A6591" s="32">
        <v>6581</v>
      </c>
      <c r="B6591" s="90">
        <v>7.5200592775028028</v>
      </c>
    </row>
    <row r="6592" spans="1:2">
      <c r="A6592" s="32">
        <v>6582</v>
      </c>
      <c r="B6592" s="90">
        <v>6.9760721653205673</v>
      </c>
    </row>
    <row r="6593" spans="1:2">
      <c r="A6593" s="32">
        <v>6583</v>
      </c>
      <c r="B6593" s="90">
        <v>8.2646151271103108</v>
      </c>
    </row>
    <row r="6594" spans="1:2">
      <c r="A6594" s="32">
        <v>6584</v>
      </c>
      <c r="B6594" s="90">
        <v>7.4324199457263278</v>
      </c>
    </row>
    <row r="6595" spans="1:2">
      <c r="A6595" s="32">
        <v>6585</v>
      </c>
      <c r="B6595" s="90">
        <v>9.1684820010728529</v>
      </c>
    </row>
    <row r="6596" spans="1:2">
      <c r="A6596" s="32">
        <v>6586</v>
      </c>
      <c r="B6596" s="90">
        <v>8.0814650626022022</v>
      </c>
    </row>
    <row r="6597" spans="1:2">
      <c r="A6597" s="32">
        <v>6587</v>
      </c>
      <c r="B6597" s="90">
        <v>7.1431910939193548</v>
      </c>
    </row>
    <row r="6598" spans="1:2">
      <c r="A6598" s="32">
        <v>6588</v>
      </c>
      <c r="B6598" s="90">
        <v>7.8424717603539849</v>
      </c>
    </row>
    <row r="6599" spans="1:2">
      <c r="A6599" s="32">
        <v>6589</v>
      </c>
      <c r="B6599" s="90">
        <v>8.1011410240382542</v>
      </c>
    </row>
    <row r="6600" spans="1:2">
      <c r="A6600" s="32">
        <v>6590</v>
      </c>
      <c r="B6600" s="90">
        <v>7.508969865483869</v>
      </c>
    </row>
    <row r="6601" spans="1:2">
      <c r="A6601" s="32">
        <v>6591</v>
      </c>
      <c r="B6601" s="90">
        <v>9.2394357845406141</v>
      </c>
    </row>
    <row r="6602" spans="1:2">
      <c r="A6602" s="32">
        <v>6592</v>
      </c>
      <c r="B6602" s="90">
        <v>7.9143997743774435</v>
      </c>
    </row>
    <row r="6603" spans="1:2">
      <c r="A6603" s="32">
        <v>6593</v>
      </c>
      <c r="B6603" s="90">
        <v>6.9243553883860551</v>
      </c>
    </row>
    <row r="6604" spans="1:2">
      <c r="A6604" s="32">
        <v>6594</v>
      </c>
      <c r="B6604" s="90">
        <v>8.7923260142264734</v>
      </c>
    </row>
    <row r="6605" spans="1:2">
      <c r="A6605" s="32">
        <v>6595</v>
      </c>
      <c r="B6605" s="90">
        <v>7.5262489640678218</v>
      </c>
    </row>
    <row r="6606" spans="1:2">
      <c r="A6606" s="32">
        <v>6596</v>
      </c>
      <c r="B6606" s="90">
        <v>7.4391586740250952</v>
      </c>
    </row>
    <row r="6607" spans="1:2">
      <c r="A6607" s="32">
        <v>6597</v>
      </c>
      <c r="B6607" s="90">
        <v>8.879860395403453</v>
      </c>
    </row>
    <row r="6608" spans="1:2">
      <c r="A6608" s="32">
        <v>6598</v>
      </c>
      <c r="B6608" s="90">
        <v>8.1124310591756679</v>
      </c>
    </row>
    <row r="6609" spans="1:2">
      <c r="A6609" s="32">
        <v>6599</v>
      </c>
      <c r="B6609" s="90">
        <v>6.7354914445559615</v>
      </c>
    </row>
    <row r="6610" spans="1:2">
      <c r="A6610" s="32">
        <v>6600</v>
      </c>
      <c r="B6610" s="90">
        <v>8.590560504182303</v>
      </c>
    </row>
    <row r="6611" spans="1:2">
      <c r="A6611" s="32">
        <v>6601</v>
      </c>
      <c r="B6611" s="90">
        <v>7.4334445192188277</v>
      </c>
    </row>
    <row r="6612" spans="1:2">
      <c r="A6612" s="32">
        <v>6602</v>
      </c>
      <c r="B6612" s="90">
        <v>8.2858922393699093</v>
      </c>
    </row>
    <row r="6613" spans="1:2">
      <c r="A6613" s="32">
        <v>6603</v>
      </c>
      <c r="B6613" s="90">
        <v>8.4064480246819908</v>
      </c>
    </row>
    <row r="6614" spans="1:2">
      <c r="A6614" s="32">
        <v>6604</v>
      </c>
      <c r="B6614" s="90">
        <v>8.3719650420368001</v>
      </c>
    </row>
    <row r="6615" spans="1:2">
      <c r="A6615" s="32">
        <v>6605</v>
      </c>
      <c r="B6615" s="90">
        <v>6.3004797059607807</v>
      </c>
    </row>
    <row r="6616" spans="1:2">
      <c r="A6616" s="32">
        <v>6606</v>
      </c>
      <c r="B6616" s="90">
        <v>9.2215548264586822</v>
      </c>
    </row>
    <row r="6617" spans="1:2">
      <c r="A6617" s="32">
        <v>6607</v>
      </c>
      <c r="B6617" s="90">
        <v>6.9578802277370304</v>
      </c>
    </row>
    <row r="6618" spans="1:2">
      <c r="A6618" s="32">
        <v>6608</v>
      </c>
      <c r="B6618" s="90">
        <v>8.800467294317011</v>
      </c>
    </row>
    <row r="6619" spans="1:2">
      <c r="A6619" s="32">
        <v>6609</v>
      </c>
      <c r="B6619" s="90">
        <v>8.4296624880280433</v>
      </c>
    </row>
    <row r="6620" spans="1:2">
      <c r="A6620" s="32">
        <v>6610</v>
      </c>
      <c r="B6620" s="90">
        <v>7.9187446983198297</v>
      </c>
    </row>
    <row r="6621" spans="1:2">
      <c r="A6621" s="32">
        <v>6611</v>
      </c>
      <c r="B6621" s="90">
        <v>6.6781545155391635</v>
      </c>
    </row>
    <row r="6622" spans="1:2">
      <c r="A6622" s="32">
        <v>6612</v>
      </c>
      <c r="B6622" s="90">
        <v>8.5193732393501147</v>
      </c>
    </row>
    <row r="6623" spans="1:2">
      <c r="A6623" s="32">
        <v>6613</v>
      </c>
      <c r="B6623" s="90">
        <v>8.6020184551448722</v>
      </c>
    </row>
    <row r="6624" spans="1:2">
      <c r="A6624" s="32">
        <v>6614</v>
      </c>
      <c r="B6624" s="90">
        <v>7.3993146875719287</v>
      </c>
    </row>
    <row r="6625" spans="1:2">
      <c r="A6625" s="32">
        <v>6615</v>
      </c>
      <c r="B6625" s="90">
        <v>7.2649082858572323</v>
      </c>
    </row>
    <row r="6626" spans="1:2">
      <c r="A6626" s="32">
        <v>6616</v>
      </c>
      <c r="B6626" s="90">
        <v>7.9838920349082709</v>
      </c>
    </row>
    <row r="6627" spans="1:2">
      <c r="A6627" s="32">
        <v>6617</v>
      </c>
      <c r="B6627" s="90">
        <v>8.3645381546615223</v>
      </c>
    </row>
    <row r="6628" spans="1:2">
      <c r="A6628" s="32">
        <v>6618</v>
      </c>
      <c r="B6628" s="90">
        <v>8.4159366706339203</v>
      </c>
    </row>
    <row r="6629" spans="1:2">
      <c r="A6629" s="32">
        <v>6619</v>
      </c>
      <c r="B6629" s="90">
        <v>7.8174092516008997</v>
      </c>
    </row>
    <row r="6630" spans="1:2">
      <c r="A6630" s="32">
        <v>6620</v>
      </c>
      <c r="B6630" s="90">
        <v>7.3337729890279952</v>
      </c>
    </row>
    <row r="6631" spans="1:2">
      <c r="A6631" s="32">
        <v>6621</v>
      </c>
      <c r="B6631" s="90">
        <v>7.7562241648039301</v>
      </c>
    </row>
    <row r="6632" spans="1:2">
      <c r="A6632" s="32">
        <v>6622</v>
      </c>
      <c r="B6632" s="90">
        <v>7.7477388054282486</v>
      </c>
    </row>
    <row r="6633" spans="1:2">
      <c r="A6633" s="32">
        <v>6623</v>
      </c>
      <c r="B6633" s="90">
        <v>8.3407019945543794</v>
      </c>
    </row>
    <row r="6634" spans="1:2">
      <c r="A6634" s="32">
        <v>6624</v>
      </c>
      <c r="B6634" s="90">
        <v>8.1537291529918221</v>
      </c>
    </row>
    <row r="6635" spans="1:2">
      <c r="A6635" s="32">
        <v>6625</v>
      </c>
      <c r="B6635" s="90">
        <v>7.8761543502322562</v>
      </c>
    </row>
    <row r="6636" spans="1:2">
      <c r="A6636" s="32">
        <v>6626</v>
      </c>
      <c r="B6636" s="90">
        <v>7.3533537195962069</v>
      </c>
    </row>
    <row r="6637" spans="1:2">
      <c r="A6637" s="32">
        <v>6627</v>
      </c>
      <c r="B6637" s="90">
        <v>7.5449219082340502</v>
      </c>
    </row>
    <row r="6638" spans="1:2">
      <c r="A6638" s="32">
        <v>6628</v>
      </c>
      <c r="B6638" s="90">
        <v>8.1133789329055634</v>
      </c>
    </row>
    <row r="6639" spans="1:2">
      <c r="A6639" s="32">
        <v>6629</v>
      </c>
      <c r="B6639" s="90">
        <v>8.3614925100533828</v>
      </c>
    </row>
    <row r="6640" spans="1:2">
      <c r="A6640" s="32">
        <v>6630</v>
      </c>
      <c r="B6640" s="90">
        <v>7.8337177488285823</v>
      </c>
    </row>
    <row r="6641" spans="1:2">
      <c r="A6641" s="32">
        <v>6631</v>
      </c>
      <c r="B6641" s="90">
        <v>8.4481857665746052</v>
      </c>
    </row>
    <row r="6642" spans="1:2">
      <c r="A6642" s="32">
        <v>6632</v>
      </c>
      <c r="B6642" s="90">
        <v>7.0511147176186695</v>
      </c>
    </row>
    <row r="6643" spans="1:2">
      <c r="A6643" s="32">
        <v>6633</v>
      </c>
      <c r="B6643" s="90">
        <v>7.8426918421641876</v>
      </c>
    </row>
    <row r="6644" spans="1:2">
      <c r="A6644" s="32">
        <v>6634</v>
      </c>
      <c r="B6644" s="90">
        <v>8.1230511836973296</v>
      </c>
    </row>
    <row r="6645" spans="1:2">
      <c r="A6645" s="32">
        <v>6635</v>
      </c>
      <c r="B6645" s="90">
        <v>8.2174391634733865</v>
      </c>
    </row>
    <row r="6646" spans="1:2">
      <c r="A6646" s="32">
        <v>6636</v>
      </c>
      <c r="B6646" s="90">
        <v>7.9286318355749064</v>
      </c>
    </row>
    <row r="6647" spans="1:2">
      <c r="A6647" s="32">
        <v>6637</v>
      </c>
      <c r="B6647" s="90">
        <v>8.1449202302360817</v>
      </c>
    </row>
    <row r="6648" spans="1:2">
      <c r="A6648" s="32">
        <v>6638</v>
      </c>
      <c r="B6648" s="90">
        <v>7.2817931611919491</v>
      </c>
    </row>
    <row r="6649" spans="1:2">
      <c r="A6649" s="32">
        <v>6639</v>
      </c>
      <c r="B6649" s="90">
        <v>7.6355109754766675</v>
      </c>
    </row>
    <row r="6650" spans="1:2">
      <c r="A6650" s="32">
        <v>6640</v>
      </c>
      <c r="B6650" s="90">
        <v>8.4513681755481205</v>
      </c>
    </row>
    <row r="6651" spans="1:2">
      <c r="A6651" s="32">
        <v>6641</v>
      </c>
      <c r="B6651" s="90">
        <v>8.1963325637601159</v>
      </c>
    </row>
    <row r="6652" spans="1:2">
      <c r="A6652" s="32">
        <v>6642</v>
      </c>
      <c r="B6652" s="90">
        <v>8.0282145561172413</v>
      </c>
    </row>
    <row r="6653" spans="1:2">
      <c r="A6653" s="32">
        <v>6643</v>
      </c>
      <c r="B6653" s="90">
        <v>8.0255043935796717</v>
      </c>
    </row>
    <row r="6654" spans="1:2">
      <c r="A6654" s="32">
        <v>6644</v>
      </c>
      <c r="B6654" s="90">
        <v>7.2875261497891071</v>
      </c>
    </row>
    <row r="6655" spans="1:2">
      <c r="A6655" s="32">
        <v>6645</v>
      </c>
      <c r="B6655" s="90">
        <v>7.4667973112947781</v>
      </c>
    </row>
    <row r="6656" spans="1:2">
      <c r="A6656" s="32">
        <v>6646</v>
      </c>
      <c r="B6656" s="90">
        <v>8.3248039093700168</v>
      </c>
    </row>
    <row r="6657" spans="1:2">
      <c r="A6657" s="32">
        <v>6647</v>
      </c>
      <c r="B6657" s="90">
        <v>8.2884240063691514</v>
      </c>
    </row>
    <row r="6658" spans="1:2">
      <c r="A6658" s="32">
        <v>6648</v>
      </c>
      <c r="B6658" s="90">
        <v>8.5063888229615063</v>
      </c>
    </row>
    <row r="6659" spans="1:2">
      <c r="A6659" s="32">
        <v>6649</v>
      </c>
      <c r="B6659" s="90">
        <v>7.0501284449453392</v>
      </c>
    </row>
    <row r="6660" spans="1:2">
      <c r="A6660" s="32">
        <v>6650</v>
      </c>
      <c r="B6660" s="90">
        <v>7.6933266340577529</v>
      </c>
    </row>
    <row r="6661" spans="1:2">
      <c r="A6661" s="32">
        <v>6651</v>
      </c>
      <c r="B6661" s="90">
        <v>7.9084517124813249</v>
      </c>
    </row>
    <row r="6662" spans="1:2">
      <c r="A6662" s="32">
        <v>6652</v>
      </c>
      <c r="B6662" s="90">
        <v>8.3823756345298666</v>
      </c>
    </row>
    <row r="6663" spans="1:2">
      <c r="A6663" s="32">
        <v>6653</v>
      </c>
      <c r="B6663" s="90">
        <v>8.4445960662812158</v>
      </c>
    </row>
    <row r="6664" spans="1:2">
      <c r="A6664" s="32">
        <v>6654</v>
      </c>
      <c r="B6664" s="90">
        <v>7.6994201939780851</v>
      </c>
    </row>
    <row r="6665" spans="1:2">
      <c r="A6665" s="32">
        <v>6655</v>
      </c>
      <c r="B6665" s="90">
        <v>7.2178681865858207</v>
      </c>
    </row>
    <row r="6666" spans="1:2">
      <c r="A6666" s="32">
        <v>6656</v>
      </c>
      <c r="B6666" s="90">
        <v>7.672561119875505</v>
      </c>
    </row>
    <row r="6667" spans="1:2">
      <c r="A6667" s="32">
        <v>6657</v>
      </c>
      <c r="B6667" s="90">
        <v>7.9936710073672756</v>
      </c>
    </row>
    <row r="6668" spans="1:2">
      <c r="A6668" s="32">
        <v>6658</v>
      </c>
      <c r="B6668" s="90">
        <v>8.3799153353727558</v>
      </c>
    </row>
    <row r="6669" spans="1:2">
      <c r="A6669" s="32">
        <v>6659</v>
      </c>
      <c r="B6669" s="90">
        <v>8.1950397629057665</v>
      </c>
    </row>
    <row r="6670" spans="1:2">
      <c r="A6670" s="32">
        <v>6660</v>
      </c>
      <c r="B6670" s="90">
        <v>7.8969832386735686</v>
      </c>
    </row>
    <row r="6671" spans="1:2">
      <c r="A6671" s="32">
        <v>6661</v>
      </c>
      <c r="B6671" s="90">
        <v>7.3471183860265707</v>
      </c>
    </row>
    <row r="6672" spans="1:2">
      <c r="A6672" s="32">
        <v>6662</v>
      </c>
      <c r="B6672" s="90">
        <v>7.4821924512918487</v>
      </c>
    </row>
    <row r="6673" spans="1:2">
      <c r="A6673" s="32">
        <v>6663</v>
      </c>
      <c r="B6673" s="90">
        <v>8.3669145054835035</v>
      </c>
    </row>
    <row r="6674" spans="1:2">
      <c r="A6674" s="32">
        <v>6664</v>
      </c>
      <c r="B6674" s="90">
        <v>8.6016576201216797</v>
      </c>
    </row>
    <row r="6675" spans="1:2">
      <c r="A6675" s="32">
        <v>6665</v>
      </c>
      <c r="B6675" s="90">
        <v>7.5128370615257136</v>
      </c>
    </row>
    <row r="6676" spans="1:2">
      <c r="A6676" s="32">
        <v>6666</v>
      </c>
      <c r="B6676" s="90">
        <v>8.515037995453195</v>
      </c>
    </row>
    <row r="6677" spans="1:2">
      <c r="A6677" s="32">
        <v>6667</v>
      </c>
      <c r="B6677" s="90">
        <v>6.8984866838556709</v>
      </c>
    </row>
    <row r="6678" spans="1:2">
      <c r="A6678" s="32">
        <v>6668</v>
      </c>
      <c r="B6678" s="90">
        <v>7.9468422805760772</v>
      </c>
    </row>
    <row r="6679" spans="1:2">
      <c r="A6679" s="32">
        <v>6669</v>
      </c>
      <c r="B6679" s="90">
        <v>8.0253416818029333</v>
      </c>
    </row>
    <row r="6680" spans="1:2">
      <c r="A6680" s="32">
        <v>6670</v>
      </c>
      <c r="B6680" s="90">
        <v>8.3160104613639625</v>
      </c>
    </row>
    <row r="6681" spans="1:2">
      <c r="A6681" s="32">
        <v>6671</v>
      </c>
      <c r="B6681" s="90">
        <v>8.1109301127986093</v>
      </c>
    </row>
    <row r="6682" spans="1:2">
      <c r="A6682" s="32">
        <v>6672</v>
      </c>
      <c r="B6682" s="90">
        <v>8.1565974994570105</v>
      </c>
    </row>
    <row r="6683" spans="1:2">
      <c r="A6683" s="32">
        <v>6673</v>
      </c>
      <c r="B6683" s="90">
        <v>7.0676194610758021</v>
      </c>
    </row>
    <row r="6684" spans="1:2">
      <c r="A6684" s="32">
        <v>6674</v>
      </c>
      <c r="B6684" s="90">
        <v>7.5865584069061622</v>
      </c>
    </row>
    <row r="6685" spans="1:2">
      <c r="A6685" s="32">
        <v>6675</v>
      </c>
      <c r="B6685" s="90">
        <v>8.3676954063480711</v>
      </c>
    </row>
    <row r="6686" spans="1:2">
      <c r="A6686" s="32">
        <v>6676</v>
      </c>
      <c r="B6686" s="90">
        <v>8.3063174250151786</v>
      </c>
    </row>
    <row r="6687" spans="1:2">
      <c r="A6687" s="32">
        <v>6677</v>
      </c>
      <c r="B6687" s="90">
        <v>8.6020184551448722</v>
      </c>
    </row>
    <row r="6688" spans="1:2">
      <c r="A6688" s="32">
        <v>6678</v>
      </c>
      <c r="B6688" s="90">
        <v>7.3993146875719287</v>
      </c>
    </row>
    <row r="6689" spans="1:2">
      <c r="A6689" s="32">
        <v>6679</v>
      </c>
      <c r="B6689" s="90">
        <v>7.2649082858572323</v>
      </c>
    </row>
    <row r="6690" spans="1:2">
      <c r="A6690" s="32">
        <v>6680</v>
      </c>
      <c r="B6690" s="90">
        <v>7.9838920349082709</v>
      </c>
    </row>
    <row r="6691" spans="1:2">
      <c r="A6691" s="32">
        <v>6681</v>
      </c>
      <c r="B6691" s="90">
        <v>8.3645381546615223</v>
      </c>
    </row>
    <row r="6692" spans="1:2">
      <c r="A6692" s="32">
        <v>6682</v>
      </c>
      <c r="B6692" s="90">
        <v>8.4159366706339203</v>
      </c>
    </row>
    <row r="6693" spans="1:2">
      <c r="A6693" s="32">
        <v>6683</v>
      </c>
      <c r="B6693" s="90">
        <v>7.8174092516008997</v>
      </c>
    </row>
    <row r="6694" spans="1:2">
      <c r="A6694" s="32">
        <v>6684</v>
      </c>
      <c r="B6694" s="90">
        <v>7.3337729890279952</v>
      </c>
    </row>
    <row r="6695" spans="1:2">
      <c r="A6695" s="32">
        <v>6685</v>
      </c>
      <c r="B6695" s="90">
        <v>7.7562241648039301</v>
      </c>
    </row>
    <row r="6696" spans="1:2">
      <c r="A6696" s="32">
        <v>6686</v>
      </c>
      <c r="B6696" s="90">
        <v>7.7477388054282486</v>
      </c>
    </row>
    <row r="6697" spans="1:2">
      <c r="A6697" s="32">
        <v>6687</v>
      </c>
      <c r="B6697" s="90">
        <v>8.3407019945543794</v>
      </c>
    </row>
    <row r="6698" spans="1:2">
      <c r="A6698" s="32">
        <v>6688</v>
      </c>
      <c r="B6698" s="90">
        <v>8.1537291529918221</v>
      </c>
    </row>
    <row r="6699" spans="1:2">
      <c r="A6699" s="32">
        <v>6689</v>
      </c>
      <c r="B6699" s="90">
        <v>7.8761543502322562</v>
      </c>
    </row>
    <row r="6700" spans="1:2">
      <c r="A6700" s="32">
        <v>6690</v>
      </c>
      <c r="B6700" s="90">
        <v>7.3533537195962069</v>
      </c>
    </row>
    <row r="6701" spans="1:2">
      <c r="A6701" s="32">
        <v>6691</v>
      </c>
      <c r="B6701" s="90">
        <v>7.5449219082340502</v>
      </c>
    </row>
    <row r="6702" spans="1:2">
      <c r="A6702" s="32">
        <v>6692</v>
      </c>
      <c r="B6702" s="90">
        <v>8.1133789329055634</v>
      </c>
    </row>
    <row r="6703" spans="1:2">
      <c r="A6703" s="32">
        <v>6693</v>
      </c>
      <c r="B6703" s="90">
        <v>8.3614925100533828</v>
      </c>
    </row>
    <row r="6704" spans="1:2">
      <c r="A6704" s="32">
        <v>6694</v>
      </c>
      <c r="B6704" s="90">
        <v>7.8337177488285823</v>
      </c>
    </row>
    <row r="6705" spans="1:2">
      <c r="A6705" s="32">
        <v>6695</v>
      </c>
      <c r="B6705" s="90">
        <v>8.4481857665746052</v>
      </c>
    </row>
    <row r="6706" spans="1:2">
      <c r="A6706" s="32">
        <v>6696</v>
      </c>
      <c r="B6706" s="90">
        <v>7.0511147176186695</v>
      </c>
    </row>
    <row r="6707" spans="1:2">
      <c r="A6707" s="32">
        <v>6697</v>
      </c>
      <c r="B6707" s="90">
        <v>7.8426918421641876</v>
      </c>
    </row>
    <row r="6708" spans="1:2">
      <c r="A6708" s="32">
        <v>6698</v>
      </c>
      <c r="B6708" s="90">
        <v>8.1230511836973296</v>
      </c>
    </row>
    <row r="6709" spans="1:2">
      <c r="A6709" s="32">
        <v>6699</v>
      </c>
      <c r="B6709" s="90">
        <v>8.2174391634733865</v>
      </c>
    </row>
    <row r="6710" spans="1:2">
      <c r="A6710" s="32">
        <v>6700</v>
      </c>
      <c r="B6710" s="90">
        <v>7.9286318355749064</v>
      </c>
    </row>
    <row r="6711" spans="1:2">
      <c r="A6711" s="32">
        <v>6701</v>
      </c>
      <c r="B6711" s="90">
        <v>8.1449202302360817</v>
      </c>
    </row>
    <row r="6712" spans="1:2">
      <c r="A6712" s="32">
        <v>6702</v>
      </c>
      <c r="B6712" s="90">
        <v>7.2817931611919491</v>
      </c>
    </row>
    <row r="6713" spans="1:2">
      <c r="A6713" s="32">
        <v>6703</v>
      </c>
      <c r="B6713" s="90">
        <v>7.6355109754766675</v>
      </c>
    </row>
    <row r="6714" spans="1:2">
      <c r="A6714" s="32">
        <v>6704</v>
      </c>
      <c r="B6714" s="90">
        <v>8.4513681755481205</v>
      </c>
    </row>
    <row r="6715" spans="1:2">
      <c r="A6715" s="32">
        <v>6705</v>
      </c>
      <c r="B6715" s="90">
        <v>8.1963325637601159</v>
      </c>
    </row>
    <row r="6716" spans="1:2">
      <c r="A6716" s="32">
        <v>6706</v>
      </c>
      <c r="B6716" s="90">
        <v>8.0282145561172413</v>
      </c>
    </row>
    <row r="6717" spans="1:2">
      <c r="A6717" s="32">
        <v>6707</v>
      </c>
      <c r="B6717" s="90">
        <v>8.0255043935796717</v>
      </c>
    </row>
    <row r="6718" spans="1:2">
      <c r="A6718" s="32">
        <v>6708</v>
      </c>
      <c r="B6718" s="90">
        <v>7.2875261497891071</v>
      </c>
    </row>
    <row r="6719" spans="1:2">
      <c r="A6719" s="32">
        <v>6709</v>
      </c>
      <c r="B6719" s="90">
        <v>7.4667973112947781</v>
      </c>
    </row>
    <row r="6720" spans="1:2">
      <c r="A6720" s="32">
        <v>6710</v>
      </c>
      <c r="B6720" s="90">
        <v>8.3248039093700168</v>
      </c>
    </row>
    <row r="6721" spans="1:2">
      <c r="A6721" s="32">
        <v>6711</v>
      </c>
      <c r="B6721" s="90">
        <v>8.2884240063691514</v>
      </c>
    </row>
    <row r="6722" spans="1:2">
      <c r="A6722" s="32">
        <v>6712</v>
      </c>
      <c r="B6722" s="90">
        <v>8.5063888229615063</v>
      </c>
    </row>
    <row r="6723" spans="1:2">
      <c r="A6723" s="32">
        <v>6713</v>
      </c>
      <c r="B6723" s="90">
        <v>7.0501284449453392</v>
      </c>
    </row>
    <row r="6724" spans="1:2">
      <c r="A6724" s="32">
        <v>6714</v>
      </c>
      <c r="B6724" s="90">
        <v>7.6933266340577529</v>
      </c>
    </row>
    <row r="6725" spans="1:2">
      <c r="A6725" s="32">
        <v>6715</v>
      </c>
      <c r="B6725" s="90">
        <v>7.9084517124813249</v>
      </c>
    </row>
    <row r="6726" spans="1:2">
      <c r="A6726" s="32">
        <v>6716</v>
      </c>
      <c r="B6726" s="90">
        <v>8.3823756345298666</v>
      </c>
    </row>
    <row r="6727" spans="1:2">
      <c r="A6727" s="32">
        <v>6717</v>
      </c>
      <c r="B6727" s="90">
        <v>8.4445960662812158</v>
      </c>
    </row>
    <row r="6728" spans="1:2">
      <c r="A6728" s="32">
        <v>6718</v>
      </c>
      <c r="B6728" s="90">
        <v>6.8507909185620433</v>
      </c>
    </row>
    <row r="6729" spans="1:2">
      <c r="A6729" s="32">
        <v>6719</v>
      </c>
      <c r="B6729" s="90">
        <v>7.1529436695423669</v>
      </c>
    </row>
    <row r="6730" spans="1:2">
      <c r="A6730" s="32">
        <v>6720</v>
      </c>
      <c r="B6730" s="90">
        <v>9.2495078984706609</v>
      </c>
    </row>
    <row r="6731" spans="1:2">
      <c r="A6731" s="32">
        <v>6721</v>
      </c>
      <c r="B6731" s="90">
        <v>7.6536928279571548</v>
      </c>
    </row>
    <row r="6732" spans="1:2">
      <c r="A6732" s="32">
        <v>6722</v>
      </c>
      <c r="B6732" s="90">
        <v>8.2703718964184176</v>
      </c>
    </row>
    <row r="6733" spans="1:2">
      <c r="A6733" s="32">
        <v>6723</v>
      </c>
      <c r="B6733" s="90">
        <v>8.3233433369970626</v>
      </c>
    </row>
    <row r="6734" spans="1:2">
      <c r="A6734" s="32">
        <v>6724</v>
      </c>
      <c r="B6734" s="90">
        <v>6.5014442363702489</v>
      </c>
    </row>
    <row r="6735" spans="1:2">
      <c r="A6735" s="32">
        <v>6725</v>
      </c>
      <c r="B6735" s="90">
        <v>7.1943884139772765</v>
      </c>
    </row>
    <row r="6736" spans="1:2">
      <c r="A6736" s="32">
        <v>6726</v>
      </c>
      <c r="B6736" s="90">
        <v>9.3044578239742304</v>
      </c>
    </row>
    <row r="6737" spans="1:2">
      <c r="A6737" s="32">
        <v>6727</v>
      </c>
      <c r="B6737" s="90">
        <v>8.0237759186551365</v>
      </c>
    </row>
    <row r="6738" spans="1:2">
      <c r="A6738" s="32">
        <v>6728</v>
      </c>
      <c r="B6738" s="90">
        <v>8.1788340988808947</v>
      </c>
    </row>
    <row r="6739" spans="1:2">
      <c r="A6739" s="32">
        <v>6729</v>
      </c>
      <c r="B6739" s="90">
        <v>7.8122847912926989</v>
      </c>
    </row>
    <row r="6740" spans="1:2">
      <c r="A6740" s="32">
        <v>6730</v>
      </c>
      <c r="B6740" s="90">
        <v>6.8485065339540796</v>
      </c>
    </row>
    <row r="6741" spans="1:2">
      <c r="A6741" s="32">
        <v>6731</v>
      </c>
      <c r="B6741" s="90">
        <v>7.9205524890443906</v>
      </c>
    </row>
    <row r="6742" spans="1:2">
      <c r="A6742" s="32">
        <v>6732</v>
      </c>
      <c r="B6742" s="90">
        <v>8.5082946296604032</v>
      </c>
    </row>
    <row r="6743" spans="1:2">
      <c r="A6743" s="32">
        <v>6733</v>
      </c>
      <c r="B6743" s="90">
        <v>7.6680491531727579</v>
      </c>
    </row>
    <row r="6744" spans="1:2">
      <c r="A6744" s="32">
        <v>6734</v>
      </c>
      <c r="B6744" s="90">
        <v>8.6125994389823592</v>
      </c>
    </row>
    <row r="6745" spans="1:2">
      <c r="A6745" s="32">
        <v>6735</v>
      </c>
      <c r="B6745" s="90">
        <v>7.3676311037237987</v>
      </c>
    </row>
    <row r="6746" spans="1:2">
      <c r="A6746" s="32">
        <v>6736</v>
      </c>
      <c r="B6746" s="90">
        <v>6.8523290913927539</v>
      </c>
    </row>
    <row r="6747" spans="1:2">
      <c r="A6747" s="32">
        <v>6737</v>
      </c>
      <c r="B6747" s="90">
        <v>8.6081998295993216</v>
      </c>
    </row>
    <row r="6748" spans="1:2">
      <c r="A6748" s="32">
        <v>6738</v>
      </c>
      <c r="B6748" s="90">
        <v>7.9676876889606785</v>
      </c>
    </row>
    <row r="6749" spans="1:2">
      <c r="A6749" s="32">
        <v>6739</v>
      </c>
      <c r="B6749" s="90">
        <v>8.1160576529391957</v>
      </c>
    </row>
    <row r="6750" spans="1:2">
      <c r="A6750" s="32">
        <v>6740</v>
      </c>
      <c r="B6750" s="90">
        <v>8.4584578369716059</v>
      </c>
    </row>
    <row r="6751" spans="1:2">
      <c r="A6751" s="32">
        <v>6741</v>
      </c>
      <c r="B6751" s="90">
        <v>7.2846747869375283</v>
      </c>
    </row>
    <row r="6752" spans="1:2">
      <c r="A6752" s="32">
        <v>6742</v>
      </c>
      <c r="B6752" s="90">
        <v>6.9580645178651306</v>
      </c>
    </row>
    <row r="6753" spans="1:2">
      <c r="A6753" s="32">
        <v>6743</v>
      </c>
      <c r="B6753" s="90">
        <v>8.8838162517373469</v>
      </c>
    </row>
    <row r="6754" spans="1:2">
      <c r="A6754" s="32">
        <v>6744</v>
      </c>
      <c r="B6754" s="90">
        <v>7.4300242392629627</v>
      </c>
    </row>
    <row r="6755" spans="1:2">
      <c r="A6755" s="32">
        <v>6745</v>
      </c>
      <c r="B6755" s="90">
        <v>8.3326799764642558</v>
      </c>
    </row>
    <row r="6756" spans="1:2">
      <c r="A6756" s="32">
        <v>6746</v>
      </c>
      <c r="B6756" s="90">
        <v>8.4038548305007517</v>
      </c>
    </row>
    <row r="6757" spans="1:2">
      <c r="A6757" s="32">
        <v>6747</v>
      </c>
      <c r="B6757" s="90">
        <v>6.7412998964196102</v>
      </c>
    </row>
    <row r="6758" spans="1:2">
      <c r="A6758" s="32">
        <v>6748</v>
      </c>
      <c r="B6758" s="90">
        <v>7.5857954134288166</v>
      </c>
    </row>
    <row r="6759" spans="1:2">
      <c r="A6759" s="32">
        <v>6749</v>
      </c>
      <c r="B6759" s="90">
        <v>8.9483083941229538</v>
      </c>
    </row>
    <row r="6760" spans="1:2">
      <c r="A6760" s="32">
        <v>6750</v>
      </c>
      <c r="B6760" s="90">
        <v>7.4911476789738476</v>
      </c>
    </row>
    <row r="6761" spans="1:2">
      <c r="A6761" s="32">
        <v>6751</v>
      </c>
      <c r="B6761" s="90">
        <v>8.2472361253360535</v>
      </c>
    </row>
    <row r="6762" spans="1:2">
      <c r="A6762" s="32">
        <v>6752</v>
      </c>
      <c r="B6762" s="90">
        <v>8.3257278656539953</v>
      </c>
    </row>
    <row r="6763" spans="1:2">
      <c r="A6763" s="32">
        <v>6753</v>
      </c>
      <c r="B6763" s="90">
        <v>6.6742200951226778</v>
      </c>
    </row>
    <row r="6764" spans="1:2">
      <c r="A6764" s="32">
        <v>6754</v>
      </c>
      <c r="B6764" s="90">
        <v>7.3473879418516042</v>
      </c>
    </row>
    <row r="6765" spans="1:2">
      <c r="A6765" s="32">
        <v>6755</v>
      </c>
      <c r="B6765" s="90">
        <v>9.3785423364544744</v>
      </c>
    </row>
    <row r="6766" spans="1:2">
      <c r="A6766" s="32">
        <v>6756</v>
      </c>
      <c r="B6766" s="90">
        <v>7.497528350628353</v>
      </c>
    </row>
    <row r="6767" spans="1:2">
      <c r="A6767" s="32">
        <v>6757</v>
      </c>
      <c r="B6767" s="90">
        <v>8.1977681663207989</v>
      </c>
    </row>
    <row r="6768" spans="1:2">
      <c r="A6768" s="32">
        <v>6758</v>
      </c>
      <c r="B6768" s="90">
        <v>8.1938006318266119</v>
      </c>
    </row>
    <row r="6769" spans="1:2">
      <c r="A6769" s="32">
        <v>6759</v>
      </c>
      <c r="B6769" s="90">
        <v>6.778284106650994</v>
      </c>
    </row>
    <row r="6770" spans="1:2">
      <c r="A6770" s="32">
        <v>6760</v>
      </c>
      <c r="B6770" s="90">
        <v>7.6459824481660874</v>
      </c>
    </row>
    <row r="6771" spans="1:2">
      <c r="A6771" s="32">
        <v>6761</v>
      </c>
      <c r="B6771" s="90">
        <v>8.8868021836530673</v>
      </c>
    </row>
    <row r="6772" spans="1:2">
      <c r="A6772" s="32">
        <v>6762</v>
      </c>
      <c r="B6772" s="90">
        <v>7.4909465625823017</v>
      </c>
    </row>
    <row r="6773" spans="1:2">
      <c r="A6773" s="32">
        <v>6763</v>
      </c>
      <c r="B6773" s="90">
        <v>8.7909735948277454</v>
      </c>
    </row>
    <row r="6774" spans="1:2">
      <c r="A6774" s="32">
        <v>6764</v>
      </c>
      <c r="B6774" s="90">
        <v>7.5874842775626332</v>
      </c>
    </row>
    <row r="6775" spans="1:2">
      <c r="A6775" s="32">
        <v>6765</v>
      </c>
      <c r="B6775" s="90">
        <v>6.75683502898538</v>
      </c>
    </row>
    <row r="6776" spans="1:2">
      <c r="A6776" s="32">
        <v>6766</v>
      </c>
      <c r="B6776" s="90">
        <v>8.3921469982712829</v>
      </c>
    </row>
    <row r="6777" spans="1:2">
      <c r="A6777" s="32">
        <v>6767</v>
      </c>
      <c r="B6777" s="90">
        <v>7.9603866912658967</v>
      </c>
    </row>
    <row r="6778" spans="1:2">
      <c r="A6778" s="32">
        <v>6768</v>
      </c>
      <c r="B6778" s="90">
        <v>7.8886769371515335</v>
      </c>
    </row>
    <row r="6779" spans="1:2">
      <c r="A6779" s="32">
        <v>6769</v>
      </c>
      <c r="B6779" s="90">
        <v>8.9390718462707479</v>
      </c>
    </row>
    <row r="6780" spans="1:2">
      <c r="A6780" s="32">
        <v>6770</v>
      </c>
      <c r="B6780" s="90">
        <v>7.0445798469163208</v>
      </c>
    </row>
    <row r="6781" spans="1:2">
      <c r="A6781" s="32">
        <v>6771</v>
      </c>
      <c r="B6781" s="90">
        <v>6.8712798209333901</v>
      </c>
    </row>
    <row r="6782" spans="1:2">
      <c r="A6782" s="32">
        <v>6772</v>
      </c>
      <c r="B6782" s="90">
        <v>8.6935197722579503</v>
      </c>
    </row>
    <row r="6783" spans="1:2">
      <c r="A6783" s="32">
        <v>6773</v>
      </c>
      <c r="B6783" s="90">
        <v>7.6371240221555476</v>
      </c>
    </row>
    <row r="6784" spans="1:2">
      <c r="A6784" s="32">
        <v>6774</v>
      </c>
      <c r="B6784" s="90">
        <v>8.6097319726913284</v>
      </c>
    </row>
    <row r="6785" spans="1:2">
      <c r="A6785" s="32">
        <v>6775</v>
      </c>
      <c r="B6785" s="90">
        <v>8.3218584209461728</v>
      </c>
    </row>
    <row r="6786" spans="1:2">
      <c r="A6786" s="32">
        <v>6776</v>
      </c>
      <c r="B6786" s="90">
        <v>6.8149168960559985</v>
      </c>
    </row>
    <row r="6787" spans="1:2">
      <c r="A6787" s="32">
        <v>6777</v>
      </c>
      <c r="B6787" s="90">
        <v>7.3383370376387864</v>
      </c>
    </row>
    <row r="6788" spans="1:2">
      <c r="A6788" s="32">
        <v>6778</v>
      </c>
      <c r="B6788" s="90">
        <v>9.208458524084703</v>
      </c>
    </row>
    <row r="6789" spans="1:2">
      <c r="A6789" s="32">
        <v>6779</v>
      </c>
      <c r="B6789" s="90">
        <v>7.2925907140458959</v>
      </c>
    </row>
    <row r="6790" spans="1:2">
      <c r="A6790" s="32">
        <v>6780</v>
      </c>
      <c r="B6790" s="90">
        <v>8.3108165341863511</v>
      </c>
    </row>
    <row r="6791" spans="1:2">
      <c r="A6791" s="32">
        <v>6781</v>
      </c>
      <c r="B6791" s="90">
        <v>8.3394069872317829</v>
      </c>
    </row>
    <row r="6792" spans="1:2">
      <c r="A6792" s="32">
        <v>6782</v>
      </c>
      <c r="B6792" s="90">
        <v>6.8831323353745448</v>
      </c>
    </row>
    <row r="6793" spans="1:2">
      <c r="A6793" s="32">
        <v>6783</v>
      </c>
      <c r="B6793" s="90">
        <v>7.1529436695423669</v>
      </c>
    </row>
    <row r="6794" spans="1:2">
      <c r="A6794" s="32">
        <v>6784</v>
      </c>
      <c r="B6794" s="90">
        <v>9.2495078984706609</v>
      </c>
    </row>
    <row r="6795" spans="1:2">
      <c r="A6795" s="32">
        <v>6785</v>
      </c>
      <c r="B6795" s="90">
        <v>7.6536928279571548</v>
      </c>
    </row>
    <row r="6796" spans="1:2">
      <c r="A6796" s="32">
        <v>6786</v>
      </c>
      <c r="B6796" s="90">
        <v>8.2703718964184176</v>
      </c>
    </row>
    <row r="6797" spans="1:2">
      <c r="A6797" s="32">
        <v>6787</v>
      </c>
      <c r="B6797" s="90">
        <v>8.3233433369970626</v>
      </c>
    </row>
    <row r="6798" spans="1:2">
      <c r="A6798" s="32">
        <v>6788</v>
      </c>
      <c r="B6798" s="90">
        <v>6.5014442363702489</v>
      </c>
    </row>
    <row r="6799" spans="1:2">
      <c r="A6799" s="32">
        <v>6789</v>
      </c>
      <c r="B6799" s="90">
        <v>7.1943884139772765</v>
      </c>
    </row>
    <row r="6800" spans="1:2">
      <c r="A6800" s="32">
        <v>6790</v>
      </c>
      <c r="B6800" s="90">
        <v>9.3044578239742304</v>
      </c>
    </row>
    <row r="6801" spans="1:2">
      <c r="A6801" s="32">
        <v>6791</v>
      </c>
      <c r="B6801" s="90">
        <v>8.0237759186551365</v>
      </c>
    </row>
    <row r="6802" spans="1:2">
      <c r="A6802" s="32">
        <v>6792</v>
      </c>
      <c r="B6802" s="90">
        <v>8.1788340988808947</v>
      </c>
    </row>
    <row r="6803" spans="1:2">
      <c r="A6803" s="32">
        <v>6793</v>
      </c>
      <c r="B6803" s="90">
        <v>7.8122847912926989</v>
      </c>
    </row>
    <row r="6804" spans="1:2">
      <c r="A6804" s="32">
        <v>6794</v>
      </c>
      <c r="B6804" s="90">
        <v>6.8485065339540796</v>
      </c>
    </row>
    <row r="6805" spans="1:2">
      <c r="A6805" s="32">
        <v>6795</v>
      </c>
      <c r="B6805" s="90">
        <v>7.9205524890443906</v>
      </c>
    </row>
    <row r="6806" spans="1:2">
      <c r="A6806" s="32">
        <v>6796</v>
      </c>
      <c r="B6806" s="90">
        <v>8.5082946296604032</v>
      </c>
    </row>
    <row r="6807" spans="1:2">
      <c r="A6807" s="32">
        <v>6797</v>
      </c>
      <c r="B6807" s="90">
        <v>7.6680491531727579</v>
      </c>
    </row>
    <row r="6808" spans="1:2">
      <c r="A6808" s="32">
        <v>6798</v>
      </c>
      <c r="B6808" s="90">
        <v>8.6125994389823592</v>
      </c>
    </row>
    <row r="6809" spans="1:2">
      <c r="A6809" s="32">
        <v>6799</v>
      </c>
      <c r="B6809" s="90">
        <v>7.3676311037237987</v>
      </c>
    </row>
    <row r="6810" spans="1:2">
      <c r="A6810" s="32">
        <v>6800</v>
      </c>
      <c r="B6810" s="90">
        <v>6.7187908116222905</v>
      </c>
    </row>
    <row r="6811" spans="1:2">
      <c r="A6811" s="32">
        <v>6801</v>
      </c>
      <c r="B6811" s="90">
        <v>8.6521572394649375</v>
      </c>
    </row>
    <row r="6812" spans="1:2">
      <c r="A6812" s="32">
        <v>6802</v>
      </c>
      <c r="B6812" s="90">
        <v>8.705884223297069</v>
      </c>
    </row>
    <row r="6813" spans="1:2">
      <c r="A6813" s="32">
        <v>6803</v>
      </c>
      <c r="B6813" s="90">
        <v>7.3909413669862571</v>
      </c>
    </row>
    <row r="6814" spans="1:2">
      <c r="A6814" s="32">
        <v>6804</v>
      </c>
      <c r="B6814" s="90">
        <v>7.5152832809221524</v>
      </c>
    </row>
    <row r="6815" spans="1:2">
      <c r="A6815" s="32">
        <v>6805</v>
      </c>
      <c r="B6815" s="90">
        <v>8.3953440687563017</v>
      </c>
    </row>
    <row r="6816" spans="1:2">
      <c r="A6816" s="32">
        <v>6806</v>
      </c>
      <c r="B6816" s="90">
        <v>7.5090153623239022</v>
      </c>
    </row>
    <row r="6817" spans="1:2">
      <c r="A6817" s="32">
        <v>6807</v>
      </c>
      <c r="B6817" s="90">
        <v>8.8707117121894754</v>
      </c>
    </row>
    <row r="6818" spans="1:2">
      <c r="A6818" s="32">
        <v>6808</v>
      </c>
      <c r="B6818" s="90">
        <v>9.1400390229832897</v>
      </c>
    </row>
    <row r="6819" spans="1:2">
      <c r="A6819" s="32">
        <v>6809</v>
      </c>
      <c r="B6819" s="90">
        <v>6.3261834895648192</v>
      </c>
    </row>
    <row r="6820" spans="1:2">
      <c r="A6820" s="32">
        <v>6810</v>
      </c>
      <c r="B6820" s="90">
        <v>8.0777432892115293</v>
      </c>
    </row>
    <row r="6821" spans="1:2">
      <c r="A6821" s="32">
        <v>6811</v>
      </c>
      <c r="B6821" s="90">
        <v>8.2059340935568947</v>
      </c>
    </row>
    <row r="6822" spans="1:2">
      <c r="A6822" s="32">
        <v>6812</v>
      </c>
      <c r="B6822" s="90">
        <v>7.273126583953835</v>
      </c>
    </row>
    <row r="6823" spans="1:2">
      <c r="A6823" s="32">
        <v>6813</v>
      </c>
      <c r="B6823" s="90">
        <v>8.8357320293044523</v>
      </c>
    </row>
    <row r="6824" spans="1:2">
      <c r="A6824" s="32">
        <v>6814</v>
      </c>
      <c r="B6824" s="90">
        <v>8.4909021383263514</v>
      </c>
    </row>
    <row r="6825" spans="1:2">
      <c r="A6825" s="32">
        <v>6815</v>
      </c>
      <c r="B6825" s="90">
        <v>7.2775449864490938</v>
      </c>
    </row>
    <row r="6826" spans="1:2">
      <c r="A6826" s="32">
        <v>6816</v>
      </c>
      <c r="B6826" s="90">
        <v>7.972268737076055</v>
      </c>
    </row>
    <row r="6827" spans="1:2">
      <c r="A6827" s="32">
        <v>6817</v>
      </c>
      <c r="B6827" s="90">
        <v>8.022775089542483</v>
      </c>
    </row>
    <row r="6828" spans="1:2">
      <c r="A6828" s="32">
        <v>6818</v>
      </c>
      <c r="B6828" s="90">
        <v>7.7324491696784188</v>
      </c>
    </row>
    <row r="6829" spans="1:2">
      <c r="A6829" s="32">
        <v>6819</v>
      </c>
      <c r="B6829" s="90">
        <v>8.5235091635837801</v>
      </c>
    </row>
    <row r="6830" spans="1:2">
      <c r="A6830" s="32">
        <v>6820</v>
      </c>
      <c r="B6830" s="90">
        <v>8.1805069242728301</v>
      </c>
    </row>
    <row r="6831" spans="1:2">
      <c r="A6831" s="32">
        <v>6821</v>
      </c>
      <c r="B6831" s="90">
        <v>7.3250881874234617</v>
      </c>
    </row>
    <row r="6832" spans="1:2">
      <c r="A6832" s="32">
        <v>6822</v>
      </c>
      <c r="B6832" s="90">
        <v>7.9441968983261919</v>
      </c>
    </row>
    <row r="6833" spans="1:2">
      <c r="A6833" s="32">
        <v>6823</v>
      </c>
      <c r="B6833" s="90">
        <v>8.1788926017284229</v>
      </c>
    </row>
    <row r="6834" spans="1:2">
      <c r="A6834" s="32">
        <v>6824</v>
      </c>
      <c r="B6834" s="90">
        <v>7.4050297374307155</v>
      </c>
    </row>
    <row r="6835" spans="1:2">
      <c r="A6835" s="32">
        <v>6825</v>
      </c>
      <c r="B6835" s="90">
        <v>9.0087427481434457</v>
      </c>
    </row>
    <row r="6836" spans="1:2">
      <c r="A6836" s="32">
        <v>6826</v>
      </c>
      <c r="B6836" s="90">
        <v>8.0648654015932468</v>
      </c>
    </row>
    <row r="6837" spans="1:2">
      <c r="A6837" s="32">
        <v>6827</v>
      </c>
      <c r="B6837" s="90">
        <v>7.1174261864522208</v>
      </c>
    </row>
    <row r="6838" spans="1:2">
      <c r="A6838" s="32">
        <v>6828</v>
      </c>
      <c r="B6838" s="90">
        <v>7.830566807164014</v>
      </c>
    </row>
    <row r="6839" spans="1:2">
      <c r="A6839" s="32">
        <v>6829</v>
      </c>
      <c r="B6839" s="90">
        <v>7.883564709135638</v>
      </c>
    </row>
    <row r="6840" spans="1:2">
      <c r="A6840" s="32">
        <v>6830</v>
      </c>
      <c r="B6840" s="90">
        <v>7.980548850821692</v>
      </c>
    </row>
    <row r="6841" spans="1:2">
      <c r="A6841" s="32">
        <v>6831</v>
      </c>
      <c r="B6841" s="90">
        <v>9.2580114326886367</v>
      </c>
    </row>
    <row r="6842" spans="1:2">
      <c r="A6842" s="32">
        <v>6832</v>
      </c>
      <c r="B6842" s="90">
        <v>7.6333357507085822</v>
      </c>
    </row>
    <row r="6843" spans="1:2">
      <c r="A6843" s="32">
        <v>6833</v>
      </c>
      <c r="B6843" s="90">
        <v>7.2160780463204803</v>
      </c>
    </row>
    <row r="6844" spans="1:2">
      <c r="A6844" s="32">
        <v>6834</v>
      </c>
      <c r="B6844" s="90">
        <v>8.145115481848018</v>
      </c>
    </row>
    <row r="6845" spans="1:2">
      <c r="A6845" s="32">
        <v>6835</v>
      </c>
      <c r="B6845" s="90">
        <v>8.1392577678329712</v>
      </c>
    </row>
    <row r="6846" spans="1:2">
      <c r="A6846" s="32">
        <v>6836</v>
      </c>
      <c r="B6846" s="90">
        <v>8.2313424767715908</v>
      </c>
    </row>
    <row r="6847" spans="1:2">
      <c r="A6847" s="32">
        <v>6837</v>
      </c>
      <c r="B6847" s="90">
        <v>8.9044124443203572</v>
      </c>
    </row>
    <row r="6848" spans="1:2">
      <c r="A6848" s="32">
        <v>6838</v>
      </c>
      <c r="B6848" s="90">
        <v>6.8243025878667494</v>
      </c>
    </row>
    <row r="6849" spans="1:2">
      <c r="A6849" s="32">
        <v>6839</v>
      </c>
      <c r="B6849" s="90">
        <v>7.8401842366867962</v>
      </c>
    </row>
    <row r="6850" spans="1:2">
      <c r="A6850" s="32">
        <v>6840</v>
      </c>
      <c r="B6850" s="90">
        <v>8.1510690517397553</v>
      </c>
    </row>
    <row r="6851" spans="1:2">
      <c r="A6851" s="32">
        <v>6841</v>
      </c>
      <c r="B6851" s="90">
        <v>7.7341209365039596</v>
      </c>
    </row>
    <row r="6852" spans="1:2">
      <c r="A6852" s="32">
        <v>6842</v>
      </c>
      <c r="B6852" s="90">
        <v>8.7143214367376061</v>
      </c>
    </row>
    <row r="6853" spans="1:2">
      <c r="A6853" s="32">
        <v>6843</v>
      </c>
      <c r="B6853" s="90">
        <v>9.0792557449769973</v>
      </c>
    </row>
    <row r="6854" spans="1:2">
      <c r="A6854" s="32">
        <v>6844</v>
      </c>
      <c r="B6854" s="90">
        <v>6.5666663532231757</v>
      </c>
    </row>
    <row r="6855" spans="1:2">
      <c r="A6855" s="32">
        <v>6845</v>
      </c>
      <c r="B6855" s="90">
        <v>8.0325720598555304</v>
      </c>
    </row>
    <row r="6856" spans="1:2">
      <c r="A6856" s="32">
        <v>6846</v>
      </c>
      <c r="B6856" s="90">
        <v>7.9980906681165269</v>
      </c>
    </row>
    <row r="6857" spans="1:2">
      <c r="A6857" s="32">
        <v>6847</v>
      </c>
      <c r="B6857" s="90">
        <v>7.3181588484924145</v>
      </c>
    </row>
    <row r="6858" spans="1:2">
      <c r="A6858" s="32">
        <v>6848</v>
      </c>
      <c r="B6858" s="90">
        <v>8.8600953350063296</v>
      </c>
    </row>
    <row r="6859" spans="1:2">
      <c r="A6859" s="32">
        <v>6849</v>
      </c>
      <c r="B6859" s="90">
        <v>8.5300750964264402</v>
      </c>
    </row>
    <row r="6860" spans="1:2">
      <c r="A6860" s="32">
        <v>6850</v>
      </c>
      <c r="B6860" s="90">
        <v>7.1476597552349803</v>
      </c>
    </row>
    <row r="6861" spans="1:2">
      <c r="A6861" s="32">
        <v>6851</v>
      </c>
      <c r="B6861" s="90">
        <v>8.1392871050550752</v>
      </c>
    </row>
    <row r="6862" spans="1:2">
      <c r="A6862" s="32">
        <v>6852</v>
      </c>
      <c r="B6862" s="90">
        <v>8.0662942741345613</v>
      </c>
    </row>
    <row r="6863" spans="1:2">
      <c r="A6863" s="32">
        <v>6853</v>
      </c>
      <c r="B6863" s="90">
        <v>7.5880931894534296</v>
      </c>
    </row>
    <row r="6864" spans="1:2">
      <c r="A6864" s="32">
        <v>6854</v>
      </c>
      <c r="B6864" s="90">
        <v>8.8571298360296815</v>
      </c>
    </row>
    <row r="6865" spans="1:2">
      <c r="A6865" s="32">
        <v>6855</v>
      </c>
      <c r="B6865" s="90">
        <v>7.9642093675635097</v>
      </c>
    </row>
    <row r="6866" spans="1:2">
      <c r="A6866" s="32">
        <v>6856</v>
      </c>
      <c r="B6866" s="90">
        <v>7.4301311770753653</v>
      </c>
    </row>
    <row r="6867" spans="1:2">
      <c r="A6867" s="32">
        <v>6857</v>
      </c>
      <c r="B6867" s="90">
        <v>7.6639362138060472</v>
      </c>
    </row>
    <row r="6868" spans="1:2">
      <c r="A6868" s="32">
        <v>6858</v>
      </c>
      <c r="B6868" s="90">
        <v>8.3436585170123312</v>
      </c>
    </row>
    <row r="6869" spans="1:2">
      <c r="A6869" s="32">
        <v>6859</v>
      </c>
      <c r="B6869" s="90">
        <v>7.4708525573738287</v>
      </c>
    </row>
    <row r="6870" spans="1:2">
      <c r="A6870" s="32">
        <v>6860</v>
      </c>
      <c r="B6870" s="90">
        <v>9.2645994971347267</v>
      </c>
    </row>
    <row r="6871" spans="1:2">
      <c r="A6871" s="32">
        <v>6861</v>
      </c>
      <c r="B6871" s="90">
        <v>7.6924700436014115</v>
      </c>
    </row>
    <row r="6872" spans="1:2">
      <c r="A6872" s="32">
        <v>6862</v>
      </c>
      <c r="B6872" s="90">
        <v>7.0078037522357057</v>
      </c>
    </row>
    <row r="6873" spans="1:2">
      <c r="A6873" s="32">
        <v>6863</v>
      </c>
      <c r="B6873" s="90">
        <v>8.0261320171218227</v>
      </c>
    </row>
    <row r="6874" spans="1:2">
      <c r="A6874" s="32">
        <v>6864</v>
      </c>
      <c r="B6874" s="90">
        <v>7.7623725377068871</v>
      </c>
    </row>
    <row r="6875" spans="1:2">
      <c r="A6875" s="32">
        <v>6865</v>
      </c>
      <c r="B6875" s="90">
        <v>8.6521572394649375</v>
      </c>
    </row>
    <row r="6876" spans="1:2">
      <c r="A6876" s="32">
        <v>6866</v>
      </c>
      <c r="B6876" s="90">
        <v>8.705884223297069</v>
      </c>
    </row>
    <row r="6877" spans="1:2">
      <c r="A6877" s="32">
        <v>6867</v>
      </c>
      <c r="B6877" s="90">
        <v>7.3909413669862571</v>
      </c>
    </row>
    <row r="6878" spans="1:2">
      <c r="A6878" s="32">
        <v>6868</v>
      </c>
      <c r="B6878" s="90">
        <v>7.5152832809221524</v>
      </c>
    </row>
    <row r="6879" spans="1:2">
      <c r="A6879" s="32">
        <v>6869</v>
      </c>
      <c r="B6879" s="90">
        <v>8.3953440687563017</v>
      </c>
    </row>
    <row r="6880" spans="1:2">
      <c r="A6880" s="32">
        <v>6870</v>
      </c>
      <c r="B6880" s="90">
        <v>7.5090153623239022</v>
      </c>
    </row>
    <row r="6881" spans="1:2">
      <c r="A6881" s="32">
        <v>6871</v>
      </c>
      <c r="B6881" s="90">
        <v>8.8707117121894754</v>
      </c>
    </row>
    <row r="6882" spans="1:2">
      <c r="A6882" s="32">
        <v>6872</v>
      </c>
      <c r="B6882" s="90">
        <v>9.1400390229832897</v>
      </c>
    </row>
    <row r="6883" spans="1:2">
      <c r="A6883" s="32">
        <v>6873</v>
      </c>
      <c r="B6883" s="90">
        <v>6.3261834895648192</v>
      </c>
    </row>
    <row r="6884" spans="1:2">
      <c r="A6884" s="32">
        <v>6874</v>
      </c>
      <c r="B6884" s="90">
        <v>8.0777432892115293</v>
      </c>
    </row>
    <row r="6885" spans="1:2">
      <c r="A6885" s="32">
        <v>6875</v>
      </c>
      <c r="B6885" s="90">
        <v>8.2059340935568947</v>
      </c>
    </row>
    <row r="6886" spans="1:2">
      <c r="A6886" s="32">
        <v>6876</v>
      </c>
      <c r="B6886" s="90">
        <v>7.273126583953835</v>
      </c>
    </row>
    <row r="6887" spans="1:2">
      <c r="A6887" s="32">
        <v>6877</v>
      </c>
      <c r="B6887" s="90">
        <v>8.8357320293044523</v>
      </c>
    </row>
    <row r="6888" spans="1:2">
      <c r="A6888" s="32">
        <v>6878</v>
      </c>
      <c r="B6888" s="90">
        <v>8.4909021383263514</v>
      </c>
    </row>
    <row r="6889" spans="1:2">
      <c r="A6889" s="32">
        <v>6879</v>
      </c>
      <c r="B6889" s="90">
        <v>7.2775449864490938</v>
      </c>
    </row>
    <row r="6890" spans="1:2">
      <c r="A6890" s="32">
        <v>6880</v>
      </c>
      <c r="B6890" s="90">
        <v>7.972268737076055</v>
      </c>
    </row>
    <row r="6891" spans="1:2">
      <c r="A6891" s="32">
        <v>6881</v>
      </c>
      <c r="B6891" s="90">
        <v>8.022775089542483</v>
      </c>
    </row>
    <row r="6892" spans="1:2">
      <c r="A6892" s="32">
        <v>6882</v>
      </c>
      <c r="B6892" s="90">
        <v>7.7324491696784188</v>
      </c>
    </row>
    <row r="6893" spans="1:2">
      <c r="A6893" s="32">
        <v>6883</v>
      </c>
      <c r="B6893" s="90">
        <v>8.5235091635837801</v>
      </c>
    </row>
    <row r="6894" spans="1:2">
      <c r="A6894" s="32">
        <v>6884</v>
      </c>
      <c r="B6894" s="90">
        <v>8.1805069242728301</v>
      </c>
    </row>
    <row r="6895" spans="1:2">
      <c r="A6895" s="32">
        <v>6885</v>
      </c>
      <c r="B6895" s="90">
        <v>7.3250881874234617</v>
      </c>
    </row>
    <row r="6896" spans="1:2">
      <c r="A6896" s="32">
        <v>6886</v>
      </c>
      <c r="B6896" s="90">
        <v>7.9441968983261919</v>
      </c>
    </row>
    <row r="6897" spans="1:2">
      <c r="A6897" s="32">
        <v>6887</v>
      </c>
      <c r="B6897" s="90">
        <v>8.1788926017284229</v>
      </c>
    </row>
    <row r="6898" spans="1:2">
      <c r="A6898" s="32">
        <v>6888</v>
      </c>
      <c r="B6898" s="90">
        <v>7.4050297374307155</v>
      </c>
    </row>
    <row r="6899" spans="1:2">
      <c r="A6899" s="32">
        <v>6889</v>
      </c>
      <c r="B6899" s="90">
        <v>9.0087427481434457</v>
      </c>
    </row>
    <row r="6900" spans="1:2">
      <c r="A6900" s="32">
        <v>6890</v>
      </c>
      <c r="B6900" s="90">
        <v>8.0648654015932468</v>
      </c>
    </row>
    <row r="6901" spans="1:2">
      <c r="A6901" s="32">
        <v>6891</v>
      </c>
      <c r="B6901" s="90">
        <v>7.1174261864522208</v>
      </c>
    </row>
    <row r="6902" spans="1:2">
      <c r="A6902" s="32">
        <v>6892</v>
      </c>
      <c r="B6902" s="90">
        <v>7.830566807164014</v>
      </c>
    </row>
    <row r="6903" spans="1:2">
      <c r="A6903" s="32">
        <v>6893</v>
      </c>
      <c r="B6903" s="90">
        <v>7.883564709135638</v>
      </c>
    </row>
    <row r="6904" spans="1:2">
      <c r="A6904" s="32">
        <v>6894</v>
      </c>
      <c r="B6904" s="90">
        <v>7.980548850821692</v>
      </c>
    </row>
    <row r="6905" spans="1:2">
      <c r="A6905" s="32">
        <v>6895</v>
      </c>
      <c r="B6905" s="90">
        <v>9.2580114326886367</v>
      </c>
    </row>
    <row r="6906" spans="1:2">
      <c r="A6906" s="32">
        <v>6896</v>
      </c>
      <c r="B6906" s="90">
        <v>7.6333357507085822</v>
      </c>
    </row>
    <row r="6907" spans="1:2">
      <c r="A6907" s="32">
        <v>6897</v>
      </c>
      <c r="B6907" s="90">
        <v>7.2160780463204803</v>
      </c>
    </row>
    <row r="6908" spans="1:2">
      <c r="A6908" s="32">
        <v>6898</v>
      </c>
      <c r="B6908" s="90">
        <v>8.145115481848018</v>
      </c>
    </row>
    <row r="6909" spans="1:2">
      <c r="A6909" s="32">
        <v>6899</v>
      </c>
      <c r="B6909" s="90">
        <v>8.1392577678329712</v>
      </c>
    </row>
    <row r="6910" spans="1:2">
      <c r="A6910" s="32">
        <v>6900</v>
      </c>
      <c r="B6910" s="90">
        <v>8.2313424767715908</v>
      </c>
    </row>
    <row r="6911" spans="1:2">
      <c r="A6911" s="32">
        <v>6901</v>
      </c>
      <c r="B6911" s="90">
        <v>8.9044124443203572</v>
      </c>
    </row>
    <row r="6912" spans="1:2">
      <c r="A6912" s="32">
        <v>6902</v>
      </c>
      <c r="B6912" s="90">
        <v>6.8243025878667494</v>
      </c>
    </row>
    <row r="6913" spans="1:2">
      <c r="A6913" s="32">
        <v>6903</v>
      </c>
      <c r="B6913" s="90">
        <v>7.8401842366867962</v>
      </c>
    </row>
    <row r="6914" spans="1:2">
      <c r="A6914" s="32">
        <v>6904</v>
      </c>
      <c r="B6914" s="90">
        <v>8.1510690517397553</v>
      </c>
    </row>
    <row r="6915" spans="1:2">
      <c r="A6915" s="32">
        <v>6905</v>
      </c>
      <c r="B6915" s="90">
        <v>7.7341209365039596</v>
      </c>
    </row>
    <row r="6916" spans="1:2">
      <c r="A6916" s="32">
        <v>6906</v>
      </c>
      <c r="B6916" s="90">
        <v>8.7143214367376061</v>
      </c>
    </row>
    <row r="6917" spans="1:2">
      <c r="A6917" s="32">
        <v>6907</v>
      </c>
      <c r="B6917" s="90">
        <v>9.0792557449769973</v>
      </c>
    </row>
    <row r="6918" spans="1:2">
      <c r="A6918" s="32">
        <v>6908</v>
      </c>
      <c r="B6918" s="90">
        <v>6.5666663532231757</v>
      </c>
    </row>
    <row r="6919" spans="1:2">
      <c r="A6919" s="32">
        <v>6909</v>
      </c>
      <c r="B6919" s="90">
        <v>8.0325720598555304</v>
      </c>
    </row>
    <row r="6920" spans="1:2">
      <c r="A6920" s="32">
        <v>6910</v>
      </c>
      <c r="B6920" s="90">
        <v>7.9980906681165269</v>
      </c>
    </row>
    <row r="6921" spans="1:2">
      <c r="A6921" s="32">
        <v>6911</v>
      </c>
      <c r="B6921" s="90">
        <v>7.3181588484924145</v>
      </c>
    </row>
    <row r="6922" spans="1:2">
      <c r="A6922" s="32">
        <v>6912</v>
      </c>
      <c r="B6922" s="90">
        <v>8.8600953350063296</v>
      </c>
    </row>
    <row r="6923" spans="1:2">
      <c r="A6923" s="32">
        <v>6913</v>
      </c>
      <c r="B6923" s="90">
        <v>8.5300750964264402</v>
      </c>
    </row>
    <row r="6924" spans="1:2">
      <c r="A6924" s="32">
        <v>6914</v>
      </c>
      <c r="B6924" s="90">
        <v>7.1476597552349803</v>
      </c>
    </row>
    <row r="6925" spans="1:2">
      <c r="A6925" s="32">
        <v>6915</v>
      </c>
      <c r="B6925" s="90">
        <v>8.1392871050550752</v>
      </c>
    </row>
    <row r="6926" spans="1:2">
      <c r="A6926" s="32">
        <v>6916</v>
      </c>
      <c r="B6926" s="90">
        <v>8.0662942741345613</v>
      </c>
    </row>
    <row r="6927" spans="1:2">
      <c r="A6927" s="32">
        <v>6917</v>
      </c>
      <c r="B6927" s="90">
        <v>7.5880931894534296</v>
      </c>
    </row>
    <row r="6928" spans="1:2">
      <c r="A6928" s="32">
        <v>6918</v>
      </c>
      <c r="B6928" s="90">
        <v>8.8571298360296815</v>
      </c>
    </row>
    <row r="6929" spans="1:2">
      <c r="A6929" s="32">
        <v>6919</v>
      </c>
      <c r="B6929" s="90">
        <v>7.9642093675635097</v>
      </c>
    </row>
    <row r="6930" spans="1:2">
      <c r="A6930" s="32">
        <v>6920</v>
      </c>
      <c r="B6930" s="90">
        <v>7.4301311770753653</v>
      </c>
    </row>
    <row r="6931" spans="1:2">
      <c r="A6931" s="32">
        <v>6921</v>
      </c>
      <c r="B6931" s="90">
        <v>8.3467480588537644</v>
      </c>
    </row>
    <row r="6932" spans="1:2">
      <c r="A6932" s="32">
        <v>6922</v>
      </c>
      <c r="B6932" s="90">
        <v>8.0311991220108343</v>
      </c>
    </row>
    <row r="6933" spans="1:2">
      <c r="A6933" s="32">
        <v>6923</v>
      </c>
      <c r="B6933" s="90">
        <v>7.9276992211248771</v>
      </c>
    </row>
    <row r="6934" spans="1:2">
      <c r="A6934" s="32">
        <v>6924</v>
      </c>
      <c r="B6934" s="90">
        <v>8.3146865094445026</v>
      </c>
    </row>
    <row r="6935" spans="1:2">
      <c r="A6935" s="32">
        <v>6925</v>
      </c>
      <c r="B6935" s="90">
        <v>7.6580781790853942</v>
      </c>
    </row>
    <row r="6936" spans="1:2">
      <c r="A6936" s="32">
        <v>6926</v>
      </c>
      <c r="B6936" s="90">
        <v>7.5646837934055648</v>
      </c>
    </row>
    <row r="6937" spans="1:2">
      <c r="A6937" s="32">
        <v>6927</v>
      </c>
      <c r="B6937" s="90">
        <v>7.6939530227359842</v>
      </c>
    </row>
    <row r="6938" spans="1:2">
      <c r="A6938" s="32">
        <v>6928</v>
      </c>
      <c r="B6938" s="90">
        <v>7.7214505881151485</v>
      </c>
    </row>
    <row r="6939" spans="1:2">
      <c r="A6939" s="32">
        <v>6929</v>
      </c>
      <c r="B6939" s="90">
        <v>7.7942390713740037</v>
      </c>
    </row>
    <row r="6940" spans="1:2">
      <c r="A6940" s="32">
        <v>6930</v>
      </c>
      <c r="B6940" s="90">
        <v>8.6869309377756316</v>
      </c>
    </row>
    <row r="6941" spans="1:2">
      <c r="A6941" s="32">
        <v>6931</v>
      </c>
      <c r="B6941" s="90">
        <v>7.9450556997874653</v>
      </c>
    </row>
    <row r="6942" spans="1:2">
      <c r="A6942" s="32">
        <v>6932</v>
      </c>
      <c r="B6942" s="90">
        <v>6.934468219647286</v>
      </c>
    </row>
    <row r="6943" spans="1:2">
      <c r="A6943" s="32">
        <v>6933</v>
      </c>
      <c r="B6943" s="90">
        <v>8.4225445271671369</v>
      </c>
    </row>
    <row r="6944" spans="1:2">
      <c r="A6944" s="32">
        <v>6934</v>
      </c>
      <c r="B6944" s="90">
        <v>7.4748424671884663</v>
      </c>
    </row>
    <row r="6945" spans="1:2">
      <c r="A6945" s="32">
        <v>6935</v>
      </c>
      <c r="B6945" s="90">
        <v>8.234209326477</v>
      </c>
    </row>
    <row r="6946" spans="1:2">
      <c r="A6946" s="32">
        <v>6936</v>
      </c>
      <c r="B6946" s="90">
        <v>8.0942268778267454</v>
      </c>
    </row>
    <row r="6947" spans="1:2">
      <c r="A6947" s="32">
        <v>6937</v>
      </c>
      <c r="B6947" s="90">
        <v>7.7526334293157282</v>
      </c>
    </row>
    <row r="6948" spans="1:2">
      <c r="A6948" s="32">
        <v>6938</v>
      </c>
      <c r="B6948" s="90">
        <v>6.7327514814728735</v>
      </c>
    </row>
    <row r="6949" spans="1:2">
      <c r="A6949" s="32">
        <v>6939</v>
      </c>
      <c r="B6949" s="90">
        <v>8.9993747139529905</v>
      </c>
    </row>
    <row r="6950" spans="1:2">
      <c r="A6950" s="32">
        <v>6940</v>
      </c>
      <c r="B6950" s="90">
        <v>8.1967786726514156</v>
      </c>
    </row>
    <row r="6951" spans="1:2">
      <c r="A6951" s="32">
        <v>6941</v>
      </c>
      <c r="B6951" s="90">
        <v>7.5205387517951952</v>
      </c>
    </row>
    <row r="6952" spans="1:2">
      <c r="A6952" s="32">
        <v>6942</v>
      </c>
      <c r="B6952" s="90">
        <v>7.854809040946007</v>
      </c>
    </row>
    <row r="6953" spans="1:2">
      <c r="A6953" s="32">
        <v>6943</v>
      </c>
      <c r="B6953" s="90">
        <v>7.8647904523527883</v>
      </c>
    </row>
    <row r="6954" spans="1:2">
      <c r="A6954" s="32">
        <v>6944</v>
      </c>
      <c r="B6954" s="90">
        <v>6.8865066450237453</v>
      </c>
    </row>
    <row r="6955" spans="1:2">
      <c r="A6955" s="32">
        <v>6945</v>
      </c>
      <c r="B6955" s="90">
        <v>8.8481316198144686</v>
      </c>
    </row>
    <row r="6956" spans="1:2">
      <c r="A6956" s="32">
        <v>6946</v>
      </c>
      <c r="B6956" s="90">
        <v>8.0838127456272844</v>
      </c>
    </row>
    <row r="6957" spans="1:2">
      <c r="A6957" s="32">
        <v>6947</v>
      </c>
      <c r="B6957" s="90">
        <v>7.8674417295504382</v>
      </c>
    </row>
    <row r="6958" spans="1:2">
      <c r="A6958" s="32">
        <v>6948</v>
      </c>
      <c r="B6958" s="90">
        <v>7.8605253077981221</v>
      </c>
    </row>
    <row r="6959" spans="1:2">
      <c r="A6959" s="32">
        <v>6949</v>
      </c>
      <c r="B6959" s="90">
        <v>7.5089825883429357</v>
      </c>
    </row>
    <row r="6960" spans="1:2">
      <c r="A6960" s="32">
        <v>6950</v>
      </c>
      <c r="B6960" s="90">
        <v>7.3437065127579517</v>
      </c>
    </row>
    <row r="6961" spans="1:2">
      <c r="A6961" s="32">
        <v>6951</v>
      </c>
      <c r="B6961" s="90">
        <v>8.1409792589320844</v>
      </c>
    </row>
    <row r="6962" spans="1:2">
      <c r="A6962" s="32">
        <v>6952</v>
      </c>
      <c r="B6962" s="90">
        <v>8.0715420551576909</v>
      </c>
    </row>
    <row r="6963" spans="1:2">
      <c r="A6963" s="32">
        <v>6953</v>
      </c>
      <c r="B6963" s="90">
        <v>8.2493496019423294</v>
      </c>
    </row>
    <row r="6964" spans="1:2">
      <c r="A6964" s="32">
        <v>6954</v>
      </c>
      <c r="B6964" s="90">
        <v>7.6840585781060797</v>
      </c>
    </row>
    <row r="6965" spans="1:2">
      <c r="A6965" s="32">
        <v>6955</v>
      </c>
      <c r="B6965" s="90">
        <v>7.5991892652126438</v>
      </c>
    </row>
    <row r="6966" spans="1:2">
      <c r="A6966" s="32">
        <v>6956</v>
      </c>
      <c r="B6966" s="90">
        <v>7.8105094235184556</v>
      </c>
    </row>
    <row r="6967" spans="1:2">
      <c r="A6967" s="32">
        <v>6957</v>
      </c>
      <c r="B6967" s="90">
        <v>7.6405276625731116</v>
      </c>
    </row>
    <row r="6968" spans="1:2">
      <c r="A6968" s="32">
        <v>6958</v>
      </c>
      <c r="B6968" s="90">
        <v>7.570165224507825</v>
      </c>
    </row>
    <row r="6969" spans="1:2">
      <c r="A6969" s="32">
        <v>6959</v>
      </c>
      <c r="B6969" s="90">
        <v>8.8295526792212886</v>
      </c>
    </row>
    <row r="6970" spans="1:2">
      <c r="A6970" s="32">
        <v>6960</v>
      </c>
      <c r="B6970" s="90">
        <v>7.4094975218836838</v>
      </c>
    </row>
    <row r="6971" spans="1:2">
      <c r="A6971" s="32">
        <v>6961</v>
      </c>
      <c r="B6971" s="90">
        <v>7.8143145150352105</v>
      </c>
    </row>
    <row r="6972" spans="1:2">
      <c r="A6972" s="32">
        <v>6962</v>
      </c>
      <c r="B6972" s="90">
        <v>7.8499600118642121</v>
      </c>
    </row>
    <row r="6973" spans="1:2">
      <c r="A6973" s="32">
        <v>6963</v>
      </c>
      <c r="B6973" s="90">
        <v>7.5123571821663306</v>
      </c>
    </row>
    <row r="6974" spans="1:2">
      <c r="A6974" s="32">
        <v>6964</v>
      </c>
      <c r="B6974" s="90">
        <v>8.0586081727634244</v>
      </c>
    </row>
    <row r="6975" spans="1:2">
      <c r="A6975" s="32">
        <v>6965</v>
      </c>
      <c r="B6975" s="90">
        <v>8.3177093493182372</v>
      </c>
    </row>
    <row r="6976" spans="1:2">
      <c r="A6976" s="32">
        <v>6966</v>
      </c>
      <c r="B6976" s="90">
        <v>7.6740299296102048</v>
      </c>
    </row>
    <row r="6977" spans="1:2">
      <c r="A6977" s="32">
        <v>6967</v>
      </c>
      <c r="B6977" s="90">
        <v>6.9810301007879234</v>
      </c>
    </row>
    <row r="6978" spans="1:2">
      <c r="A6978" s="32">
        <v>6968</v>
      </c>
      <c r="B6978" s="90">
        <v>8.8152734991979482</v>
      </c>
    </row>
    <row r="6979" spans="1:2">
      <c r="A6979" s="32">
        <v>6969</v>
      </c>
      <c r="B6979" s="90">
        <v>7.6997269459962814</v>
      </c>
    </row>
    <row r="6980" spans="1:2">
      <c r="A6980" s="32">
        <v>6970</v>
      </c>
      <c r="B6980" s="90">
        <v>7.9772094806923244</v>
      </c>
    </row>
    <row r="6981" spans="1:2">
      <c r="A6981" s="32">
        <v>6971</v>
      </c>
      <c r="B6981" s="90">
        <v>7.7574771070919395</v>
      </c>
    </row>
    <row r="6982" spans="1:2">
      <c r="A6982" s="32">
        <v>6972</v>
      </c>
      <c r="B6982" s="90">
        <v>8.0195225482816301</v>
      </c>
    </row>
    <row r="6983" spans="1:2">
      <c r="A6983" s="32">
        <v>6973</v>
      </c>
      <c r="B6983" s="90">
        <v>6.8033828865720789</v>
      </c>
    </row>
    <row r="6984" spans="1:2">
      <c r="A6984" s="32">
        <v>6974</v>
      </c>
      <c r="B6984" s="90">
        <v>8.7518695804743754</v>
      </c>
    </row>
    <row r="6985" spans="1:2">
      <c r="A6985" s="32">
        <v>6975</v>
      </c>
      <c r="B6985" s="90">
        <v>8.3485353635932782</v>
      </c>
    </row>
    <row r="6986" spans="1:2">
      <c r="A6986" s="32">
        <v>6976</v>
      </c>
      <c r="B6986" s="90">
        <v>7.4591550437793499</v>
      </c>
    </row>
    <row r="6987" spans="1:2">
      <c r="A6987" s="32">
        <v>6977</v>
      </c>
      <c r="B6987" s="90">
        <v>8.2709799837440254</v>
      </c>
    </row>
    <row r="6988" spans="1:2">
      <c r="A6988" s="32">
        <v>6978</v>
      </c>
      <c r="B6988" s="90">
        <v>7.4902846314900229</v>
      </c>
    </row>
    <row r="6989" spans="1:2">
      <c r="A6989" s="32">
        <v>6979</v>
      </c>
      <c r="B6989" s="90">
        <v>7.3986291769252119</v>
      </c>
    </row>
    <row r="6990" spans="1:2">
      <c r="A6990" s="32">
        <v>6980</v>
      </c>
      <c r="B6990" s="90">
        <v>8.1690030262379612</v>
      </c>
    </row>
    <row r="6991" spans="1:2">
      <c r="A6991" s="32">
        <v>6981</v>
      </c>
      <c r="B6991" s="90">
        <v>8.1230201668952091</v>
      </c>
    </row>
    <row r="6992" spans="1:2">
      <c r="A6992" s="32">
        <v>6982</v>
      </c>
      <c r="B6992" s="90">
        <v>8.0370800059025189</v>
      </c>
    </row>
    <row r="6993" spans="1:2">
      <c r="A6993" s="32">
        <v>6983</v>
      </c>
      <c r="B6993" s="90">
        <v>7.7090210364777692</v>
      </c>
    </row>
    <row r="6994" spans="1:2">
      <c r="A6994" s="32">
        <v>6984</v>
      </c>
      <c r="B6994" s="90">
        <v>7.5406247748199631</v>
      </c>
    </row>
    <row r="6995" spans="1:2">
      <c r="A6995" s="32">
        <v>6985</v>
      </c>
      <c r="B6995" s="90">
        <v>7.4585118102382637</v>
      </c>
    </row>
    <row r="6996" spans="1:2">
      <c r="A6996" s="32">
        <v>6986</v>
      </c>
      <c r="B6996" s="90">
        <v>8.0311991220108343</v>
      </c>
    </row>
    <row r="6997" spans="1:2">
      <c r="A6997" s="32">
        <v>6987</v>
      </c>
      <c r="B6997" s="90">
        <v>7.9276992211248771</v>
      </c>
    </row>
    <row r="6998" spans="1:2">
      <c r="A6998" s="32">
        <v>6988</v>
      </c>
      <c r="B6998" s="90">
        <v>8.3146865094445026</v>
      </c>
    </row>
    <row r="6999" spans="1:2">
      <c r="A6999" s="32">
        <v>6989</v>
      </c>
      <c r="B6999" s="90">
        <v>7.6580781790853942</v>
      </c>
    </row>
    <row r="7000" spans="1:2">
      <c r="A7000" s="32">
        <v>6990</v>
      </c>
      <c r="B7000" s="90">
        <v>7.5646837934055648</v>
      </c>
    </row>
    <row r="7001" spans="1:2">
      <c r="A7001" s="32">
        <v>6991</v>
      </c>
      <c r="B7001" s="90">
        <v>7.6939530227359842</v>
      </c>
    </row>
    <row r="7002" spans="1:2">
      <c r="A7002" s="32">
        <v>6992</v>
      </c>
      <c r="B7002" s="90">
        <v>7.7214505881151485</v>
      </c>
    </row>
    <row r="7003" spans="1:2">
      <c r="A7003" s="32">
        <v>6993</v>
      </c>
      <c r="B7003" s="90">
        <v>7.7942390713740037</v>
      </c>
    </row>
    <row r="7004" spans="1:2">
      <c r="A7004" s="32">
        <v>6994</v>
      </c>
      <c r="B7004" s="90">
        <v>8.6869309377756316</v>
      </c>
    </row>
    <row r="7005" spans="1:2">
      <c r="A7005" s="32">
        <v>6995</v>
      </c>
      <c r="B7005" s="90">
        <v>7.9450556997874653</v>
      </c>
    </row>
    <row r="7006" spans="1:2">
      <c r="A7006" s="32">
        <v>6996</v>
      </c>
      <c r="B7006" s="90">
        <v>6.934468219647286</v>
      </c>
    </row>
    <row r="7007" spans="1:2">
      <c r="A7007" s="32">
        <v>6997</v>
      </c>
      <c r="B7007" s="90">
        <v>8.4225445271671369</v>
      </c>
    </row>
    <row r="7008" spans="1:2">
      <c r="A7008" s="32">
        <v>6998</v>
      </c>
      <c r="B7008" s="90">
        <v>7.4748424671884663</v>
      </c>
    </row>
    <row r="7009" spans="1:2">
      <c r="A7009" s="32">
        <v>6999</v>
      </c>
      <c r="B7009" s="90">
        <v>8.234209326477</v>
      </c>
    </row>
    <row r="7010" spans="1:2">
      <c r="A7010" s="32">
        <v>7000</v>
      </c>
      <c r="B7010" s="90">
        <v>8.0942268778267454</v>
      </c>
    </row>
    <row r="7011" spans="1:2">
      <c r="A7011" s="32">
        <v>7001</v>
      </c>
      <c r="B7011" s="90">
        <v>7.7526334293157282</v>
      </c>
    </row>
    <row r="7012" spans="1:2">
      <c r="A7012" s="32">
        <v>7002</v>
      </c>
      <c r="B7012" s="90">
        <v>6.6861502783044093</v>
      </c>
    </row>
    <row r="7013" spans="1:2">
      <c r="A7013" s="32">
        <v>7003</v>
      </c>
      <c r="B7013" s="90">
        <v>8.0363669463377558</v>
      </c>
    </row>
    <row r="7014" spans="1:2">
      <c r="A7014" s="32">
        <v>7004</v>
      </c>
      <c r="B7014" s="90">
        <v>8.4826284915032062</v>
      </c>
    </row>
    <row r="7015" spans="1:2">
      <c r="A7015" s="32">
        <v>7005</v>
      </c>
      <c r="B7015" s="90">
        <v>7.1315167920042981</v>
      </c>
    </row>
    <row r="7016" spans="1:2">
      <c r="A7016" s="32">
        <v>7006</v>
      </c>
      <c r="B7016" s="90">
        <v>9.4836128635908583</v>
      </c>
    </row>
    <row r="7017" spans="1:2">
      <c r="A7017" s="32">
        <v>7007</v>
      </c>
      <c r="B7017" s="90">
        <v>7.5401467958033104</v>
      </c>
    </row>
    <row r="7018" spans="1:2">
      <c r="A7018" s="32">
        <v>7008</v>
      </c>
      <c r="B7018" s="90">
        <v>7.7310698862691272</v>
      </c>
    </row>
    <row r="7019" spans="1:2">
      <c r="A7019" s="32">
        <v>7009</v>
      </c>
      <c r="B7019" s="90">
        <v>7.9995779943174252</v>
      </c>
    </row>
    <row r="7020" spans="1:2">
      <c r="A7020" s="32">
        <v>7010</v>
      </c>
      <c r="B7020" s="90">
        <v>8.4054114504829549</v>
      </c>
    </row>
    <row r="7021" spans="1:2">
      <c r="A7021" s="32">
        <v>7011</v>
      </c>
      <c r="B7021" s="90">
        <v>7.3004125991049049</v>
      </c>
    </row>
    <row r="7022" spans="1:2">
      <c r="A7022" s="32">
        <v>7012</v>
      </c>
      <c r="B7022" s="90">
        <v>9.0768257982537612</v>
      </c>
    </row>
    <row r="7023" spans="1:2">
      <c r="A7023" s="32">
        <v>7013</v>
      </c>
      <c r="B7023" s="90">
        <v>8.1895419170767418</v>
      </c>
    </row>
    <row r="7024" spans="1:2">
      <c r="A7024" s="32">
        <v>7014</v>
      </c>
      <c r="B7024" s="90">
        <v>7.4985463005058346</v>
      </c>
    </row>
    <row r="7025" spans="1:2">
      <c r="A7025" s="32">
        <v>7015</v>
      </c>
      <c r="B7025" s="90">
        <v>7.3460051839086011</v>
      </c>
    </row>
    <row r="7026" spans="1:2">
      <c r="A7026" s="32">
        <v>7016</v>
      </c>
      <c r="B7026" s="90">
        <v>8.546243683774005</v>
      </c>
    </row>
    <row r="7027" spans="1:2">
      <c r="A7027" s="32">
        <v>7017</v>
      </c>
      <c r="B7027" s="90">
        <v>7.587318744477284</v>
      </c>
    </row>
    <row r="7028" spans="1:2">
      <c r="A7028" s="32">
        <v>7018</v>
      </c>
      <c r="B7028" s="90">
        <v>8.6540359431496192</v>
      </c>
    </row>
    <row r="7029" spans="1:2">
      <c r="A7029" s="32">
        <v>7019</v>
      </c>
      <c r="B7029" s="90">
        <v>8.3483263038783928</v>
      </c>
    </row>
    <row r="7030" spans="1:2">
      <c r="A7030" s="32">
        <v>7020</v>
      </c>
      <c r="B7030" s="90">
        <v>7.4353004691872906</v>
      </c>
    </row>
    <row r="7031" spans="1:2">
      <c r="A7031" s="32">
        <v>7021</v>
      </c>
      <c r="B7031" s="90">
        <v>7.0166085789689658</v>
      </c>
    </row>
    <row r="7032" spans="1:2">
      <c r="A7032" s="32">
        <v>7022</v>
      </c>
      <c r="B7032" s="90">
        <v>8.5633700064947487</v>
      </c>
    </row>
    <row r="7033" spans="1:2">
      <c r="A7033" s="32">
        <v>7023</v>
      </c>
      <c r="B7033" s="90">
        <v>7.8843515789566156</v>
      </c>
    </row>
    <row r="7034" spans="1:2">
      <c r="A7034" s="32">
        <v>7024</v>
      </c>
      <c r="B7034" s="90">
        <v>9.2952645507321066</v>
      </c>
    </row>
    <row r="7035" spans="1:2">
      <c r="A7035" s="32">
        <v>7025</v>
      </c>
      <c r="B7035" s="90">
        <v>7.6399658688433902</v>
      </c>
    </row>
    <row r="7036" spans="1:2">
      <c r="A7036" s="32">
        <v>7026</v>
      </c>
      <c r="B7036" s="90">
        <v>7.646758327091427</v>
      </c>
    </row>
    <row r="7037" spans="1:2">
      <c r="A7037" s="32">
        <v>7027</v>
      </c>
      <c r="B7037" s="90">
        <v>7.5622235407450242</v>
      </c>
    </row>
    <row r="7038" spans="1:2">
      <c r="A7038" s="32">
        <v>7028</v>
      </c>
      <c r="B7038" s="90">
        <v>7.9675676062923646</v>
      </c>
    </row>
    <row r="7039" spans="1:2">
      <c r="A7039" s="32">
        <v>7029</v>
      </c>
      <c r="B7039" s="90">
        <v>8.851035399777631</v>
      </c>
    </row>
    <row r="7040" spans="1:2">
      <c r="A7040" s="32">
        <v>7030</v>
      </c>
      <c r="B7040" s="90">
        <v>8.1025333879397774</v>
      </c>
    </row>
    <row r="7041" spans="1:2">
      <c r="A7041" s="32">
        <v>7031</v>
      </c>
      <c r="B7041" s="90">
        <v>7.2074151681358885</v>
      </c>
    </row>
    <row r="7042" spans="1:2">
      <c r="A7042" s="32">
        <v>7032</v>
      </c>
      <c r="B7042" s="90">
        <v>8.1684573776276359</v>
      </c>
    </row>
    <row r="7043" spans="1:2">
      <c r="A7043" s="32">
        <v>7033</v>
      </c>
      <c r="B7043" s="90">
        <v>7.856642457581767</v>
      </c>
    </row>
    <row r="7044" spans="1:2">
      <c r="A7044" s="32">
        <v>7034</v>
      </c>
      <c r="B7044" s="90">
        <v>7.8363713760874081</v>
      </c>
    </row>
    <row r="7045" spans="1:2">
      <c r="A7045" s="32">
        <v>7035</v>
      </c>
      <c r="B7045" s="90">
        <v>9.2185704093056824</v>
      </c>
    </row>
    <row r="7046" spans="1:2">
      <c r="A7046" s="32">
        <v>7036</v>
      </c>
      <c r="B7046" s="90">
        <v>7.6239281336988425</v>
      </c>
    </row>
    <row r="7047" spans="1:2">
      <c r="A7047" s="32">
        <v>7037</v>
      </c>
      <c r="B7047" s="90">
        <v>7.5087372750744903</v>
      </c>
    </row>
    <row r="7048" spans="1:2">
      <c r="A7048" s="32">
        <v>7038</v>
      </c>
      <c r="B7048" s="90">
        <v>7.908490078909062</v>
      </c>
    </row>
    <row r="7049" spans="1:2">
      <c r="A7049" s="32">
        <v>7039</v>
      </c>
      <c r="B7049" s="90">
        <v>8.4998465086001129</v>
      </c>
    </row>
    <row r="7050" spans="1:2">
      <c r="A7050" s="32">
        <v>7040</v>
      </c>
      <c r="B7050" s="90">
        <v>7.3233606807815725</v>
      </c>
    </row>
    <row r="7051" spans="1:2">
      <c r="A7051" s="32">
        <v>7041</v>
      </c>
      <c r="B7051" s="90">
        <v>9.115715656646362</v>
      </c>
    </row>
    <row r="7052" spans="1:2">
      <c r="A7052" s="32">
        <v>7042</v>
      </c>
      <c r="B7052" s="90">
        <v>7.9793326216563774</v>
      </c>
    </row>
    <row r="7053" spans="1:2">
      <c r="A7053" s="32">
        <v>7043</v>
      </c>
      <c r="B7053" s="90">
        <v>7.6617976118886455</v>
      </c>
    </row>
    <row r="7054" spans="1:2">
      <c r="A7054" s="32">
        <v>7044</v>
      </c>
      <c r="B7054" s="90">
        <v>7.6545332527915839</v>
      </c>
    </row>
    <row r="7055" spans="1:2">
      <c r="A7055" s="32">
        <v>7045</v>
      </c>
      <c r="B7055" s="90">
        <v>8.3057661429814207</v>
      </c>
    </row>
    <row r="7056" spans="1:2">
      <c r="A7056" s="32">
        <v>7046</v>
      </c>
      <c r="B7056" s="90">
        <v>7.4467558808863945</v>
      </c>
    </row>
    <row r="7057" spans="1:2">
      <c r="A7057" s="32">
        <v>7047</v>
      </c>
      <c r="B7057" s="90">
        <v>8.8472468180491894</v>
      </c>
    </row>
    <row r="7058" spans="1:2">
      <c r="A7058" s="32">
        <v>7048</v>
      </c>
      <c r="B7058" s="90">
        <v>8.3430339897311345</v>
      </c>
    </row>
    <row r="7059" spans="1:2">
      <c r="A7059" s="32">
        <v>7049</v>
      </c>
      <c r="B7059" s="90">
        <v>7.3804717716313348</v>
      </c>
    </row>
    <row r="7060" spans="1:2">
      <c r="A7060" s="32">
        <v>7050</v>
      </c>
      <c r="B7060" s="90">
        <v>7.192038371059815</v>
      </c>
    </row>
    <row r="7061" spans="1:2">
      <c r="A7061" s="32">
        <v>7051</v>
      </c>
      <c r="B7061" s="90">
        <v>8.4717436497322183</v>
      </c>
    </row>
    <row r="7062" spans="1:2">
      <c r="A7062" s="32">
        <v>7052</v>
      </c>
      <c r="B7062" s="90">
        <v>7.778277249721997</v>
      </c>
    </row>
    <row r="7063" spans="1:2">
      <c r="A7063" s="32">
        <v>7053</v>
      </c>
      <c r="B7063" s="90">
        <v>9.1017612355374222</v>
      </c>
    </row>
    <row r="7064" spans="1:2">
      <c r="A7064" s="32">
        <v>7054</v>
      </c>
      <c r="B7064" s="90">
        <v>7.9772238142441516</v>
      </c>
    </row>
    <row r="7065" spans="1:2">
      <c r="A7065" s="32">
        <v>7055</v>
      </c>
      <c r="B7065" s="90">
        <v>7.5428857888081158</v>
      </c>
    </row>
    <row r="7066" spans="1:2">
      <c r="A7066" s="32">
        <v>7056</v>
      </c>
      <c r="B7066" s="90">
        <v>7.3140820570540832</v>
      </c>
    </row>
    <row r="7067" spans="1:2">
      <c r="A7067" s="32">
        <v>7057</v>
      </c>
      <c r="B7067" s="90">
        <v>8.2286582082401676</v>
      </c>
    </row>
    <row r="7068" spans="1:2">
      <c r="A7068" s="32">
        <v>7058</v>
      </c>
      <c r="B7068" s="90">
        <v>8.7021770330803747</v>
      </c>
    </row>
    <row r="7069" spans="1:2">
      <c r="A7069" s="32">
        <v>7059</v>
      </c>
      <c r="B7069" s="90">
        <v>8.3372721293247825</v>
      </c>
    </row>
    <row r="7070" spans="1:2">
      <c r="A7070" s="32">
        <v>7060</v>
      </c>
      <c r="B7070" s="90">
        <v>7.4081226235967002</v>
      </c>
    </row>
    <row r="7071" spans="1:2">
      <c r="A7071" s="32">
        <v>7061</v>
      </c>
      <c r="B7071" s="90">
        <v>7.8507817901811858</v>
      </c>
    </row>
    <row r="7072" spans="1:2">
      <c r="A7072" s="32">
        <v>7062</v>
      </c>
      <c r="B7072" s="90">
        <v>7.8577749726796604</v>
      </c>
    </row>
    <row r="7073" spans="1:2">
      <c r="A7073" s="32">
        <v>7063</v>
      </c>
      <c r="B7073" s="90">
        <v>7.7586256593334717</v>
      </c>
    </row>
    <row r="7074" spans="1:2">
      <c r="A7074" s="32">
        <v>7064</v>
      </c>
      <c r="B7074" s="90">
        <v>9.0570082157177403</v>
      </c>
    </row>
    <row r="7075" spans="1:2">
      <c r="A7075" s="32">
        <v>7065</v>
      </c>
      <c r="B7075" s="90">
        <v>7.8678705470786552</v>
      </c>
    </row>
    <row r="7076" spans="1:2">
      <c r="A7076" s="32">
        <v>7066</v>
      </c>
      <c r="B7076" s="90">
        <v>7.2842687794637424</v>
      </c>
    </row>
    <row r="7077" spans="1:2">
      <c r="A7077" s="32">
        <v>7067</v>
      </c>
      <c r="B7077" s="90">
        <v>8.0363669463377558</v>
      </c>
    </row>
    <row r="7078" spans="1:2">
      <c r="A7078" s="32">
        <v>7068</v>
      </c>
      <c r="B7078" s="90">
        <v>8.4826284915032062</v>
      </c>
    </row>
    <row r="7079" spans="1:2">
      <c r="A7079" s="32">
        <v>7069</v>
      </c>
      <c r="B7079" s="90">
        <v>7.1315167920042981</v>
      </c>
    </row>
    <row r="7080" spans="1:2">
      <c r="A7080" s="32">
        <v>7070</v>
      </c>
      <c r="B7080" s="90">
        <v>9.4836128635908583</v>
      </c>
    </row>
    <row r="7081" spans="1:2">
      <c r="A7081" s="32">
        <v>7071</v>
      </c>
      <c r="B7081" s="90">
        <v>7.5401467958033104</v>
      </c>
    </row>
    <row r="7082" spans="1:2">
      <c r="A7082" s="32">
        <v>7072</v>
      </c>
      <c r="B7082" s="90">
        <v>7.7310698862691272</v>
      </c>
    </row>
    <row r="7083" spans="1:2">
      <c r="A7083" s="32">
        <v>7073</v>
      </c>
      <c r="B7083" s="90">
        <v>7.9995779943174252</v>
      </c>
    </row>
    <row r="7084" spans="1:2">
      <c r="A7084" s="32">
        <v>7074</v>
      </c>
      <c r="B7084" s="90">
        <v>8.4054114504829549</v>
      </c>
    </row>
    <row r="7085" spans="1:2">
      <c r="A7085" s="32">
        <v>7075</v>
      </c>
      <c r="B7085" s="90">
        <v>7.3004125991049049</v>
      </c>
    </row>
    <row r="7086" spans="1:2">
      <c r="A7086" s="32">
        <v>7076</v>
      </c>
      <c r="B7086" s="90">
        <v>9.0768257982537612</v>
      </c>
    </row>
    <row r="7087" spans="1:2">
      <c r="A7087" s="32">
        <v>7077</v>
      </c>
      <c r="B7087" s="90">
        <v>8.1895419170767418</v>
      </c>
    </row>
    <row r="7088" spans="1:2">
      <c r="A7088" s="32">
        <v>7078</v>
      </c>
      <c r="B7088" s="90">
        <v>7.4985463005058346</v>
      </c>
    </row>
    <row r="7089" spans="1:2">
      <c r="A7089" s="32">
        <v>7079</v>
      </c>
      <c r="B7089" s="90">
        <v>7.3460051839086011</v>
      </c>
    </row>
    <row r="7090" spans="1:2">
      <c r="A7090" s="32">
        <v>7080</v>
      </c>
      <c r="B7090" s="90">
        <v>8.546243683774005</v>
      </c>
    </row>
    <row r="7091" spans="1:2">
      <c r="A7091" s="32">
        <v>7081</v>
      </c>
      <c r="B7091" s="90">
        <v>7.587318744477284</v>
      </c>
    </row>
    <row r="7092" spans="1:2">
      <c r="A7092" s="32">
        <v>7082</v>
      </c>
      <c r="B7092" s="90">
        <v>8.6540359431496192</v>
      </c>
    </row>
    <row r="7093" spans="1:2">
      <c r="A7093" s="32">
        <v>7083</v>
      </c>
      <c r="B7093" s="90">
        <v>8.3483263038783928</v>
      </c>
    </row>
    <row r="7094" spans="1:2">
      <c r="A7094" s="32">
        <v>7084</v>
      </c>
      <c r="B7094" s="90">
        <v>7.4353004691872906</v>
      </c>
    </row>
    <row r="7095" spans="1:2">
      <c r="A7095" s="32">
        <v>7085</v>
      </c>
      <c r="B7095" s="90">
        <v>7.0166085789689658</v>
      </c>
    </row>
    <row r="7096" spans="1:2">
      <c r="A7096" s="32">
        <v>7086</v>
      </c>
      <c r="B7096" s="90">
        <v>8.5633700064947487</v>
      </c>
    </row>
    <row r="7097" spans="1:2">
      <c r="A7097" s="32">
        <v>7087</v>
      </c>
      <c r="B7097" s="90">
        <v>7.8843515789566156</v>
      </c>
    </row>
    <row r="7098" spans="1:2">
      <c r="A7098" s="32">
        <v>7088</v>
      </c>
      <c r="B7098" s="90">
        <v>9.2952645507321066</v>
      </c>
    </row>
    <row r="7099" spans="1:2">
      <c r="A7099" s="32">
        <v>7089</v>
      </c>
      <c r="B7099" s="90">
        <v>7.6399658688433902</v>
      </c>
    </row>
    <row r="7100" spans="1:2">
      <c r="A7100" s="32">
        <v>7090</v>
      </c>
      <c r="B7100" s="90">
        <v>7.646758327091427</v>
      </c>
    </row>
    <row r="7101" spans="1:2">
      <c r="A7101" s="32">
        <v>7091</v>
      </c>
      <c r="B7101" s="90">
        <v>7.5622235407450242</v>
      </c>
    </row>
    <row r="7102" spans="1:2">
      <c r="A7102" s="32">
        <v>7092</v>
      </c>
      <c r="B7102" s="90">
        <v>7.9675676062923646</v>
      </c>
    </row>
    <row r="7103" spans="1:2">
      <c r="A7103" s="32">
        <v>7093</v>
      </c>
      <c r="B7103" s="90">
        <v>8.851035399777631</v>
      </c>
    </row>
    <row r="7104" spans="1:2">
      <c r="A7104" s="32">
        <v>7094</v>
      </c>
      <c r="B7104" s="90">
        <v>8.1025333879397774</v>
      </c>
    </row>
    <row r="7105" spans="1:2">
      <c r="A7105" s="32">
        <v>7095</v>
      </c>
      <c r="B7105" s="90">
        <v>7.2074151681358885</v>
      </c>
    </row>
    <row r="7106" spans="1:2">
      <c r="A7106" s="32">
        <v>7096</v>
      </c>
      <c r="B7106" s="90">
        <v>8.1684573776276359</v>
      </c>
    </row>
    <row r="7107" spans="1:2">
      <c r="A7107" s="32">
        <v>7097</v>
      </c>
      <c r="B7107" s="90">
        <v>7.856642457581767</v>
      </c>
    </row>
    <row r="7108" spans="1:2">
      <c r="A7108" s="32">
        <v>7098</v>
      </c>
      <c r="B7108" s="90">
        <v>7.8363713760874081</v>
      </c>
    </row>
    <row r="7109" spans="1:2">
      <c r="A7109" s="32">
        <v>7099</v>
      </c>
      <c r="B7109" s="90">
        <v>9.2185704093056824</v>
      </c>
    </row>
    <row r="7110" spans="1:2">
      <c r="A7110" s="32">
        <v>7100</v>
      </c>
      <c r="B7110" s="90">
        <v>7.6239281336988425</v>
      </c>
    </row>
    <row r="7111" spans="1:2">
      <c r="A7111" s="32">
        <v>7101</v>
      </c>
      <c r="B7111" s="90">
        <v>7.5087372750744903</v>
      </c>
    </row>
    <row r="7112" spans="1:2">
      <c r="A7112" s="32">
        <v>7102</v>
      </c>
      <c r="B7112" s="90">
        <v>7.908490078909062</v>
      </c>
    </row>
    <row r="7113" spans="1:2">
      <c r="A7113" s="32">
        <v>7103</v>
      </c>
      <c r="B7113" s="90">
        <v>8.4998465086001129</v>
      </c>
    </row>
    <row r="7114" spans="1:2">
      <c r="A7114" s="32">
        <v>7104</v>
      </c>
      <c r="B7114" s="90">
        <v>7.3233606807815725</v>
      </c>
    </row>
    <row r="7115" spans="1:2">
      <c r="A7115" s="32">
        <v>7105</v>
      </c>
      <c r="B7115" s="90">
        <v>9.115715656646362</v>
      </c>
    </row>
    <row r="7116" spans="1:2">
      <c r="A7116" s="32">
        <v>7106</v>
      </c>
      <c r="B7116" s="90">
        <v>7.9793326216563774</v>
      </c>
    </row>
    <row r="7117" spans="1:2">
      <c r="A7117" s="32">
        <v>7107</v>
      </c>
      <c r="B7117" s="90">
        <v>7.6617976118886455</v>
      </c>
    </row>
    <row r="7118" spans="1:2">
      <c r="A7118" s="32">
        <v>7108</v>
      </c>
      <c r="B7118" s="90">
        <v>7.6545332527915839</v>
      </c>
    </row>
    <row r="7119" spans="1:2">
      <c r="A7119" s="32">
        <v>7109</v>
      </c>
      <c r="B7119" s="90">
        <v>8.3057661429814207</v>
      </c>
    </row>
    <row r="7120" spans="1:2">
      <c r="A7120" s="32">
        <v>7110</v>
      </c>
      <c r="B7120" s="90">
        <v>7.4467558808863945</v>
      </c>
    </row>
    <row r="7121" spans="1:2">
      <c r="A7121" s="32">
        <v>7111</v>
      </c>
      <c r="B7121" s="90">
        <v>8.8472468180491894</v>
      </c>
    </row>
    <row r="7122" spans="1:2">
      <c r="A7122" s="32">
        <v>7112</v>
      </c>
      <c r="B7122" s="90">
        <v>8.3430339897311345</v>
      </c>
    </row>
    <row r="7123" spans="1:2">
      <c r="A7123" s="32">
        <v>7113</v>
      </c>
      <c r="B7123" s="90">
        <v>7.3804717716313348</v>
      </c>
    </row>
    <row r="7124" spans="1:2">
      <c r="A7124" s="32">
        <v>7114</v>
      </c>
      <c r="B7124" s="90">
        <v>7.192038371059815</v>
      </c>
    </row>
    <row r="7125" spans="1:2">
      <c r="A7125" s="32">
        <v>7115</v>
      </c>
      <c r="B7125" s="90">
        <v>8.4717436497322183</v>
      </c>
    </row>
    <row r="7126" spans="1:2">
      <c r="A7126" s="32">
        <v>7116</v>
      </c>
      <c r="B7126" s="90">
        <v>7.778277249721997</v>
      </c>
    </row>
    <row r="7127" spans="1:2">
      <c r="A7127" s="32">
        <v>7117</v>
      </c>
      <c r="B7127" s="90">
        <v>8.4603519107753851</v>
      </c>
    </row>
    <row r="7128" spans="1:2">
      <c r="A7128" s="32">
        <v>7118</v>
      </c>
      <c r="B7128" s="90">
        <v>7.1922142328966281</v>
      </c>
    </row>
    <row r="7129" spans="1:2">
      <c r="A7129" s="32">
        <v>7119</v>
      </c>
      <c r="B7129" s="90">
        <v>7.0897005766017971</v>
      </c>
    </row>
    <row r="7130" spans="1:2">
      <c r="A7130" s="32">
        <v>7120</v>
      </c>
      <c r="B7130" s="90">
        <v>8.5969039344139446</v>
      </c>
    </row>
    <row r="7131" spans="1:2">
      <c r="A7131" s="32">
        <v>7121</v>
      </c>
      <c r="B7131" s="90">
        <v>8.1784518306685268</v>
      </c>
    </row>
    <row r="7132" spans="1:2">
      <c r="A7132" s="32">
        <v>7122</v>
      </c>
      <c r="B7132" s="90">
        <v>8.4694794455740467</v>
      </c>
    </row>
    <row r="7133" spans="1:2">
      <c r="A7133" s="32">
        <v>7123</v>
      </c>
      <c r="B7133" s="90">
        <v>8.1029744373491592</v>
      </c>
    </row>
    <row r="7134" spans="1:2">
      <c r="A7134" s="32">
        <v>7124</v>
      </c>
      <c r="B7134" s="90">
        <v>7.4412506634286144</v>
      </c>
    </row>
    <row r="7135" spans="1:2">
      <c r="A7135" s="32">
        <v>7125</v>
      </c>
      <c r="B7135" s="90">
        <v>7.0756842497798145</v>
      </c>
    </row>
    <row r="7136" spans="1:2">
      <c r="A7136" s="32">
        <v>7126</v>
      </c>
      <c r="B7136" s="90">
        <v>8.8526028688796892</v>
      </c>
    </row>
    <row r="7137" spans="1:2">
      <c r="A7137" s="32">
        <v>7127</v>
      </c>
      <c r="B7137" s="90">
        <v>8.2794318676282597</v>
      </c>
    </row>
    <row r="7138" spans="1:2">
      <c r="A7138" s="32">
        <v>7128</v>
      </c>
      <c r="B7138" s="90">
        <v>8.5994329203416342</v>
      </c>
    </row>
    <row r="7139" spans="1:2">
      <c r="A7139" s="32">
        <v>7129</v>
      </c>
      <c r="B7139" s="90">
        <v>7.2599107268420688</v>
      </c>
    </row>
    <row r="7140" spans="1:2">
      <c r="A7140" s="32">
        <v>7130</v>
      </c>
      <c r="B7140" s="90">
        <v>7.7900061392753983</v>
      </c>
    </row>
    <row r="7141" spans="1:2">
      <c r="A7141" s="32">
        <v>7131</v>
      </c>
      <c r="B7141" s="90">
        <v>7.0752891735001882</v>
      </c>
    </row>
    <row r="7142" spans="1:2">
      <c r="A7142" s="32">
        <v>7132</v>
      </c>
      <c r="B7142" s="90">
        <v>9.0809648470450774</v>
      </c>
    </row>
    <row r="7143" spans="1:2">
      <c r="A7143" s="32">
        <v>7133</v>
      </c>
      <c r="B7143" s="90">
        <v>7.6672123678335327</v>
      </c>
    </row>
    <row r="7144" spans="1:2">
      <c r="A7144" s="32">
        <v>7134</v>
      </c>
      <c r="B7144" s="90">
        <v>9.279731874473736</v>
      </c>
    </row>
    <row r="7145" spans="1:2">
      <c r="A7145" s="32">
        <v>7135</v>
      </c>
      <c r="B7145" s="90">
        <v>7.0663274477139018</v>
      </c>
    </row>
    <row r="7146" spans="1:2">
      <c r="A7146" s="32">
        <v>7136</v>
      </c>
      <c r="B7146" s="90">
        <v>7.7640614516430482</v>
      </c>
    </row>
    <row r="7147" spans="1:2">
      <c r="A7147" s="32">
        <v>7137</v>
      </c>
      <c r="B7147" s="90">
        <v>7.3224409975734819</v>
      </c>
    </row>
    <row r="7148" spans="1:2">
      <c r="A7148" s="32">
        <v>7138</v>
      </c>
      <c r="B7148" s="90">
        <v>8.8645787424473887</v>
      </c>
    </row>
    <row r="7149" spans="1:2">
      <c r="A7149" s="32">
        <v>7139</v>
      </c>
      <c r="B7149" s="90">
        <v>7.6437791594869653</v>
      </c>
    </row>
    <row r="7150" spans="1:2">
      <c r="A7150" s="32">
        <v>7140</v>
      </c>
      <c r="B7150" s="90">
        <v>9.070607792927575</v>
      </c>
    </row>
    <row r="7151" spans="1:2">
      <c r="A7151" s="32">
        <v>7141</v>
      </c>
      <c r="B7151" s="90">
        <v>7.2890793178042372</v>
      </c>
    </row>
    <row r="7152" spans="1:2">
      <c r="A7152" s="32">
        <v>7142</v>
      </c>
      <c r="B7152" s="90">
        <v>7.3060280610348496</v>
      </c>
    </row>
    <row r="7153" spans="1:2">
      <c r="A7153" s="32">
        <v>7143</v>
      </c>
      <c r="B7153" s="90">
        <v>7.9742891506903302</v>
      </c>
    </row>
    <row r="7154" spans="1:2">
      <c r="A7154" s="32">
        <v>7144</v>
      </c>
      <c r="B7154" s="90">
        <v>8.7458200051985031</v>
      </c>
    </row>
    <row r="7155" spans="1:2">
      <c r="A7155" s="32">
        <v>7145</v>
      </c>
      <c r="B7155" s="90">
        <v>8.1632798570084919</v>
      </c>
    </row>
    <row r="7156" spans="1:2">
      <c r="A7156" s="32">
        <v>7146</v>
      </c>
      <c r="B7156" s="90">
        <v>8.7565674509856528</v>
      </c>
    </row>
    <row r="7157" spans="1:2">
      <c r="A7157" s="32">
        <v>7147</v>
      </c>
      <c r="B7157" s="90">
        <v>7.0257376386662482</v>
      </c>
    </row>
    <row r="7158" spans="1:2">
      <c r="A7158" s="32">
        <v>7148</v>
      </c>
      <c r="B7158" s="90">
        <v>7.0665456383646754</v>
      </c>
    </row>
    <row r="7159" spans="1:2">
      <c r="A7159" s="32">
        <v>7149</v>
      </c>
      <c r="B7159" s="90">
        <v>8.5264533203860999</v>
      </c>
    </row>
    <row r="7160" spans="1:2">
      <c r="A7160" s="32">
        <v>7150</v>
      </c>
      <c r="B7160" s="90">
        <v>8.1506469585350185</v>
      </c>
    </row>
    <row r="7161" spans="1:2">
      <c r="A7161" s="32">
        <v>7151</v>
      </c>
      <c r="B7161" s="90">
        <v>8.450176924593654</v>
      </c>
    </row>
    <row r="7162" spans="1:2">
      <c r="A7162" s="32">
        <v>7152</v>
      </c>
      <c r="B7162" s="90">
        <v>8.2987599382286064</v>
      </c>
    </row>
    <row r="7163" spans="1:2">
      <c r="A7163" s="32">
        <v>7153</v>
      </c>
      <c r="B7163" s="90">
        <v>7.4978120242994608</v>
      </c>
    </row>
    <row r="7164" spans="1:2">
      <c r="A7164" s="32">
        <v>7154</v>
      </c>
      <c r="B7164" s="90">
        <v>6.8030575608530857</v>
      </c>
    </row>
    <row r="7165" spans="1:2">
      <c r="A7165" s="32">
        <v>7155</v>
      </c>
      <c r="B7165" s="90">
        <v>9.0078848225074299</v>
      </c>
    </row>
    <row r="7166" spans="1:2">
      <c r="A7166" s="32">
        <v>7156</v>
      </c>
      <c r="B7166" s="90">
        <v>8.2040545871760724</v>
      </c>
    </row>
    <row r="7167" spans="1:2">
      <c r="A7167" s="32">
        <v>7157</v>
      </c>
      <c r="B7167" s="90">
        <v>8.1642249211619404</v>
      </c>
    </row>
    <row r="7168" spans="1:2">
      <c r="A7168" s="32">
        <v>7158</v>
      </c>
      <c r="B7168" s="90">
        <v>8.0825302447480194</v>
      </c>
    </row>
    <row r="7169" spans="1:2">
      <c r="A7169" s="32">
        <v>7159</v>
      </c>
      <c r="B7169" s="90">
        <v>7.359956231593034</v>
      </c>
    </row>
    <row r="7170" spans="1:2">
      <c r="A7170" s="32">
        <v>7160</v>
      </c>
      <c r="B7170" s="90">
        <v>7.0954163008078925</v>
      </c>
    </row>
    <row r="7171" spans="1:2">
      <c r="A7171" s="32">
        <v>7161</v>
      </c>
      <c r="B7171" s="90">
        <v>9.1116891836274974</v>
      </c>
    </row>
    <row r="7172" spans="1:2">
      <c r="A7172" s="32">
        <v>7162</v>
      </c>
      <c r="B7172" s="90">
        <v>8.0186177184897662</v>
      </c>
    </row>
    <row r="7173" spans="1:2">
      <c r="A7173" s="32">
        <v>7163</v>
      </c>
      <c r="B7173" s="90">
        <v>8.8087104506834599</v>
      </c>
    </row>
    <row r="7174" spans="1:2">
      <c r="A7174" s="32">
        <v>7164</v>
      </c>
      <c r="B7174" s="90">
        <v>6.9792877234460615</v>
      </c>
    </row>
    <row r="7175" spans="1:2">
      <c r="A7175" s="32">
        <v>7165</v>
      </c>
      <c r="B7175" s="90">
        <v>7.8474134725312785</v>
      </c>
    </row>
    <row r="7176" spans="1:2">
      <c r="A7176" s="32">
        <v>7166</v>
      </c>
      <c r="B7176" s="90">
        <v>7.35183975895296</v>
      </c>
    </row>
    <row r="7177" spans="1:2">
      <c r="A7177" s="32">
        <v>7167</v>
      </c>
      <c r="B7177" s="90">
        <v>8.9196497940977668</v>
      </c>
    </row>
    <row r="7178" spans="1:2">
      <c r="A7178" s="32">
        <v>7168</v>
      </c>
      <c r="B7178" s="90">
        <v>7.4159815329738814</v>
      </c>
    </row>
    <row r="7179" spans="1:2">
      <c r="A7179" s="32">
        <v>7169</v>
      </c>
      <c r="B7179" s="90">
        <v>9.7125028231270782</v>
      </c>
    </row>
    <row r="7180" spans="1:2">
      <c r="A7180" s="32">
        <v>7170</v>
      </c>
      <c r="B7180" s="90">
        <v>7.2732621785939662</v>
      </c>
    </row>
    <row r="7181" spans="1:2">
      <c r="A7181" s="32">
        <v>7171</v>
      </c>
      <c r="B7181" s="90">
        <v>7.4072483416127</v>
      </c>
    </row>
    <row r="7182" spans="1:2">
      <c r="A7182" s="32">
        <v>7172</v>
      </c>
      <c r="B7182" s="90">
        <v>7.5946089852254497</v>
      </c>
    </row>
    <row r="7183" spans="1:2">
      <c r="A7183" s="32">
        <v>7173</v>
      </c>
      <c r="B7183" s="90">
        <v>8.4669491536803996</v>
      </c>
    </row>
    <row r="7184" spans="1:2">
      <c r="A7184" s="32">
        <v>7174</v>
      </c>
      <c r="B7184" s="90">
        <v>7.760127402849279</v>
      </c>
    </row>
    <row r="7185" spans="1:2">
      <c r="A7185" s="32">
        <v>7175</v>
      </c>
      <c r="B7185" s="90">
        <v>9.2710409259281104</v>
      </c>
    </row>
    <row r="7186" spans="1:2">
      <c r="A7186" s="32">
        <v>7176</v>
      </c>
      <c r="B7186" s="90">
        <v>6.9434191995931416</v>
      </c>
    </row>
    <row r="7187" spans="1:2">
      <c r="A7187" s="32">
        <v>7177</v>
      </c>
      <c r="B7187" s="90">
        <v>8.6289718412804177</v>
      </c>
    </row>
    <row r="7188" spans="1:2">
      <c r="A7188" s="32">
        <v>7178</v>
      </c>
      <c r="B7188" s="90">
        <v>8.155894371778043</v>
      </c>
    </row>
    <row r="7189" spans="1:2">
      <c r="A7189" s="32">
        <v>7179</v>
      </c>
      <c r="B7189" s="90">
        <v>8.1836886225221672</v>
      </c>
    </row>
    <row r="7190" spans="1:2">
      <c r="A7190" s="32">
        <v>7180</v>
      </c>
      <c r="B7190" s="90">
        <v>8.52304762924493</v>
      </c>
    </row>
    <row r="7191" spans="1:2">
      <c r="A7191" s="32">
        <v>7181</v>
      </c>
      <c r="B7191" s="90">
        <v>7.8437822274361695</v>
      </c>
    </row>
    <row r="7192" spans="1:2">
      <c r="A7192" s="32">
        <v>7182</v>
      </c>
      <c r="B7192" s="90">
        <v>7.4002429224189212</v>
      </c>
    </row>
    <row r="7193" spans="1:2">
      <c r="A7193" s="32">
        <v>7183</v>
      </c>
      <c r="B7193" s="90">
        <v>8.156323409226145</v>
      </c>
    </row>
    <row r="7194" spans="1:2">
      <c r="A7194" s="32">
        <v>7184</v>
      </c>
      <c r="B7194" s="90">
        <v>8.0245580368761935</v>
      </c>
    </row>
    <row r="7195" spans="1:2">
      <c r="A7195" s="32">
        <v>7185</v>
      </c>
      <c r="B7195" s="90">
        <v>8.8747633671761594</v>
      </c>
    </row>
    <row r="7196" spans="1:2">
      <c r="A7196" s="32">
        <v>7186</v>
      </c>
      <c r="B7196" s="90">
        <v>8.2668782859043493</v>
      </c>
    </row>
    <row r="7197" spans="1:2">
      <c r="A7197" s="32">
        <v>7187</v>
      </c>
      <c r="B7197" s="90">
        <v>7.6833271371775824</v>
      </c>
    </row>
    <row r="7198" spans="1:2">
      <c r="A7198" s="32">
        <v>7188</v>
      </c>
      <c r="B7198" s="90">
        <v>6.9260692251399654</v>
      </c>
    </row>
    <row r="7199" spans="1:2">
      <c r="A7199" s="32">
        <v>7189</v>
      </c>
      <c r="B7199" s="90">
        <v>8.6466019535690588</v>
      </c>
    </row>
    <row r="7200" spans="1:2">
      <c r="A7200" s="32">
        <v>7190</v>
      </c>
      <c r="B7200" s="90">
        <v>7.9580643535793829</v>
      </c>
    </row>
    <row r="7201" spans="1:2">
      <c r="A7201" s="32">
        <v>7191</v>
      </c>
      <c r="B7201" s="90">
        <v>8.397249096881982</v>
      </c>
    </row>
    <row r="7202" spans="1:2">
      <c r="A7202" s="32">
        <v>7192</v>
      </c>
      <c r="B7202" s="90">
        <v>8.9798391996491596</v>
      </c>
    </row>
    <row r="7203" spans="1:2">
      <c r="A7203" s="32">
        <v>7193</v>
      </c>
      <c r="B7203" s="90">
        <v>6.9794444872129828</v>
      </c>
    </row>
    <row r="7204" spans="1:2">
      <c r="A7204" s="32">
        <v>7194</v>
      </c>
      <c r="B7204" s="90">
        <v>7.4860071515314779</v>
      </c>
    </row>
    <row r="7205" spans="1:2">
      <c r="A7205" s="32">
        <v>7195</v>
      </c>
      <c r="B7205" s="90">
        <v>8.7785105496560032</v>
      </c>
    </row>
    <row r="7206" spans="1:2">
      <c r="A7206" s="32">
        <v>7196</v>
      </c>
      <c r="B7206" s="90">
        <v>8.0404910838061969</v>
      </c>
    </row>
    <row r="7207" spans="1:2">
      <c r="A7207" s="32">
        <v>7197</v>
      </c>
      <c r="B7207" s="90">
        <v>8.032751703508449</v>
      </c>
    </row>
    <row r="7208" spans="1:2">
      <c r="A7208" s="32">
        <v>7198</v>
      </c>
      <c r="B7208" s="90">
        <v>8.6302964898040706</v>
      </c>
    </row>
    <row r="7209" spans="1:2">
      <c r="A7209" s="32">
        <v>7199</v>
      </c>
      <c r="B7209" s="90">
        <v>7.0160571489232488</v>
      </c>
    </row>
    <row r="7210" spans="1:2">
      <c r="A7210" s="32">
        <v>7200</v>
      </c>
      <c r="B7210" s="90">
        <v>7.928226309547334</v>
      </c>
    </row>
    <row r="7211" spans="1:2">
      <c r="A7211" s="32">
        <v>7201</v>
      </c>
      <c r="B7211" s="90">
        <v>8.2728687237097631</v>
      </c>
    </row>
    <row r="7212" spans="1:2">
      <c r="A7212" s="32">
        <v>7202</v>
      </c>
      <c r="B7212" s="90">
        <v>8.1597751286504394</v>
      </c>
    </row>
    <row r="7213" spans="1:2">
      <c r="A7213" s="32">
        <v>7203</v>
      </c>
      <c r="B7213" s="90">
        <v>8.5563915966179547</v>
      </c>
    </row>
    <row r="7214" spans="1:2">
      <c r="A7214" s="32">
        <v>7204</v>
      </c>
      <c r="B7214" s="90">
        <v>7.8844826577419607</v>
      </c>
    </row>
    <row r="7215" spans="1:2">
      <c r="A7215" s="32">
        <v>7205</v>
      </c>
      <c r="B7215" s="90">
        <v>7.3534435994647209</v>
      </c>
    </row>
    <row r="7216" spans="1:2">
      <c r="A7216" s="32">
        <v>7206</v>
      </c>
      <c r="B7216" s="90">
        <v>8.2020463259601133</v>
      </c>
    </row>
    <row r="7217" spans="1:2">
      <c r="A7217" s="32">
        <v>7207</v>
      </c>
      <c r="B7217" s="90">
        <v>8.6129077275521269</v>
      </c>
    </row>
    <row r="7218" spans="1:2">
      <c r="A7218" s="32">
        <v>7208</v>
      </c>
      <c r="B7218" s="90">
        <v>7.542731858161793</v>
      </c>
    </row>
    <row r="7219" spans="1:2">
      <c r="A7219" s="32">
        <v>7209</v>
      </c>
      <c r="B7219" s="90">
        <v>8.7174292802849678</v>
      </c>
    </row>
    <row r="7220" spans="1:2">
      <c r="A7220" s="32">
        <v>7210</v>
      </c>
      <c r="B7220" s="90">
        <v>8.0185405260810985</v>
      </c>
    </row>
    <row r="7221" spans="1:2">
      <c r="A7221" s="32">
        <v>7211</v>
      </c>
      <c r="B7221" s="90">
        <v>7.1545695469102695</v>
      </c>
    </row>
    <row r="7222" spans="1:2">
      <c r="A7222" s="32">
        <v>7212</v>
      </c>
      <c r="B7222" s="90">
        <v>8.2640096476306404</v>
      </c>
    </row>
    <row r="7223" spans="1:2">
      <c r="A7223" s="32">
        <v>7213</v>
      </c>
      <c r="B7223" s="90">
        <v>7.9964485053993304</v>
      </c>
    </row>
    <row r="7224" spans="1:2">
      <c r="A7224" s="32">
        <v>7214</v>
      </c>
      <c r="B7224" s="90">
        <v>8.4747378833013229</v>
      </c>
    </row>
    <row r="7225" spans="1:2">
      <c r="A7225" s="32">
        <v>7215</v>
      </c>
      <c r="B7225" s="90">
        <v>8.4322549746935138</v>
      </c>
    </row>
    <row r="7226" spans="1:2">
      <c r="A7226" s="32">
        <v>7216</v>
      </c>
      <c r="B7226" s="90">
        <v>7.8601220495569928</v>
      </c>
    </row>
    <row r="7227" spans="1:2">
      <c r="A7227" s="32">
        <v>7217</v>
      </c>
      <c r="B7227" s="90">
        <v>7.2510059424154667</v>
      </c>
    </row>
    <row r="7228" spans="1:2">
      <c r="A7228" s="32">
        <v>7218</v>
      </c>
      <c r="B7228" s="90">
        <v>8.4858378055879964</v>
      </c>
    </row>
    <row r="7229" spans="1:2">
      <c r="A7229" s="32">
        <v>7219</v>
      </c>
      <c r="B7229" s="90">
        <v>7.899271519517419</v>
      </c>
    </row>
    <row r="7230" spans="1:2">
      <c r="A7230" s="32">
        <v>7220</v>
      </c>
      <c r="B7230" s="90">
        <v>8.5366391138842985</v>
      </c>
    </row>
    <row r="7231" spans="1:2">
      <c r="A7231" s="32">
        <v>7221</v>
      </c>
      <c r="B7231" s="90">
        <v>8.3347245079923447</v>
      </c>
    </row>
    <row r="7232" spans="1:2">
      <c r="A7232" s="32">
        <v>7222</v>
      </c>
      <c r="B7232" s="90">
        <v>7.5093637204882411</v>
      </c>
    </row>
    <row r="7233" spans="1:2">
      <c r="A7233" s="32">
        <v>7223</v>
      </c>
      <c r="B7233" s="90">
        <v>7.0909870587053332</v>
      </c>
    </row>
    <row r="7234" spans="1:2">
      <c r="A7234" s="32">
        <v>7224</v>
      </c>
      <c r="B7234" s="90">
        <v>8.7048997559999073</v>
      </c>
    </row>
    <row r="7235" spans="1:2">
      <c r="A7235" s="32">
        <v>7225</v>
      </c>
      <c r="B7235" s="90">
        <v>8.2267238035710371</v>
      </c>
    </row>
    <row r="7236" spans="1:2">
      <c r="A7236" s="32">
        <v>7226</v>
      </c>
      <c r="B7236" s="90">
        <v>8.1571800981424154</v>
      </c>
    </row>
    <row r="7237" spans="1:2">
      <c r="A7237" s="32">
        <v>7227</v>
      </c>
      <c r="B7237" s="90">
        <v>8.7455814329979358</v>
      </c>
    </row>
    <row r="7238" spans="1:2">
      <c r="A7238" s="32">
        <v>7228</v>
      </c>
      <c r="B7238" s="90">
        <v>7.1476084463895617</v>
      </c>
    </row>
    <row r="7239" spans="1:2">
      <c r="A7239" s="32">
        <v>7229</v>
      </c>
      <c r="B7239" s="90">
        <v>7.6422675599855152</v>
      </c>
    </row>
    <row r="7240" spans="1:2">
      <c r="A7240" s="32">
        <v>7230</v>
      </c>
      <c r="B7240" s="90">
        <v>8.4345865609114252</v>
      </c>
    </row>
    <row r="7241" spans="1:2">
      <c r="A7241" s="32">
        <v>7231</v>
      </c>
      <c r="B7241" s="90">
        <v>7.9598940988814038</v>
      </c>
    </row>
    <row r="7242" spans="1:2">
      <c r="A7242" s="32">
        <v>7232</v>
      </c>
      <c r="B7242" s="90">
        <v>8.3865381248419339</v>
      </c>
    </row>
    <row r="7243" spans="1:2">
      <c r="A7243" s="32">
        <v>7233</v>
      </c>
      <c r="B7243" s="90">
        <v>8.4749364512279737</v>
      </c>
    </row>
    <row r="7244" spans="1:2">
      <c r="A7244" s="32">
        <v>7234</v>
      </c>
      <c r="B7244" s="90">
        <v>7.1504335057320825</v>
      </c>
    </row>
    <row r="7245" spans="1:2">
      <c r="A7245" s="32">
        <v>7235</v>
      </c>
      <c r="B7245" s="90">
        <v>7.9705278699188016</v>
      </c>
    </row>
    <row r="7246" spans="1:2">
      <c r="A7246" s="32">
        <v>7236</v>
      </c>
      <c r="B7246" s="90">
        <v>8.1732914701455854</v>
      </c>
    </row>
    <row r="7247" spans="1:2">
      <c r="A7247" s="32">
        <v>7237</v>
      </c>
      <c r="B7247" s="90">
        <v>8.1681600056954196</v>
      </c>
    </row>
    <row r="7248" spans="1:2">
      <c r="A7248" s="32">
        <v>7238</v>
      </c>
      <c r="B7248" s="90">
        <v>8.6824777074478128</v>
      </c>
    </row>
    <row r="7249" spans="1:2">
      <c r="A7249" s="32">
        <v>7239</v>
      </c>
      <c r="B7249" s="90">
        <v>7.9267491253423126</v>
      </c>
    </row>
    <row r="7250" spans="1:2">
      <c r="A7250" s="32">
        <v>7240</v>
      </c>
      <c r="B7250" s="90">
        <v>7.3461641325222446</v>
      </c>
    </row>
    <row r="7251" spans="1:2">
      <c r="A7251" s="32">
        <v>7241</v>
      </c>
      <c r="B7251" s="90">
        <v>8.0506795996264753</v>
      </c>
    </row>
    <row r="7252" spans="1:2">
      <c r="A7252" s="32">
        <v>7242</v>
      </c>
      <c r="B7252" s="90">
        <v>8.155894371778043</v>
      </c>
    </row>
    <row r="7253" spans="1:2">
      <c r="A7253" s="32">
        <v>7243</v>
      </c>
      <c r="B7253" s="90">
        <v>8.1836886225221672</v>
      </c>
    </row>
    <row r="7254" spans="1:2">
      <c r="A7254" s="32">
        <v>7244</v>
      </c>
      <c r="B7254" s="90">
        <v>8.52304762924493</v>
      </c>
    </row>
    <row r="7255" spans="1:2">
      <c r="A7255" s="32">
        <v>7245</v>
      </c>
      <c r="B7255" s="90">
        <v>7.8437822274361695</v>
      </c>
    </row>
    <row r="7256" spans="1:2">
      <c r="A7256" s="32">
        <v>7246</v>
      </c>
      <c r="B7256" s="90">
        <v>7.4002429224189212</v>
      </c>
    </row>
    <row r="7257" spans="1:2">
      <c r="A7257" s="32">
        <v>7247</v>
      </c>
      <c r="B7257" s="90">
        <v>8.156323409226145</v>
      </c>
    </row>
    <row r="7258" spans="1:2">
      <c r="A7258" s="32">
        <v>7248</v>
      </c>
      <c r="B7258" s="90">
        <v>8.0245580368761935</v>
      </c>
    </row>
    <row r="7259" spans="1:2">
      <c r="A7259" s="32">
        <v>7249</v>
      </c>
      <c r="B7259" s="90">
        <v>8.8747633671761594</v>
      </c>
    </row>
    <row r="7260" spans="1:2">
      <c r="A7260" s="32">
        <v>7250</v>
      </c>
      <c r="B7260" s="90">
        <v>8.2668782859043493</v>
      </c>
    </row>
    <row r="7261" spans="1:2">
      <c r="A7261" s="32">
        <v>7251</v>
      </c>
      <c r="B7261" s="90">
        <v>7.6833271371775824</v>
      </c>
    </row>
    <row r="7262" spans="1:2">
      <c r="A7262" s="32">
        <v>7252</v>
      </c>
      <c r="B7262" s="90">
        <v>6.9260692251399654</v>
      </c>
    </row>
    <row r="7263" spans="1:2">
      <c r="A7263" s="32">
        <v>7253</v>
      </c>
      <c r="B7263" s="90">
        <v>8.6466019535690588</v>
      </c>
    </row>
    <row r="7264" spans="1:2">
      <c r="A7264" s="32">
        <v>7254</v>
      </c>
      <c r="B7264" s="90">
        <v>7.9580643535793829</v>
      </c>
    </row>
    <row r="7265" spans="1:2">
      <c r="A7265" s="32">
        <v>7255</v>
      </c>
      <c r="B7265" s="90">
        <v>8.397249096881982</v>
      </c>
    </row>
    <row r="7266" spans="1:2">
      <c r="A7266" s="32">
        <v>7256</v>
      </c>
      <c r="B7266" s="90">
        <v>8.9798391996491596</v>
      </c>
    </row>
    <row r="7267" spans="1:2">
      <c r="A7267" s="32">
        <v>7257</v>
      </c>
      <c r="B7267" s="90">
        <v>6.9794444872129828</v>
      </c>
    </row>
    <row r="7268" spans="1:2">
      <c r="A7268" s="32">
        <v>7258</v>
      </c>
      <c r="B7268" s="90">
        <v>7.4860071515314779</v>
      </c>
    </row>
    <row r="7269" spans="1:2">
      <c r="A7269" s="32">
        <v>7259</v>
      </c>
      <c r="B7269" s="90">
        <v>8.7785105496560032</v>
      </c>
    </row>
    <row r="7270" spans="1:2">
      <c r="A7270" s="32">
        <v>7260</v>
      </c>
      <c r="B7270" s="90">
        <v>8.0404910838061969</v>
      </c>
    </row>
    <row r="7271" spans="1:2">
      <c r="A7271" s="32">
        <v>7261</v>
      </c>
      <c r="B7271" s="90">
        <v>8.032751703508449</v>
      </c>
    </row>
    <row r="7272" spans="1:2">
      <c r="A7272" s="32">
        <v>7262</v>
      </c>
      <c r="B7272" s="90">
        <v>8.6302964898040706</v>
      </c>
    </row>
    <row r="7273" spans="1:2">
      <c r="A7273" s="32">
        <v>7263</v>
      </c>
      <c r="B7273" s="90">
        <v>7.0160571489232488</v>
      </c>
    </row>
    <row r="7274" spans="1:2">
      <c r="A7274" s="32">
        <v>7264</v>
      </c>
      <c r="B7274" s="90">
        <v>7.928226309547334</v>
      </c>
    </row>
    <row r="7275" spans="1:2">
      <c r="A7275" s="32">
        <v>7265</v>
      </c>
      <c r="B7275" s="90">
        <v>8.2728687237097631</v>
      </c>
    </row>
    <row r="7276" spans="1:2">
      <c r="A7276" s="32">
        <v>7266</v>
      </c>
      <c r="B7276" s="90">
        <v>8.1597751286504394</v>
      </c>
    </row>
    <row r="7277" spans="1:2">
      <c r="A7277" s="32">
        <v>7267</v>
      </c>
      <c r="B7277" s="90">
        <v>8.5563915966179547</v>
      </c>
    </row>
    <row r="7278" spans="1:2">
      <c r="A7278" s="32">
        <v>7268</v>
      </c>
      <c r="B7278" s="90">
        <v>7.8844826577419607</v>
      </c>
    </row>
    <row r="7279" spans="1:2">
      <c r="A7279" s="32">
        <v>7269</v>
      </c>
      <c r="B7279" s="90">
        <v>7.3534435994647209</v>
      </c>
    </row>
    <row r="7280" spans="1:2">
      <c r="A7280" s="32">
        <v>7270</v>
      </c>
      <c r="B7280" s="90">
        <v>8.2020463259601133</v>
      </c>
    </row>
    <row r="7281" spans="1:2">
      <c r="A7281" s="32">
        <v>7271</v>
      </c>
      <c r="B7281" s="90">
        <v>8.6129077275521269</v>
      </c>
    </row>
    <row r="7282" spans="1:2">
      <c r="A7282" s="32">
        <v>7272</v>
      </c>
      <c r="B7282" s="90">
        <v>7.542731858161793</v>
      </c>
    </row>
    <row r="7283" spans="1:2">
      <c r="A7283" s="32">
        <v>7273</v>
      </c>
      <c r="B7283" s="90">
        <v>8.7174292802849678</v>
      </c>
    </row>
    <row r="7284" spans="1:2">
      <c r="A7284" s="32">
        <v>7274</v>
      </c>
      <c r="B7284" s="90">
        <v>8.0185405260810985</v>
      </c>
    </row>
    <row r="7285" spans="1:2">
      <c r="A7285" s="32">
        <v>7275</v>
      </c>
      <c r="B7285" s="90">
        <v>7.1545695469102695</v>
      </c>
    </row>
    <row r="7286" spans="1:2">
      <c r="A7286" s="32">
        <v>7276</v>
      </c>
      <c r="B7286" s="90">
        <v>8.2640096476306404</v>
      </c>
    </row>
    <row r="7287" spans="1:2">
      <c r="A7287" s="32">
        <v>7277</v>
      </c>
      <c r="B7287" s="90">
        <v>7.9964485053993304</v>
      </c>
    </row>
    <row r="7288" spans="1:2">
      <c r="A7288" s="32">
        <v>7278</v>
      </c>
      <c r="B7288" s="90">
        <v>8.4747378833013229</v>
      </c>
    </row>
    <row r="7289" spans="1:2">
      <c r="A7289" s="32">
        <v>7279</v>
      </c>
      <c r="B7289" s="90">
        <v>8.4322549746935138</v>
      </c>
    </row>
    <row r="7290" spans="1:2">
      <c r="A7290" s="32">
        <v>7280</v>
      </c>
      <c r="B7290" s="90">
        <v>7.8601220495569928</v>
      </c>
    </row>
    <row r="7291" spans="1:2">
      <c r="A7291" s="32">
        <v>7281</v>
      </c>
      <c r="B7291" s="90">
        <v>7.2510059424154667</v>
      </c>
    </row>
    <row r="7292" spans="1:2">
      <c r="A7292" s="32">
        <v>7282</v>
      </c>
      <c r="B7292" s="90">
        <v>8.4858378055879964</v>
      </c>
    </row>
    <row r="7293" spans="1:2">
      <c r="A7293" s="32">
        <v>7283</v>
      </c>
      <c r="B7293" s="90">
        <v>7.899271519517419</v>
      </c>
    </row>
    <row r="7294" spans="1:2">
      <c r="A7294" s="32">
        <v>7284</v>
      </c>
      <c r="B7294" s="90">
        <v>8.5366391138842985</v>
      </c>
    </row>
    <row r="7295" spans="1:2">
      <c r="A7295" s="32">
        <v>7285</v>
      </c>
      <c r="B7295" s="90">
        <v>8.3347245079923447</v>
      </c>
    </row>
    <row r="7296" spans="1:2">
      <c r="A7296" s="32">
        <v>7286</v>
      </c>
      <c r="B7296" s="90">
        <v>7.5093637204882411</v>
      </c>
    </row>
    <row r="7297" spans="1:2">
      <c r="A7297" s="32">
        <v>7287</v>
      </c>
      <c r="B7297" s="90">
        <v>7.0909870587053332</v>
      </c>
    </row>
    <row r="7298" spans="1:2">
      <c r="A7298" s="32">
        <v>7288</v>
      </c>
      <c r="B7298" s="90">
        <v>8.7048997559999073</v>
      </c>
    </row>
    <row r="7299" spans="1:2">
      <c r="A7299" s="32">
        <v>7289</v>
      </c>
      <c r="B7299" s="90">
        <v>8.2267238035710371</v>
      </c>
    </row>
    <row r="7300" spans="1:2">
      <c r="A7300" s="32">
        <v>7290</v>
      </c>
      <c r="B7300" s="90">
        <v>8.1571800981424154</v>
      </c>
    </row>
    <row r="7301" spans="1:2">
      <c r="A7301" s="32">
        <v>7291</v>
      </c>
      <c r="B7301" s="90">
        <v>8.7455814329979358</v>
      </c>
    </row>
    <row r="7302" spans="1:2">
      <c r="A7302" s="32">
        <v>7292</v>
      </c>
      <c r="B7302" s="90">
        <v>7.1476084463895617</v>
      </c>
    </row>
    <row r="7303" spans="1:2">
      <c r="A7303" s="32">
        <v>7293</v>
      </c>
      <c r="B7303" s="90">
        <v>7.6422675599855152</v>
      </c>
    </row>
    <row r="7304" spans="1:2">
      <c r="A7304" s="32">
        <v>7294</v>
      </c>
      <c r="B7304" s="90">
        <v>8.4345865609114252</v>
      </c>
    </row>
    <row r="7305" spans="1:2">
      <c r="A7305" s="32">
        <v>7295</v>
      </c>
      <c r="B7305" s="90">
        <v>7.9598940988814038</v>
      </c>
    </row>
    <row r="7306" spans="1:2">
      <c r="A7306" s="32">
        <v>7296</v>
      </c>
      <c r="B7306" s="90">
        <v>8.3865381248419339</v>
      </c>
    </row>
    <row r="7307" spans="1:2">
      <c r="A7307" s="32">
        <v>7297</v>
      </c>
      <c r="B7307" s="90">
        <v>8.4749364512279737</v>
      </c>
    </row>
    <row r="7308" spans="1:2">
      <c r="A7308" s="32">
        <v>7298</v>
      </c>
      <c r="B7308" s="90">
        <v>7.1504335057320825</v>
      </c>
    </row>
    <row r="7309" spans="1:2">
      <c r="A7309" s="32">
        <v>7299</v>
      </c>
      <c r="B7309" s="90">
        <v>7.9705278699188016</v>
      </c>
    </row>
    <row r="7310" spans="1:2">
      <c r="A7310" s="32">
        <v>7300</v>
      </c>
      <c r="B7310" s="90">
        <v>8.1732914701455854</v>
      </c>
    </row>
    <row r="7311" spans="1:2">
      <c r="A7311" s="32">
        <v>7301</v>
      </c>
      <c r="B7311" s="90">
        <v>8.1681600056954196</v>
      </c>
    </row>
    <row r="7312" spans="1:2">
      <c r="A7312" s="32">
        <v>7302</v>
      </c>
      <c r="B7312" s="90">
        <v>7.4364269988238423</v>
      </c>
    </row>
    <row r="7313" spans="1:2">
      <c r="A7313" s="32">
        <v>7303</v>
      </c>
      <c r="B7313" s="90">
        <v>7.8980459804132979</v>
      </c>
    </row>
    <row r="7314" spans="1:2">
      <c r="A7314" s="32">
        <v>7304</v>
      </c>
      <c r="B7314" s="90">
        <v>8.1840953423771037</v>
      </c>
    </row>
    <row r="7315" spans="1:2">
      <c r="A7315" s="32">
        <v>7305</v>
      </c>
      <c r="B7315" s="90">
        <v>7.2983645282101959</v>
      </c>
    </row>
    <row r="7316" spans="1:2">
      <c r="A7316" s="32">
        <v>7306</v>
      </c>
      <c r="B7316" s="90">
        <v>8.6223544466504798</v>
      </c>
    </row>
    <row r="7317" spans="1:2">
      <c r="A7317" s="32">
        <v>7307</v>
      </c>
      <c r="B7317" s="90">
        <v>9.7606190788497003</v>
      </c>
    </row>
    <row r="7318" spans="1:2">
      <c r="A7318" s="32">
        <v>7308</v>
      </c>
      <c r="B7318" s="90">
        <v>7.4480268498084934</v>
      </c>
    </row>
    <row r="7319" spans="1:2">
      <c r="A7319" s="32">
        <v>7309</v>
      </c>
      <c r="B7319" s="90">
        <v>7.9489202371033763</v>
      </c>
    </row>
    <row r="7320" spans="1:2">
      <c r="A7320" s="32">
        <v>7310</v>
      </c>
      <c r="B7320" s="90">
        <v>8.0625508443590874</v>
      </c>
    </row>
    <row r="7321" spans="1:2">
      <c r="A7321" s="32">
        <v>7311</v>
      </c>
      <c r="B7321" s="90">
        <v>7.0596906278097418</v>
      </c>
    </row>
    <row r="7322" spans="1:2">
      <c r="A7322" s="32">
        <v>7312</v>
      </c>
      <c r="B7322" s="90">
        <v>8.7994069424857813</v>
      </c>
    </row>
    <row r="7323" spans="1:2">
      <c r="A7323" s="32">
        <v>7313</v>
      </c>
      <c r="B7323" s="90">
        <v>9.4541282761190431</v>
      </c>
    </row>
    <row r="7324" spans="1:2">
      <c r="A7324" s="32">
        <v>7314</v>
      </c>
      <c r="B7324" s="90">
        <v>7.7194602574569258</v>
      </c>
    </row>
    <row r="7325" spans="1:2">
      <c r="A7325" s="32">
        <v>7315</v>
      </c>
      <c r="B7325" s="90">
        <v>8.0800955923608768</v>
      </c>
    </row>
    <row r="7326" spans="1:2">
      <c r="A7326" s="32">
        <v>7316</v>
      </c>
      <c r="B7326" s="90">
        <v>7.8905054119776654</v>
      </c>
    </row>
    <row r="7327" spans="1:2">
      <c r="A7327" s="32">
        <v>7317</v>
      </c>
      <c r="B7327" s="90">
        <v>7.265777567942485</v>
      </c>
    </row>
    <row r="7328" spans="1:2">
      <c r="A7328" s="32">
        <v>7318</v>
      </c>
      <c r="B7328" s="90">
        <v>9.2339678587855012</v>
      </c>
    </row>
    <row r="7329" spans="1:2">
      <c r="A7329" s="32">
        <v>7319</v>
      </c>
      <c r="B7329" s="90">
        <v>9.0948402138402624</v>
      </c>
    </row>
    <row r="7330" spans="1:2">
      <c r="A7330" s="32">
        <v>7320</v>
      </c>
      <c r="B7330" s="90">
        <v>7.7070997572293409</v>
      </c>
    </row>
    <row r="7331" spans="1:2">
      <c r="A7331" s="32">
        <v>7321</v>
      </c>
      <c r="B7331" s="90">
        <v>7.708602413803896</v>
      </c>
    </row>
    <row r="7332" spans="1:2">
      <c r="A7332" s="32">
        <v>7322</v>
      </c>
      <c r="B7332" s="90">
        <v>7.7940553671580473</v>
      </c>
    </row>
    <row r="7333" spans="1:2">
      <c r="A7333" s="32">
        <v>7323</v>
      </c>
      <c r="B7333" s="90">
        <v>7.7175475390105754</v>
      </c>
    </row>
    <row r="7334" spans="1:2">
      <c r="A7334" s="32">
        <v>7324</v>
      </c>
      <c r="B7334" s="90">
        <v>9.658727515963955</v>
      </c>
    </row>
    <row r="7335" spans="1:2">
      <c r="A7335" s="32">
        <v>7325</v>
      </c>
      <c r="B7335" s="90">
        <v>8.3909897138799394</v>
      </c>
    </row>
    <row r="7336" spans="1:2">
      <c r="A7336" s="32">
        <v>7326</v>
      </c>
      <c r="B7336" s="90">
        <v>7.900087989095212</v>
      </c>
    </row>
    <row r="7337" spans="1:2">
      <c r="A7337" s="32">
        <v>7327</v>
      </c>
      <c r="B7337" s="90">
        <v>7.4399055230527136</v>
      </c>
    </row>
    <row r="7338" spans="1:2">
      <c r="A7338" s="32">
        <v>7328</v>
      </c>
      <c r="B7338" s="90">
        <v>8.0970523280304825</v>
      </c>
    </row>
    <row r="7339" spans="1:2">
      <c r="A7339" s="32">
        <v>7329</v>
      </c>
      <c r="B7339" s="90">
        <v>7.8951205602992864</v>
      </c>
    </row>
    <row r="7340" spans="1:2">
      <c r="A7340" s="32">
        <v>7330</v>
      </c>
      <c r="B7340" s="90">
        <v>10.085744837388882</v>
      </c>
    </row>
    <row r="7341" spans="1:2">
      <c r="A7341" s="32">
        <v>7331</v>
      </c>
      <c r="B7341" s="90">
        <v>7.8047790436228262</v>
      </c>
    </row>
    <row r="7342" spans="1:2">
      <c r="A7342" s="32">
        <v>7332</v>
      </c>
      <c r="B7342" s="90">
        <v>7.4917983198169624</v>
      </c>
    </row>
    <row r="7343" spans="1:2">
      <c r="A7343" s="32">
        <v>7333</v>
      </c>
      <c r="B7343" s="90">
        <v>8.4652601939962544</v>
      </c>
    </row>
    <row r="7344" spans="1:2">
      <c r="A7344" s="32">
        <v>7334</v>
      </c>
      <c r="B7344" s="90">
        <v>7.3125848687432677</v>
      </c>
    </row>
    <row r="7345" spans="1:2">
      <c r="A7345" s="32">
        <v>7335</v>
      </c>
      <c r="B7345" s="90">
        <v>8.3683963931408325</v>
      </c>
    </row>
    <row r="7346" spans="1:2">
      <c r="A7346" s="32">
        <v>7336</v>
      </c>
      <c r="B7346" s="90">
        <v>9.8772288643778126</v>
      </c>
    </row>
    <row r="7347" spans="1:2">
      <c r="A7347" s="32">
        <v>7337</v>
      </c>
      <c r="B7347" s="90">
        <v>7.4095451287505609</v>
      </c>
    </row>
    <row r="7348" spans="1:2">
      <c r="A7348" s="32">
        <v>7338</v>
      </c>
      <c r="B7348" s="90">
        <v>7.8565311811775329</v>
      </c>
    </row>
    <row r="7349" spans="1:2">
      <c r="A7349" s="32">
        <v>7339</v>
      </c>
      <c r="B7349" s="90">
        <v>8.2300678379625136</v>
      </c>
    </row>
    <row r="7350" spans="1:2">
      <c r="A7350" s="32">
        <v>7340</v>
      </c>
      <c r="B7350" s="90">
        <v>7.1276922152528934</v>
      </c>
    </row>
    <row r="7351" spans="1:2">
      <c r="A7351" s="32">
        <v>7341</v>
      </c>
      <c r="B7351" s="90">
        <v>9.0094046052028123</v>
      </c>
    </row>
    <row r="7352" spans="1:2">
      <c r="A7352" s="32">
        <v>7342</v>
      </c>
      <c r="B7352" s="90">
        <v>9.2078789837055375</v>
      </c>
    </row>
    <row r="7353" spans="1:2">
      <c r="A7353" s="32">
        <v>7343</v>
      </c>
      <c r="B7353" s="90">
        <v>7.8107397529581499</v>
      </c>
    </row>
    <row r="7354" spans="1:2">
      <c r="A7354" s="32">
        <v>7344</v>
      </c>
      <c r="B7354" s="90">
        <v>7.8575436870992483</v>
      </c>
    </row>
    <row r="7355" spans="1:2">
      <c r="A7355" s="32">
        <v>7345</v>
      </c>
      <c r="B7355" s="90">
        <v>8.3454817732078812</v>
      </c>
    </row>
    <row r="7356" spans="1:2">
      <c r="A7356" s="32">
        <v>7346</v>
      </c>
      <c r="B7356" s="90">
        <v>7.2762635264160576</v>
      </c>
    </row>
    <row r="7357" spans="1:2">
      <c r="A7357" s="32">
        <v>7347</v>
      </c>
      <c r="B7357" s="90">
        <v>8.3844758681290674</v>
      </c>
    </row>
    <row r="7358" spans="1:2">
      <c r="A7358" s="32">
        <v>7348</v>
      </c>
      <c r="B7358" s="90">
        <v>9.5833166948542328</v>
      </c>
    </row>
    <row r="7359" spans="1:2">
      <c r="A7359" s="32">
        <v>7349</v>
      </c>
      <c r="B7359" s="90">
        <v>7.7816235683356858</v>
      </c>
    </row>
    <row r="7360" spans="1:2">
      <c r="A7360" s="32">
        <v>7350</v>
      </c>
      <c r="B7360" s="90">
        <v>7.6952833452194254</v>
      </c>
    </row>
    <row r="7361" spans="1:2">
      <c r="A7361" s="32">
        <v>7351</v>
      </c>
      <c r="B7361" s="90">
        <v>7.8901347538119131</v>
      </c>
    </row>
    <row r="7362" spans="1:2">
      <c r="A7362" s="32">
        <v>7352</v>
      </c>
      <c r="B7362" s="90">
        <v>7.4362077292045621</v>
      </c>
    </row>
    <row r="7363" spans="1:2">
      <c r="A7363" s="32">
        <v>7353</v>
      </c>
      <c r="B7363" s="90">
        <v>9.384205699822175</v>
      </c>
    </row>
    <row r="7364" spans="1:2">
      <c r="A7364" s="32">
        <v>7354</v>
      </c>
      <c r="B7364" s="90">
        <v>8.8882953227719188</v>
      </c>
    </row>
    <row r="7365" spans="1:2">
      <c r="A7365" s="32">
        <v>7355</v>
      </c>
      <c r="B7365" s="90">
        <v>7.9054780017279684</v>
      </c>
    </row>
    <row r="7366" spans="1:2">
      <c r="A7366" s="32">
        <v>7356</v>
      </c>
      <c r="B7366" s="90">
        <v>7.311122933123456</v>
      </c>
    </row>
    <row r="7367" spans="1:2">
      <c r="A7367" s="32">
        <v>7357</v>
      </c>
      <c r="B7367" s="90">
        <v>7.9314552649482346</v>
      </c>
    </row>
    <row r="7368" spans="1:2">
      <c r="A7368" s="32">
        <v>7358</v>
      </c>
      <c r="B7368" s="90">
        <v>7.8488445232045807</v>
      </c>
    </row>
    <row r="7369" spans="1:2">
      <c r="A7369" s="32">
        <v>7359</v>
      </c>
      <c r="B7369" s="90">
        <v>9.9971814056387203</v>
      </c>
    </row>
    <row r="7370" spans="1:2">
      <c r="A7370" s="32">
        <v>7360</v>
      </c>
      <c r="B7370" s="90">
        <v>7.942383503041631</v>
      </c>
    </row>
    <row r="7371" spans="1:2">
      <c r="A7371" s="32">
        <v>7361</v>
      </c>
      <c r="B7371" s="90">
        <v>7.6634011167332838</v>
      </c>
    </row>
    <row r="7372" spans="1:2">
      <c r="A7372" s="32">
        <v>7362</v>
      </c>
      <c r="B7372" s="90">
        <v>8.2051377325701935</v>
      </c>
    </row>
    <row r="7373" spans="1:2">
      <c r="A7373" s="32">
        <v>7363</v>
      </c>
      <c r="B7373" s="90">
        <v>7.2362567110874867</v>
      </c>
    </row>
    <row r="7374" spans="1:2">
      <c r="A7374" s="32">
        <v>7364</v>
      </c>
      <c r="B7374" s="90">
        <v>8.8659495240643622</v>
      </c>
    </row>
    <row r="7375" spans="1:2">
      <c r="A7375" s="32">
        <v>7365</v>
      </c>
      <c r="B7375" s="90">
        <v>9.5834797030530563</v>
      </c>
    </row>
    <row r="7376" spans="1:2">
      <c r="A7376" s="32">
        <v>7366</v>
      </c>
      <c r="B7376" s="90">
        <v>7.5578620105820846</v>
      </c>
    </row>
    <row r="7377" spans="1:2">
      <c r="A7377" s="32">
        <v>7367</v>
      </c>
      <c r="B7377" s="90">
        <v>7.8980459804132979</v>
      </c>
    </row>
    <row r="7378" spans="1:2">
      <c r="A7378" s="32">
        <v>7368</v>
      </c>
      <c r="B7378" s="90">
        <v>8.1840953423771037</v>
      </c>
    </row>
    <row r="7379" spans="1:2">
      <c r="A7379" s="32">
        <v>7369</v>
      </c>
      <c r="B7379" s="90">
        <v>7.2983645282101959</v>
      </c>
    </row>
    <row r="7380" spans="1:2">
      <c r="A7380" s="32">
        <v>7370</v>
      </c>
      <c r="B7380" s="90">
        <v>8.6223544466504798</v>
      </c>
    </row>
    <row r="7381" spans="1:2">
      <c r="A7381" s="32">
        <v>7371</v>
      </c>
      <c r="B7381" s="90">
        <v>9.7606190788497003</v>
      </c>
    </row>
    <row r="7382" spans="1:2">
      <c r="A7382" s="32">
        <v>7372</v>
      </c>
      <c r="B7382" s="90">
        <v>7.4480268498084934</v>
      </c>
    </row>
    <row r="7383" spans="1:2">
      <c r="A7383" s="32">
        <v>7373</v>
      </c>
      <c r="B7383" s="90">
        <v>7.9489202371033763</v>
      </c>
    </row>
    <row r="7384" spans="1:2">
      <c r="A7384" s="32">
        <v>7374</v>
      </c>
      <c r="B7384" s="90">
        <v>8.0625508443590874</v>
      </c>
    </row>
    <row r="7385" spans="1:2">
      <c r="A7385" s="32">
        <v>7375</v>
      </c>
      <c r="B7385" s="90">
        <v>7.0596906278097418</v>
      </c>
    </row>
    <row r="7386" spans="1:2">
      <c r="A7386" s="32">
        <v>7376</v>
      </c>
      <c r="B7386" s="90">
        <v>8.7994069424857813</v>
      </c>
    </row>
    <row r="7387" spans="1:2">
      <c r="A7387" s="32">
        <v>7377</v>
      </c>
      <c r="B7387" s="90">
        <v>9.4541282761190431</v>
      </c>
    </row>
    <row r="7388" spans="1:2">
      <c r="A7388" s="32">
        <v>7378</v>
      </c>
      <c r="B7388" s="90">
        <v>7.7194602574569258</v>
      </c>
    </row>
    <row r="7389" spans="1:2">
      <c r="A7389" s="32">
        <v>7379</v>
      </c>
      <c r="B7389" s="90">
        <v>8.0800955923608768</v>
      </c>
    </row>
    <row r="7390" spans="1:2">
      <c r="A7390" s="32">
        <v>7380</v>
      </c>
      <c r="B7390" s="90">
        <v>7.8905054119776654</v>
      </c>
    </row>
    <row r="7391" spans="1:2">
      <c r="A7391" s="32">
        <v>7381</v>
      </c>
      <c r="B7391" s="90">
        <v>7.265777567942485</v>
      </c>
    </row>
    <row r="7392" spans="1:2">
      <c r="A7392" s="32">
        <v>7382</v>
      </c>
      <c r="B7392" s="90">
        <v>9.2339678587855012</v>
      </c>
    </row>
    <row r="7393" spans="1:2">
      <c r="A7393" s="32">
        <v>7383</v>
      </c>
      <c r="B7393" s="90">
        <v>9.0948402138402624</v>
      </c>
    </row>
    <row r="7394" spans="1:2">
      <c r="A7394" s="32">
        <v>7384</v>
      </c>
      <c r="B7394" s="90">
        <v>7.7070997572293409</v>
      </c>
    </row>
    <row r="7395" spans="1:2">
      <c r="A7395" s="32">
        <v>7385</v>
      </c>
      <c r="B7395" s="90">
        <v>7.708602413803896</v>
      </c>
    </row>
    <row r="7396" spans="1:2">
      <c r="A7396" s="32">
        <v>7386</v>
      </c>
      <c r="B7396" s="90">
        <v>7.7940553671580473</v>
      </c>
    </row>
    <row r="7397" spans="1:2">
      <c r="A7397" s="32">
        <v>7387</v>
      </c>
      <c r="B7397" s="90">
        <v>7.7175475390105754</v>
      </c>
    </row>
    <row r="7398" spans="1:2">
      <c r="A7398" s="32">
        <v>7388</v>
      </c>
      <c r="B7398" s="90">
        <v>9.658727515963955</v>
      </c>
    </row>
    <row r="7399" spans="1:2">
      <c r="A7399" s="32">
        <v>7389</v>
      </c>
      <c r="B7399" s="90">
        <v>8.3909897138799394</v>
      </c>
    </row>
    <row r="7400" spans="1:2">
      <c r="A7400" s="32">
        <v>7390</v>
      </c>
      <c r="B7400" s="90">
        <v>7.900087989095212</v>
      </c>
    </row>
    <row r="7401" spans="1:2">
      <c r="A7401" s="32">
        <v>7391</v>
      </c>
      <c r="B7401" s="90">
        <v>7.4399055230527136</v>
      </c>
    </row>
    <row r="7402" spans="1:2">
      <c r="A7402" s="32">
        <v>7392</v>
      </c>
      <c r="B7402" s="90">
        <v>8.0970523280304825</v>
      </c>
    </row>
    <row r="7403" spans="1:2">
      <c r="A7403" s="32">
        <v>7393</v>
      </c>
      <c r="B7403" s="90">
        <v>7.8951205602992864</v>
      </c>
    </row>
    <row r="7404" spans="1:2">
      <c r="A7404" s="32">
        <v>7394</v>
      </c>
      <c r="B7404" s="90">
        <v>10.085744837388882</v>
      </c>
    </row>
    <row r="7405" spans="1:2">
      <c r="A7405" s="32">
        <v>7395</v>
      </c>
      <c r="B7405" s="90">
        <v>7.8047790436228262</v>
      </c>
    </row>
    <row r="7406" spans="1:2">
      <c r="A7406" s="32">
        <v>7396</v>
      </c>
      <c r="B7406" s="90">
        <v>7.4917983198169624</v>
      </c>
    </row>
    <row r="7407" spans="1:2">
      <c r="A7407" s="32">
        <v>7397</v>
      </c>
      <c r="B7407" s="90">
        <v>8.4652601939962544</v>
      </c>
    </row>
    <row r="7408" spans="1:2">
      <c r="A7408" s="32">
        <v>7398</v>
      </c>
      <c r="B7408" s="90">
        <v>7.3125848687432677</v>
      </c>
    </row>
    <row r="7409" spans="1:2">
      <c r="A7409" s="32">
        <v>7399</v>
      </c>
      <c r="B7409" s="90">
        <v>8.3683963931408325</v>
      </c>
    </row>
    <row r="7410" spans="1:2">
      <c r="A7410" s="32">
        <v>7400</v>
      </c>
      <c r="B7410" s="90">
        <v>9.8772288643778126</v>
      </c>
    </row>
    <row r="7411" spans="1:2">
      <c r="A7411" s="32">
        <v>7401</v>
      </c>
      <c r="B7411" s="90">
        <v>7.4095451287505609</v>
      </c>
    </row>
    <row r="7412" spans="1:2">
      <c r="A7412" s="32">
        <v>7402</v>
      </c>
      <c r="B7412" s="90">
        <v>7.8565311811775329</v>
      </c>
    </row>
    <row r="7413" spans="1:2">
      <c r="A7413" s="32">
        <v>7403</v>
      </c>
      <c r="B7413" s="90">
        <v>8.2300678379625136</v>
      </c>
    </row>
    <row r="7414" spans="1:2">
      <c r="A7414" s="32">
        <v>7404</v>
      </c>
      <c r="B7414" s="90">
        <v>7.1276922152528934</v>
      </c>
    </row>
    <row r="7415" spans="1:2">
      <c r="A7415" s="32">
        <v>7405</v>
      </c>
      <c r="B7415" s="90">
        <v>9.0094046052028123</v>
      </c>
    </row>
    <row r="7416" spans="1:2">
      <c r="A7416" s="32">
        <v>7406</v>
      </c>
      <c r="B7416" s="90">
        <v>9.2078789837055375</v>
      </c>
    </row>
    <row r="7417" spans="1:2">
      <c r="A7417" s="32">
        <v>7407</v>
      </c>
      <c r="B7417" s="90">
        <v>7.8107397529581499</v>
      </c>
    </row>
    <row r="7418" spans="1:2">
      <c r="A7418" s="32">
        <v>7408</v>
      </c>
      <c r="B7418" s="90">
        <v>7.8575436870992483</v>
      </c>
    </row>
    <row r="7419" spans="1:2">
      <c r="A7419" s="32">
        <v>7409</v>
      </c>
      <c r="B7419" s="90">
        <v>8.3454817732078812</v>
      </c>
    </row>
    <row r="7420" spans="1:2">
      <c r="A7420" s="32">
        <v>7410</v>
      </c>
      <c r="B7420" s="90">
        <v>7.2762635264160576</v>
      </c>
    </row>
    <row r="7421" spans="1:2">
      <c r="A7421" s="32">
        <v>7411</v>
      </c>
      <c r="B7421" s="90">
        <v>8.3844758681290674</v>
      </c>
    </row>
    <row r="7422" spans="1:2">
      <c r="A7422" s="32">
        <v>7412</v>
      </c>
      <c r="B7422" s="90">
        <v>9.5833166948542328</v>
      </c>
    </row>
    <row r="7423" spans="1:2">
      <c r="A7423" s="32">
        <v>7413</v>
      </c>
      <c r="B7423" s="90">
        <v>7.7816235683356858</v>
      </c>
    </row>
    <row r="7424" spans="1:2">
      <c r="A7424" s="32">
        <v>7414</v>
      </c>
      <c r="B7424" s="90">
        <v>7.6952833452194254</v>
      </c>
    </row>
    <row r="7425" spans="1:2">
      <c r="A7425" s="32">
        <v>7415</v>
      </c>
      <c r="B7425" s="90">
        <v>7.8901347538119131</v>
      </c>
    </row>
    <row r="7426" spans="1:2">
      <c r="A7426" s="32">
        <v>7416</v>
      </c>
      <c r="B7426" s="90">
        <v>7.4362077292045621</v>
      </c>
    </row>
    <row r="7427" spans="1:2">
      <c r="A7427" s="32">
        <v>7417</v>
      </c>
      <c r="B7427" s="90">
        <v>9.384205699822175</v>
      </c>
    </row>
    <row r="7428" spans="1:2">
      <c r="A7428" s="32">
        <v>7418</v>
      </c>
      <c r="B7428" s="90">
        <v>8.8882953227719188</v>
      </c>
    </row>
    <row r="7429" spans="1:2">
      <c r="A7429" s="32">
        <v>7419</v>
      </c>
      <c r="B7429" s="90">
        <v>9.4855988039533763</v>
      </c>
    </row>
    <row r="7430" spans="1:2">
      <c r="A7430" s="32">
        <v>7420</v>
      </c>
      <c r="B7430" s="90">
        <v>7.7779377135215331</v>
      </c>
    </row>
    <row r="7431" spans="1:2">
      <c r="A7431" s="32">
        <v>7421</v>
      </c>
      <c r="B7431" s="90">
        <v>7.9704203860697742</v>
      </c>
    </row>
    <row r="7432" spans="1:2">
      <c r="A7432" s="32">
        <v>7422</v>
      </c>
      <c r="B7432" s="90">
        <v>8.1918276490983786</v>
      </c>
    </row>
    <row r="7433" spans="1:2">
      <c r="A7433" s="32">
        <v>7423</v>
      </c>
      <c r="B7433" s="90">
        <v>7.8419207286535144</v>
      </c>
    </row>
    <row r="7434" spans="1:2">
      <c r="A7434" s="32">
        <v>7424</v>
      </c>
      <c r="B7434" s="90">
        <v>8.2766116143135324</v>
      </c>
    </row>
    <row r="7435" spans="1:2">
      <c r="A7435" s="32">
        <v>7425</v>
      </c>
      <c r="B7435" s="90">
        <v>9.0393773419206465</v>
      </c>
    </row>
    <row r="7436" spans="1:2">
      <c r="A7436" s="32">
        <v>7426</v>
      </c>
      <c r="B7436" s="90">
        <v>7.8911038129021449</v>
      </c>
    </row>
    <row r="7437" spans="1:2">
      <c r="A7437" s="32">
        <v>7427</v>
      </c>
      <c r="B7437" s="90">
        <v>7.5668624391206665</v>
      </c>
    </row>
    <row r="7438" spans="1:2">
      <c r="A7438" s="32">
        <v>7428</v>
      </c>
      <c r="B7438" s="90">
        <v>8.4807769866263438</v>
      </c>
    </row>
    <row r="7439" spans="1:2">
      <c r="A7439" s="32">
        <v>7429</v>
      </c>
      <c r="B7439" s="90">
        <v>7.7838270019041316</v>
      </c>
    </row>
    <row r="7440" spans="1:2">
      <c r="A7440" s="32">
        <v>7430</v>
      </c>
      <c r="B7440" s="90">
        <v>8.3035383307798316</v>
      </c>
    </row>
    <row r="7441" spans="1:2">
      <c r="A7441" s="32">
        <v>7431</v>
      </c>
      <c r="B7441" s="90">
        <v>9.3898773373344664</v>
      </c>
    </row>
    <row r="7442" spans="1:2">
      <c r="A7442" s="32">
        <v>7432</v>
      </c>
      <c r="B7442" s="90">
        <v>7.5388112872404633</v>
      </c>
    </row>
    <row r="7443" spans="1:2">
      <c r="A7443" s="32">
        <v>7433</v>
      </c>
      <c r="B7443" s="90">
        <v>7.7069901587638947</v>
      </c>
    </row>
    <row r="7444" spans="1:2">
      <c r="A7444" s="32">
        <v>7434</v>
      </c>
      <c r="B7444" s="90">
        <v>8.2664282709314403</v>
      </c>
    </row>
    <row r="7445" spans="1:2">
      <c r="A7445" s="32">
        <v>7435</v>
      </c>
      <c r="B7445" s="90">
        <v>7.8300484956992626</v>
      </c>
    </row>
    <row r="7446" spans="1:2">
      <c r="A7446" s="32">
        <v>7436</v>
      </c>
      <c r="B7446" s="90">
        <v>9.1444896164247886</v>
      </c>
    </row>
    <row r="7447" spans="1:2">
      <c r="A7447" s="32">
        <v>7437</v>
      </c>
      <c r="B7447" s="90">
        <v>8.894022247055906</v>
      </c>
    </row>
    <row r="7448" spans="1:2">
      <c r="A7448" s="32">
        <v>7438</v>
      </c>
      <c r="B7448" s="90">
        <v>7.3109147514644182</v>
      </c>
    </row>
    <row r="7449" spans="1:2">
      <c r="A7449" s="32">
        <v>7439</v>
      </c>
      <c r="B7449" s="90">
        <v>7.4739604309254268</v>
      </c>
    </row>
    <row r="7450" spans="1:2">
      <c r="A7450" s="32">
        <v>7440</v>
      </c>
      <c r="B7450" s="90">
        <v>8.6273626845597899</v>
      </c>
    </row>
    <row r="7451" spans="1:2">
      <c r="A7451" s="32">
        <v>7441</v>
      </c>
      <c r="B7451" s="90">
        <v>7.8236251459075641</v>
      </c>
    </row>
    <row r="7452" spans="1:2">
      <c r="A7452" s="32">
        <v>7442</v>
      </c>
      <c r="B7452" s="90">
        <v>8.8076797346646813</v>
      </c>
    </row>
    <row r="7453" spans="1:2">
      <c r="A7453" s="32">
        <v>7443</v>
      </c>
      <c r="B7453" s="90">
        <v>8.8100256817140963</v>
      </c>
    </row>
    <row r="7454" spans="1:2">
      <c r="A7454" s="32">
        <v>7444</v>
      </c>
      <c r="B7454" s="90">
        <v>7.255705943893247</v>
      </c>
    </row>
    <row r="7455" spans="1:2">
      <c r="A7455" s="32">
        <v>7445</v>
      </c>
      <c r="B7455" s="90">
        <v>7.7404720891471905</v>
      </c>
    </row>
    <row r="7456" spans="1:2">
      <c r="A7456" s="32">
        <v>7446</v>
      </c>
      <c r="B7456" s="90">
        <v>8.73598215749392</v>
      </c>
    </row>
    <row r="7457" spans="1:2">
      <c r="A7457" s="32">
        <v>7447</v>
      </c>
      <c r="B7457" s="90">
        <v>7.6567561676752867</v>
      </c>
    </row>
    <row r="7458" spans="1:2">
      <c r="A7458" s="32">
        <v>7448</v>
      </c>
      <c r="B7458" s="90">
        <v>9.4423438158201183</v>
      </c>
    </row>
    <row r="7459" spans="1:2">
      <c r="A7459" s="32">
        <v>7449</v>
      </c>
      <c r="B7459" s="90">
        <v>8.0031696663889136</v>
      </c>
    </row>
    <row r="7460" spans="1:2">
      <c r="A7460" s="32">
        <v>7450</v>
      </c>
      <c r="B7460" s="90">
        <v>7.9518834324446006</v>
      </c>
    </row>
    <row r="7461" spans="1:2">
      <c r="A7461" s="32">
        <v>7451</v>
      </c>
      <c r="B7461" s="90">
        <v>7.8813266265640332</v>
      </c>
    </row>
    <row r="7462" spans="1:2">
      <c r="A7462" s="32">
        <v>7452</v>
      </c>
      <c r="B7462" s="90">
        <v>7.8901216711222784</v>
      </c>
    </row>
    <row r="7463" spans="1:2">
      <c r="A7463" s="32">
        <v>7453</v>
      </c>
      <c r="B7463" s="90">
        <v>8.3378201721249603</v>
      </c>
    </row>
    <row r="7464" spans="1:2">
      <c r="A7464" s="32">
        <v>7454</v>
      </c>
      <c r="B7464" s="90">
        <v>9.1773612158913558</v>
      </c>
    </row>
    <row r="7465" spans="1:2">
      <c r="A7465" s="32">
        <v>7455</v>
      </c>
      <c r="B7465" s="90">
        <v>7.7800847838449299</v>
      </c>
    </row>
    <row r="7466" spans="1:2">
      <c r="A7466" s="32">
        <v>7456</v>
      </c>
      <c r="B7466" s="90">
        <v>7.6815161198479771</v>
      </c>
    </row>
    <row r="7467" spans="1:2">
      <c r="A7467" s="32">
        <v>7457</v>
      </c>
      <c r="B7467" s="90">
        <v>8.3503550962225486</v>
      </c>
    </row>
    <row r="7468" spans="1:2">
      <c r="A7468" s="32">
        <v>7458</v>
      </c>
      <c r="B7468" s="90">
        <v>8.0741319906785893</v>
      </c>
    </row>
    <row r="7469" spans="1:2">
      <c r="A7469" s="32">
        <v>7459</v>
      </c>
      <c r="B7469" s="90">
        <v>7.9514048208156094</v>
      </c>
    </row>
    <row r="7470" spans="1:2">
      <c r="A7470" s="32">
        <v>7460</v>
      </c>
      <c r="B7470" s="90">
        <v>9.4073411653577992</v>
      </c>
    </row>
    <row r="7471" spans="1:2">
      <c r="A7471" s="32">
        <v>7461</v>
      </c>
      <c r="B7471" s="90">
        <v>7.8030038523563832</v>
      </c>
    </row>
    <row r="7472" spans="1:2">
      <c r="A7472" s="32">
        <v>7462</v>
      </c>
      <c r="B7472" s="90">
        <v>7.3675041065346107</v>
      </c>
    </row>
    <row r="7473" spans="1:2">
      <c r="A7473" s="32">
        <v>7463</v>
      </c>
      <c r="B7473" s="90">
        <v>8.4865576305684662</v>
      </c>
    </row>
    <row r="7474" spans="1:2">
      <c r="A7474" s="32">
        <v>7464</v>
      </c>
      <c r="B7474" s="90">
        <v>8.1344166600354715</v>
      </c>
    </row>
    <row r="7475" spans="1:2">
      <c r="A7475" s="32">
        <v>7465</v>
      </c>
      <c r="B7475" s="90">
        <v>8.5863093743144887</v>
      </c>
    </row>
    <row r="7476" spans="1:2">
      <c r="A7476" s="32">
        <v>7466</v>
      </c>
      <c r="B7476" s="90">
        <v>9.0060621545264556</v>
      </c>
    </row>
    <row r="7477" spans="1:2">
      <c r="A7477" s="32">
        <v>7467</v>
      </c>
      <c r="B7477" s="90">
        <v>7.2105900318923792</v>
      </c>
    </row>
    <row r="7478" spans="1:2">
      <c r="A7478" s="32">
        <v>7468</v>
      </c>
      <c r="B7478" s="90">
        <v>7.8132300474942245</v>
      </c>
    </row>
    <row r="7479" spans="1:2">
      <c r="A7479" s="32">
        <v>7469</v>
      </c>
      <c r="B7479" s="90">
        <v>8.5807499368642883</v>
      </c>
    </row>
    <row r="7480" spans="1:2">
      <c r="A7480" s="32">
        <v>7470</v>
      </c>
      <c r="B7480" s="90">
        <v>7.8110978761832177</v>
      </c>
    </row>
    <row r="7481" spans="1:2">
      <c r="A7481" s="32">
        <v>7471</v>
      </c>
      <c r="B7481" s="90">
        <v>8.8209640671192382</v>
      </c>
    </row>
    <row r="7482" spans="1:2">
      <c r="A7482" s="32">
        <v>7472</v>
      </c>
      <c r="B7482" s="90">
        <v>8.6652768194791339</v>
      </c>
    </row>
    <row r="7483" spans="1:2">
      <c r="A7483" s="32">
        <v>7473</v>
      </c>
      <c r="B7483" s="90">
        <v>7.6417262879033716</v>
      </c>
    </row>
    <row r="7484" spans="1:2">
      <c r="A7484" s="32">
        <v>7474</v>
      </c>
      <c r="B7484" s="90">
        <v>7.3085969060377147</v>
      </c>
    </row>
    <row r="7485" spans="1:2">
      <c r="A7485" s="32">
        <v>7475</v>
      </c>
      <c r="B7485" s="90">
        <v>8.8717989397145889</v>
      </c>
    </row>
    <row r="7486" spans="1:2">
      <c r="A7486" s="32">
        <v>7476</v>
      </c>
      <c r="B7486" s="90">
        <v>7.825291656496618</v>
      </c>
    </row>
    <row r="7487" spans="1:2">
      <c r="A7487" s="32">
        <v>7477</v>
      </c>
      <c r="B7487" s="90">
        <v>9.0082251384580534</v>
      </c>
    </row>
    <row r="7488" spans="1:2">
      <c r="A7488" s="32">
        <v>7478</v>
      </c>
      <c r="B7488" s="90">
        <v>8.4039754532666642</v>
      </c>
    </row>
    <row r="7489" spans="1:2">
      <c r="A7489" s="32">
        <v>7479</v>
      </c>
      <c r="B7489" s="90">
        <v>7.3460193328301608</v>
      </c>
    </row>
    <row r="7490" spans="1:2">
      <c r="A7490" s="32">
        <v>7480</v>
      </c>
      <c r="B7490" s="90">
        <v>7.7481387323675355</v>
      </c>
    </row>
    <row r="7491" spans="1:2">
      <c r="A7491" s="32">
        <v>7481</v>
      </c>
      <c r="B7491" s="90">
        <v>8.4611308236536313</v>
      </c>
    </row>
    <row r="7492" spans="1:2">
      <c r="A7492" s="32">
        <v>7482</v>
      </c>
      <c r="B7492" s="90">
        <v>8.003855292134503</v>
      </c>
    </row>
    <row r="7493" spans="1:2">
      <c r="A7493" s="32">
        <v>7483</v>
      </c>
      <c r="B7493" s="90">
        <v>9.4855988039533763</v>
      </c>
    </row>
    <row r="7494" spans="1:2">
      <c r="A7494" s="32">
        <v>7484</v>
      </c>
      <c r="B7494" s="90">
        <v>7.7779377135215331</v>
      </c>
    </row>
    <row r="7495" spans="1:2">
      <c r="A7495" s="32">
        <v>7485</v>
      </c>
      <c r="B7495" s="90">
        <v>7.9704203860697742</v>
      </c>
    </row>
    <row r="7496" spans="1:2">
      <c r="A7496" s="32">
        <v>7486</v>
      </c>
      <c r="B7496" s="90">
        <v>8.1918276490983786</v>
      </c>
    </row>
    <row r="7497" spans="1:2">
      <c r="A7497" s="32">
        <v>7487</v>
      </c>
      <c r="B7497" s="90">
        <v>7.8419207286535144</v>
      </c>
    </row>
    <row r="7498" spans="1:2">
      <c r="A7498" s="32">
        <v>7488</v>
      </c>
      <c r="B7498" s="90">
        <v>8.2766116143135324</v>
      </c>
    </row>
    <row r="7499" spans="1:2">
      <c r="A7499" s="32">
        <v>7489</v>
      </c>
      <c r="B7499" s="90">
        <v>9.0393773419206465</v>
      </c>
    </row>
    <row r="7500" spans="1:2">
      <c r="A7500" s="32">
        <v>7490</v>
      </c>
      <c r="B7500" s="90">
        <v>7.8911038129021449</v>
      </c>
    </row>
    <row r="7501" spans="1:2">
      <c r="A7501" s="32">
        <v>7491</v>
      </c>
      <c r="B7501" s="90">
        <v>7.5668624391206665</v>
      </c>
    </row>
    <row r="7502" spans="1:2">
      <c r="A7502" s="32">
        <v>7492</v>
      </c>
      <c r="B7502" s="90">
        <v>8.4807769866263438</v>
      </c>
    </row>
    <row r="7503" spans="1:2">
      <c r="A7503" s="32">
        <v>7493</v>
      </c>
      <c r="B7503" s="90">
        <v>7.7838270019041316</v>
      </c>
    </row>
    <row r="7504" spans="1:2">
      <c r="A7504" s="32">
        <v>7494</v>
      </c>
      <c r="B7504" s="90">
        <v>8.3035383307798316</v>
      </c>
    </row>
    <row r="7505" spans="1:2">
      <c r="A7505" s="32">
        <v>7495</v>
      </c>
      <c r="B7505" s="90">
        <v>9.3898773373344664</v>
      </c>
    </row>
    <row r="7506" spans="1:2">
      <c r="A7506" s="32">
        <v>7496</v>
      </c>
      <c r="B7506" s="90">
        <v>7.5388112872404633</v>
      </c>
    </row>
    <row r="7507" spans="1:2">
      <c r="A7507" s="32">
        <v>7497</v>
      </c>
      <c r="B7507" s="90">
        <v>7.7069901587638947</v>
      </c>
    </row>
    <row r="7508" spans="1:2">
      <c r="A7508" s="32">
        <v>7498</v>
      </c>
      <c r="B7508" s="90">
        <v>8.2664282709314403</v>
      </c>
    </row>
    <row r="7509" spans="1:2">
      <c r="A7509" s="32">
        <v>7499</v>
      </c>
      <c r="B7509" s="90">
        <v>7.8300484956992626</v>
      </c>
    </row>
    <row r="7510" spans="1:2">
      <c r="A7510" s="32">
        <v>7500</v>
      </c>
      <c r="B7510" s="90">
        <v>9.1444896164247886</v>
      </c>
    </row>
    <row r="7511" spans="1:2">
      <c r="A7511" s="32">
        <v>7501</v>
      </c>
      <c r="B7511" s="90">
        <v>8.894022247055906</v>
      </c>
    </row>
    <row r="7512" spans="1:2">
      <c r="A7512" s="32">
        <v>7502</v>
      </c>
      <c r="B7512" s="90">
        <v>7.3109147514644182</v>
      </c>
    </row>
    <row r="7513" spans="1:2">
      <c r="A7513" s="32">
        <v>7503</v>
      </c>
      <c r="B7513" s="90">
        <v>7.4739604309254268</v>
      </c>
    </row>
    <row r="7514" spans="1:2">
      <c r="A7514" s="32">
        <v>7504</v>
      </c>
      <c r="B7514" s="90">
        <v>8.6273626845597899</v>
      </c>
    </row>
    <row r="7515" spans="1:2">
      <c r="A7515" s="32">
        <v>7505</v>
      </c>
      <c r="B7515" s="90">
        <v>7.8236251459075641</v>
      </c>
    </row>
    <row r="7516" spans="1:2">
      <c r="A7516" s="32">
        <v>7506</v>
      </c>
      <c r="B7516" s="90">
        <v>8.8076797346646813</v>
      </c>
    </row>
    <row r="7517" spans="1:2">
      <c r="A7517" s="32">
        <v>7507</v>
      </c>
      <c r="B7517" s="90">
        <v>8.8100256817140963</v>
      </c>
    </row>
    <row r="7518" spans="1:2">
      <c r="A7518" s="32">
        <v>7508</v>
      </c>
      <c r="B7518" s="90">
        <v>7.255705943893247</v>
      </c>
    </row>
    <row r="7519" spans="1:2">
      <c r="A7519" s="32">
        <v>7509</v>
      </c>
      <c r="B7519" s="90">
        <v>7.7404720891471905</v>
      </c>
    </row>
    <row r="7520" spans="1:2">
      <c r="A7520" s="32">
        <v>7510</v>
      </c>
      <c r="B7520" s="90">
        <v>8.73598215749392</v>
      </c>
    </row>
    <row r="7521" spans="1:2">
      <c r="A7521" s="32">
        <v>7511</v>
      </c>
      <c r="B7521" s="90">
        <v>7.6567561676752867</v>
      </c>
    </row>
    <row r="7522" spans="1:2">
      <c r="A7522" s="32">
        <v>7512</v>
      </c>
      <c r="B7522" s="90">
        <v>9.4423438158201183</v>
      </c>
    </row>
    <row r="7523" spans="1:2">
      <c r="A7523" s="32">
        <v>7513</v>
      </c>
      <c r="B7523" s="90">
        <v>8.0031696663889136</v>
      </c>
    </row>
    <row r="7524" spans="1:2">
      <c r="A7524" s="32">
        <v>7514</v>
      </c>
      <c r="B7524" s="90">
        <v>7.9518834324446006</v>
      </c>
    </row>
    <row r="7525" spans="1:2">
      <c r="A7525" s="32">
        <v>7515</v>
      </c>
      <c r="B7525" s="90">
        <v>7.8813266265640332</v>
      </c>
    </row>
    <row r="7526" spans="1:2">
      <c r="A7526" s="32">
        <v>7516</v>
      </c>
      <c r="B7526" s="90">
        <v>7.8901216711222784</v>
      </c>
    </row>
    <row r="7527" spans="1:2">
      <c r="A7527" s="32">
        <v>7517</v>
      </c>
      <c r="B7527" s="90">
        <v>8.3378201721249603</v>
      </c>
    </row>
    <row r="7528" spans="1:2">
      <c r="A7528" s="32">
        <v>7518</v>
      </c>
      <c r="B7528" s="90">
        <v>9.1773612158913558</v>
      </c>
    </row>
    <row r="7529" spans="1:2">
      <c r="A7529" s="32">
        <v>7519</v>
      </c>
      <c r="B7529" s="90">
        <v>7.7800847838449299</v>
      </c>
    </row>
    <row r="7530" spans="1:2">
      <c r="A7530" s="32">
        <v>7520</v>
      </c>
      <c r="B7530" s="90">
        <v>7.6815161198479771</v>
      </c>
    </row>
    <row r="7531" spans="1:2">
      <c r="A7531" s="32">
        <v>7521</v>
      </c>
      <c r="B7531" s="90">
        <v>8.3503550962225486</v>
      </c>
    </row>
    <row r="7532" spans="1:2">
      <c r="A7532" s="32">
        <v>7522</v>
      </c>
      <c r="B7532" s="90">
        <v>8.0741319906785893</v>
      </c>
    </row>
    <row r="7533" spans="1:2">
      <c r="A7533" s="32">
        <v>7523</v>
      </c>
      <c r="B7533" s="90">
        <v>7.9514048208156094</v>
      </c>
    </row>
    <row r="7534" spans="1:2">
      <c r="A7534" s="32">
        <v>7524</v>
      </c>
      <c r="B7534" s="90">
        <v>9.4073411653577992</v>
      </c>
    </row>
    <row r="7535" spans="1:2">
      <c r="A7535" s="32">
        <v>7525</v>
      </c>
      <c r="B7535" s="90">
        <v>7.8030038523563832</v>
      </c>
    </row>
    <row r="7536" spans="1:2">
      <c r="A7536" s="32">
        <v>7526</v>
      </c>
      <c r="B7536" s="90">
        <v>7.3675041065346107</v>
      </c>
    </row>
    <row r="7537" spans="1:2">
      <c r="A7537" s="32">
        <v>7527</v>
      </c>
      <c r="B7537" s="90">
        <v>8.4865576305684662</v>
      </c>
    </row>
    <row r="7538" spans="1:2">
      <c r="A7538" s="32">
        <v>7528</v>
      </c>
      <c r="B7538" s="90">
        <v>8.1344166600354715</v>
      </c>
    </row>
    <row r="7539" spans="1:2">
      <c r="A7539" s="32">
        <v>7529</v>
      </c>
      <c r="B7539" s="90">
        <v>8.5863093743144887</v>
      </c>
    </row>
    <row r="7540" spans="1:2">
      <c r="A7540" s="32">
        <v>7530</v>
      </c>
      <c r="B7540" s="90">
        <v>9.0060621545264556</v>
      </c>
    </row>
    <row r="7541" spans="1:2">
      <c r="A7541" s="32">
        <v>7531</v>
      </c>
      <c r="B7541" s="90">
        <v>7.2105900318923792</v>
      </c>
    </row>
    <row r="7542" spans="1:2">
      <c r="A7542" s="32">
        <v>7532</v>
      </c>
      <c r="B7542" s="90">
        <v>7.8132300474942245</v>
      </c>
    </row>
    <row r="7543" spans="1:2">
      <c r="A7543" s="32">
        <v>7533</v>
      </c>
      <c r="B7543" s="90">
        <v>8.5807499368642883</v>
      </c>
    </row>
    <row r="7544" spans="1:2">
      <c r="A7544" s="32">
        <v>7534</v>
      </c>
      <c r="B7544" s="90">
        <v>7.8110978761832177</v>
      </c>
    </row>
    <row r="7545" spans="1:2">
      <c r="A7545" s="32">
        <v>7535</v>
      </c>
      <c r="B7545" s="90">
        <v>8.8209640671192382</v>
      </c>
    </row>
    <row r="7546" spans="1:2">
      <c r="A7546" s="32">
        <v>7536</v>
      </c>
      <c r="B7546" s="90">
        <v>8.6652768194791339</v>
      </c>
    </row>
    <row r="7547" spans="1:2">
      <c r="A7547" s="32">
        <v>7537</v>
      </c>
      <c r="B7547" s="90">
        <v>7.6417262879033716</v>
      </c>
    </row>
    <row r="7548" spans="1:2">
      <c r="A7548" s="32">
        <v>7538</v>
      </c>
      <c r="B7548" s="90">
        <v>7.3085969060377147</v>
      </c>
    </row>
    <row r="7549" spans="1:2">
      <c r="A7549" s="32">
        <v>7539</v>
      </c>
      <c r="B7549" s="90">
        <v>8.8717989397145889</v>
      </c>
    </row>
    <row r="7550" spans="1:2">
      <c r="A7550" s="32">
        <v>7540</v>
      </c>
      <c r="B7550" s="90">
        <v>7.825291656496618</v>
      </c>
    </row>
    <row r="7551" spans="1:2">
      <c r="A7551" s="32">
        <v>7541</v>
      </c>
      <c r="B7551" s="90">
        <v>9.0082251384580534</v>
      </c>
    </row>
    <row r="7552" spans="1:2">
      <c r="A7552" s="32">
        <v>7542</v>
      </c>
      <c r="B7552" s="90">
        <v>8.4039754532666642</v>
      </c>
    </row>
    <row r="7553" spans="1:2">
      <c r="A7553" s="32">
        <v>7543</v>
      </c>
      <c r="B7553" s="90">
        <v>7.3460193328301608</v>
      </c>
    </row>
    <row r="7554" spans="1:2">
      <c r="A7554" s="32">
        <v>7544</v>
      </c>
      <c r="B7554" s="90">
        <v>7.7481387323675355</v>
      </c>
    </row>
    <row r="7555" spans="1:2">
      <c r="A7555" s="32">
        <v>7545</v>
      </c>
      <c r="B7555" s="90">
        <v>8.5314823445656351</v>
      </c>
    </row>
    <row r="7556" spans="1:2">
      <c r="A7556" s="32">
        <v>7546</v>
      </c>
      <c r="B7556" s="90">
        <v>9.3544815999303808</v>
      </c>
    </row>
    <row r="7557" spans="1:2">
      <c r="A7557" s="32">
        <v>7547</v>
      </c>
      <c r="B7557" s="90">
        <v>8.6632415962605869</v>
      </c>
    </row>
    <row r="7558" spans="1:2">
      <c r="A7558" s="32">
        <v>7548</v>
      </c>
      <c r="B7558" s="90">
        <v>7.6847594839461841</v>
      </c>
    </row>
    <row r="7559" spans="1:2">
      <c r="A7559" s="32">
        <v>7549</v>
      </c>
      <c r="B7559" s="90">
        <v>8.1699585798827421</v>
      </c>
    </row>
    <row r="7560" spans="1:2">
      <c r="A7560" s="32">
        <v>7550</v>
      </c>
      <c r="B7560" s="90">
        <v>8.3599967426317363</v>
      </c>
    </row>
    <row r="7561" spans="1:2">
      <c r="A7561" s="32">
        <v>7551</v>
      </c>
      <c r="B7561" s="90">
        <v>8.0037767566996916</v>
      </c>
    </row>
    <row r="7562" spans="1:2">
      <c r="A7562" s="32">
        <v>7552</v>
      </c>
      <c r="B7562" s="90">
        <v>9.068987290903662</v>
      </c>
    </row>
    <row r="7563" spans="1:2">
      <c r="A7563" s="32">
        <v>7553</v>
      </c>
      <c r="B7563" s="90">
        <v>8.6870379173616303</v>
      </c>
    </row>
    <row r="7564" spans="1:2">
      <c r="A7564" s="32">
        <v>7554</v>
      </c>
      <c r="B7564" s="90">
        <v>7.3666637428044721</v>
      </c>
    </row>
    <row r="7565" spans="1:2">
      <c r="A7565" s="32">
        <v>7555</v>
      </c>
      <c r="B7565" s="90">
        <v>9.2750782319937688</v>
      </c>
    </row>
    <row r="7566" spans="1:2">
      <c r="A7566" s="32">
        <v>7556</v>
      </c>
      <c r="B7566" s="90">
        <v>7.5339016494387598</v>
      </c>
    </row>
    <row r="7567" spans="1:2">
      <c r="A7567" s="32">
        <v>7557</v>
      </c>
      <c r="B7567" s="90">
        <v>8.7634759705044925</v>
      </c>
    </row>
    <row r="7568" spans="1:2">
      <c r="A7568" s="32">
        <v>7558</v>
      </c>
      <c r="B7568" s="90">
        <v>8.439143805397153</v>
      </c>
    </row>
    <row r="7569" spans="1:2">
      <c r="A7569" s="32">
        <v>7559</v>
      </c>
      <c r="B7569" s="90">
        <v>8.477229993500389</v>
      </c>
    </row>
    <row r="7570" spans="1:2">
      <c r="A7570" s="32">
        <v>7560</v>
      </c>
      <c r="B7570" s="90">
        <v>7.2958671744472516</v>
      </c>
    </row>
    <row r="7571" spans="1:2">
      <c r="A7571" s="32">
        <v>7561</v>
      </c>
      <c r="B7571" s="90">
        <v>9.2065074660469843</v>
      </c>
    </row>
    <row r="7572" spans="1:2">
      <c r="A7572" s="32">
        <v>7562</v>
      </c>
      <c r="B7572" s="90">
        <v>7.8980184986476658</v>
      </c>
    </row>
    <row r="7573" spans="1:2">
      <c r="A7573" s="32">
        <v>7563</v>
      </c>
      <c r="B7573" s="90">
        <v>9.4712576542448073</v>
      </c>
    </row>
    <row r="7574" spans="1:2">
      <c r="A7574" s="32">
        <v>7564</v>
      </c>
      <c r="B7574" s="90">
        <v>8.1306576656884157</v>
      </c>
    </row>
    <row r="7575" spans="1:2">
      <c r="A7575" s="32">
        <v>7565</v>
      </c>
      <c r="B7575" s="90">
        <v>8.0781499924270861</v>
      </c>
    </row>
    <row r="7576" spans="1:2">
      <c r="A7576" s="32">
        <v>7566</v>
      </c>
      <c r="B7576" s="90">
        <v>7.6295867299678459</v>
      </c>
    </row>
    <row r="7577" spans="1:2">
      <c r="A7577" s="32">
        <v>7567</v>
      </c>
      <c r="B7577" s="90">
        <v>8.2710038761176872</v>
      </c>
    </row>
    <row r="7578" spans="1:2">
      <c r="A7578" s="32">
        <v>7568</v>
      </c>
      <c r="B7578" s="90">
        <v>8.1079119549708789</v>
      </c>
    </row>
    <row r="7579" spans="1:2">
      <c r="A7579" s="32">
        <v>7569</v>
      </c>
      <c r="B7579" s="90">
        <v>9.4298439181553135</v>
      </c>
    </row>
    <row r="7580" spans="1:2">
      <c r="A7580" s="32">
        <v>7570</v>
      </c>
      <c r="B7580" s="90">
        <v>8.9434948493789825</v>
      </c>
    </row>
    <row r="7581" spans="1:2">
      <c r="A7581" s="32">
        <v>7571</v>
      </c>
      <c r="B7581" s="90">
        <v>7.4325029328376981</v>
      </c>
    </row>
    <row r="7582" spans="1:2">
      <c r="A7582" s="32">
        <v>7572</v>
      </c>
      <c r="B7582" s="90">
        <v>8.0799655810620212</v>
      </c>
    </row>
    <row r="7583" spans="1:2">
      <c r="A7583" s="32">
        <v>7573</v>
      </c>
      <c r="B7583" s="90">
        <v>8.2935862184329459</v>
      </c>
    </row>
    <row r="7584" spans="1:2">
      <c r="A7584" s="32">
        <v>7574</v>
      </c>
      <c r="B7584" s="90">
        <v>7.8634897762112344</v>
      </c>
    </row>
    <row r="7585" spans="1:2">
      <c r="A7585" s="32">
        <v>7575</v>
      </c>
      <c r="B7585" s="90">
        <v>9.4434049001932596</v>
      </c>
    </row>
    <row r="7586" spans="1:2">
      <c r="A7586" s="32">
        <v>7576</v>
      </c>
      <c r="B7586" s="90">
        <v>9.0668694997246551</v>
      </c>
    </row>
    <row r="7587" spans="1:2">
      <c r="A7587" s="32">
        <v>7577</v>
      </c>
      <c r="B7587" s="90">
        <v>7.6294461853921938</v>
      </c>
    </row>
    <row r="7588" spans="1:2">
      <c r="A7588" s="32">
        <v>7578</v>
      </c>
      <c r="B7588" s="90">
        <v>7.9152931754615867</v>
      </c>
    </row>
    <row r="7589" spans="1:2">
      <c r="A7589" s="32">
        <v>7579</v>
      </c>
      <c r="B7589" s="90">
        <v>8.746028223462428</v>
      </c>
    </row>
    <row r="7590" spans="1:2">
      <c r="A7590" s="32">
        <v>7580</v>
      </c>
      <c r="B7590" s="90">
        <v>7.5937920115585174</v>
      </c>
    </row>
    <row r="7591" spans="1:2">
      <c r="A7591" s="32">
        <v>7581</v>
      </c>
      <c r="B7591" s="90">
        <v>9.1390441924486936</v>
      </c>
    </row>
    <row r="7592" spans="1:2">
      <c r="A7592" s="32">
        <v>7582</v>
      </c>
      <c r="B7592" s="90">
        <v>8.6188964853344441</v>
      </c>
    </row>
    <row r="7593" spans="1:2">
      <c r="A7593" s="32">
        <v>7583</v>
      </c>
      <c r="B7593" s="90">
        <v>7.6170247222552945</v>
      </c>
    </row>
    <row r="7594" spans="1:2">
      <c r="A7594" s="32">
        <v>7584</v>
      </c>
      <c r="B7594" s="90">
        <v>8.4656879253373418</v>
      </c>
    </row>
    <row r="7595" spans="1:2">
      <c r="A7595" s="32">
        <v>7585</v>
      </c>
      <c r="B7595" s="90">
        <v>8.1886863250162101</v>
      </c>
    </row>
    <row r="7596" spans="1:2">
      <c r="A7596" s="32">
        <v>7586</v>
      </c>
      <c r="B7596" s="90">
        <v>8.4266619106113509</v>
      </c>
    </row>
    <row r="7597" spans="1:2">
      <c r="A7597" s="32">
        <v>7587</v>
      </c>
      <c r="B7597" s="90">
        <v>8.7923360171505962</v>
      </c>
    </row>
    <row r="7598" spans="1:2">
      <c r="A7598" s="32">
        <v>7588</v>
      </c>
      <c r="B7598" s="90">
        <v>8.614933319830957</v>
      </c>
    </row>
    <row r="7599" spans="1:2">
      <c r="A7599" s="32">
        <v>7589</v>
      </c>
      <c r="B7599" s="90">
        <v>7.2970136706808377</v>
      </c>
    </row>
    <row r="7600" spans="1:2">
      <c r="A7600" s="32">
        <v>7590</v>
      </c>
      <c r="B7600" s="90">
        <v>9.5519434877812799</v>
      </c>
    </row>
    <row r="7601" spans="1:2">
      <c r="A7601" s="32">
        <v>7591</v>
      </c>
      <c r="B7601" s="90">
        <v>7.2916354394268152</v>
      </c>
    </row>
    <row r="7602" spans="1:2">
      <c r="A7602" s="32">
        <v>7592</v>
      </c>
      <c r="B7602" s="90">
        <v>9.533768114837013</v>
      </c>
    </row>
    <row r="7603" spans="1:2">
      <c r="A7603" s="32">
        <v>7593</v>
      </c>
      <c r="B7603" s="90">
        <v>8.3249070424131695</v>
      </c>
    </row>
    <row r="7604" spans="1:2">
      <c r="A7604" s="32">
        <v>7594</v>
      </c>
      <c r="B7604" s="90">
        <v>8.0332750079124544</v>
      </c>
    </row>
    <row r="7605" spans="1:2">
      <c r="A7605" s="32">
        <v>7595</v>
      </c>
      <c r="B7605" s="90">
        <v>7.5548442915766101</v>
      </c>
    </row>
    <row r="7606" spans="1:2">
      <c r="A7606" s="32">
        <v>7596</v>
      </c>
      <c r="B7606" s="90">
        <v>8.5910286391906094</v>
      </c>
    </row>
    <row r="7607" spans="1:2">
      <c r="A7607" s="32">
        <v>7597</v>
      </c>
      <c r="B7607" s="90">
        <v>8.0469737887955688</v>
      </c>
    </row>
    <row r="7608" spans="1:2">
      <c r="A7608" s="32">
        <v>7598</v>
      </c>
      <c r="B7608" s="90">
        <v>9.4361705621771463</v>
      </c>
    </row>
    <row r="7609" spans="1:2">
      <c r="A7609" s="32">
        <v>7599</v>
      </c>
      <c r="B7609" s="90">
        <v>8.4361630237868024</v>
      </c>
    </row>
    <row r="7610" spans="1:2">
      <c r="A7610" s="32">
        <v>7600</v>
      </c>
      <c r="B7610" s="90">
        <v>7.8609473248132984</v>
      </c>
    </row>
    <row r="7611" spans="1:2">
      <c r="A7611" s="32">
        <v>7601</v>
      </c>
      <c r="B7611" s="90">
        <v>7.7416921746362464</v>
      </c>
    </row>
    <row r="7612" spans="1:2">
      <c r="A7612" s="32">
        <v>7602</v>
      </c>
      <c r="B7612" s="90">
        <v>8.3180826117993902</v>
      </c>
    </row>
    <row r="7613" spans="1:2">
      <c r="A7613" s="32">
        <v>7603</v>
      </c>
      <c r="B7613" s="90">
        <v>7.7933453039518312</v>
      </c>
    </row>
    <row r="7614" spans="1:2">
      <c r="A7614" s="32">
        <v>7604</v>
      </c>
      <c r="B7614" s="90">
        <v>9.6351420324587789</v>
      </c>
    </row>
    <row r="7615" spans="1:2">
      <c r="A7615" s="32">
        <v>7605</v>
      </c>
      <c r="B7615" s="90">
        <v>8.9632988512226639</v>
      </c>
    </row>
    <row r="7616" spans="1:2">
      <c r="A7616" s="32">
        <v>7606</v>
      </c>
      <c r="B7616" s="90">
        <v>7.4223947200264764</v>
      </c>
    </row>
    <row r="7617" spans="1:2">
      <c r="A7617" s="32">
        <v>7607</v>
      </c>
      <c r="B7617" s="90">
        <v>8.2218491982721744</v>
      </c>
    </row>
    <row r="7618" spans="1:2">
      <c r="A7618" s="32">
        <v>7608</v>
      </c>
      <c r="B7618" s="90">
        <v>8.3412840174089151</v>
      </c>
    </row>
    <row r="7619" spans="1:2">
      <c r="A7619" s="32">
        <v>7609</v>
      </c>
      <c r="B7619" s="90">
        <v>7.9548772133895502</v>
      </c>
    </row>
    <row r="7620" spans="1:2">
      <c r="A7620" s="32">
        <v>7610</v>
      </c>
      <c r="B7620" s="90">
        <v>9.3544815999303808</v>
      </c>
    </row>
    <row r="7621" spans="1:2">
      <c r="A7621" s="32">
        <v>7611</v>
      </c>
      <c r="B7621" s="90">
        <v>8.6632415962605869</v>
      </c>
    </row>
    <row r="7622" spans="1:2">
      <c r="A7622" s="32">
        <v>7612</v>
      </c>
      <c r="B7622" s="90">
        <v>7.6847594839461841</v>
      </c>
    </row>
    <row r="7623" spans="1:2">
      <c r="A7623" s="32">
        <v>7613</v>
      </c>
      <c r="B7623" s="90">
        <v>8.1699585798827421</v>
      </c>
    </row>
    <row r="7624" spans="1:2">
      <c r="A7624" s="32">
        <v>7614</v>
      </c>
      <c r="B7624" s="90">
        <v>8.3599967426317363</v>
      </c>
    </row>
    <row r="7625" spans="1:2">
      <c r="A7625" s="32">
        <v>7615</v>
      </c>
      <c r="B7625" s="90">
        <v>8.0037767566996916</v>
      </c>
    </row>
    <row r="7626" spans="1:2">
      <c r="A7626" s="32">
        <v>7616</v>
      </c>
      <c r="B7626" s="90">
        <v>9.068987290903662</v>
      </c>
    </row>
    <row r="7627" spans="1:2">
      <c r="A7627" s="32">
        <v>7617</v>
      </c>
      <c r="B7627" s="90">
        <v>8.6870379173616303</v>
      </c>
    </row>
    <row r="7628" spans="1:2">
      <c r="A7628" s="32">
        <v>7618</v>
      </c>
      <c r="B7628" s="90">
        <v>7.3666637428044721</v>
      </c>
    </row>
    <row r="7629" spans="1:2">
      <c r="A7629" s="32">
        <v>7619</v>
      </c>
      <c r="B7629" s="90">
        <v>9.2750782319937688</v>
      </c>
    </row>
    <row r="7630" spans="1:2">
      <c r="A7630" s="32">
        <v>7620</v>
      </c>
      <c r="B7630" s="90">
        <v>7.5339016494387598</v>
      </c>
    </row>
    <row r="7631" spans="1:2">
      <c r="A7631" s="32">
        <v>7621</v>
      </c>
      <c r="B7631" s="90">
        <v>8.7634759705044925</v>
      </c>
    </row>
    <row r="7632" spans="1:2">
      <c r="A7632" s="32">
        <v>7622</v>
      </c>
      <c r="B7632" s="90">
        <v>8.439143805397153</v>
      </c>
    </row>
    <row r="7633" spans="1:2">
      <c r="A7633" s="32">
        <v>7623</v>
      </c>
      <c r="B7633" s="90">
        <v>8.477229993500389</v>
      </c>
    </row>
    <row r="7634" spans="1:2">
      <c r="A7634" s="32">
        <v>7624</v>
      </c>
      <c r="B7634" s="90">
        <v>7.2958671744472516</v>
      </c>
    </row>
    <row r="7635" spans="1:2">
      <c r="A7635" s="32">
        <v>7625</v>
      </c>
      <c r="B7635" s="90">
        <v>9.2065074660469843</v>
      </c>
    </row>
    <row r="7636" spans="1:2">
      <c r="A7636" s="32">
        <v>7626</v>
      </c>
      <c r="B7636" s="90">
        <v>7.8980184986476658</v>
      </c>
    </row>
    <row r="7637" spans="1:2">
      <c r="A7637" s="32">
        <v>7627</v>
      </c>
      <c r="B7637" s="90">
        <v>9.4712576542448073</v>
      </c>
    </row>
    <row r="7638" spans="1:2">
      <c r="A7638" s="32">
        <v>7628</v>
      </c>
      <c r="B7638" s="90">
        <v>8.1306576656884157</v>
      </c>
    </row>
    <row r="7639" spans="1:2">
      <c r="A7639" s="32">
        <v>7629</v>
      </c>
      <c r="B7639" s="90">
        <v>8.0781499924270861</v>
      </c>
    </row>
    <row r="7640" spans="1:2">
      <c r="A7640" s="32">
        <v>7630</v>
      </c>
      <c r="B7640" s="90">
        <v>7.6295867299678459</v>
      </c>
    </row>
    <row r="7641" spans="1:2">
      <c r="A7641" s="32">
        <v>7631</v>
      </c>
      <c r="B7641" s="90">
        <v>8.2710038761176872</v>
      </c>
    </row>
    <row r="7642" spans="1:2">
      <c r="A7642" s="32">
        <v>7632</v>
      </c>
      <c r="B7642" s="90">
        <v>8.1079119549708789</v>
      </c>
    </row>
    <row r="7643" spans="1:2">
      <c r="A7643" s="32">
        <v>7633</v>
      </c>
      <c r="B7643" s="90">
        <v>9.4298439181553135</v>
      </c>
    </row>
    <row r="7644" spans="1:2">
      <c r="A7644" s="32">
        <v>7634</v>
      </c>
      <c r="B7644" s="90">
        <v>8.9434948493789825</v>
      </c>
    </row>
    <row r="7645" spans="1:2">
      <c r="A7645" s="32">
        <v>7635</v>
      </c>
      <c r="B7645" s="90">
        <v>7.4325029328376981</v>
      </c>
    </row>
    <row r="7646" spans="1:2">
      <c r="A7646" s="32">
        <v>7636</v>
      </c>
      <c r="B7646" s="90">
        <v>8.0799655810620212</v>
      </c>
    </row>
    <row r="7647" spans="1:2">
      <c r="A7647" s="32">
        <v>7637</v>
      </c>
      <c r="B7647" s="90">
        <v>8.2935862184329459</v>
      </c>
    </row>
    <row r="7648" spans="1:2">
      <c r="A7648" s="32">
        <v>7638</v>
      </c>
      <c r="B7648" s="90">
        <v>7.8634897762112344</v>
      </c>
    </row>
    <row r="7649" spans="1:2">
      <c r="A7649" s="32">
        <v>7639</v>
      </c>
      <c r="B7649" s="90">
        <v>9.4434049001932596</v>
      </c>
    </row>
    <row r="7650" spans="1:2">
      <c r="A7650" s="32">
        <v>7640</v>
      </c>
      <c r="B7650" s="90">
        <v>9.0668694997246551</v>
      </c>
    </row>
    <row r="7651" spans="1:2">
      <c r="A7651" s="32">
        <v>7641</v>
      </c>
      <c r="B7651" s="90">
        <v>7.6294461853921938</v>
      </c>
    </row>
    <row r="7652" spans="1:2">
      <c r="A7652" s="32">
        <v>7642</v>
      </c>
      <c r="B7652" s="90">
        <v>7.9152931754615867</v>
      </c>
    </row>
    <row r="7653" spans="1:2">
      <c r="A7653" s="32">
        <v>7643</v>
      </c>
      <c r="B7653" s="90">
        <v>8.746028223462428</v>
      </c>
    </row>
    <row r="7654" spans="1:2">
      <c r="A7654" s="32">
        <v>7644</v>
      </c>
      <c r="B7654" s="90">
        <v>7.5937920115585174</v>
      </c>
    </row>
    <row r="7655" spans="1:2">
      <c r="A7655" s="32">
        <v>7645</v>
      </c>
      <c r="B7655" s="90">
        <v>9.1390441924486936</v>
      </c>
    </row>
    <row r="7656" spans="1:2">
      <c r="A7656" s="32">
        <v>7646</v>
      </c>
      <c r="B7656" s="90">
        <v>8.6188964853344441</v>
      </c>
    </row>
    <row r="7657" spans="1:2">
      <c r="A7657" s="32">
        <v>7647</v>
      </c>
      <c r="B7657" s="90">
        <v>7.6170247222552945</v>
      </c>
    </row>
    <row r="7658" spans="1:2">
      <c r="A7658" s="32">
        <v>7648</v>
      </c>
      <c r="B7658" s="90">
        <v>8.4656879253373418</v>
      </c>
    </row>
    <row r="7659" spans="1:2">
      <c r="A7659" s="32">
        <v>7649</v>
      </c>
      <c r="B7659" s="90">
        <v>8.1886863250162101</v>
      </c>
    </row>
    <row r="7660" spans="1:2">
      <c r="A7660" s="32">
        <v>7650</v>
      </c>
      <c r="B7660" s="90">
        <v>8.4266619106113509</v>
      </c>
    </row>
    <row r="7661" spans="1:2">
      <c r="A7661" s="32">
        <v>7651</v>
      </c>
      <c r="B7661" s="90">
        <v>8.7923360171505962</v>
      </c>
    </row>
    <row r="7662" spans="1:2">
      <c r="A7662" s="32">
        <v>7652</v>
      </c>
      <c r="B7662" s="90">
        <v>8.614933319830957</v>
      </c>
    </row>
    <row r="7663" spans="1:2">
      <c r="A7663" s="32">
        <v>7653</v>
      </c>
      <c r="B7663" s="90">
        <v>7.2970136706808377</v>
      </c>
    </row>
    <row r="7664" spans="1:2">
      <c r="A7664" s="32">
        <v>7654</v>
      </c>
      <c r="B7664" s="90">
        <v>9.5519434877812799</v>
      </c>
    </row>
    <row r="7665" spans="1:2">
      <c r="A7665" s="32">
        <v>7655</v>
      </c>
      <c r="B7665" s="90">
        <v>7.2916354394268152</v>
      </c>
    </row>
    <row r="7666" spans="1:2">
      <c r="A7666" s="32">
        <v>7656</v>
      </c>
      <c r="B7666" s="90">
        <v>9.533768114837013</v>
      </c>
    </row>
    <row r="7667" spans="1:2">
      <c r="A7667" s="32">
        <v>7657</v>
      </c>
      <c r="B7667" s="90">
        <v>8.3249070424131695</v>
      </c>
    </row>
    <row r="7668" spans="1:2">
      <c r="A7668" s="32">
        <v>7658</v>
      </c>
      <c r="B7668" s="90">
        <v>8.0332750079124544</v>
      </c>
    </row>
    <row r="7669" spans="1:2">
      <c r="A7669" s="32">
        <v>7659</v>
      </c>
      <c r="B7669" s="90">
        <v>7.5548442915766101</v>
      </c>
    </row>
    <row r="7670" spans="1:2">
      <c r="A7670" s="32">
        <v>7660</v>
      </c>
      <c r="B7670" s="90">
        <v>8.5910286391906094</v>
      </c>
    </row>
    <row r="7671" spans="1:2">
      <c r="A7671" s="32">
        <v>7661</v>
      </c>
      <c r="B7671" s="90">
        <v>8.0469737887955688</v>
      </c>
    </row>
    <row r="7672" spans="1:2">
      <c r="A7672" s="32">
        <v>7662</v>
      </c>
      <c r="B7672" s="90">
        <v>9.4361705621771463</v>
      </c>
    </row>
    <row r="7673" spans="1:2">
      <c r="A7673" s="32">
        <v>7663</v>
      </c>
      <c r="B7673" s="90">
        <v>8.4634198601647572</v>
      </c>
    </row>
    <row r="7674" spans="1:2">
      <c r="A7674" s="32">
        <v>7664</v>
      </c>
      <c r="B7674" s="90">
        <v>8.8081365013102566</v>
      </c>
    </row>
    <row r="7675" spans="1:2">
      <c r="A7675" s="32">
        <v>7665</v>
      </c>
      <c r="B7675" s="90">
        <v>7.3733375649630517</v>
      </c>
    </row>
    <row r="7676" spans="1:2">
      <c r="A7676" s="32">
        <v>7666</v>
      </c>
      <c r="B7676" s="90">
        <v>6.9509858841043215</v>
      </c>
    </row>
    <row r="7677" spans="1:2">
      <c r="A7677" s="32">
        <v>7667</v>
      </c>
      <c r="B7677" s="90">
        <v>8.9452980958499744</v>
      </c>
    </row>
    <row r="7678" spans="1:2">
      <c r="A7678" s="32">
        <v>7668</v>
      </c>
      <c r="B7678" s="90">
        <v>8.0864931767773758</v>
      </c>
    </row>
    <row r="7679" spans="1:2">
      <c r="A7679" s="32">
        <v>7669</v>
      </c>
      <c r="B7679" s="90">
        <v>9.021464986469292</v>
      </c>
    </row>
    <row r="7680" spans="1:2">
      <c r="A7680" s="32">
        <v>7670</v>
      </c>
      <c r="B7680" s="90">
        <v>8.4245459238590392</v>
      </c>
    </row>
    <row r="7681" spans="1:2">
      <c r="A7681" s="32">
        <v>7671</v>
      </c>
      <c r="B7681" s="90">
        <v>7.2820868586103042</v>
      </c>
    </row>
    <row r="7682" spans="1:2">
      <c r="A7682" s="32">
        <v>7672</v>
      </c>
      <c r="B7682" s="90">
        <v>7.3078533600209834</v>
      </c>
    </row>
    <row r="7683" spans="1:2">
      <c r="A7683" s="32">
        <v>7673</v>
      </c>
      <c r="B7683" s="90">
        <v>8.3893796015549889</v>
      </c>
    </row>
    <row r="7684" spans="1:2">
      <c r="A7684" s="32">
        <v>7674</v>
      </c>
      <c r="B7684" s="90">
        <v>8.2914155054439753</v>
      </c>
    </row>
    <row r="7685" spans="1:2">
      <c r="A7685" s="32">
        <v>7675</v>
      </c>
      <c r="B7685" s="90">
        <v>9.1450770443633811</v>
      </c>
    </row>
    <row r="7686" spans="1:2">
      <c r="A7686" s="32">
        <v>7676</v>
      </c>
      <c r="B7686" s="90">
        <v>8.3805665957142779</v>
      </c>
    </row>
    <row r="7687" spans="1:2">
      <c r="A7687" s="32">
        <v>7677</v>
      </c>
      <c r="B7687" s="90">
        <v>7.1825360705658445</v>
      </c>
    </row>
    <row r="7688" spans="1:2">
      <c r="A7688" s="32">
        <v>7678</v>
      </c>
      <c r="B7688" s="90">
        <v>7.6630839585194961</v>
      </c>
    </row>
    <row r="7689" spans="1:2">
      <c r="A7689" s="32">
        <v>7679</v>
      </c>
      <c r="B7689" s="90">
        <v>8.2804993847444379</v>
      </c>
    </row>
    <row r="7690" spans="1:2">
      <c r="A7690" s="32">
        <v>7680</v>
      </c>
      <c r="B7690" s="90">
        <v>8.3069174648796107</v>
      </c>
    </row>
    <row r="7691" spans="1:2">
      <c r="A7691" s="32">
        <v>7681</v>
      </c>
      <c r="B7691" s="90">
        <v>9.7735986382526274</v>
      </c>
    </row>
    <row r="7692" spans="1:2">
      <c r="A7692" s="32">
        <v>7682</v>
      </c>
      <c r="B7692" s="90">
        <v>7.4819547072824761</v>
      </c>
    </row>
    <row r="7693" spans="1:2">
      <c r="A7693" s="32">
        <v>7683</v>
      </c>
      <c r="B7693" s="90">
        <v>7.3274850803273441</v>
      </c>
    </row>
    <row r="7694" spans="1:2">
      <c r="A7694" s="32">
        <v>7684</v>
      </c>
      <c r="B7694" s="90">
        <v>8.4743354383098861</v>
      </c>
    </row>
    <row r="7695" spans="1:2">
      <c r="A7695" s="32">
        <v>7685</v>
      </c>
      <c r="B7695" s="90">
        <v>7.4830216595934589</v>
      </c>
    </row>
    <row r="7696" spans="1:2">
      <c r="A7696" s="32">
        <v>7686</v>
      </c>
      <c r="B7696" s="90">
        <v>8.8406262433196368</v>
      </c>
    </row>
    <row r="7697" spans="1:2">
      <c r="A7697" s="32">
        <v>7687</v>
      </c>
      <c r="B7697" s="90">
        <v>9.3600777421879666</v>
      </c>
    </row>
    <row r="7698" spans="1:2">
      <c r="A7698" s="32">
        <v>7688</v>
      </c>
      <c r="B7698" s="90">
        <v>7.3810692207450277</v>
      </c>
    </row>
    <row r="7699" spans="1:2">
      <c r="A7699" s="32">
        <v>7689</v>
      </c>
      <c r="B7699" s="90">
        <v>7.7179847912818582</v>
      </c>
    </row>
    <row r="7700" spans="1:2">
      <c r="A7700" s="32">
        <v>7690</v>
      </c>
      <c r="B7700" s="90">
        <v>8.5350260699288558</v>
      </c>
    </row>
    <row r="7701" spans="1:2">
      <c r="A7701" s="32">
        <v>7691</v>
      </c>
      <c r="B7701" s="90">
        <v>7.1401628579001741</v>
      </c>
    </row>
    <row r="7702" spans="1:2">
      <c r="A7702" s="32">
        <v>7692</v>
      </c>
      <c r="B7702" s="90">
        <v>9.297265473042259</v>
      </c>
    </row>
    <row r="7703" spans="1:2">
      <c r="A7703" s="32">
        <v>7693</v>
      </c>
      <c r="B7703" s="90">
        <v>8.886789196583976</v>
      </c>
    </row>
    <row r="7704" spans="1:2">
      <c r="A7704" s="32">
        <v>7694</v>
      </c>
      <c r="B7704" s="90">
        <v>7.3220538576464431</v>
      </c>
    </row>
    <row r="7705" spans="1:2">
      <c r="A7705" s="32">
        <v>7695</v>
      </c>
      <c r="B7705" s="90">
        <v>7.256862854688217</v>
      </c>
    </row>
    <row r="7706" spans="1:2">
      <c r="A7706" s="32">
        <v>7696</v>
      </c>
      <c r="B7706" s="90">
        <v>8.8353423225731014</v>
      </c>
    </row>
    <row r="7707" spans="1:2">
      <c r="A7707" s="32">
        <v>7697</v>
      </c>
      <c r="B7707" s="90">
        <v>7.782142221849548</v>
      </c>
    </row>
    <row r="7708" spans="1:2">
      <c r="A7708" s="32">
        <v>7698</v>
      </c>
      <c r="B7708" s="90">
        <v>8.7438044924627647</v>
      </c>
    </row>
    <row r="7709" spans="1:2">
      <c r="A7709" s="32">
        <v>7699</v>
      </c>
      <c r="B7709" s="90">
        <v>8.8619598676092455</v>
      </c>
    </row>
    <row r="7710" spans="1:2">
      <c r="A7710" s="32">
        <v>7700</v>
      </c>
      <c r="B7710" s="90">
        <v>7.0681788332808493</v>
      </c>
    </row>
    <row r="7711" spans="1:2">
      <c r="A7711" s="32">
        <v>7701</v>
      </c>
      <c r="B7711" s="90">
        <v>7.0593434104327795</v>
      </c>
    </row>
    <row r="7712" spans="1:2">
      <c r="A7712" s="32">
        <v>7702</v>
      </c>
      <c r="B7712" s="90">
        <v>8.961337984062661</v>
      </c>
    </row>
    <row r="7713" spans="1:2">
      <c r="A7713" s="32">
        <v>7703</v>
      </c>
      <c r="B7713" s="90">
        <v>8.0791378585706077</v>
      </c>
    </row>
    <row r="7714" spans="1:2">
      <c r="A7714" s="32">
        <v>7704</v>
      </c>
      <c r="B7714" s="90">
        <v>8.9712582653119419</v>
      </c>
    </row>
    <row r="7715" spans="1:2">
      <c r="A7715" s="32">
        <v>7705</v>
      </c>
      <c r="B7715" s="90">
        <v>8.6430393135800738</v>
      </c>
    </row>
    <row r="7716" spans="1:2">
      <c r="A7716" s="32">
        <v>7706</v>
      </c>
      <c r="B7716" s="90">
        <v>7.6009187381775503</v>
      </c>
    </row>
    <row r="7717" spans="1:2">
      <c r="A7717" s="32">
        <v>7707</v>
      </c>
      <c r="B7717" s="90">
        <v>7.1244148826775371</v>
      </c>
    </row>
    <row r="7718" spans="1:2">
      <c r="A7718" s="32">
        <v>7708</v>
      </c>
      <c r="B7718" s="90">
        <v>8.4231121876765496</v>
      </c>
    </row>
    <row r="7719" spans="1:2">
      <c r="A7719" s="32">
        <v>7709</v>
      </c>
      <c r="B7719" s="90">
        <v>7.898206828412258</v>
      </c>
    </row>
    <row r="7720" spans="1:2">
      <c r="A7720" s="32">
        <v>7710</v>
      </c>
      <c r="B7720" s="90">
        <v>9.7295682259107057</v>
      </c>
    </row>
    <row r="7721" spans="1:2">
      <c r="A7721" s="32">
        <v>7711</v>
      </c>
      <c r="B7721" s="90">
        <v>8.2030872257742438</v>
      </c>
    </row>
    <row r="7722" spans="1:2">
      <c r="A7722" s="32">
        <v>7712</v>
      </c>
      <c r="B7722" s="90">
        <v>7.0933486817668152</v>
      </c>
    </row>
    <row r="7723" spans="1:2">
      <c r="A7723" s="32">
        <v>7713</v>
      </c>
      <c r="B7723" s="90">
        <v>7.9217112816729216</v>
      </c>
    </row>
    <row r="7724" spans="1:2">
      <c r="A7724" s="32">
        <v>7714</v>
      </c>
      <c r="B7724" s="90">
        <v>8.0000050534558209</v>
      </c>
    </row>
    <row r="7725" spans="1:2">
      <c r="A7725" s="32">
        <v>7715</v>
      </c>
      <c r="B7725" s="90">
        <v>8.4090530402066559</v>
      </c>
    </row>
    <row r="7726" spans="1:2">
      <c r="A7726" s="32">
        <v>7716</v>
      </c>
      <c r="B7726" s="90">
        <v>9.6386857826500645</v>
      </c>
    </row>
    <row r="7727" spans="1:2">
      <c r="A7727" s="32">
        <v>7717</v>
      </c>
      <c r="B7727" s="90">
        <v>7.5417207484544972</v>
      </c>
    </row>
    <row r="7728" spans="1:2">
      <c r="A7728" s="32">
        <v>7718</v>
      </c>
      <c r="B7728" s="90">
        <v>7.3782919365207418</v>
      </c>
    </row>
    <row r="7729" spans="1:2">
      <c r="A7729" s="32">
        <v>7719</v>
      </c>
      <c r="B7729" s="90">
        <v>8.8010766491551014</v>
      </c>
    </row>
    <row r="7730" spans="1:2">
      <c r="A7730" s="32">
        <v>7720</v>
      </c>
      <c r="B7730" s="90">
        <v>6.8471350406078662</v>
      </c>
    </row>
    <row r="7731" spans="1:2">
      <c r="A7731" s="32">
        <v>7721</v>
      </c>
      <c r="B7731" s="90">
        <v>9.5045112917729906</v>
      </c>
    </row>
    <row r="7732" spans="1:2">
      <c r="A7732" s="32">
        <v>7722</v>
      </c>
      <c r="B7732" s="90">
        <v>9.1371494827377493</v>
      </c>
    </row>
    <row r="7733" spans="1:2">
      <c r="A7733" s="32">
        <v>7723</v>
      </c>
      <c r="B7733" s="90">
        <v>7.4167940862255772</v>
      </c>
    </row>
    <row r="7734" spans="1:2">
      <c r="A7734" s="32">
        <v>7724</v>
      </c>
      <c r="B7734" s="90">
        <v>7.3654426636535213</v>
      </c>
    </row>
    <row r="7735" spans="1:2">
      <c r="A7735" s="32">
        <v>7725</v>
      </c>
      <c r="B7735" s="90">
        <v>8.2956874203234676</v>
      </c>
    </row>
    <row r="7736" spans="1:2">
      <c r="A7736" s="32">
        <v>7726</v>
      </c>
      <c r="B7736" s="90">
        <v>7.5075009983157246</v>
      </c>
    </row>
    <row r="7737" spans="1:2">
      <c r="A7737" s="32">
        <v>7727</v>
      </c>
      <c r="B7737" s="90">
        <v>9.3181405173981595</v>
      </c>
    </row>
    <row r="7738" spans="1:2">
      <c r="A7738" s="32">
        <v>7728</v>
      </c>
      <c r="B7738" s="90">
        <v>8.8081365013102566</v>
      </c>
    </row>
    <row r="7739" spans="1:2">
      <c r="A7739" s="32">
        <v>7729</v>
      </c>
      <c r="B7739" s="90">
        <v>7.3733375649630517</v>
      </c>
    </row>
    <row r="7740" spans="1:2">
      <c r="A7740" s="32">
        <v>7730</v>
      </c>
      <c r="B7740" s="90">
        <v>6.9509858841043215</v>
      </c>
    </row>
    <row r="7741" spans="1:2">
      <c r="A7741" s="32">
        <v>7731</v>
      </c>
      <c r="B7741" s="90">
        <v>8.9452980958499744</v>
      </c>
    </row>
    <row r="7742" spans="1:2">
      <c r="A7742" s="32">
        <v>7732</v>
      </c>
      <c r="B7742" s="90">
        <v>8.0864931767773758</v>
      </c>
    </row>
    <row r="7743" spans="1:2">
      <c r="A7743" s="32">
        <v>7733</v>
      </c>
      <c r="B7743" s="90">
        <v>9.021464986469292</v>
      </c>
    </row>
    <row r="7744" spans="1:2">
      <c r="A7744" s="32">
        <v>7734</v>
      </c>
      <c r="B7744" s="90">
        <v>8.4245459238590392</v>
      </c>
    </row>
    <row r="7745" spans="1:2">
      <c r="A7745" s="32">
        <v>7735</v>
      </c>
      <c r="B7745" s="90">
        <v>7.2820868586103042</v>
      </c>
    </row>
    <row r="7746" spans="1:2">
      <c r="A7746" s="32">
        <v>7736</v>
      </c>
      <c r="B7746" s="90">
        <v>7.3078533600209834</v>
      </c>
    </row>
    <row r="7747" spans="1:2">
      <c r="A7747" s="32">
        <v>7737</v>
      </c>
      <c r="B7747" s="90">
        <v>8.3893796015549889</v>
      </c>
    </row>
    <row r="7748" spans="1:2">
      <c r="A7748" s="32">
        <v>7738</v>
      </c>
      <c r="B7748" s="90">
        <v>8.2914155054439753</v>
      </c>
    </row>
    <row r="7749" spans="1:2">
      <c r="A7749" s="32">
        <v>7739</v>
      </c>
      <c r="B7749" s="90">
        <v>9.1450770443633811</v>
      </c>
    </row>
    <row r="7750" spans="1:2">
      <c r="A7750" s="32">
        <v>7740</v>
      </c>
      <c r="B7750" s="90">
        <v>8.3805665957142779</v>
      </c>
    </row>
    <row r="7751" spans="1:2">
      <c r="A7751" s="32">
        <v>7741</v>
      </c>
      <c r="B7751" s="90">
        <v>7.1825360705658445</v>
      </c>
    </row>
    <row r="7752" spans="1:2">
      <c r="A7752" s="32">
        <v>7742</v>
      </c>
      <c r="B7752" s="90">
        <v>7.6630839585194961</v>
      </c>
    </row>
    <row r="7753" spans="1:2">
      <c r="A7753" s="32">
        <v>7743</v>
      </c>
      <c r="B7753" s="90">
        <v>8.2804993847444379</v>
      </c>
    </row>
    <row r="7754" spans="1:2">
      <c r="A7754" s="32">
        <v>7744</v>
      </c>
      <c r="B7754" s="90">
        <v>8.3069174648796107</v>
      </c>
    </row>
    <row r="7755" spans="1:2">
      <c r="A7755" s="32">
        <v>7745</v>
      </c>
      <c r="B7755" s="90">
        <v>9.7735986382526274</v>
      </c>
    </row>
    <row r="7756" spans="1:2">
      <c r="A7756" s="32">
        <v>7746</v>
      </c>
      <c r="B7756" s="90">
        <v>7.4819547072824761</v>
      </c>
    </row>
    <row r="7757" spans="1:2">
      <c r="A7757" s="32">
        <v>7747</v>
      </c>
      <c r="B7757" s="90">
        <v>7.3274850803273441</v>
      </c>
    </row>
    <row r="7758" spans="1:2">
      <c r="A7758" s="32">
        <v>7748</v>
      </c>
      <c r="B7758" s="90">
        <v>8.4743354383098861</v>
      </c>
    </row>
    <row r="7759" spans="1:2">
      <c r="A7759" s="32">
        <v>7749</v>
      </c>
      <c r="B7759" s="90">
        <v>7.4830216595934589</v>
      </c>
    </row>
    <row r="7760" spans="1:2">
      <c r="A7760" s="32">
        <v>7750</v>
      </c>
      <c r="B7760" s="90">
        <v>8.8406262433196368</v>
      </c>
    </row>
    <row r="7761" spans="1:2">
      <c r="A7761" s="32">
        <v>7751</v>
      </c>
      <c r="B7761" s="90">
        <v>9.3600777421879666</v>
      </c>
    </row>
    <row r="7762" spans="1:2">
      <c r="A7762" s="32">
        <v>7752</v>
      </c>
      <c r="B7762" s="90">
        <v>7.3810692207450277</v>
      </c>
    </row>
    <row r="7763" spans="1:2">
      <c r="A7763" s="32">
        <v>7753</v>
      </c>
      <c r="B7763" s="90">
        <v>7.7179847912818582</v>
      </c>
    </row>
    <row r="7764" spans="1:2">
      <c r="A7764" s="32">
        <v>7754</v>
      </c>
      <c r="B7764" s="90">
        <v>8.5350260699288558</v>
      </c>
    </row>
    <row r="7765" spans="1:2">
      <c r="A7765" s="32">
        <v>7755</v>
      </c>
      <c r="B7765" s="90">
        <v>7.1401628579001741</v>
      </c>
    </row>
    <row r="7766" spans="1:2">
      <c r="A7766" s="32">
        <v>7756</v>
      </c>
      <c r="B7766" s="90">
        <v>9.297265473042259</v>
      </c>
    </row>
    <row r="7767" spans="1:2">
      <c r="A7767" s="32">
        <v>7757</v>
      </c>
      <c r="B7767" s="90">
        <v>8.886789196583976</v>
      </c>
    </row>
    <row r="7768" spans="1:2">
      <c r="A7768" s="32">
        <v>7758</v>
      </c>
      <c r="B7768" s="90">
        <v>7.3220538576464431</v>
      </c>
    </row>
    <row r="7769" spans="1:2">
      <c r="A7769" s="32">
        <v>7759</v>
      </c>
      <c r="B7769" s="90">
        <v>7.256862854688217</v>
      </c>
    </row>
    <row r="7770" spans="1:2">
      <c r="A7770" s="32">
        <v>7760</v>
      </c>
      <c r="B7770" s="90">
        <v>8.8353423225731014</v>
      </c>
    </row>
    <row r="7771" spans="1:2">
      <c r="A7771" s="32">
        <v>7761</v>
      </c>
      <c r="B7771" s="90">
        <v>7.782142221849548</v>
      </c>
    </row>
    <row r="7772" spans="1:2">
      <c r="A7772" s="32">
        <v>7762</v>
      </c>
      <c r="B7772" s="90">
        <v>8.7438044924627647</v>
      </c>
    </row>
    <row r="7773" spans="1:2">
      <c r="A7773" s="32">
        <v>7763</v>
      </c>
      <c r="B7773" s="90">
        <v>8.8619598676092455</v>
      </c>
    </row>
    <row r="7774" spans="1:2">
      <c r="A7774" s="32">
        <v>7764</v>
      </c>
      <c r="B7774" s="90">
        <v>7.0681788332808493</v>
      </c>
    </row>
    <row r="7775" spans="1:2">
      <c r="A7775" s="32">
        <v>7765</v>
      </c>
      <c r="B7775" s="90">
        <v>7.0593434104327795</v>
      </c>
    </row>
    <row r="7776" spans="1:2">
      <c r="A7776" s="32">
        <v>7766</v>
      </c>
      <c r="B7776" s="90">
        <v>8.961337984062661</v>
      </c>
    </row>
    <row r="7777" spans="1:2">
      <c r="A7777" s="32">
        <v>7767</v>
      </c>
      <c r="B7777" s="90">
        <v>8.0791378585706077</v>
      </c>
    </row>
    <row r="7778" spans="1:2">
      <c r="A7778" s="32">
        <v>7768</v>
      </c>
      <c r="B7778" s="90">
        <v>8.9712582653119419</v>
      </c>
    </row>
    <row r="7779" spans="1:2">
      <c r="A7779" s="32">
        <v>7769</v>
      </c>
      <c r="B7779" s="90">
        <v>8.6430393135800738</v>
      </c>
    </row>
    <row r="7780" spans="1:2">
      <c r="A7780" s="32">
        <v>7770</v>
      </c>
      <c r="B7780" s="90">
        <v>7.6009187381775503</v>
      </c>
    </row>
    <row r="7781" spans="1:2">
      <c r="A7781" s="32">
        <v>7771</v>
      </c>
      <c r="B7781" s="90">
        <v>7.1244148826775371</v>
      </c>
    </row>
    <row r="7782" spans="1:2">
      <c r="A7782" s="32">
        <v>7772</v>
      </c>
      <c r="B7782" s="90">
        <v>8.4231121876765496</v>
      </c>
    </row>
    <row r="7783" spans="1:2">
      <c r="A7783" s="32">
        <v>7773</v>
      </c>
      <c r="B7783" s="90">
        <v>7.898206828412258</v>
      </c>
    </row>
    <row r="7784" spans="1:2">
      <c r="A7784" s="32">
        <v>7774</v>
      </c>
      <c r="B7784" s="90">
        <v>9.7295682259107057</v>
      </c>
    </row>
    <row r="7785" spans="1:2">
      <c r="A7785" s="32">
        <v>7775</v>
      </c>
      <c r="B7785" s="90">
        <v>8.2030872257742438</v>
      </c>
    </row>
    <row r="7786" spans="1:2">
      <c r="A7786" s="32">
        <v>7776</v>
      </c>
      <c r="B7786" s="90">
        <v>7.0933486817668152</v>
      </c>
    </row>
    <row r="7787" spans="1:2">
      <c r="A7787" s="32">
        <v>7777</v>
      </c>
      <c r="B7787" s="90">
        <v>7.9217112816729216</v>
      </c>
    </row>
    <row r="7788" spans="1:2">
      <c r="A7788" s="32">
        <v>7778</v>
      </c>
      <c r="B7788" s="90">
        <v>8.0000050534558209</v>
      </c>
    </row>
    <row r="7789" spans="1:2">
      <c r="A7789" s="32">
        <v>7779</v>
      </c>
      <c r="B7789" s="90">
        <v>8.4090530402066559</v>
      </c>
    </row>
    <row r="7790" spans="1:2">
      <c r="A7790" s="32">
        <v>7780</v>
      </c>
      <c r="B7790" s="90">
        <v>9.6386857826500645</v>
      </c>
    </row>
    <row r="7791" spans="1:2">
      <c r="A7791" s="32">
        <v>7781</v>
      </c>
      <c r="B7791" s="90">
        <v>7.5417207484544972</v>
      </c>
    </row>
    <row r="7792" spans="1:2">
      <c r="A7792" s="32">
        <v>7782</v>
      </c>
      <c r="B7792" s="90">
        <v>7.3782919365207418</v>
      </c>
    </row>
    <row r="7793" spans="1:2">
      <c r="A7793" s="32">
        <v>7783</v>
      </c>
      <c r="B7793" s="90">
        <v>8.8010766491551014</v>
      </c>
    </row>
    <row r="7794" spans="1:2">
      <c r="A7794" s="32">
        <v>7784</v>
      </c>
      <c r="B7794" s="90">
        <v>6.8471350406078662</v>
      </c>
    </row>
    <row r="7795" spans="1:2">
      <c r="A7795" s="32">
        <v>7785</v>
      </c>
      <c r="B7795" s="90">
        <v>9.5045112917729906</v>
      </c>
    </row>
    <row r="7796" spans="1:2">
      <c r="A7796" s="32">
        <v>7786</v>
      </c>
      <c r="B7796" s="90">
        <v>9.1371494827377493</v>
      </c>
    </row>
    <row r="7797" spans="1:2">
      <c r="A7797" s="32">
        <v>7787</v>
      </c>
      <c r="B7797" s="90">
        <v>7.4167940862255772</v>
      </c>
    </row>
    <row r="7798" spans="1:2">
      <c r="A7798" s="32">
        <v>7788</v>
      </c>
      <c r="B7798" s="90">
        <v>7.3654426636535213</v>
      </c>
    </row>
    <row r="7799" spans="1:2">
      <c r="A7799" s="32">
        <v>7789</v>
      </c>
      <c r="B7799" s="90">
        <v>8.2956874203234676</v>
      </c>
    </row>
    <row r="7800" spans="1:2">
      <c r="A7800" s="32">
        <v>7790</v>
      </c>
      <c r="B7800" s="90">
        <v>8.1633909477021902</v>
      </c>
    </row>
    <row r="7801" spans="1:2">
      <c r="A7801" s="32">
        <v>7791</v>
      </c>
      <c r="B7801" s="90">
        <v>8.4458090079014365</v>
      </c>
    </row>
    <row r="7802" spans="1:2">
      <c r="A7802" s="32">
        <v>7792</v>
      </c>
      <c r="B7802" s="90">
        <v>7.7882219535579846</v>
      </c>
    </row>
    <row r="7803" spans="1:2">
      <c r="A7803" s="32">
        <v>7793</v>
      </c>
      <c r="B7803" s="90">
        <v>7.8106572645916961</v>
      </c>
    </row>
    <row r="7804" spans="1:2">
      <c r="A7804" s="32">
        <v>7794</v>
      </c>
      <c r="B7804" s="90">
        <v>7.8284805656613807</v>
      </c>
    </row>
    <row r="7805" spans="1:2">
      <c r="A7805" s="32">
        <v>7795</v>
      </c>
      <c r="B7805" s="90">
        <v>8.25317088536206</v>
      </c>
    </row>
    <row r="7806" spans="1:2">
      <c r="A7806" s="32">
        <v>7796</v>
      </c>
      <c r="B7806" s="90">
        <v>8.4965798601632461</v>
      </c>
    </row>
    <row r="7807" spans="1:2">
      <c r="A7807" s="32">
        <v>7797</v>
      </c>
      <c r="B7807" s="90">
        <v>8.473593604421044</v>
      </c>
    </row>
    <row r="7808" spans="1:2">
      <c r="A7808" s="32">
        <v>7798</v>
      </c>
      <c r="B7808" s="90">
        <v>7.4444862045262408</v>
      </c>
    </row>
    <row r="7809" spans="1:2">
      <c r="A7809" s="32">
        <v>7799</v>
      </c>
      <c r="B7809" s="90">
        <v>7.8863729752331588</v>
      </c>
    </row>
    <row r="7810" spans="1:2">
      <c r="A7810" s="32">
        <v>7800</v>
      </c>
      <c r="B7810" s="90">
        <v>7.9896944953556961</v>
      </c>
    </row>
    <row r="7811" spans="1:2">
      <c r="A7811" s="32">
        <v>7801</v>
      </c>
      <c r="B7811" s="90">
        <v>8.1228595375833148</v>
      </c>
    </row>
    <row r="7812" spans="1:2">
      <c r="A7812" s="32">
        <v>7802</v>
      </c>
      <c r="B7812" s="90">
        <v>8.8946497683370271</v>
      </c>
    </row>
    <row r="7813" spans="1:2">
      <c r="A7813" s="32">
        <v>7803</v>
      </c>
      <c r="B7813" s="90">
        <v>7.6417510776280357</v>
      </c>
    </row>
    <row r="7814" spans="1:2">
      <c r="A7814" s="32">
        <v>7804</v>
      </c>
      <c r="B7814" s="90">
        <v>7.8854362860705116</v>
      </c>
    </row>
    <row r="7815" spans="1:2">
      <c r="A7815" s="32">
        <v>7805</v>
      </c>
      <c r="B7815" s="90">
        <v>8.2252623097279347</v>
      </c>
    </row>
    <row r="7816" spans="1:2">
      <c r="A7816" s="32">
        <v>7806</v>
      </c>
      <c r="B7816" s="90">
        <v>7.5228162625261694</v>
      </c>
    </row>
    <row r="7817" spans="1:2">
      <c r="A7817" s="32">
        <v>7807</v>
      </c>
      <c r="B7817" s="90">
        <v>8.73939886221617</v>
      </c>
    </row>
    <row r="7818" spans="1:2">
      <c r="A7818" s="32">
        <v>7808</v>
      </c>
      <c r="B7818" s="90">
        <v>8.4143780937746282</v>
      </c>
    </row>
    <row r="7819" spans="1:2">
      <c r="A7819" s="32">
        <v>7809</v>
      </c>
      <c r="B7819" s="90">
        <v>7.8434370022132756</v>
      </c>
    </row>
    <row r="7820" spans="1:2">
      <c r="A7820" s="32">
        <v>7810</v>
      </c>
      <c r="B7820" s="90">
        <v>7.3696114055224475</v>
      </c>
    </row>
    <row r="7821" spans="1:2">
      <c r="A7821" s="32">
        <v>7811</v>
      </c>
      <c r="B7821" s="90">
        <v>8.5574732803423146</v>
      </c>
    </row>
    <row r="7822" spans="1:2">
      <c r="A7822" s="32">
        <v>7812</v>
      </c>
      <c r="B7822" s="90">
        <v>7.6131600702743407</v>
      </c>
    </row>
    <row r="7823" spans="1:2">
      <c r="A7823" s="32">
        <v>7813</v>
      </c>
      <c r="B7823" s="90">
        <v>8.6531058937510057</v>
      </c>
    </row>
    <row r="7824" spans="1:2">
      <c r="A7824" s="32">
        <v>7814</v>
      </c>
      <c r="B7824" s="90">
        <v>8.232305227351322</v>
      </c>
    </row>
    <row r="7825" spans="1:2">
      <c r="A7825" s="32">
        <v>7815</v>
      </c>
      <c r="B7825" s="90">
        <v>7.745504427999804</v>
      </c>
    </row>
    <row r="7826" spans="1:2">
      <c r="A7826" s="32">
        <v>7816</v>
      </c>
      <c r="B7826" s="90">
        <v>7.9879570160847786</v>
      </c>
    </row>
    <row r="7827" spans="1:2">
      <c r="A7827" s="32">
        <v>7817</v>
      </c>
      <c r="B7827" s="90">
        <v>7.9682539348312718</v>
      </c>
    </row>
    <row r="7828" spans="1:2">
      <c r="A7828" s="32">
        <v>7818</v>
      </c>
      <c r="B7828" s="90">
        <v>8.2943355710330415</v>
      </c>
    </row>
    <row r="7829" spans="1:2">
      <c r="A7829" s="32">
        <v>7819</v>
      </c>
      <c r="B7829" s="90">
        <v>7.9633203352942976</v>
      </c>
    </row>
    <row r="7830" spans="1:2">
      <c r="A7830" s="32">
        <v>7820</v>
      </c>
      <c r="B7830" s="90">
        <v>8.3959286399569706</v>
      </c>
    </row>
    <row r="7831" spans="1:2">
      <c r="A7831" s="32">
        <v>7821</v>
      </c>
      <c r="B7831" s="90">
        <v>7.7667021721152771</v>
      </c>
    </row>
    <row r="7832" spans="1:2">
      <c r="A7832" s="32">
        <v>7822</v>
      </c>
      <c r="B7832" s="90">
        <v>7.8394287207062856</v>
      </c>
    </row>
    <row r="7833" spans="1:2">
      <c r="A7833" s="32">
        <v>7823</v>
      </c>
      <c r="B7833" s="90">
        <v>8.0133873525478592</v>
      </c>
    </row>
    <row r="7834" spans="1:2">
      <c r="A7834" s="32">
        <v>7824</v>
      </c>
      <c r="B7834" s="90">
        <v>8.1425559962031784</v>
      </c>
    </row>
    <row r="7835" spans="1:2">
      <c r="A7835" s="32">
        <v>7825</v>
      </c>
      <c r="B7835" s="90">
        <v>8.3576445001721336</v>
      </c>
    </row>
    <row r="7836" spans="1:2">
      <c r="A7836" s="32">
        <v>7826</v>
      </c>
      <c r="B7836" s="90">
        <v>8.3928109690482113</v>
      </c>
    </row>
    <row r="7837" spans="1:2">
      <c r="A7837" s="32">
        <v>7827</v>
      </c>
      <c r="B7837" s="90">
        <v>7.7529958741297023</v>
      </c>
    </row>
    <row r="7838" spans="1:2">
      <c r="A7838" s="32">
        <v>7828</v>
      </c>
      <c r="B7838" s="90">
        <v>7.8416659364159091</v>
      </c>
    </row>
    <row r="7839" spans="1:2">
      <c r="A7839" s="32">
        <v>7829</v>
      </c>
      <c r="B7839" s="90">
        <v>7.8524219146119085</v>
      </c>
    </row>
    <row r="7840" spans="1:2">
      <c r="A7840" s="32">
        <v>7830</v>
      </c>
      <c r="B7840" s="90">
        <v>8.1447285519040484</v>
      </c>
    </row>
    <row r="7841" spans="1:2">
      <c r="A7841" s="32">
        <v>7831</v>
      </c>
      <c r="B7841" s="90">
        <v>8.822999825923139</v>
      </c>
    </row>
    <row r="7842" spans="1:2">
      <c r="A7842" s="32">
        <v>7832</v>
      </c>
      <c r="B7842" s="90">
        <v>8.1074396710732852</v>
      </c>
    </row>
    <row r="7843" spans="1:2">
      <c r="A7843" s="32">
        <v>7833</v>
      </c>
      <c r="B7843" s="90">
        <v>7.6730509052123503</v>
      </c>
    </row>
    <row r="7844" spans="1:2">
      <c r="A7844" s="32">
        <v>7834</v>
      </c>
      <c r="B7844" s="90">
        <v>8.1525464547934341</v>
      </c>
    </row>
    <row r="7845" spans="1:2">
      <c r="A7845" s="32">
        <v>7835</v>
      </c>
      <c r="B7845" s="90">
        <v>7.4097466612214538</v>
      </c>
    </row>
    <row r="7846" spans="1:2">
      <c r="A7846" s="32">
        <v>7836</v>
      </c>
      <c r="B7846" s="90">
        <v>8.9531034806068401</v>
      </c>
    </row>
    <row r="7847" spans="1:2">
      <c r="A7847" s="32">
        <v>7837</v>
      </c>
      <c r="B7847" s="90">
        <v>8.1514845357584598</v>
      </c>
    </row>
    <row r="7848" spans="1:2">
      <c r="A7848" s="32">
        <v>7838</v>
      </c>
      <c r="B7848" s="90">
        <v>8.1166306501677248</v>
      </c>
    </row>
    <row r="7849" spans="1:2">
      <c r="A7849" s="32">
        <v>7839</v>
      </c>
      <c r="B7849" s="90">
        <v>7.3019577177347657</v>
      </c>
    </row>
    <row r="7850" spans="1:2">
      <c r="A7850" s="32">
        <v>7840</v>
      </c>
      <c r="B7850" s="90">
        <v>8.3041584747617829</v>
      </c>
    </row>
    <row r="7851" spans="1:2">
      <c r="A7851" s="32">
        <v>7841</v>
      </c>
      <c r="B7851" s="90">
        <v>7.6430484421559237</v>
      </c>
    </row>
    <row r="7852" spans="1:2">
      <c r="A7852" s="32">
        <v>7842</v>
      </c>
      <c r="B7852" s="90">
        <v>8.8542219247194094</v>
      </c>
    </row>
    <row r="7853" spans="1:2">
      <c r="A7853" s="32">
        <v>7843</v>
      </c>
      <c r="B7853" s="90">
        <v>8.3094558259717886</v>
      </c>
    </row>
    <row r="7854" spans="1:2">
      <c r="A7854" s="32">
        <v>7844</v>
      </c>
      <c r="B7854" s="90">
        <v>7.6351850535049408</v>
      </c>
    </row>
    <row r="7855" spans="1:2">
      <c r="A7855" s="32">
        <v>7845</v>
      </c>
      <c r="B7855" s="90">
        <v>7.8337929426204811</v>
      </c>
    </row>
    <row r="7856" spans="1:2">
      <c r="A7856" s="32">
        <v>7846</v>
      </c>
      <c r="B7856" s="90">
        <v>8.1207171774764237</v>
      </c>
    </row>
    <row r="7857" spans="1:2">
      <c r="A7857" s="32">
        <v>7847</v>
      </c>
      <c r="B7857" s="90">
        <v>7.7618601076729927</v>
      </c>
    </row>
    <row r="7858" spans="1:2">
      <c r="A7858" s="32">
        <v>7848</v>
      </c>
      <c r="B7858" s="90">
        <v>8.6425125368655866</v>
      </c>
    </row>
    <row r="7859" spans="1:2">
      <c r="A7859" s="32">
        <v>7849</v>
      </c>
      <c r="B7859" s="90">
        <v>8.2708469607484627</v>
      </c>
    </row>
    <row r="7860" spans="1:2">
      <c r="A7860" s="32">
        <v>7850</v>
      </c>
      <c r="B7860" s="90">
        <v>7.7694723027210708</v>
      </c>
    </row>
    <row r="7861" spans="1:2">
      <c r="A7861" s="32">
        <v>7851</v>
      </c>
      <c r="B7861" s="90">
        <v>7.8065553536835166</v>
      </c>
    </row>
    <row r="7862" spans="1:2">
      <c r="A7862" s="32">
        <v>7852</v>
      </c>
      <c r="B7862" s="90">
        <v>8.1359579816369614</v>
      </c>
    </row>
    <row r="7863" spans="1:2">
      <c r="A7863" s="32">
        <v>7853</v>
      </c>
      <c r="B7863" s="90">
        <v>8.1258873087349617</v>
      </c>
    </row>
    <row r="7864" spans="1:2">
      <c r="A7864" s="32">
        <v>7854</v>
      </c>
      <c r="B7864" s="90">
        <v>8.1675526508859431</v>
      </c>
    </row>
    <row r="7865" spans="1:2">
      <c r="A7865" s="32">
        <v>7855</v>
      </c>
      <c r="B7865" s="90">
        <v>8.4458090079014365</v>
      </c>
    </row>
    <row r="7866" spans="1:2">
      <c r="A7866" s="32">
        <v>7856</v>
      </c>
      <c r="B7866" s="90">
        <v>7.7882219535579846</v>
      </c>
    </row>
    <row r="7867" spans="1:2">
      <c r="A7867" s="32">
        <v>7857</v>
      </c>
      <c r="B7867" s="90">
        <v>7.8106572645916961</v>
      </c>
    </row>
    <row r="7868" spans="1:2">
      <c r="A7868" s="32">
        <v>7858</v>
      </c>
      <c r="B7868" s="90">
        <v>7.8284805656613807</v>
      </c>
    </row>
    <row r="7869" spans="1:2">
      <c r="A7869" s="32">
        <v>7859</v>
      </c>
      <c r="B7869" s="90">
        <v>8.25317088536206</v>
      </c>
    </row>
    <row r="7870" spans="1:2">
      <c r="A7870" s="32">
        <v>7860</v>
      </c>
      <c r="B7870" s="90">
        <v>8.4965798601632461</v>
      </c>
    </row>
    <row r="7871" spans="1:2">
      <c r="A7871" s="32">
        <v>7861</v>
      </c>
      <c r="B7871" s="90">
        <v>8.473593604421044</v>
      </c>
    </row>
    <row r="7872" spans="1:2">
      <c r="A7872" s="32">
        <v>7862</v>
      </c>
      <c r="B7872" s="90">
        <v>7.4444862045262408</v>
      </c>
    </row>
    <row r="7873" spans="1:2">
      <c r="A7873" s="32">
        <v>7863</v>
      </c>
      <c r="B7873" s="90">
        <v>7.8863729752331588</v>
      </c>
    </row>
    <row r="7874" spans="1:2">
      <c r="A7874" s="32">
        <v>7864</v>
      </c>
      <c r="B7874" s="90">
        <v>7.9896944953556961</v>
      </c>
    </row>
    <row r="7875" spans="1:2">
      <c r="A7875" s="32">
        <v>7865</v>
      </c>
      <c r="B7875" s="90">
        <v>8.1228595375833148</v>
      </c>
    </row>
    <row r="7876" spans="1:2">
      <c r="A7876" s="32">
        <v>7866</v>
      </c>
      <c r="B7876" s="90">
        <v>8.8946497683370271</v>
      </c>
    </row>
    <row r="7877" spans="1:2">
      <c r="A7877" s="32">
        <v>7867</v>
      </c>
      <c r="B7877" s="90">
        <v>7.6417510776280357</v>
      </c>
    </row>
    <row r="7878" spans="1:2">
      <c r="A7878" s="32">
        <v>7868</v>
      </c>
      <c r="B7878" s="90">
        <v>7.8854362860705116</v>
      </c>
    </row>
    <row r="7879" spans="1:2">
      <c r="A7879" s="32">
        <v>7869</v>
      </c>
      <c r="B7879" s="90">
        <v>8.2252623097279347</v>
      </c>
    </row>
    <row r="7880" spans="1:2">
      <c r="A7880" s="32">
        <v>7870</v>
      </c>
      <c r="B7880" s="90">
        <v>7.5228162625261694</v>
      </c>
    </row>
    <row r="7881" spans="1:2">
      <c r="A7881" s="32">
        <v>7871</v>
      </c>
      <c r="B7881" s="90">
        <v>8.73939886221617</v>
      </c>
    </row>
    <row r="7882" spans="1:2">
      <c r="A7882" s="32">
        <v>7872</v>
      </c>
      <c r="B7882" s="90">
        <v>8.4143780937746282</v>
      </c>
    </row>
    <row r="7883" spans="1:2">
      <c r="A7883" s="32">
        <v>7873</v>
      </c>
      <c r="B7883" s="90">
        <v>7.4474354413944974</v>
      </c>
    </row>
    <row r="7884" spans="1:2">
      <c r="A7884" s="32">
        <v>7874</v>
      </c>
      <c r="B7884" s="90">
        <v>8.8912223203292751</v>
      </c>
    </row>
    <row r="7885" spans="1:2">
      <c r="A7885" s="32">
        <v>7875</v>
      </c>
      <c r="B7885" s="90">
        <v>8.1469961267824953</v>
      </c>
    </row>
    <row r="7886" spans="1:2">
      <c r="A7886" s="32">
        <v>7876</v>
      </c>
      <c r="B7886" s="90">
        <v>8.6352863741425292</v>
      </c>
    </row>
    <row r="7887" spans="1:2">
      <c r="A7887" s="32">
        <v>7877</v>
      </c>
      <c r="B7887" s="90">
        <v>7.7601366479823426</v>
      </c>
    </row>
    <row r="7888" spans="1:2">
      <c r="A7888" s="32">
        <v>7878</v>
      </c>
      <c r="B7888" s="90">
        <v>8.1416465573532211</v>
      </c>
    </row>
    <row r="7889" spans="1:2">
      <c r="A7889" s="32">
        <v>7879</v>
      </c>
      <c r="B7889" s="90">
        <v>7.965939748955801</v>
      </c>
    </row>
    <row r="7890" spans="1:2">
      <c r="A7890" s="32">
        <v>7880</v>
      </c>
      <c r="B7890" s="90">
        <v>8.3456976762417572</v>
      </c>
    </row>
    <row r="7891" spans="1:2">
      <c r="A7891" s="32">
        <v>7881</v>
      </c>
      <c r="B7891" s="90">
        <v>8.482093749865049</v>
      </c>
    </row>
    <row r="7892" spans="1:2">
      <c r="A7892" s="32">
        <v>7882</v>
      </c>
      <c r="B7892" s="90">
        <v>8.3947357312668451</v>
      </c>
    </row>
    <row r="7893" spans="1:2">
      <c r="A7893" s="32">
        <v>7883</v>
      </c>
      <c r="B7893" s="90">
        <v>7.5844750605099094</v>
      </c>
    </row>
    <row r="7894" spans="1:2">
      <c r="A7894" s="32">
        <v>7884</v>
      </c>
      <c r="B7894" s="90">
        <v>8.4603235066314344</v>
      </c>
    </row>
    <row r="7895" spans="1:2">
      <c r="A7895" s="32">
        <v>7885</v>
      </c>
      <c r="B7895" s="90">
        <v>8.2202592626611004</v>
      </c>
    </row>
    <row r="7896" spans="1:2">
      <c r="A7896" s="32">
        <v>7886</v>
      </c>
      <c r="B7896" s="90">
        <v>8.3312008758475322</v>
      </c>
    </row>
    <row r="7897" spans="1:2">
      <c r="A7897" s="32">
        <v>7887</v>
      </c>
      <c r="B7897" s="90">
        <v>8.2741089533136378</v>
      </c>
    </row>
    <row r="7898" spans="1:2">
      <c r="A7898" s="32">
        <v>7888</v>
      </c>
      <c r="B7898" s="90">
        <v>8.017861072743127</v>
      </c>
    </row>
    <row r="7899" spans="1:2">
      <c r="A7899" s="32">
        <v>7889</v>
      </c>
      <c r="B7899" s="90">
        <v>7.6647326983023296</v>
      </c>
    </row>
    <row r="7900" spans="1:2">
      <c r="A7900" s="32">
        <v>7890</v>
      </c>
      <c r="B7900" s="90">
        <v>8.2093239353924439</v>
      </c>
    </row>
    <row r="7901" spans="1:2">
      <c r="A7901" s="32">
        <v>7891</v>
      </c>
      <c r="B7901" s="90">
        <v>8.8436893246029964</v>
      </c>
    </row>
    <row r="7902" spans="1:2">
      <c r="A7902" s="32">
        <v>7892</v>
      </c>
      <c r="B7902" s="90">
        <v>8.0066296205047767</v>
      </c>
    </row>
    <row r="7903" spans="1:2">
      <c r="A7903" s="32">
        <v>7893</v>
      </c>
      <c r="B7903" s="90">
        <v>8.4700750816701635</v>
      </c>
    </row>
    <row r="7904" spans="1:2">
      <c r="A7904" s="32">
        <v>7894</v>
      </c>
      <c r="B7904" s="90">
        <v>8.090024447632528</v>
      </c>
    </row>
    <row r="7905" spans="1:2">
      <c r="A7905" s="32">
        <v>7895</v>
      </c>
      <c r="B7905" s="90">
        <v>7.505263839774698</v>
      </c>
    </row>
    <row r="7906" spans="1:2">
      <c r="A7906" s="32">
        <v>7896</v>
      </c>
      <c r="B7906" s="90">
        <v>8.1380471605415092</v>
      </c>
    </row>
    <row r="7907" spans="1:2">
      <c r="A7907" s="32">
        <v>7897</v>
      </c>
      <c r="B7907" s="90">
        <v>9.1613792681471917</v>
      </c>
    </row>
    <row r="7908" spans="1:2">
      <c r="A7908" s="32">
        <v>7898</v>
      </c>
      <c r="B7908" s="90">
        <v>7.8492566854758774</v>
      </c>
    </row>
    <row r="7909" spans="1:2">
      <c r="A7909" s="32">
        <v>7899</v>
      </c>
      <c r="B7909" s="90">
        <v>8.5645991338321643</v>
      </c>
    </row>
    <row r="7910" spans="1:2">
      <c r="A7910" s="32">
        <v>7900</v>
      </c>
      <c r="B7910" s="90">
        <v>7.6302676761910631</v>
      </c>
    </row>
    <row r="7911" spans="1:2">
      <c r="A7911" s="32">
        <v>7901</v>
      </c>
      <c r="B7911" s="90">
        <v>8.1597162228173445</v>
      </c>
    </row>
    <row r="7912" spans="1:2">
      <c r="A7912" s="32">
        <v>7902</v>
      </c>
      <c r="B7912" s="90">
        <v>7.961649506706685</v>
      </c>
    </row>
    <row r="7913" spans="1:2">
      <c r="A7913" s="32">
        <v>7903</v>
      </c>
      <c r="B7913" s="90">
        <v>8.9395675210331991</v>
      </c>
    </row>
    <row r="7914" spans="1:2">
      <c r="A7914" s="32">
        <v>7904</v>
      </c>
      <c r="B7914" s="90">
        <v>7.704576822699277</v>
      </c>
    </row>
    <row r="7915" spans="1:2">
      <c r="A7915" s="32">
        <v>7905</v>
      </c>
      <c r="B7915" s="90">
        <v>8.6639599617742036</v>
      </c>
    </row>
    <row r="7916" spans="1:2">
      <c r="A7916" s="32">
        <v>7906</v>
      </c>
      <c r="B7916" s="90">
        <v>7.9675994030410893</v>
      </c>
    </row>
    <row r="7917" spans="1:2">
      <c r="A7917" s="32">
        <v>7907</v>
      </c>
      <c r="B7917" s="90">
        <v>7.8958810413014904</v>
      </c>
    </row>
    <row r="7918" spans="1:2">
      <c r="A7918" s="32">
        <v>7908</v>
      </c>
      <c r="B7918" s="90">
        <v>8.1546775448118112</v>
      </c>
    </row>
    <row r="7919" spans="1:2">
      <c r="A7919" s="32">
        <v>7909</v>
      </c>
      <c r="B7919" s="90">
        <v>8.4583022104499666</v>
      </c>
    </row>
    <row r="7920" spans="1:2">
      <c r="A7920" s="32">
        <v>7910</v>
      </c>
      <c r="B7920" s="90">
        <v>8.5220844411078094</v>
      </c>
    </row>
    <row r="7921" spans="1:2">
      <c r="A7921" s="32">
        <v>7911</v>
      </c>
      <c r="B7921" s="90">
        <v>8.5649151597363993</v>
      </c>
    </row>
    <row r="7922" spans="1:2">
      <c r="A7922" s="32">
        <v>7912</v>
      </c>
      <c r="B7922" s="90">
        <v>7.5893158499129258</v>
      </c>
    </row>
    <row r="7923" spans="1:2">
      <c r="A7923" s="32">
        <v>7913</v>
      </c>
      <c r="B7923" s="90">
        <v>8.364920383629979</v>
      </c>
    </row>
    <row r="7924" spans="1:2">
      <c r="A7924" s="32">
        <v>7914</v>
      </c>
      <c r="B7924" s="90">
        <v>8.3146341787393592</v>
      </c>
    </row>
    <row r="7925" spans="1:2">
      <c r="A7925" s="32">
        <v>7915</v>
      </c>
      <c r="B7925" s="90">
        <v>7.883437719386948</v>
      </c>
    </row>
    <row r="7926" spans="1:2">
      <c r="A7926" s="32">
        <v>7916</v>
      </c>
      <c r="B7926" s="90">
        <v>8.5983933553570502</v>
      </c>
    </row>
    <row r="7927" spans="1:2">
      <c r="A7927" s="32">
        <v>7917</v>
      </c>
      <c r="B7927" s="90">
        <v>8.082684100813518</v>
      </c>
    </row>
    <row r="7928" spans="1:2">
      <c r="A7928" s="32">
        <v>7918</v>
      </c>
      <c r="B7928" s="90">
        <v>7.575539521405652</v>
      </c>
    </row>
    <row r="7929" spans="1:2">
      <c r="A7929" s="32">
        <v>7919</v>
      </c>
      <c r="B7929" s="90">
        <v>8.3537925473367753</v>
      </c>
    </row>
    <row r="7930" spans="1:2">
      <c r="A7930" s="32">
        <v>7920</v>
      </c>
      <c r="B7930" s="90">
        <v>8.5322198276595582</v>
      </c>
    </row>
    <row r="7931" spans="1:2">
      <c r="A7931" s="32">
        <v>7921</v>
      </c>
      <c r="B7931" s="90">
        <v>8.2418381605784212</v>
      </c>
    </row>
    <row r="7932" spans="1:2">
      <c r="A7932" s="32">
        <v>7922</v>
      </c>
      <c r="B7932" s="90">
        <v>8.4253299421741019</v>
      </c>
    </row>
    <row r="7933" spans="1:2">
      <c r="A7933" s="32">
        <v>7923</v>
      </c>
      <c r="B7933" s="90">
        <v>7.8385511766526905</v>
      </c>
    </row>
    <row r="7934" spans="1:2">
      <c r="A7934" s="32">
        <v>7924</v>
      </c>
      <c r="B7934" s="90">
        <v>7.9141067861071566</v>
      </c>
    </row>
    <row r="7935" spans="1:2">
      <c r="A7935" s="32">
        <v>7925</v>
      </c>
      <c r="B7935" s="90">
        <v>8.0218903875314727</v>
      </c>
    </row>
    <row r="7936" spans="1:2">
      <c r="A7936" s="32">
        <v>7926</v>
      </c>
      <c r="B7936" s="90">
        <v>8.9930252984342367</v>
      </c>
    </row>
    <row r="7937" spans="1:2">
      <c r="A7937" s="32">
        <v>7927</v>
      </c>
      <c r="B7937" s="90">
        <v>8.32299370048203</v>
      </c>
    </row>
    <row r="7938" spans="1:2">
      <c r="A7938" s="32">
        <v>7928</v>
      </c>
      <c r="B7938" s="90">
        <v>8.0340367095176699</v>
      </c>
    </row>
    <row r="7939" spans="1:2">
      <c r="A7939" s="32">
        <v>7929</v>
      </c>
      <c r="B7939" s="90">
        <v>8.0657924451442984</v>
      </c>
    </row>
    <row r="7940" spans="1:2">
      <c r="A7940" s="32">
        <v>7930</v>
      </c>
      <c r="B7940" s="90">
        <v>7.6155005023181257</v>
      </c>
    </row>
    <row r="7941" spans="1:2">
      <c r="A7941" s="32">
        <v>7931</v>
      </c>
      <c r="B7941" s="90">
        <v>8.2791956484811386</v>
      </c>
    </row>
    <row r="7942" spans="1:2">
      <c r="A7942" s="32">
        <v>7932</v>
      </c>
      <c r="B7942" s="90">
        <v>9.0370613481960564</v>
      </c>
    </row>
    <row r="7943" spans="1:2">
      <c r="A7943" s="32">
        <v>7933</v>
      </c>
      <c r="B7943" s="90">
        <v>7.6881433631678542</v>
      </c>
    </row>
    <row r="7944" spans="1:2">
      <c r="A7944" s="32">
        <v>7934</v>
      </c>
      <c r="B7944" s="90">
        <v>8.4675053037172869</v>
      </c>
    </row>
    <row r="7945" spans="1:2">
      <c r="A7945" s="32">
        <v>7935</v>
      </c>
      <c r="B7945" s="90">
        <v>7.9072750757155132</v>
      </c>
    </row>
    <row r="7946" spans="1:2">
      <c r="A7946" s="32">
        <v>7936</v>
      </c>
      <c r="B7946" s="90">
        <v>8.0181784929625461</v>
      </c>
    </row>
    <row r="7947" spans="1:2">
      <c r="A7947" s="32">
        <v>7937</v>
      </c>
      <c r="B7947" s="90">
        <v>8.0086249889469396</v>
      </c>
    </row>
    <row r="7948" spans="1:2">
      <c r="A7948" s="32">
        <v>7938</v>
      </c>
      <c r="B7948" s="90">
        <v>8.8912223203292751</v>
      </c>
    </row>
    <row r="7949" spans="1:2">
      <c r="A7949" s="32">
        <v>7939</v>
      </c>
      <c r="B7949" s="90">
        <v>8.1469961267824953</v>
      </c>
    </row>
    <row r="7950" spans="1:2">
      <c r="A7950" s="32">
        <v>7940</v>
      </c>
      <c r="B7950" s="90">
        <v>8.6352863741425292</v>
      </c>
    </row>
    <row r="7951" spans="1:2">
      <c r="A7951" s="32">
        <v>7941</v>
      </c>
      <c r="B7951" s="90">
        <v>7.7601366479823426</v>
      </c>
    </row>
    <row r="7952" spans="1:2">
      <c r="A7952" s="32">
        <v>7942</v>
      </c>
      <c r="B7952" s="90">
        <v>8.1416465573532211</v>
      </c>
    </row>
    <row r="7953" spans="1:2">
      <c r="A7953" s="32">
        <v>7943</v>
      </c>
      <c r="B7953" s="90">
        <v>7.965939748955801</v>
      </c>
    </row>
    <row r="7954" spans="1:2">
      <c r="A7954" s="32">
        <v>7944</v>
      </c>
      <c r="B7954" s="90">
        <v>8.3456976762417572</v>
      </c>
    </row>
    <row r="7955" spans="1:2">
      <c r="A7955" s="32">
        <v>7945</v>
      </c>
      <c r="B7955" s="90">
        <v>8.482093749865049</v>
      </c>
    </row>
    <row r="7956" spans="1:2">
      <c r="A7956" s="32">
        <v>7946</v>
      </c>
      <c r="B7956" s="90">
        <v>8.3947357312668451</v>
      </c>
    </row>
    <row r="7957" spans="1:2">
      <c r="A7957" s="32">
        <v>7947</v>
      </c>
      <c r="B7957" s="90">
        <v>7.5844750605099094</v>
      </c>
    </row>
    <row r="7958" spans="1:2">
      <c r="A7958" s="32">
        <v>7948</v>
      </c>
      <c r="B7958" s="90">
        <v>8.4603235066314344</v>
      </c>
    </row>
    <row r="7959" spans="1:2">
      <c r="A7959" s="32">
        <v>7949</v>
      </c>
      <c r="B7959" s="90">
        <v>8.2202592626611004</v>
      </c>
    </row>
    <row r="7960" spans="1:2">
      <c r="A7960" s="32">
        <v>7950</v>
      </c>
      <c r="B7960" s="90">
        <v>8.3312008758475322</v>
      </c>
    </row>
    <row r="7961" spans="1:2">
      <c r="A7961" s="32">
        <v>7951</v>
      </c>
      <c r="B7961" s="90">
        <v>8.2741089533136378</v>
      </c>
    </row>
    <row r="7962" spans="1:2">
      <c r="A7962" s="32">
        <v>7952</v>
      </c>
      <c r="B7962" s="90">
        <v>8.017861072743127</v>
      </c>
    </row>
    <row r="7963" spans="1:2">
      <c r="A7963" s="32">
        <v>7953</v>
      </c>
      <c r="B7963" s="90">
        <v>7.6647326983023296</v>
      </c>
    </row>
    <row r="7964" spans="1:2">
      <c r="A7964" s="32">
        <v>7954</v>
      </c>
      <c r="B7964" s="90">
        <v>8.2093239353924439</v>
      </c>
    </row>
    <row r="7965" spans="1:2">
      <c r="A7965" s="32">
        <v>7955</v>
      </c>
      <c r="B7965" s="90">
        <v>8.8436893246029964</v>
      </c>
    </row>
    <row r="7966" spans="1:2">
      <c r="A7966" s="32">
        <v>7956</v>
      </c>
      <c r="B7966" s="90">
        <v>8.0066296205047767</v>
      </c>
    </row>
    <row r="7967" spans="1:2">
      <c r="A7967" s="32">
        <v>7957</v>
      </c>
      <c r="B7967" s="90">
        <v>8.4700750816701635</v>
      </c>
    </row>
    <row r="7968" spans="1:2">
      <c r="A7968" s="32">
        <v>7958</v>
      </c>
      <c r="B7968" s="90">
        <v>8.090024447632528</v>
      </c>
    </row>
    <row r="7969" spans="1:2">
      <c r="A7969" s="32">
        <v>7959</v>
      </c>
      <c r="B7969" s="90">
        <v>7.505263839774698</v>
      </c>
    </row>
    <row r="7970" spans="1:2">
      <c r="A7970" s="32">
        <v>7960</v>
      </c>
      <c r="B7970" s="90">
        <v>8.1380471605415092</v>
      </c>
    </row>
    <row r="7971" spans="1:2">
      <c r="A7971" s="32">
        <v>7961</v>
      </c>
      <c r="B7971" s="90">
        <v>9.1613792681471917</v>
      </c>
    </row>
    <row r="7972" spans="1:2">
      <c r="A7972" s="32">
        <v>7962</v>
      </c>
      <c r="B7972" s="90">
        <v>7.8492566854758774</v>
      </c>
    </row>
    <row r="7973" spans="1:2">
      <c r="A7973" s="32">
        <v>7963</v>
      </c>
      <c r="B7973" s="90">
        <v>8.5645991338321643</v>
      </c>
    </row>
    <row r="7974" spans="1:2">
      <c r="A7974" s="32">
        <v>7964</v>
      </c>
      <c r="B7974" s="90">
        <v>7.6302676761910631</v>
      </c>
    </row>
    <row r="7975" spans="1:2">
      <c r="A7975" s="32">
        <v>7965</v>
      </c>
      <c r="B7975" s="90">
        <v>8.1597162228173445</v>
      </c>
    </row>
    <row r="7976" spans="1:2">
      <c r="A7976" s="32">
        <v>7966</v>
      </c>
      <c r="B7976" s="90">
        <v>7.961649506706685</v>
      </c>
    </row>
    <row r="7977" spans="1:2">
      <c r="A7977" s="32">
        <v>7967</v>
      </c>
      <c r="B7977" s="90">
        <v>8.9395675210331991</v>
      </c>
    </row>
    <row r="7978" spans="1:2">
      <c r="A7978" s="32">
        <v>7968</v>
      </c>
      <c r="B7978" s="90">
        <v>7.704576822699277</v>
      </c>
    </row>
    <row r="7979" spans="1:2">
      <c r="A7979" s="32">
        <v>7969</v>
      </c>
      <c r="B7979" s="90">
        <v>8.6639599617742036</v>
      </c>
    </row>
    <row r="7980" spans="1:2">
      <c r="A7980" s="32">
        <v>7970</v>
      </c>
      <c r="B7980" s="90">
        <v>7.9675994030410893</v>
      </c>
    </row>
    <row r="7981" spans="1:2">
      <c r="A7981" s="32">
        <v>7971</v>
      </c>
      <c r="B7981" s="90">
        <v>7.8958810413014904</v>
      </c>
    </row>
    <row r="7982" spans="1:2">
      <c r="A7982" s="32">
        <v>7972</v>
      </c>
      <c r="B7982" s="90">
        <v>8.1546775448118112</v>
      </c>
    </row>
    <row r="7983" spans="1:2">
      <c r="A7983" s="32">
        <v>7973</v>
      </c>
      <c r="B7983" s="90">
        <v>8.4583022104499666</v>
      </c>
    </row>
    <row r="7984" spans="1:2">
      <c r="A7984" s="32">
        <v>7974</v>
      </c>
      <c r="B7984" s="90">
        <v>8.5220844411078094</v>
      </c>
    </row>
    <row r="7985" spans="1:2">
      <c r="A7985" s="32">
        <v>7975</v>
      </c>
      <c r="B7985" s="90">
        <v>8.5649151597363993</v>
      </c>
    </row>
    <row r="7986" spans="1:2">
      <c r="A7986" s="32">
        <v>7976</v>
      </c>
      <c r="B7986" s="90">
        <v>7.5893158499129258</v>
      </c>
    </row>
    <row r="7987" spans="1:2">
      <c r="A7987" s="32">
        <v>7977</v>
      </c>
      <c r="B7987" s="90">
        <v>8.364920383629979</v>
      </c>
    </row>
    <row r="7988" spans="1:2">
      <c r="A7988" s="32">
        <v>7978</v>
      </c>
      <c r="B7988" s="90">
        <v>8.3146341787393592</v>
      </c>
    </row>
    <row r="7989" spans="1:2">
      <c r="A7989" s="32">
        <v>7979</v>
      </c>
      <c r="B7989" s="90">
        <v>7.883437719386948</v>
      </c>
    </row>
    <row r="7990" spans="1:2">
      <c r="A7990" s="32">
        <v>7980</v>
      </c>
      <c r="B7990" s="90">
        <v>8.5983933553570502</v>
      </c>
    </row>
    <row r="7991" spans="1:2">
      <c r="A7991" s="32">
        <v>7981</v>
      </c>
      <c r="B7991" s="90">
        <v>8.082684100813518</v>
      </c>
    </row>
    <row r="7992" spans="1:2">
      <c r="A7992" s="32">
        <v>7982</v>
      </c>
      <c r="B7992" s="90">
        <v>7.575539521405652</v>
      </c>
    </row>
    <row r="7993" spans="1:2">
      <c r="A7993" s="32">
        <v>7983</v>
      </c>
      <c r="B7993" s="90">
        <v>8.3537925473367753</v>
      </c>
    </row>
    <row r="7994" spans="1:2">
      <c r="A7994" s="32">
        <v>7984</v>
      </c>
      <c r="B7994" s="90">
        <v>8.5322198276595582</v>
      </c>
    </row>
    <row r="7995" spans="1:2">
      <c r="A7995" s="32">
        <v>7985</v>
      </c>
      <c r="B7995" s="90">
        <v>8.2418381605784212</v>
      </c>
    </row>
    <row r="7996" spans="1:2">
      <c r="A7996" s="32">
        <v>7986</v>
      </c>
      <c r="B7996" s="90">
        <v>8.4253299421741019</v>
      </c>
    </row>
    <row r="7997" spans="1:2">
      <c r="A7997" s="32">
        <v>7987</v>
      </c>
      <c r="B7997" s="90">
        <v>7.8385511766526905</v>
      </c>
    </row>
    <row r="7998" spans="1:2">
      <c r="A7998" s="32">
        <v>7988</v>
      </c>
      <c r="B7998" s="90">
        <v>7.9141067861071566</v>
      </c>
    </row>
    <row r="7999" spans="1:2">
      <c r="A7999" s="32">
        <v>7989</v>
      </c>
      <c r="B7999" s="90">
        <v>8.0218903875314727</v>
      </c>
    </row>
    <row r="8000" spans="1:2">
      <c r="A8000" s="32">
        <v>7990</v>
      </c>
      <c r="B8000" s="90">
        <v>8.9930252984342367</v>
      </c>
    </row>
    <row r="8001" spans="1:2">
      <c r="A8001" s="32">
        <v>7991</v>
      </c>
      <c r="B8001" s="90">
        <v>8.32299370048203</v>
      </c>
    </row>
    <row r="8002" spans="1:2">
      <c r="A8002" s="32">
        <v>7992</v>
      </c>
      <c r="B8002" s="90">
        <v>8.0340367095176699</v>
      </c>
    </row>
    <row r="8003" spans="1:2">
      <c r="A8003" s="32">
        <v>7993</v>
      </c>
      <c r="B8003" s="90">
        <v>8.0657924451442984</v>
      </c>
    </row>
    <row r="8004" spans="1:2">
      <c r="A8004" s="32">
        <v>7994</v>
      </c>
      <c r="B8004" s="90">
        <v>7.6155005023181257</v>
      </c>
    </row>
    <row r="8005" spans="1:2">
      <c r="A8005" s="32">
        <v>7995</v>
      </c>
      <c r="B8005" s="90">
        <v>8.2791956484811386</v>
      </c>
    </row>
    <row r="8006" spans="1:2">
      <c r="A8006" s="32">
        <v>7996</v>
      </c>
      <c r="B8006" s="90">
        <v>7.6761095897720093</v>
      </c>
    </row>
    <row r="8007" spans="1:2">
      <c r="A8007" s="32">
        <v>7997</v>
      </c>
      <c r="B8007" s="90">
        <v>7.8922555471267932</v>
      </c>
    </row>
    <row r="8008" spans="1:2">
      <c r="A8008" s="32">
        <v>7998</v>
      </c>
      <c r="B8008" s="90">
        <v>7.3915339507003512</v>
      </c>
    </row>
    <row r="8009" spans="1:2">
      <c r="A8009" s="32">
        <v>7999</v>
      </c>
      <c r="B8009" s="90">
        <v>8.0374348754383274</v>
      </c>
    </row>
    <row r="8010" spans="1:2">
      <c r="A8010" s="32">
        <v>8000</v>
      </c>
      <c r="B8010" s="90">
        <v>8.3841630295881675</v>
      </c>
    </row>
    <row r="8011" spans="1:2">
      <c r="A8011" s="32">
        <v>8001</v>
      </c>
      <c r="B8011" s="90">
        <v>8.9002413670792642</v>
      </c>
    </row>
    <row r="8012" spans="1:2">
      <c r="A8012" s="32">
        <v>8002</v>
      </c>
      <c r="B8012" s="90">
        <v>6.9678150692655301</v>
      </c>
    </row>
    <row r="8013" spans="1:2">
      <c r="A8013" s="32">
        <v>8003</v>
      </c>
      <c r="B8013" s="90">
        <v>8.2543923909581807</v>
      </c>
    </row>
    <row r="8014" spans="1:2">
      <c r="A8014" s="32">
        <v>8004</v>
      </c>
      <c r="B8014" s="90">
        <v>7.1035911689304516</v>
      </c>
    </row>
    <row r="8015" spans="1:2">
      <c r="A8015" s="32">
        <v>8005</v>
      </c>
      <c r="B8015" s="90">
        <v>8.6486239378910028</v>
      </c>
    </row>
    <row r="8016" spans="1:2">
      <c r="A8016" s="32">
        <v>8006</v>
      </c>
      <c r="B8016" s="90">
        <v>8.4540561595889514</v>
      </c>
    </row>
    <row r="8017" spans="1:2">
      <c r="A8017" s="32">
        <v>8007</v>
      </c>
      <c r="B8017" s="90">
        <v>8.9381898211293098</v>
      </c>
    </row>
    <row r="8018" spans="1:2">
      <c r="A8018" s="32">
        <v>8008</v>
      </c>
      <c r="B8018" s="90">
        <v>6.9588352380325862</v>
      </c>
    </row>
    <row r="8019" spans="1:2">
      <c r="A8019" s="32">
        <v>8009</v>
      </c>
      <c r="B8019" s="90">
        <v>7.3259334418915039</v>
      </c>
    </row>
    <row r="8020" spans="1:2">
      <c r="A8020" s="32">
        <v>8010</v>
      </c>
      <c r="B8020" s="90">
        <v>7.948847826754136</v>
      </c>
    </row>
    <row r="8021" spans="1:2">
      <c r="A8021" s="32">
        <v>8011</v>
      </c>
      <c r="B8021" s="90">
        <v>8.364522875119178</v>
      </c>
    </row>
    <row r="8022" spans="1:2">
      <c r="A8022" s="32">
        <v>8012</v>
      </c>
      <c r="B8022" s="90">
        <v>8.3588838282192537</v>
      </c>
    </row>
    <row r="8023" spans="1:2">
      <c r="A8023" s="32">
        <v>8013</v>
      </c>
      <c r="B8023" s="90">
        <v>9.0281363802180969</v>
      </c>
    </row>
    <row r="8024" spans="1:2">
      <c r="A8024" s="32">
        <v>8014</v>
      </c>
      <c r="B8024" s="90">
        <v>6.8774451048648366</v>
      </c>
    </row>
    <row r="8025" spans="1:2">
      <c r="A8025" s="32">
        <v>8015</v>
      </c>
      <c r="B8025" s="90">
        <v>7.3732514559830955</v>
      </c>
    </row>
    <row r="8026" spans="1:2">
      <c r="A8026" s="32">
        <v>8016</v>
      </c>
      <c r="B8026" s="90">
        <v>7.8950363824464933</v>
      </c>
    </row>
    <row r="8027" spans="1:2">
      <c r="A8027" s="32">
        <v>8017</v>
      </c>
      <c r="B8027" s="90">
        <v>8.8637395579939753</v>
      </c>
    </row>
    <row r="8028" spans="1:2">
      <c r="A8028" s="32">
        <v>8018</v>
      </c>
      <c r="B8028" s="90">
        <v>8.486046812961634</v>
      </c>
    </row>
    <row r="8029" spans="1:2">
      <c r="A8029" s="32">
        <v>8019</v>
      </c>
      <c r="B8029" s="90">
        <v>8.1354735271968401</v>
      </c>
    </row>
    <row r="8030" spans="1:2">
      <c r="A8030" s="32">
        <v>8020</v>
      </c>
      <c r="B8030" s="90">
        <v>7.2808933833617306</v>
      </c>
    </row>
    <row r="8031" spans="1:2">
      <c r="A8031" s="32">
        <v>8021</v>
      </c>
      <c r="B8031" s="90">
        <v>7.3685033923511138</v>
      </c>
    </row>
    <row r="8032" spans="1:2">
      <c r="A8032" s="32">
        <v>8022</v>
      </c>
      <c r="B8032" s="90">
        <v>7.9077246413142612</v>
      </c>
    </row>
    <row r="8033" spans="1:2">
      <c r="A8033" s="32">
        <v>8023</v>
      </c>
      <c r="B8033" s="90">
        <v>9.0778077165000433</v>
      </c>
    </row>
    <row r="8034" spans="1:2">
      <c r="A8034" s="32">
        <v>8024</v>
      </c>
      <c r="B8034" s="90">
        <v>7.8942992694730867</v>
      </c>
    </row>
    <row r="8035" spans="1:2">
      <c r="A8035" s="32">
        <v>8025</v>
      </c>
      <c r="B8035" s="90">
        <v>7.7518844977074943</v>
      </c>
    </row>
    <row r="8036" spans="1:2">
      <c r="A8036" s="32">
        <v>8026</v>
      </c>
      <c r="B8036" s="90">
        <v>8.0778114155150416</v>
      </c>
    </row>
    <row r="8037" spans="1:2">
      <c r="A8037" s="32">
        <v>8027</v>
      </c>
      <c r="B8037" s="90">
        <v>7.211495722296835</v>
      </c>
    </row>
    <row r="8038" spans="1:2">
      <c r="A8038" s="32">
        <v>8028</v>
      </c>
      <c r="B8038" s="90">
        <v>7.9379567401582811</v>
      </c>
    </row>
    <row r="8039" spans="1:2">
      <c r="A8039" s="32">
        <v>8029</v>
      </c>
      <c r="B8039" s="90">
        <v>8.4068722576579038</v>
      </c>
    </row>
    <row r="8040" spans="1:2">
      <c r="A8040" s="32">
        <v>8030</v>
      </c>
      <c r="B8040" s="90">
        <v>8.5191601724270818</v>
      </c>
    </row>
    <row r="8041" spans="1:2">
      <c r="A8041" s="32">
        <v>8031</v>
      </c>
      <c r="B8041" s="90">
        <v>7.3310167591215478</v>
      </c>
    </row>
    <row r="8042" spans="1:2">
      <c r="A8042" s="32">
        <v>8032</v>
      </c>
      <c r="B8042" s="90">
        <v>8.4294523651362159</v>
      </c>
    </row>
    <row r="8043" spans="1:2">
      <c r="A8043" s="32">
        <v>8033</v>
      </c>
      <c r="B8043" s="90">
        <v>6.9489841471172022</v>
      </c>
    </row>
    <row r="8044" spans="1:2">
      <c r="A8044" s="32">
        <v>8034</v>
      </c>
      <c r="B8044" s="90">
        <v>8.5372563077754808</v>
      </c>
    </row>
    <row r="8045" spans="1:2">
      <c r="A8045" s="32">
        <v>8035</v>
      </c>
      <c r="B8045" s="90">
        <v>8.9057243589798514</v>
      </c>
    </row>
    <row r="8046" spans="1:2">
      <c r="A8046" s="32">
        <v>8036</v>
      </c>
      <c r="B8046" s="90">
        <v>8.2914404012499769</v>
      </c>
    </row>
    <row r="8047" spans="1:2">
      <c r="A8047" s="32">
        <v>8037</v>
      </c>
      <c r="B8047" s="90">
        <v>7.1584823877121293</v>
      </c>
    </row>
    <row r="8048" spans="1:2">
      <c r="A8048" s="32">
        <v>8038</v>
      </c>
      <c r="B8048" s="90">
        <v>7.6982007350110129</v>
      </c>
    </row>
    <row r="8049" spans="1:2">
      <c r="A8049" s="32">
        <v>8039</v>
      </c>
      <c r="B8049" s="90">
        <v>7.2705844262979484</v>
      </c>
    </row>
    <row r="8050" spans="1:2">
      <c r="A8050" s="32">
        <v>8040</v>
      </c>
      <c r="B8050" s="90">
        <v>8.6433535305664559</v>
      </c>
    </row>
    <row r="8051" spans="1:2">
      <c r="A8051" s="32">
        <v>8041</v>
      </c>
      <c r="B8051" s="90">
        <v>8.5849029554093974</v>
      </c>
    </row>
    <row r="8052" spans="1:2">
      <c r="A8052" s="32">
        <v>8042</v>
      </c>
      <c r="B8052" s="90">
        <v>9.2011689779341399</v>
      </c>
    </row>
    <row r="8053" spans="1:2">
      <c r="A8053" s="32">
        <v>8043</v>
      </c>
      <c r="B8053" s="90">
        <v>6.5699229462664306</v>
      </c>
    </row>
    <row r="8054" spans="1:2">
      <c r="A8054" s="32">
        <v>8044</v>
      </c>
      <c r="B8054" s="90">
        <v>7.597494925780035</v>
      </c>
    </row>
    <row r="8055" spans="1:2">
      <c r="A8055" s="32">
        <v>8045</v>
      </c>
      <c r="B8055" s="90">
        <v>7.9786564892022609</v>
      </c>
    </row>
    <row r="8056" spans="1:2">
      <c r="A8056" s="32">
        <v>8046</v>
      </c>
      <c r="B8056" s="90">
        <v>8.5357066832834221</v>
      </c>
    </row>
    <row r="8057" spans="1:2">
      <c r="A8057" s="32">
        <v>8047</v>
      </c>
      <c r="B8057" s="90">
        <v>8.0726496063008106</v>
      </c>
    </row>
    <row r="8058" spans="1:2">
      <c r="A8058" s="32">
        <v>8048</v>
      </c>
      <c r="B8058" s="90">
        <v>8.8804497275090348</v>
      </c>
    </row>
    <row r="8059" spans="1:2">
      <c r="A8059" s="32">
        <v>8049</v>
      </c>
      <c r="B8059" s="90">
        <v>7.2026893826275966</v>
      </c>
    </row>
    <row r="8060" spans="1:2">
      <c r="A8060" s="32">
        <v>8050</v>
      </c>
      <c r="B8060" s="90">
        <v>7.0974335661837822</v>
      </c>
    </row>
    <row r="8061" spans="1:2">
      <c r="A8061" s="32">
        <v>8051</v>
      </c>
      <c r="B8061" s="90">
        <v>8.1406991167841731</v>
      </c>
    </row>
    <row r="8062" spans="1:2">
      <c r="A8062" s="32">
        <v>8052</v>
      </c>
      <c r="B8062" s="90">
        <v>8.9063083947251247</v>
      </c>
    </row>
    <row r="8063" spans="1:2">
      <c r="A8063" s="32">
        <v>8053</v>
      </c>
      <c r="B8063" s="90">
        <v>8.2358708816754618</v>
      </c>
    </row>
    <row r="8064" spans="1:2">
      <c r="A8064" s="32">
        <v>8054</v>
      </c>
      <c r="B8064" s="90">
        <v>7.865146458081373</v>
      </c>
    </row>
    <row r="8065" spans="1:2">
      <c r="A8065" s="32">
        <v>8055</v>
      </c>
      <c r="B8065" s="90">
        <v>7.6364948168845483</v>
      </c>
    </row>
    <row r="8066" spans="1:2">
      <c r="A8066" s="32">
        <v>8056</v>
      </c>
      <c r="B8066" s="90">
        <v>7.4991783729532351</v>
      </c>
    </row>
    <row r="8067" spans="1:2">
      <c r="A8067" s="32">
        <v>8057</v>
      </c>
      <c r="B8067" s="90">
        <v>7.6814637457101131</v>
      </c>
    </row>
    <row r="8068" spans="1:2">
      <c r="A8068" s="32">
        <v>8058</v>
      </c>
      <c r="B8068" s="90">
        <v>8.6928302433145159</v>
      </c>
    </row>
    <row r="8069" spans="1:2">
      <c r="A8069" s="32">
        <v>8059</v>
      </c>
      <c r="B8069" s="90">
        <v>8.3323047326492592</v>
      </c>
    </row>
    <row r="8070" spans="1:2">
      <c r="A8070" s="32">
        <v>8060</v>
      </c>
      <c r="B8070" s="90">
        <v>7.6559245733955308</v>
      </c>
    </row>
    <row r="8071" spans="1:2">
      <c r="A8071" s="32">
        <v>8061</v>
      </c>
      <c r="B8071" s="90">
        <v>7.8922555471267932</v>
      </c>
    </row>
    <row r="8072" spans="1:2">
      <c r="A8072" s="32">
        <v>8062</v>
      </c>
      <c r="B8072" s="90">
        <v>7.3915339507003512</v>
      </c>
    </row>
    <row r="8073" spans="1:2">
      <c r="A8073" s="32">
        <v>8063</v>
      </c>
      <c r="B8073" s="90">
        <v>8.0374348754383274</v>
      </c>
    </row>
    <row r="8074" spans="1:2">
      <c r="A8074" s="32">
        <v>8064</v>
      </c>
      <c r="B8074" s="90">
        <v>8.3841630295881675</v>
      </c>
    </row>
    <row r="8075" spans="1:2">
      <c r="A8075" s="32">
        <v>8065</v>
      </c>
      <c r="B8075" s="90">
        <v>8.9002413670792642</v>
      </c>
    </row>
    <row r="8076" spans="1:2">
      <c r="A8076" s="32">
        <v>8066</v>
      </c>
      <c r="B8076" s="90">
        <v>6.9678150692655301</v>
      </c>
    </row>
    <row r="8077" spans="1:2">
      <c r="A8077" s="32">
        <v>8067</v>
      </c>
      <c r="B8077" s="90">
        <v>8.2543923909581807</v>
      </c>
    </row>
    <row r="8078" spans="1:2">
      <c r="A8078" s="32">
        <v>8068</v>
      </c>
      <c r="B8078" s="90">
        <v>7.1035911689304516</v>
      </c>
    </row>
    <row r="8079" spans="1:2">
      <c r="A8079" s="32">
        <v>8069</v>
      </c>
      <c r="B8079" s="90">
        <v>8.6486239378910028</v>
      </c>
    </row>
    <row r="8080" spans="1:2">
      <c r="A8080" s="32">
        <v>8070</v>
      </c>
      <c r="B8080" s="90">
        <v>8.4540561595889514</v>
      </c>
    </row>
    <row r="8081" spans="1:2">
      <c r="A8081" s="32">
        <v>8071</v>
      </c>
      <c r="B8081" s="90">
        <v>8.9381898211293098</v>
      </c>
    </row>
    <row r="8082" spans="1:2">
      <c r="A8082" s="32">
        <v>8072</v>
      </c>
      <c r="B8082" s="90">
        <v>6.9588352380325862</v>
      </c>
    </row>
    <row r="8083" spans="1:2">
      <c r="A8083" s="32">
        <v>8073</v>
      </c>
      <c r="B8083" s="90">
        <v>7.3259334418915039</v>
      </c>
    </row>
    <row r="8084" spans="1:2">
      <c r="A8084" s="32">
        <v>8074</v>
      </c>
      <c r="B8084" s="90">
        <v>7.948847826754136</v>
      </c>
    </row>
    <row r="8085" spans="1:2">
      <c r="A8085" s="32">
        <v>8075</v>
      </c>
      <c r="B8085" s="90">
        <v>8.364522875119178</v>
      </c>
    </row>
    <row r="8086" spans="1:2">
      <c r="A8086" s="32">
        <v>8076</v>
      </c>
      <c r="B8086" s="90">
        <v>8.7899883098574634</v>
      </c>
    </row>
    <row r="8087" spans="1:2">
      <c r="A8087" s="32">
        <v>8077</v>
      </c>
      <c r="B8087" s="90">
        <v>8.1111547596202822</v>
      </c>
    </row>
    <row r="8088" spans="1:2">
      <c r="A8088" s="32">
        <v>8078</v>
      </c>
      <c r="B8088" s="90">
        <v>8.3953752419918697</v>
      </c>
    </row>
    <row r="8089" spans="1:2">
      <c r="A8089" s="32">
        <v>8079</v>
      </c>
      <c r="B8089" s="90">
        <v>7.7375053186298404</v>
      </c>
    </row>
    <row r="8090" spans="1:2">
      <c r="A8090" s="32">
        <v>8080</v>
      </c>
      <c r="B8090" s="90">
        <v>7.4778183462440673</v>
      </c>
    </row>
    <row r="8091" spans="1:2">
      <c r="A8091" s="32">
        <v>8081</v>
      </c>
      <c r="B8091" s="90">
        <v>9.10182383326684</v>
      </c>
    </row>
    <row r="8092" spans="1:2">
      <c r="A8092" s="32">
        <v>8082</v>
      </c>
      <c r="B8092" s="90">
        <v>7.3654327451070998</v>
      </c>
    </row>
    <row r="8093" spans="1:2">
      <c r="A8093" s="32">
        <v>8083</v>
      </c>
      <c r="B8093" s="90">
        <v>8.5815714125579863</v>
      </c>
    </row>
    <row r="8094" spans="1:2">
      <c r="A8094" s="32">
        <v>8084</v>
      </c>
      <c r="B8094" s="90">
        <v>7.9646114081861983</v>
      </c>
    </row>
    <row r="8095" spans="1:2">
      <c r="A8095" s="32">
        <v>8085</v>
      </c>
      <c r="B8095" s="90">
        <v>7.9559394768909337</v>
      </c>
    </row>
    <row r="8096" spans="1:2">
      <c r="A8096" s="32">
        <v>8086</v>
      </c>
      <c r="B8096" s="90">
        <v>7.6237926811810892</v>
      </c>
    </row>
    <row r="8097" spans="1:2">
      <c r="A8097" s="32">
        <v>8087</v>
      </c>
      <c r="B8097" s="90">
        <v>8.3644030511718324</v>
      </c>
    </row>
    <row r="8098" spans="1:2">
      <c r="A8098" s="32">
        <v>8088</v>
      </c>
      <c r="B8098" s="90">
        <v>7.9838643277067396</v>
      </c>
    </row>
    <row r="8099" spans="1:2">
      <c r="A8099" s="32">
        <v>8089</v>
      </c>
      <c r="B8099" s="90">
        <v>8.4139554669378356</v>
      </c>
    </row>
    <row r="8100" spans="1:2">
      <c r="A8100" s="32">
        <v>8090</v>
      </c>
      <c r="B8100" s="90">
        <v>7.8475272642453655</v>
      </c>
    </row>
    <row r="8101" spans="1:2">
      <c r="A8101" s="32">
        <v>8091</v>
      </c>
      <c r="B8101" s="90">
        <v>8.3139403741502491</v>
      </c>
    </row>
    <row r="8102" spans="1:2">
      <c r="A8102" s="32">
        <v>8092</v>
      </c>
      <c r="B8102" s="90">
        <v>7.612563793543984</v>
      </c>
    </row>
    <row r="8103" spans="1:2">
      <c r="A8103" s="32">
        <v>8093</v>
      </c>
      <c r="B8103" s="90">
        <v>7.9733349087258665</v>
      </c>
    </row>
    <row r="8104" spans="1:2">
      <c r="A8104" s="32">
        <v>8094</v>
      </c>
      <c r="B8104" s="90">
        <v>7.9708878823751901</v>
      </c>
    </row>
    <row r="8105" spans="1:2">
      <c r="A8105" s="32">
        <v>8095</v>
      </c>
      <c r="B8105" s="90">
        <v>8.9597275496038868</v>
      </c>
    </row>
    <row r="8106" spans="1:2">
      <c r="A8106" s="32">
        <v>8096</v>
      </c>
      <c r="B8106" s="90">
        <v>7.1774638732955758</v>
      </c>
    </row>
    <row r="8107" spans="1:2">
      <c r="A8107" s="32">
        <v>8097</v>
      </c>
      <c r="B8107" s="90">
        <v>8.3620979182801101</v>
      </c>
    </row>
    <row r="8108" spans="1:2">
      <c r="A8108" s="32">
        <v>8098</v>
      </c>
      <c r="B8108" s="90">
        <v>7.8286725610439998</v>
      </c>
    </row>
    <row r="8109" spans="1:2">
      <c r="A8109" s="32">
        <v>8099</v>
      </c>
      <c r="B8109" s="90">
        <v>7.7710478590920804</v>
      </c>
    </row>
    <row r="8110" spans="1:2">
      <c r="A8110" s="32">
        <v>8100</v>
      </c>
      <c r="B8110" s="90">
        <v>8.5276579968011763</v>
      </c>
    </row>
    <row r="8111" spans="1:2">
      <c r="A8111" s="32">
        <v>8101</v>
      </c>
      <c r="B8111" s="90">
        <v>8.6355949235417686</v>
      </c>
    </row>
    <row r="8112" spans="1:2">
      <c r="A8112" s="32">
        <v>8102</v>
      </c>
      <c r="B8112" s="90">
        <v>7.4303892896573549</v>
      </c>
    </row>
    <row r="8113" spans="1:2">
      <c r="A8113" s="32">
        <v>8103</v>
      </c>
      <c r="B8113" s="90">
        <v>7.4713316396016225</v>
      </c>
    </row>
    <row r="8114" spans="1:2">
      <c r="A8114" s="32">
        <v>8104</v>
      </c>
      <c r="B8114" s="90">
        <v>8.9923650824182388</v>
      </c>
    </row>
    <row r="8115" spans="1:2">
      <c r="A8115" s="32">
        <v>8105</v>
      </c>
      <c r="B8115" s="90">
        <v>7.4373932455263754</v>
      </c>
    </row>
    <row r="8116" spans="1:2">
      <c r="A8116" s="32">
        <v>8106</v>
      </c>
      <c r="B8116" s="90">
        <v>8.5073188582595645</v>
      </c>
    </row>
    <row r="8117" spans="1:2">
      <c r="A8117" s="32">
        <v>8107</v>
      </c>
      <c r="B8117" s="90">
        <v>8.1697203590458347</v>
      </c>
    </row>
    <row r="8118" spans="1:2">
      <c r="A8118" s="32">
        <v>8108</v>
      </c>
      <c r="B8118" s="90">
        <v>7.9191855122558881</v>
      </c>
    </row>
    <row r="8119" spans="1:2">
      <c r="A8119" s="32">
        <v>8109</v>
      </c>
      <c r="B8119" s="90">
        <v>7.437246445497621</v>
      </c>
    </row>
    <row r="8120" spans="1:2">
      <c r="A8120" s="32">
        <v>8110</v>
      </c>
      <c r="B8120" s="90">
        <v>9.0693833094762333</v>
      </c>
    </row>
    <row r="8121" spans="1:2">
      <c r="A8121" s="32">
        <v>8111</v>
      </c>
      <c r="B8121" s="90">
        <v>7.7808087652948146</v>
      </c>
    </row>
    <row r="8122" spans="1:2">
      <c r="A8122" s="32">
        <v>8112</v>
      </c>
      <c r="B8122" s="90">
        <v>7.9744456070576746</v>
      </c>
    </row>
    <row r="8123" spans="1:2">
      <c r="A8123" s="32">
        <v>8113</v>
      </c>
      <c r="B8123" s="90">
        <v>8.5187577128701459</v>
      </c>
    </row>
    <row r="8124" spans="1:2">
      <c r="A8124" s="32">
        <v>8114</v>
      </c>
      <c r="B8124" s="90">
        <v>7.711034682163139</v>
      </c>
    </row>
    <row r="8125" spans="1:2">
      <c r="A8125" s="32">
        <v>8115</v>
      </c>
      <c r="B8125" s="90">
        <v>7.7764186830496529</v>
      </c>
    </row>
    <row r="8126" spans="1:2">
      <c r="A8126" s="32">
        <v>8116</v>
      </c>
      <c r="B8126" s="90">
        <v>8.5317094773036803</v>
      </c>
    </row>
    <row r="8127" spans="1:2">
      <c r="A8127" s="32">
        <v>8117</v>
      </c>
      <c r="B8127" s="90">
        <v>7.6076159903933833</v>
      </c>
    </row>
    <row r="8128" spans="1:2">
      <c r="A8128" s="32">
        <v>8118</v>
      </c>
      <c r="B8128" s="90">
        <v>8.5007084391566323</v>
      </c>
    </row>
    <row r="8129" spans="1:2">
      <c r="A8129" s="32">
        <v>8119</v>
      </c>
      <c r="B8129" s="90">
        <v>7.7402619007867655</v>
      </c>
    </row>
    <row r="8130" spans="1:2">
      <c r="A8130" s="32">
        <v>8120</v>
      </c>
      <c r="B8130" s="90">
        <v>8.2197668059413669</v>
      </c>
    </row>
    <row r="8131" spans="1:2">
      <c r="A8131" s="32">
        <v>8121</v>
      </c>
      <c r="B8131" s="90">
        <v>7.6548605855438243</v>
      </c>
    </row>
    <row r="8132" spans="1:2">
      <c r="A8132" s="32">
        <v>8122</v>
      </c>
      <c r="B8132" s="90">
        <v>8.1076812284073139</v>
      </c>
    </row>
    <row r="8133" spans="1:2">
      <c r="A8133" s="32">
        <v>8123</v>
      </c>
      <c r="B8133" s="90">
        <v>8.3251566210273751</v>
      </c>
    </row>
    <row r="8134" spans="1:2">
      <c r="A8134" s="32">
        <v>8124</v>
      </c>
      <c r="B8134" s="90">
        <v>8.2177349956073975</v>
      </c>
    </row>
    <row r="8135" spans="1:2">
      <c r="A8135" s="32">
        <v>8125</v>
      </c>
      <c r="B8135" s="90">
        <v>7.5890613307129842</v>
      </c>
    </row>
    <row r="8136" spans="1:2">
      <c r="A8136" s="32">
        <v>8126</v>
      </c>
      <c r="B8136" s="90">
        <v>8.3681561287980202</v>
      </c>
    </row>
    <row r="8137" spans="1:2">
      <c r="A8137" s="32">
        <v>8127</v>
      </c>
      <c r="B8137" s="90">
        <v>7.6151024798730029</v>
      </c>
    </row>
    <row r="8138" spans="1:2">
      <c r="A8138" s="32">
        <v>8128</v>
      </c>
      <c r="B8138" s="90">
        <v>7.906226985894941</v>
      </c>
    </row>
    <row r="8139" spans="1:2">
      <c r="A8139" s="32">
        <v>8129</v>
      </c>
      <c r="B8139" s="90">
        <v>8.1954454555869312</v>
      </c>
    </row>
    <row r="8140" spans="1:2">
      <c r="A8140" s="32">
        <v>8130</v>
      </c>
      <c r="B8140" s="90">
        <v>9.0387576219437022</v>
      </c>
    </row>
    <row r="8141" spans="1:2">
      <c r="A8141" s="32">
        <v>8131</v>
      </c>
      <c r="B8141" s="90">
        <v>7.2624731851586519</v>
      </c>
    </row>
    <row r="8142" spans="1:2">
      <c r="A8142" s="32">
        <v>8132</v>
      </c>
      <c r="B8142" s="90">
        <v>7.5305076982666392</v>
      </c>
    </row>
    <row r="8143" spans="1:2">
      <c r="A8143" s="32">
        <v>8133</v>
      </c>
      <c r="B8143" s="90">
        <v>8.513227987393055</v>
      </c>
    </row>
    <row r="8144" spans="1:2">
      <c r="A8144" s="32">
        <v>8134</v>
      </c>
      <c r="B8144" s="90">
        <v>7.888085704080587</v>
      </c>
    </row>
    <row r="8145" spans="1:2">
      <c r="A8145" s="32">
        <v>8135</v>
      </c>
      <c r="B8145" s="90">
        <v>8.5590762122542863</v>
      </c>
    </row>
    <row r="8146" spans="1:2">
      <c r="A8146" s="32">
        <v>8136</v>
      </c>
      <c r="B8146" s="90">
        <v>8.5069709732903327</v>
      </c>
    </row>
    <row r="8147" spans="1:2">
      <c r="A8147" s="32">
        <v>8137</v>
      </c>
      <c r="B8147" s="90">
        <v>7.6982725421584384</v>
      </c>
    </row>
    <row r="8148" spans="1:2">
      <c r="A8148" s="32">
        <v>8138</v>
      </c>
      <c r="B8148" s="90">
        <v>7.0442141175390054</v>
      </c>
    </row>
    <row r="8149" spans="1:2">
      <c r="A8149" s="32">
        <v>8139</v>
      </c>
      <c r="B8149" s="90">
        <v>9.6879542513656549</v>
      </c>
    </row>
    <row r="8150" spans="1:2">
      <c r="A8150" s="32">
        <v>8140</v>
      </c>
      <c r="B8150" s="90">
        <v>7.4596706377067719</v>
      </c>
    </row>
    <row r="8151" spans="1:2">
      <c r="A8151" s="32">
        <v>8141</v>
      </c>
      <c r="B8151" s="90">
        <v>8.1111547596202822</v>
      </c>
    </row>
    <row r="8152" spans="1:2">
      <c r="A8152" s="32">
        <v>8142</v>
      </c>
      <c r="B8152" s="90">
        <v>8.3953752419918697</v>
      </c>
    </row>
    <row r="8153" spans="1:2">
      <c r="A8153" s="32">
        <v>8143</v>
      </c>
      <c r="B8153" s="90">
        <v>7.7375053186298404</v>
      </c>
    </row>
    <row r="8154" spans="1:2">
      <c r="A8154" s="32">
        <v>8144</v>
      </c>
      <c r="B8154" s="90">
        <v>7.4778183462440673</v>
      </c>
    </row>
    <row r="8155" spans="1:2">
      <c r="A8155" s="32">
        <v>8145</v>
      </c>
      <c r="B8155" s="90">
        <v>9.10182383326684</v>
      </c>
    </row>
    <row r="8156" spans="1:2">
      <c r="A8156" s="32">
        <v>8146</v>
      </c>
      <c r="B8156" s="90">
        <v>7.3654327451070998</v>
      </c>
    </row>
    <row r="8157" spans="1:2">
      <c r="A8157" s="32">
        <v>8147</v>
      </c>
      <c r="B8157" s="90">
        <v>8.5815714125579863</v>
      </c>
    </row>
    <row r="8158" spans="1:2">
      <c r="A8158" s="32">
        <v>8148</v>
      </c>
      <c r="B8158" s="90">
        <v>7.9646114081861983</v>
      </c>
    </row>
    <row r="8159" spans="1:2">
      <c r="A8159" s="32">
        <v>8149</v>
      </c>
      <c r="B8159" s="90">
        <v>7.9559394768909337</v>
      </c>
    </row>
    <row r="8160" spans="1:2">
      <c r="A8160" s="32">
        <v>8150</v>
      </c>
      <c r="B8160" s="90">
        <v>7.6237926811810892</v>
      </c>
    </row>
    <row r="8161" spans="1:2">
      <c r="A8161" s="32">
        <v>8151</v>
      </c>
      <c r="B8161" s="90">
        <v>8.3644030511718324</v>
      </c>
    </row>
    <row r="8162" spans="1:2">
      <c r="A8162" s="32">
        <v>8152</v>
      </c>
      <c r="B8162" s="90">
        <v>7.9838643277067396</v>
      </c>
    </row>
    <row r="8163" spans="1:2">
      <c r="A8163" s="32">
        <v>8153</v>
      </c>
      <c r="B8163" s="90">
        <v>8.4139554669378356</v>
      </c>
    </row>
    <row r="8164" spans="1:2">
      <c r="A8164" s="32">
        <v>8154</v>
      </c>
      <c r="B8164" s="90">
        <v>7.8475272642453655</v>
      </c>
    </row>
    <row r="8165" spans="1:2">
      <c r="A8165" s="32">
        <v>8155</v>
      </c>
      <c r="B8165" s="90">
        <v>8.3139403741502491</v>
      </c>
    </row>
    <row r="8166" spans="1:2">
      <c r="A8166" s="32">
        <v>8156</v>
      </c>
      <c r="B8166" s="90">
        <v>7.612563793543984</v>
      </c>
    </row>
    <row r="8167" spans="1:2">
      <c r="A8167" s="32">
        <v>8157</v>
      </c>
      <c r="B8167" s="90">
        <v>7.9733349087258665</v>
      </c>
    </row>
    <row r="8168" spans="1:2">
      <c r="A8168" s="32">
        <v>8158</v>
      </c>
      <c r="B8168" s="90">
        <v>7.9708878823751901</v>
      </c>
    </row>
    <row r="8169" spans="1:2">
      <c r="A8169" s="32">
        <v>8159</v>
      </c>
      <c r="B8169" s="90">
        <v>8.9597275496038868</v>
      </c>
    </row>
    <row r="8170" spans="1:2">
      <c r="A8170" s="32">
        <v>8160</v>
      </c>
      <c r="B8170" s="90">
        <v>7.1774638732955758</v>
      </c>
    </row>
    <row r="8171" spans="1:2">
      <c r="A8171" s="32">
        <v>8161</v>
      </c>
      <c r="B8171" s="90">
        <v>8.3620979182801101</v>
      </c>
    </row>
    <row r="8172" spans="1:2">
      <c r="A8172" s="32">
        <v>8162</v>
      </c>
      <c r="B8172" s="90">
        <v>7.8286725610439998</v>
      </c>
    </row>
    <row r="8173" spans="1:2">
      <c r="A8173" s="32">
        <v>8163</v>
      </c>
      <c r="B8173" s="90">
        <v>7.7710478590920804</v>
      </c>
    </row>
    <row r="8174" spans="1:2">
      <c r="A8174" s="32">
        <v>8164</v>
      </c>
      <c r="B8174" s="90">
        <v>8.5276579968011763</v>
      </c>
    </row>
    <row r="8175" spans="1:2">
      <c r="A8175" s="32">
        <v>8165</v>
      </c>
      <c r="B8175" s="90">
        <v>8.6355949235417686</v>
      </c>
    </row>
    <row r="8176" spans="1:2">
      <c r="A8176" s="32">
        <v>8166</v>
      </c>
      <c r="B8176" s="90">
        <v>7.4303892896573549</v>
      </c>
    </row>
    <row r="8177" spans="1:2">
      <c r="A8177" s="32">
        <v>8167</v>
      </c>
      <c r="B8177" s="90">
        <v>7.4713316396016225</v>
      </c>
    </row>
    <row r="8178" spans="1:2">
      <c r="A8178" s="32">
        <v>8168</v>
      </c>
      <c r="B8178" s="90">
        <v>8.9923650824182388</v>
      </c>
    </row>
    <row r="8179" spans="1:2">
      <c r="A8179" s="32">
        <v>8169</v>
      </c>
      <c r="B8179" s="90">
        <v>7.4373932455263754</v>
      </c>
    </row>
    <row r="8180" spans="1:2">
      <c r="A8180" s="32">
        <v>8170</v>
      </c>
      <c r="B8180" s="90">
        <v>8.5073188582595645</v>
      </c>
    </row>
    <row r="8181" spans="1:2">
      <c r="A8181" s="32">
        <v>8171</v>
      </c>
      <c r="B8181" s="90">
        <v>8.1697203590458347</v>
      </c>
    </row>
    <row r="8182" spans="1:2">
      <c r="A8182" s="32">
        <v>8172</v>
      </c>
      <c r="B8182" s="90">
        <v>7.0330132653751258</v>
      </c>
    </row>
    <row r="8183" spans="1:2">
      <c r="A8183" s="32">
        <v>8173</v>
      </c>
      <c r="B8183" s="90">
        <v>7.8783520082794274</v>
      </c>
    </row>
    <row r="8184" spans="1:2">
      <c r="A8184" s="32">
        <v>8174</v>
      </c>
      <c r="B8184" s="90">
        <v>8.0442987452687831</v>
      </c>
    </row>
    <row r="8185" spans="1:2">
      <c r="A8185" s="32">
        <v>8175</v>
      </c>
      <c r="B8185" s="90">
        <v>7.0866781401599619</v>
      </c>
    </row>
    <row r="8186" spans="1:2">
      <c r="A8186" s="32">
        <v>8176</v>
      </c>
      <c r="B8186" s="90">
        <v>7.7171096059278428</v>
      </c>
    </row>
    <row r="8187" spans="1:2">
      <c r="A8187" s="32">
        <v>8177</v>
      </c>
      <c r="B8187" s="90">
        <v>9.5930726463693219</v>
      </c>
    </row>
    <row r="8188" spans="1:2">
      <c r="A8188" s="32">
        <v>8178</v>
      </c>
      <c r="B8188" s="90">
        <v>8.145601861618978</v>
      </c>
    </row>
    <row r="8189" spans="1:2">
      <c r="A8189" s="32">
        <v>8179</v>
      </c>
      <c r="B8189" s="90">
        <v>7.4651749305059019</v>
      </c>
    </row>
    <row r="8190" spans="1:2">
      <c r="A8190" s="32">
        <v>8180</v>
      </c>
      <c r="B8190" s="90">
        <v>7.8842182307972033</v>
      </c>
    </row>
    <row r="8191" spans="1:2">
      <c r="A8191" s="32">
        <v>8181</v>
      </c>
      <c r="B8191" s="90">
        <v>7.1683786959468367</v>
      </c>
    </row>
    <row r="8192" spans="1:2">
      <c r="A8192" s="32">
        <v>8182</v>
      </c>
      <c r="B8192" s="90">
        <v>7.8503162990317525</v>
      </c>
    </row>
    <row r="8193" spans="1:2">
      <c r="A8193" s="32">
        <v>8183</v>
      </c>
      <c r="B8193" s="90">
        <v>9.6501040337507877</v>
      </c>
    </row>
    <row r="8194" spans="1:2">
      <c r="A8194" s="32">
        <v>8184</v>
      </c>
      <c r="B8194" s="90">
        <v>8.2196435575647051</v>
      </c>
    </row>
    <row r="8195" spans="1:2">
      <c r="A8195" s="32">
        <v>8185</v>
      </c>
      <c r="B8195" s="90">
        <v>7.4787811726342559</v>
      </c>
    </row>
    <row r="8196" spans="1:2">
      <c r="A8196" s="32">
        <v>8186</v>
      </c>
      <c r="B8196" s="90">
        <v>7.5125356081088714</v>
      </c>
    </row>
    <row r="8197" spans="1:2">
      <c r="A8197" s="32">
        <v>8187</v>
      </c>
      <c r="B8197" s="90">
        <v>6.9491810864500856</v>
      </c>
    </row>
    <row r="8198" spans="1:2">
      <c r="A8198" s="32">
        <v>8188</v>
      </c>
      <c r="B8198" s="90">
        <v>8.3638277843722175</v>
      </c>
    </row>
    <row r="8199" spans="1:2">
      <c r="A8199" s="32">
        <v>8189</v>
      </c>
      <c r="B8199" s="90">
        <v>10.085791119039806</v>
      </c>
    </row>
    <row r="8200" spans="1:2">
      <c r="A8200" s="32">
        <v>8190</v>
      </c>
      <c r="B8200" s="90">
        <v>7.6252346375222615</v>
      </c>
    </row>
    <row r="8201" spans="1:2">
      <c r="A8201" s="32">
        <v>8191</v>
      </c>
      <c r="B8201" s="90">
        <v>8.1449857399219141</v>
      </c>
    </row>
    <row r="8202" spans="1:2">
      <c r="A8202" s="32">
        <v>8192</v>
      </c>
      <c r="B8202" s="90">
        <v>6.9583285926420615</v>
      </c>
    </row>
    <row r="8203" spans="1:2">
      <c r="A8203" s="32">
        <v>8193</v>
      </c>
      <c r="B8203" s="90">
        <v>6.9546166405602365</v>
      </c>
    </row>
    <row r="8204" spans="1:2">
      <c r="A8204" s="32">
        <v>8194</v>
      </c>
      <c r="B8204" s="90">
        <v>9.6813485520958444</v>
      </c>
    </row>
    <row r="8205" spans="1:2">
      <c r="A8205" s="32">
        <v>8195</v>
      </c>
      <c r="B8205" s="90">
        <v>8.7609423333642855</v>
      </c>
    </row>
    <row r="8206" spans="1:2">
      <c r="A8206" s="32">
        <v>8196</v>
      </c>
      <c r="B8206" s="90">
        <v>7.2794257211404503</v>
      </c>
    </row>
    <row r="8207" spans="1:2">
      <c r="A8207" s="32">
        <v>8197</v>
      </c>
      <c r="B8207" s="90">
        <v>8.0924092148836184</v>
      </c>
    </row>
    <row r="8208" spans="1:2">
      <c r="A8208" s="32">
        <v>8198</v>
      </c>
      <c r="B8208" s="90">
        <v>7.3708648423515575</v>
      </c>
    </row>
    <row r="8209" spans="1:2">
      <c r="A8209" s="32">
        <v>8199</v>
      </c>
      <c r="B8209" s="90">
        <v>7.1815807428987499</v>
      </c>
    </row>
    <row r="8210" spans="1:2">
      <c r="A8210" s="32">
        <v>8200</v>
      </c>
      <c r="B8210" s="90">
        <v>9.1770928743140789</v>
      </c>
    </row>
    <row r="8211" spans="1:2">
      <c r="A8211" s="32">
        <v>8201</v>
      </c>
      <c r="B8211" s="90">
        <v>8.6303819915433877</v>
      </c>
    </row>
    <row r="8212" spans="1:2">
      <c r="A8212" s="32">
        <v>8202</v>
      </c>
      <c r="B8212" s="90">
        <v>7.6421815978241954</v>
      </c>
    </row>
    <row r="8213" spans="1:2">
      <c r="A8213" s="32">
        <v>8203</v>
      </c>
      <c r="B8213" s="90">
        <v>8.0921010944943195</v>
      </c>
    </row>
    <row r="8214" spans="1:2">
      <c r="A8214" s="32">
        <v>8204</v>
      </c>
      <c r="B8214" s="90">
        <v>7.0618761401374135</v>
      </c>
    </row>
    <row r="8215" spans="1:2">
      <c r="A8215" s="32">
        <v>8205</v>
      </c>
      <c r="B8215" s="90">
        <v>7.4949754563743385</v>
      </c>
    </row>
    <row r="8216" spans="1:2">
      <c r="A8216" s="32">
        <v>8206</v>
      </c>
      <c r="B8216" s="90">
        <v>9.1808354982804161</v>
      </c>
    </row>
    <row r="8217" spans="1:2">
      <c r="A8217" s="32">
        <v>8207</v>
      </c>
      <c r="B8217" s="90">
        <v>8.2277858503046026</v>
      </c>
    </row>
    <row r="8218" spans="1:2">
      <c r="A8218" s="32">
        <v>8208</v>
      </c>
      <c r="B8218" s="90">
        <v>7.982657577726294</v>
      </c>
    </row>
    <row r="8219" spans="1:2">
      <c r="A8219" s="32">
        <v>8209</v>
      </c>
      <c r="B8219" s="90">
        <v>7.8629421894396492</v>
      </c>
    </row>
    <row r="8220" spans="1:2">
      <c r="A8220" s="32">
        <v>8210</v>
      </c>
      <c r="B8220" s="90">
        <v>7.2411172462728484</v>
      </c>
    </row>
    <row r="8221" spans="1:2">
      <c r="A8221" s="32">
        <v>8211</v>
      </c>
      <c r="B8221" s="90">
        <v>7.7181243026267801</v>
      </c>
    </row>
    <row r="8222" spans="1:2">
      <c r="A8222" s="32">
        <v>8212</v>
      </c>
      <c r="B8222" s="90">
        <v>9.5699142768043046</v>
      </c>
    </row>
    <row r="8223" spans="1:2">
      <c r="A8223" s="32">
        <v>8213</v>
      </c>
      <c r="B8223" s="90">
        <v>8.2769291646336072</v>
      </c>
    </row>
    <row r="8224" spans="1:2">
      <c r="A8224" s="32">
        <v>8214</v>
      </c>
      <c r="B8224" s="90">
        <v>7.4223385235067427</v>
      </c>
    </row>
    <row r="8225" spans="1:2">
      <c r="A8225" s="32">
        <v>8215</v>
      </c>
      <c r="B8225" s="90">
        <v>7.6396481097976316</v>
      </c>
    </row>
    <row r="8226" spans="1:2">
      <c r="A8226" s="32">
        <v>8216</v>
      </c>
      <c r="B8226" s="90">
        <v>7.2244798001401795</v>
      </c>
    </row>
    <row r="8227" spans="1:2">
      <c r="A8227" s="32">
        <v>8217</v>
      </c>
      <c r="B8227" s="90">
        <v>8.3320579024422887</v>
      </c>
    </row>
    <row r="8228" spans="1:2">
      <c r="A8228" s="32">
        <v>8218</v>
      </c>
      <c r="B8228" s="90">
        <v>9.4114027331046923</v>
      </c>
    </row>
    <row r="8229" spans="1:2">
      <c r="A8229" s="32">
        <v>8219</v>
      </c>
      <c r="B8229" s="90">
        <v>7.9617798154113961</v>
      </c>
    </row>
    <row r="8230" spans="1:2">
      <c r="A8230" s="32">
        <v>8220</v>
      </c>
      <c r="B8230" s="90">
        <v>7.6023478021035933</v>
      </c>
    </row>
    <row r="8231" spans="1:2">
      <c r="A8231" s="32">
        <v>8221</v>
      </c>
      <c r="B8231" s="90">
        <v>7.1288829789513262</v>
      </c>
    </row>
    <row r="8232" spans="1:2">
      <c r="A8232" s="32">
        <v>8222</v>
      </c>
      <c r="B8232" s="90">
        <v>7.1572030175008328</v>
      </c>
    </row>
    <row r="8233" spans="1:2">
      <c r="A8233" s="32">
        <v>8223</v>
      </c>
      <c r="B8233" s="90">
        <v>8.8585271497727618</v>
      </c>
    </row>
    <row r="8234" spans="1:2">
      <c r="A8234" s="32">
        <v>8224</v>
      </c>
      <c r="B8234" s="90">
        <v>9.6967762709177556</v>
      </c>
    </row>
    <row r="8235" spans="1:2">
      <c r="A8235" s="32">
        <v>8225</v>
      </c>
      <c r="B8235" s="90">
        <v>7.3959382565915561</v>
      </c>
    </row>
    <row r="8236" spans="1:2">
      <c r="A8236" s="32">
        <v>8226</v>
      </c>
      <c r="B8236" s="90">
        <v>8.0367040669887029</v>
      </c>
    </row>
    <row r="8237" spans="1:2">
      <c r="A8237" s="32">
        <v>8227</v>
      </c>
      <c r="B8237" s="90">
        <v>7.2567593175236373</v>
      </c>
    </row>
    <row r="8238" spans="1:2">
      <c r="A8238" s="32">
        <v>8228</v>
      </c>
      <c r="B8238" s="90">
        <v>6.9863016584896052</v>
      </c>
    </row>
    <row r="8239" spans="1:2">
      <c r="A8239" s="32">
        <v>8229</v>
      </c>
      <c r="B8239" s="90">
        <v>9.3644866161016118</v>
      </c>
    </row>
    <row r="8240" spans="1:2">
      <c r="A8240" s="32">
        <v>8230</v>
      </c>
      <c r="B8240" s="90">
        <v>8.7076774129120107</v>
      </c>
    </row>
    <row r="8241" spans="1:2">
      <c r="A8241" s="32">
        <v>8231</v>
      </c>
      <c r="B8241" s="90">
        <v>7.6406934085518605</v>
      </c>
    </row>
    <row r="8242" spans="1:2">
      <c r="A8242" s="32">
        <v>8232</v>
      </c>
      <c r="B8242" s="90">
        <v>8.0877338110710149</v>
      </c>
    </row>
    <row r="8243" spans="1:2">
      <c r="A8243" s="32">
        <v>8233</v>
      </c>
      <c r="B8243" s="90">
        <v>6.9315952373235596</v>
      </c>
    </row>
    <row r="8244" spans="1:2">
      <c r="A8244" s="32">
        <v>8234</v>
      </c>
      <c r="B8244" s="90">
        <v>7.835768622918259</v>
      </c>
    </row>
    <row r="8245" spans="1:2">
      <c r="A8245" s="32">
        <v>8235</v>
      </c>
      <c r="B8245" s="90">
        <v>8.9784739842821537</v>
      </c>
    </row>
    <row r="8246" spans="1:2">
      <c r="A8246" s="32">
        <v>8236</v>
      </c>
      <c r="B8246" s="90">
        <v>8.1652175368524915</v>
      </c>
    </row>
    <row r="8247" spans="1:2">
      <c r="A8247" s="32">
        <v>8237</v>
      </c>
      <c r="B8247" s="90">
        <v>7.8783520082794274</v>
      </c>
    </row>
    <row r="8248" spans="1:2">
      <c r="A8248" s="32">
        <v>8238</v>
      </c>
      <c r="B8248" s="90">
        <v>8.0442987452687831</v>
      </c>
    </row>
    <row r="8249" spans="1:2">
      <c r="A8249" s="32">
        <v>8239</v>
      </c>
      <c r="B8249" s="90">
        <v>7.0866781401599619</v>
      </c>
    </row>
    <row r="8250" spans="1:2">
      <c r="A8250" s="32">
        <v>8240</v>
      </c>
      <c r="B8250" s="90">
        <v>7.7171096059278428</v>
      </c>
    </row>
    <row r="8251" spans="1:2">
      <c r="A8251" s="32">
        <v>8241</v>
      </c>
      <c r="B8251" s="90">
        <v>9.5930726463693219</v>
      </c>
    </row>
    <row r="8252" spans="1:2">
      <c r="A8252" s="32">
        <v>8242</v>
      </c>
      <c r="B8252" s="90">
        <v>8.145601861618978</v>
      </c>
    </row>
    <row r="8253" spans="1:2">
      <c r="A8253" s="32">
        <v>8243</v>
      </c>
      <c r="B8253" s="90">
        <v>7.4651749305059019</v>
      </c>
    </row>
    <row r="8254" spans="1:2">
      <c r="A8254" s="32">
        <v>8244</v>
      </c>
      <c r="B8254" s="90">
        <v>7.8842182307972033</v>
      </c>
    </row>
    <row r="8255" spans="1:2">
      <c r="A8255" s="32">
        <v>8245</v>
      </c>
      <c r="B8255" s="90">
        <v>7.1683786959468367</v>
      </c>
    </row>
    <row r="8256" spans="1:2">
      <c r="A8256" s="32">
        <v>8246</v>
      </c>
      <c r="B8256" s="90">
        <v>7.8503162990317525</v>
      </c>
    </row>
    <row r="8257" spans="1:2">
      <c r="A8257" s="32">
        <v>8247</v>
      </c>
      <c r="B8257" s="90">
        <v>9.6501040337507877</v>
      </c>
    </row>
    <row r="8258" spans="1:2">
      <c r="A8258" s="32">
        <v>8248</v>
      </c>
      <c r="B8258" s="90">
        <v>8.2196435575647051</v>
      </c>
    </row>
    <row r="8259" spans="1:2">
      <c r="A8259" s="32">
        <v>8249</v>
      </c>
      <c r="B8259" s="90">
        <v>7.4787811726342559</v>
      </c>
    </row>
    <row r="8260" spans="1:2">
      <c r="A8260" s="32">
        <v>8250</v>
      </c>
      <c r="B8260" s="90">
        <v>7.7929932513455382</v>
      </c>
    </row>
    <row r="8261" spans="1:2">
      <c r="A8261" s="32">
        <v>8251</v>
      </c>
      <c r="B8261" s="90">
        <v>8.4974534503424959</v>
      </c>
    </row>
    <row r="8262" spans="1:2">
      <c r="A8262" s="32">
        <v>8252</v>
      </c>
      <c r="B8262" s="90">
        <v>8.4416379927947265</v>
      </c>
    </row>
    <row r="8263" spans="1:2">
      <c r="A8263" s="32">
        <v>8253</v>
      </c>
      <c r="B8263" s="90">
        <v>7.8684758324079702</v>
      </c>
    </row>
    <row r="8264" spans="1:2">
      <c r="A8264" s="32">
        <v>8254</v>
      </c>
      <c r="B8264" s="90">
        <v>7.9549280642639939</v>
      </c>
    </row>
    <row r="8265" spans="1:2">
      <c r="A8265" s="32">
        <v>8255</v>
      </c>
      <c r="B8265" s="90">
        <v>7.7171383110607747</v>
      </c>
    </row>
    <row r="8266" spans="1:2">
      <c r="A8266" s="32">
        <v>8256</v>
      </c>
      <c r="B8266" s="90">
        <v>8.1282898605695806</v>
      </c>
    </row>
    <row r="8267" spans="1:2">
      <c r="A8267" s="32">
        <v>8257</v>
      </c>
      <c r="B8267" s="90">
        <v>8.1748513502797344</v>
      </c>
    </row>
    <row r="8268" spans="1:2">
      <c r="A8268" s="32">
        <v>8258</v>
      </c>
      <c r="B8268" s="90">
        <v>8.7073902293046892</v>
      </c>
    </row>
    <row r="8269" spans="1:2">
      <c r="A8269" s="32">
        <v>8259</v>
      </c>
      <c r="B8269" s="90">
        <v>7.7993172517143474</v>
      </c>
    </row>
    <row r="8270" spans="1:2">
      <c r="A8270" s="32">
        <v>8260</v>
      </c>
      <c r="B8270" s="90">
        <v>8.074248698866251</v>
      </c>
    </row>
    <row r="8271" spans="1:2">
      <c r="A8271" s="32">
        <v>8261</v>
      </c>
      <c r="B8271" s="90">
        <v>7.6690229952014652</v>
      </c>
    </row>
    <row r="8272" spans="1:2">
      <c r="A8272" s="32">
        <v>8262</v>
      </c>
      <c r="B8272" s="90">
        <v>8.3198495637279759</v>
      </c>
    </row>
    <row r="8273" spans="1:2">
      <c r="A8273" s="32">
        <v>8263</v>
      </c>
      <c r="B8273" s="90">
        <v>8.2485651810817622</v>
      </c>
    </row>
    <row r="8274" spans="1:2">
      <c r="A8274" s="32">
        <v>8264</v>
      </c>
      <c r="B8274" s="90">
        <v>8.4856134958682627</v>
      </c>
    </row>
    <row r="8275" spans="1:2">
      <c r="A8275" s="32">
        <v>8265</v>
      </c>
      <c r="B8275" s="90">
        <v>7.4510381935610308</v>
      </c>
    </row>
    <row r="8276" spans="1:2">
      <c r="A8276" s="32">
        <v>8266</v>
      </c>
      <c r="B8276" s="90">
        <v>8.2414586571826955</v>
      </c>
    </row>
    <row r="8277" spans="1:2">
      <c r="A8277" s="32">
        <v>8267</v>
      </c>
      <c r="B8277" s="90">
        <v>7.709301105841841</v>
      </c>
    </row>
    <row r="8278" spans="1:2">
      <c r="A8278" s="32">
        <v>8268</v>
      </c>
      <c r="B8278" s="90">
        <v>8.4900448596819853</v>
      </c>
    </row>
    <row r="8279" spans="1:2">
      <c r="A8279" s="32">
        <v>8269</v>
      </c>
      <c r="B8279" s="90">
        <v>7.9475838894694091</v>
      </c>
    </row>
    <row r="8280" spans="1:2">
      <c r="A8280" s="32">
        <v>8270</v>
      </c>
      <c r="B8280" s="90">
        <v>8.7247301579611261</v>
      </c>
    </row>
    <row r="8281" spans="1:2">
      <c r="A8281" s="32">
        <v>8271</v>
      </c>
      <c r="B8281" s="90">
        <v>7.0988864468994581</v>
      </c>
    </row>
    <row r="8282" spans="1:2">
      <c r="A8282" s="32">
        <v>8272</v>
      </c>
      <c r="B8282" s="90">
        <v>8.2243683959930305</v>
      </c>
    </row>
    <row r="8283" spans="1:2">
      <c r="A8283" s="32">
        <v>8273</v>
      </c>
      <c r="B8283" s="90">
        <v>7.8603294354354682</v>
      </c>
    </row>
    <row r="8284" spans="1:2">
      <c r="A8284" s="32">
        <v>8274</v>
      </c>
      <c r="B8284" s="90">
        <v>8.6936732271628259</v>
      </c>
    </row>
    <row r="8285" spans="1:2">
      <c r="A8285" s="32">
        <v>8275</v>
      </c>
      <c r="B8285" s="90">
        <v>7.5988176690663991</v>
      </c>
    </row>
    <row r="8286" spans="1:2">
      <c r="A8286" s="32">
        <v>8276</v>
      </c>
      <c r="B8286" s="90">
        <v>8.7738529441171931</v>
      </c>
    </row>
    <row r="8287" spans="1:2">
      <c r="A8287" s="32">
        <v>8277</v>
      </c>
      <c r="B8287" s="90">
        <v>7.1435209875816792</v>
      </c>
    </row>
    <row r="8288" spans="1:2">
      <c r="A8288" s="32">
        <v>8278</v>
      </c>
      <c r="B8288" s="90">
        <v>7.8358479609283176</v>
      </c>
    </row>
    <row r="8289" spans="1:2">
      <c r="A8289" s="32">
        <v>8279</v>
      </c>
      <c r="B8289" s="90">
        <v>8.3442701841955653</v>
      </c>
    </row>
    <row r="8290" spans="1:2">
      <c r="A8290" s="32">
        <v>8280</v>
      </c>
      <c r="B8290" s="90">
        <v>8.6084462539980429</v>
      </c>
    </row>
    <row r="8291" spans="1:2">
      <c r="A8291" s="32">
        <v>8281</v>
      </c>
      <c r="B8291" s="90">
        <v>8.1607750781825921</v>
      </c>
    </row>
    <row r="8292" spans="1:2">
      <c r="A8292" s="32">
        <v>8282</v>
      </c>
      <c r="B8292" s="90">
        <v>8.280420457680334</v>
      </c>
    </row>
    <row r="8293" spans="1:2">
      <c r="A8293" s="32">
        <v>8283</v>
      </c>
      <c r="B8293" s="90">
        <v>7.3055424439712127</v>
      </c>
    </row>
    <row r="8294" spans="1:2">
      <c r="A8294" s="32">
        <v>8284</v>
      </c>
      <c r="B8294" s="90">
        <v>8.024649427269571</v>
      </c>
    </row>
    <row r="8295" spans="1:2">
      <c r="A8295" s="32">
        <v>8285</v>
      </c>
      <c r="B8295" s="90">
        <v>8.0326827762552089</v>
      </c>
    </row>
    <row r="8296" spans="1:2">
      <c r="A8296" s="32">
        <v>8286</v>
      </c>
      <c r="B8296" s="90">
        <v>8.6857953242975849</v>
      </c>
    </row>
    <row r="8297" spans="1:2">
      <c r="A8297" s="32">
        <v>8287</v>
      </c>
      <c r="B8297" s="90">
        <v>8.2318337301871018</v>
      </c>
    </row>
    <row r="8298" spans="1:2">
      <c r="A8298" s="32">
        <v>8288</v>
      </c>
      <c r="B8298" s="90">
        <v>8.0590818163341531</v>
      </c>
    </row>
    <row r="8299" spans="1:2">
      <c r="A8299" s="32">
        <v>8289</v>
      </c>
      <c r="B8299" s="90">
        <v>7.7819846258192671</v>
      </c>
    </row>
    <row r="8300" spans="1:2">
      <c r="A8300" s="32">
        <v>8290</v>
      </c>
      <c r="B8300" s="90">
        <v>7.8154875255533964</v>
      </c>
    </row>
    <row r="8301" spans="1:2">
      <c r="A8301" s="32">
        <v>8291</v>
      </c>
      <c r="B8301" s="90">
        <v>8.136026336075119</v>
      </c>
    </row>
    <row r="8302" spans="1:2">
      <c r="A8302" s="32">
        <v>8292</v>
      </c>
      <c r="B8302" s="90">
        <v>8.1222768240638104</v>
      </c>
    </row>
    <row r="8303" spans="1:2">
      <c r="A8303" s="32">
        <v>8293</v>
      </c>
      <c r="B8303" s="90">
        <v>8.5920462297890197</v>
      </c>
    </row>
    <row r="8304" spans="1:2">
      <c r="A8304" s="32">
        <v>8294</v>
      </c>
      <c r="B8304" s="90">
        <v>7.6719635757488831</v>
      </c>
    </row>
    <row r="8305" spans="1:2">
      <c r="A8305" s="32">
        <v>8295</v>
      </c>
      <c r="B8305" s="90">
        <v>8.0805888207155938</v>
      </c>
    </row>
    <row r="8306" spans="1:2">
      <c r="A8306" s="32">
        <v>8296</v>
      </c>
      <c r="B8306" s="90">
        <v>7.8997048552622386</v>
      </c>
    </row>
    <row r="8307" spans="1:2">
      <c r="A8307" s="32">
        <v>8297</v>
      </c>
      <c r="B8307" s="90">
        <v>8.3918552888438143</v>
      </c>
    </row>
    <row r="8308" spans="1:2">
      <c r="A8308" s="32">
        <v>8298</v>
      </c>
      <c r="B8308" s="90">
        <v>8.1349551180963271</v>
      </c>
    </row>
    <row r="8309" spans="1:2">
      <c r="A8309" s="32">
        <v>8299</v>
      </c>
      <c r="B8309" s="90">
        <v>8.3160784548893023</v>
      </c>
    </row>
    <row r="8310" spans="1:2">
      <c r="A8310" s="32">
        <v>8300</v>
      </c>
      <c r="B8310" s="90">
        <v>7.2919340265594546</v>
      </c>
    </row>
    <row r="8311" spans="1:2">
      <c r="A8311" s="32">
        <v>8301</v>
      </c>
      <c r="B8311" s="90">
        <v>8.183192280754934</v>
      </c>
    </row>
    <row r="8312" spans="1:2">
      <c r="A8312" s="32">
        <v>8302</v>
      </c>
      <c r="B8312" s="90">
        <v>7.9525974947054197</v>
      </c>
    </row>
    <row r="8313" spans="1:2">
      <c r="A8313" s="32">
        <v>8303</v>
      </c>
      <c r="B8313" s="90">
        <v>8.571829514866975</v>
      </c>
    </row>
    <row r="8314" spans="1:2">
      <c r="A8314" s="32">
        <v>8304</v>
      </c>
      <c r="B8314" s="90">
        <v>7.6063285973654873</v>
      </c>
    </row>
    <row r="8315" spans="1:2">
      <c r="A8315" s="32">
        <v>8305</v>
      </c>
      <c r="B8315" s="90">
        <v>8.9371537707547066</v>
      </c>
    </row>
    <row r="8316" spans="1:2">
      <c r="A8316" s="32">
        <v>8306</v>
      </c>
      <c r="B8316" s="90">
        <v>7.3217927160787486</v>
      </c>
    </row>
    <row r="8317" spans="1:2">
      <c r="A8317" s="32">
        <v>8307</v>
      </c>
      <c r="B8317" s="90">
        <v>7.8797603863763328</v>
      </c>
    </row>
    <row r="8318" spans="1:2">
      <c r="A8318" s="32">
        <v>8308</v>
      </c>
      <c r="B8318" s="90">
        <v>7.9028477827045327</v>
      </c>
    </row>
    <row r="8319" spans="1:2">
      <c r="A8319" s="32">
        <v>8309</v>
      </c>
      <c r="B8319" s="90">
        <v>8.5020013260625191</v>
      </c>
    </row>
    <row r="8320" spans="1:2">
      <c r="A8320" s="32">
        <v>8310</v>
      </c>
      <c r="B8320" s="90">
        <v>7.9757254872740218</v>
      </c>
    </row>
    <row r="8321" spans="1:2">
      <c r="A8321" s="32">
        <v>8311</v>
      </c>
      <c r="B8321" s="90">
        <v>8.5784871960531834</v>
      </c>
    </row>
    <row r="8322" spans="1:2">
      <c r="A8322" s="32">
        <v>8312</v>
      </c>
      <c r="B8322" s="90">
        <v>7.2534310745123873</v>
      </c>
    </row>
    <row r="8323" spans="1:2">
      <c r="A8323" s="32">
        <v>8313</v>
      </c>
      <c r="B8323" s="90">
        <v>7.9025819361425667</v>
      </c>
    </row>
    <row r="8324" spans="1:2">
      <c r="A8324" s="32">
        <v>8314</v>
      </c>
      <c r="B8324" s="90">
        <v>8.1470373441313537</v>
      </c>
    </row>
    <row r="8325" spans="1:2">
      <c r="A8325" s="32">
        <v>8315</v>
      </c>
      <c r="B8325" s="90">
        <v>8.4974534503424959</v>
      </c>
    </row>
    <row r="8326" spans="1:2">
      <c r="A8326" s="32">
        <v>8316</v>
      </c>
      <c r="B8326" s="90">
        <v>8.4416379927947265</v>
      </c>
    </row>
    <row r="8327" spans="1:2">
      <c r="A8327" s="32">
        <v>8317</v>
      </c>
      <c r="B8327" s="90">
        <v>7.8684758324079702</v>
      </c>
    </row>
    <row r="8328" spans="1:2">
      <c r="A8328" s="32">
        <v>8318</v>
      </c>
      <c r="B8328" s="90">
        <v>7.9549280642639939</v>
      </c>
    </row>
    <row r="8329" spans="1:2">
      <c r="A8329" s="32">
        <v>8319</v>
      </c>
      <c r="B8329" s="90">
        <v>7.7171383110607747</v>
      </c>
    </row>
    <row r="8330" spans="1:2">
      <c r="A8330" s="32">
        <v>8320</v>
      </c>
      <c r="B8330" s="90">
        <v>8.1282898605695806</v>
      </c>
    </row>
    <row r="8331" spans="1:2">
      <c r="A8331" s="32">
        <v>8321</v>
      </c>
      <c r="B8331" s="90">
        <v>8.1748513502797344</v>
      </c>
    </row>
    <row r="8332" spans="1:2">
      <c r="A8332" s="32">
        <v>8322</v>
      </c>
      <c r="B8332" s="90">
        <v>8.7073902293046892</v>
      </c>
    </row>
    <row r="8333" spans="1:2">
      <c r="A8333" s="32">
        <v>8323</v>
      </c>
      <c r="B8333" s="90">
        <v>7.7993172517143474</v>
      </c>
    </row>
    <row r="8334" spans="1:2">
      <c r="A8334" s="32">
        <v>8324</v>
      </c>
      <c r="B8334" s="90">
        <v>8.074248698866251</v>
      </c>
    </row>
    <row r="8335" spans="1:2">
      <c r="A8335" s="32">
        <v>8325</v>
      </c>
      <c r="B8335" s="90">
        <v>7.6690229952014652</v>
      </c>
    </row>
    <row r="8336" spans="1:2">
      <c r="A8336" s="32">
        <v>8326</v>
      </c>
      <c r="B8336" s="90">
        <v>8.3198495637279759</v>
      </c>
    </row>
    <row r="8337" spans="1:2">
      <c r="A8337" s="32">
        <v>8327</v>
      </c>
      <c r="B8337" s="90">
        <v>8.2485651810817622</v>
      </c>
    </row>
    <row r="8338" spans="1:2">
      <c r="A8338" s="32">
        <v>8328</v>
      </c>
      <c r="B8338" s="90">
        <v>8.4856134958682627</v>
      </c>
    </row>
    <row r="8339" spans="1:2">
      <c r="A8339" s="32">
        <v>8329</v>
      </c>
      <c r="B8339" s="90">
        <v>7.4510381935610308</v>
      </c>
    </row>
    <row r="8340" spans="1:2">
      <c r="A8340" s="32">
        <v>8330</v>
      </c>
      <c r="B8340" s="90">
        <v>8.2414586571826955</v>
      </c>
    </row>
    <row r="8341" spans="1:2">
      <c r="A8341" s="32">
        <v>8331</v>
      </c>
      <c r="B8341" s="90">
        <v>7.709301105841841</v>
      </c>
    </row>
    <row r="8342" spans="1:2">
      <c r="A8342" s="32">
        <v>8332</v>
      </c>
      <c r="B8342" s="90">
        <v>8.4900448596819853</v>
      </c>
    </row>
    <row r="8343" spans="1:2">
      <c r="A8343" s="32">
        <v>8333</v>
      </c>
      <c r="B8343" s="90">
        <v>7.9475838894694091</v>
      </c>
    </row>
    <row r="8344" spans="1:2">
      <c r="A8344" s="32">
        <v>8334</v>
      </c>
      <c r="B8344" s="90">
        <v>8.7247301579611261</v>
      </c>
    </row>
    <row r="8345" spans="1:2">
      <c r="A8345" s="32">
        <v>8335</v>
      </c>
      <c r="B8345" s="90">
        <v>7.0988864468994581</v>
      </c>
    </row>
    <row r="8346" spans="1:2">
      <c r="A8346" s="32">
        <v>8336</v>
      </c>
      <c r="B8346" s="90">
        <v>8.2243683959930305</v>
      </c>
    </row>
    <row r="8347" spans="1:2">
      <c r="A8347" s="32">
        <v>8337</v>
      </c>
      <c r="B8347" s="90">
        <v>7.8603294354354682</v>
      </c>
    </row>
    <row r="8348" spans="1:2">
      <c r="A8348" s="32">
        <v>8338</v>
      </c>
      <c r="B8348" s="90">
        <v>8.6936732271628259</v>
      </c>
    </row>
    <row r="8349" spans="1:2">
      <c r="A8349" s="32">
        <v>8339</v>
      </c>
      <c r="B8349" s="90">
        <v>7.5988176690663991</v>
      </c>
    </row>
    <row r="8350" spans="1:2">
      <c r="A8350" s="32">
        <v>8340</v>
      </c>
      <c r="B8350" s="90">
        <v>8.7738529441171931</v>
      </c>
    </row>
    <row r="8351" spans="1:2">
      <c r="A8351" s="32">
        <v>8341</v>
      </c>
      <c r="B8351" s="90">
        <v>7.1435209875816792</v>
      </c>
    </row>
    <row r="8352" spans="1:2">
      <c r="A8352" s="32">
        <v>8342</v>
      </c>
      <c r="B8352" s="90">
        <v>7.8358479609283176</v>
      </c>
    </row>
    <row r="8353" spans="1:2">
      <c r="A8353" s="32">
        <v>8343</v>
      </c>
      <c r="B8353" s="90">
        <v>8.3442701841955653</v>
      </c>
    </row>
    <row r="8354" spans="1:2">
      <c r="A8354" s="32">
        <v>8344</v>
      </c>
      <c r="B8354" s="90">
        <v>8.6084462539980429</v>
      </c>
    </row>
    <row r="8355" spans="1:2">
      <c r="A8355" s="32">
        <v>8345</v>
      </c>
      <c r="B8355" s="90">
        <v>8.1607750781825921</v>
      </c>
    </row>
    <row r="8356" spans="1:2">
      <c r="A8356" s="32">
        <v>8346</v>
      </c>
      <c r="B8356" s="90">
        <v>8.280420457680334</v>
      </c>
    </row>
    <row r="8357" spans="1:2">
      <c r="A8357" s="32">
        <v>8347</v>
      </c>
      <c r="B8357" s="90">
        <v>7.3055424439712127</v>
      </c>
    </row>
    <row r="8358" spans="1:2">
      <c r="A8358" s="32">
        <v>8348</v>
      </c>
      <c r="B8358" s="90">
        <v>8.024649427269571</v>
      </c>
    </row>
    <row r="8359" spans="1:2">
      <c r="A8359" s="32">
        <v>8349</v>
      </c>
      <c r="B8359" s="90">
        <v>8.0326827762552089</v>
      </c>
    </row>
    <row r="8360" spans="1:2">
      <c r="A8360" s="32">
        <v>8350</v>
      </c>
      <c r="B8360" s="90">
        <v>8.6857953242975849</v>
      </c>
    </row>
    <row r="8361" spans="1:2">
      <c r="A8361" s="32">
        <v>8351</v>
      </c>
      <c r="B8361" s="90">
        <v>8.2318337301871018</v>
      </c>
    </row>
    <row r="8362" spans="1:2">
      <c r="A8362" s="32">
        <v>8352</v>
      </c>
      <c r="B8362" s="90">
        <v>8.0590818163341531</v>
      </c>
    </row>
    <row r="8363" spans="1:2">
      <c r="A8363" s="32">
        <v>8353</v>
      </c>
      <c r="B8363" s="90">
        <v>7.7819846258192671</v>
      </c>
    </row>
    <row r="8364" spans="1:2">
      <c r="A8364" s="32">
        <v>8354</v>
      </c>
      <c r="B8364" s="90">
        <v>7.8154875255533964</v>
      </c>
    </row>
    <row r="8365" spans="1:2">
      <c r="A8365" s="32">
        <v>8355</v>
      </c>
      <c r="B8365" s="90">
        <v>8.136026336075119</v>
      </c>
    </row>
    <row r="8366" spans="1:2">
      <c r="A8366" s="32">
        <v>8356</v>
      </c>
      <c r="B8366" s="90">
        <v>8.1222768240638104</v>
      </c>
    </row>
    <row r="8367" spans="1:2">
      <c r="A8367" s="32">
        <v>8357</v>
      </c>
      <c r="B8367" s="90">
        <v>8.5920462297890197</v>
      </c>
    </row>
    <row r="8368" spans="1:2">
      <c r="A8368" s="32">
        <v>8358</v>
      </c>
      <c r="B8368" s="90">
        <v>7.6719635757488831</v>
      </c>
    </row>
    <row r="8369" spans="1:2">
      <c r="A8369" s="32">
        <v>8359</v>
      </c>
      <c r="B8369" s="90">
        <v>8.0805888207155938</v>
      </c>
    </row>
    <row r="8370" spans="1:2">
      <c r="A8370" s="32">
        <v>8360</v>
      </c>
      <c r="B8370" s="90">
        <v>7.8997048552622386</v>
      </c>
    </row>
    <row r="8371" spans="1:2">
      <c r="A8371" s="32">
        <v>8361</v>
      </c>
      <c r="B8371" s="90">
        <v>8.3918552888438143</v>
      </c>
    </row>
    <row r="8372" spans="1:2">
      <c r="A8372" s="32">
        <v>8362</v>
      </c>
      <c r="B8372" s="90">
        <v>8.1349551180963271</v>
      </c>
    </row>
    <row r="8373" spans="1:2">
      <c r="A8373" s="32">
        <v>8363</v>
      </c>
      <c r="B8373" s="90">
        <v>8.3160784548893023</v>
      </c>
    </row>
    <row r="8374" spans="1:2">
      <c r="A8374" s="32">
        <v>8364</v>
      </c>
      <c r="B8374" s="90">
        <v>7.2919340265594546</v>
      </c>
    </row>
    <row r="8375" spans="1:2">
      <c r="A8375" s="32">
        <v>8365</v>
      </c>
      <c r="B8375" s="90">
        <v>8.183192280754934</v>
      </c>
    </row>
    <row r="8376" spans="1:2">
      <c r="A8376" s="32">
        <v>8366</v>
      </c>
      <c r="B8376" s="90">
        <v>7.9525974947054197</v>
      </c>
    </row>
    <row r="8377" spans="1:2">
      <c r="A8377" s="32">
        <v>8367</v>
      </c>
      <c r="B8377" s="90">
        <v>8.571829514866975</v>
      </c>
    </row>
    <row r="8378" spans="1:2">
      <c r="A8378" s="32">
        <v>8368</v>
      </c>
      <c r="B8378" s="90">
        <v>7.6063285973654873</v>
      </c>
    </row>
    <row r="8379" spans="1:2">
      <c r="A8379" s="32">
        <v>8369</v>
      </c>
      <c r="B8379" s="90">
        <v>8.9371537707547066</v>
      </c>
    </row>
    <row r="8380" spans="1:2">
      <c r="A8380" s="32">
        <v>8370</v>
      </c>
      <c r="B8380" s="90">
        <v>7.3217927160787486</v>
      </c>
    </row>
    <row r="8381" spans="1:2">
      <c r="A8381" s="32">
        <v>8371</v>
      </c>
      <c r="B8381" s="90">
        <v>8.062278819773093</v>
      </c>
    </row>
    <row r="8382" spans="1:2">
      <c r="A8382" s="32">
        <v>8372</v>
      </c>
      <c r="B8382" s="90">
        <v>8.752653106970266</v>
      </c>
    </row>
    <row r="8383" spans="1:2">
      <c r="A8383" s="32">
        <v>8373</v>
      </c>
      <c r="B8383" s="90">
        <v>8.3754502886787012</v>
      </c>
    </row>
    <row r="8384" spans="1:2">
      <c r="A8384" s="32">
        <v>8374</v>
      </c>
      <c r="B8384" s="90">
        <v>8.3359250592931478</v>
      </c>
    </row>
    <row r="8385" spans="1:2">
      <c r="A8385" s="32">
        <v>8375</v>
      </c>
      <c r="B8385" s="90">
        <v>7.7198571092149164</v>
      </c>
    </row>
    <row r="8386" spans="1:2">
      <c r="A8386" s="32">
        <v>8376</v>
      </c>
      <c r="B8386" s="90">
        <v>7.0076660880179906</v>
      </c>
    </row>
    <row r="8387" spans="1:2">
      <c r="A8387" s="32">
        <v>8377</v>
      </c>
      <c r="B8387" s="90">
        <v>8.1947697862941755</v>
      </c>
    </row>
    <row r="8388" spans="1:2">
      <c r="A8388" s="32">
        <v>8378</v>
      </c>
      <c r="B8388" s="90">
        <v>9.1164551777034148</v>
      </c>
    </row>
    <row r="8389" spans="1:2">
      <c r="A8389" s="32">
        <v>8379</v>
      </c>
      <c r="B8389" s="90">
        <v>7.7239583038328243</v>
      </c>
    </row>
    <row r="8390" spans="1:2">
      <c r="A8390" s="32">
        <v>8380</v>
      </c>
      <c r="B8390" s="90">
        <v>8.466027226123634</v>
      </c>
    </row>
    <row r="8391" spans="1:2">
      <c r="A8391" s="32">
        <v>8381</v>
      </c>
      <c r="B8391" s="90">
        <v>7.7328037990503597</v>
      </c>
    </row>
    <row r="8392" spans="1:2">
      <c r="A8392" s="32">
        <v>8382</v>
      </c>
      <c r="B8392" s="90">
        <v>7.0499262967149638</v>
      </c>
    </row>
    <row r="8393" spans="1:2">
      <c r="A8393" s="32">
        <v>8383</v>
      </c>
      <c r="B8393" s="90">
        <v>8.2017805270149626</v>
      </c>
    </row>
    <row r="8394" spans="1:2">
      <c r="A8394" s="32">
        <v>8384</v>
      </c>
      <c r="B8394" s="90">
        <v>8.7252850077851072</v>
      </c>
    </row>
    <row r="8395" spans="1:2">
      <c r="A8395" s="32">
        <v>8385</v>
      </c>
      <c r="B8395" s="90">
        <v>8.5982008275740647</v>
      </c>
    </row>
    <row r="8396" spans="1:2">
      <c r="A8396" s="32">
        <v>8386</v>
      </c>
      <c r="B8396" s="90">
        <v>8.2061043150030351</v>
      </c>
    </row>
    <row r="8397" spans="1:2">
      <c r="A8397" s="32">
        <v>8387</v>
      </c>
      <c r="B8397" s="90">
        <v>6.9986609512983042</v>
      </c>
    </row>
    <row r="8398" spans="1:2">
      <c r="A8398" s="32">
        <v>8388</v>
      </c>
      <c r="B8398" s="90">
        <v>7.1907810434057131</v>
      </c>
    </row>
    <row r="8399" spans="1:2">
      <c r="A8399" s="32">
        <v>8389</v>
      </c>
      <c r="B8399" s="90">
        <v>8.286787004430753</v>
      </c>
    </row>
    <row r="8400" spans="1:2">
      <c r="A8400" s="32">
        <v>8390</v>
      </c>
      <c r="B8400" s="90">
        <v>8.8262849869959723</v>
      </c>
    </row>
    <row r="8401" spans="1:2">
      <c r="A8401" s="32">
        <v>8391</v>
      </c>
      <c r="B8401" s="90">
        <v>8.2051576321738509</v>
      </c>
    </row>
    <row r="8402" spans="1:2">
      <c r="A8402" s="32">
        <v>8392</v>
      </c>
      <c r="B8402" s="90">
        <v>8.9911912110984886</v>
      </c>
    </row>
    <row r="8403" spans="1:2">
      <c r="A8403" s="32">
        <v>8393</v>
      </c>
      <c r="B8403" s="90">
        <v>6.7759709443927472</v>
      </c>
    </row>
    <row r="8404" spans="1:2">
      <c r="A8404" s="32">
        <v>8394</v>
      </c>
      <c r="B8404" s="90">
        <v>7.4076586199321071</v>
      </c>
    </row>
    <row r="8405" spans="1:2">
      <c r="A8405" s="32">
        <v>8395</v>
      </c>
      <c r="B8405" s="90">
        <v>8.7583922097330351</v>
      </c>
    </row>
    <row r="8406" spans="1:2">
      <c r="A8406" s="32">
        <v>8396</v>
      </c>
      <c r="B8406" s="90">
        <v>8.7270130140474702</v>
      </c>
    </row>
    <row r="8407" spans="1:2">
      <c r="A8407" s="32">
        <v>8397</v>
      </c>
      <c r="B8407" s="90">
        <v>7.7689747339707145</v>
      </c>
    </row>
    <row r="8408" spans="1:2">
      <c r="A8408" s="32">
        <v>8398</v>
      </c>
      <c r="B8408" s="90">
        <v>8.5922582112751336</v>
      </c>
    </row>
    <row r="8409" spans="1:2">
      <c r="A8409" s="32">
        <v>8399</v>
      </c>
      <c r="B8409" s="90">
        <v>6.8574077393155832</v>
      </c>
    </row>
    <row r="8410" spans="1:2">
      <c r="A8410" s="32">
        <v>8400</v>
      </c>
      <c r="B8410" s="90">
        <v>7.6594309858689273</v>
      </c>
    </row>
    <row r="8411" spans="1:2">
      <c r="A8411" s="32">
        <v>8401</v>
      </c>
      <c r="B8411" s="90">
        <v>8.9371754107146533</v>
      </c>
    </row>
    <row r="8412" spans="1:2">
      <c r="A8412" s="32">
        <v>8402</v>
      </c>
      <c r="B8412" s="90">
        <v>8.1595235468151923</v>
      </c>
    </row>
    <row r="8413" spans="1:2">
      <c r="A8413" s="32">
        <v>8403</v>
      </c>
      <c r="B8413" s="90">
        <v>8.3493592570959958</v>
      </c>
    </row>
    <row r="8414" spans="1:2">
      <c r="A8414" s="32">
        <v>8404</v>
      </c>
      <c r="B8414" s="90">
        <v>8.1589825803963816</v>
      </c>
    </row>
    <row r="8415" spans="1:2">
      <c r="A8415" s="32">
        <v>8405</v>
      </c>
      <c r="B8415" s="90">
        <v>6.7579672828429214</v>
      </c>
    </row>
    <row r="8416" spans="1:2">
      <c r="A8416" s="32">
        <v>8406</v>
      </c>
      <c r="B8416" s="90">
        <v>8.3278008909391321</v>
      </c>
    </row>
    <row r="8417" spans="1:2">
      <c r="A8417" s="32">
        <v>8407</v>
      </c>
      <c r="B8417" s="90">
        <v>9.1163973895344856</v>
      </c>
    </row>
    <row r="8418" spans="1:2">
      <c r="A8418" s="32">
        <v>8408</v>
      </c>
      <c r="B8418" s="90">
        <v>7.8324226952157652</v>
      </c>
    </row>
    <row r="8419" spans="1:2">
      <c r="A8419" s="32">
        <v>8409</v>
      </c>
      <c r="B8419" s="90">
        <v>8.190480724536215</v>
      </c>
    </row>
    <row r="8420" spans="1:2">
      <c r="A8420" s="32">
        <v>8410</v>
      </c>
      <c r="B8420" s="90">
        <v>7.8478957737263171</v>
      </c>
    </row>
    <row r="8421" spans="1:2">
      <c r="A8421" s="32">
        <v>8411</v>
      </c>
      <c r="B8421" s="90">
        <v>6.8837269822842941</v>
      </c>
    </row>
    <row r="8422" spans="1:2">
      <c r="A8422" s="32">
        <v>8412</v>
      </c>
      <c r="B8422" s="90">
        <v>8.3426598546100319</v>
      </c>
    </row>
    <row r="8423" spans="1:2">
      <c r="A8423" s="32">
        <v>8413</v>
      </c>
      <c r="B8423" s="90">
        <v>8.8412815778513121</v>
      </c>
    </row>
    <row r="8424" spans="1:2">
      <c r="A8424" s="32">
        <v>8414</v>
      </c>
      <c r="B8424" s="90">
        <v>8.0863666624363582</v>
      </c>
    </row>
    <row r="8425" spans="1:2">
      <c r="A8425" s="32">
        <v>8415</v>
      </c>
      <c r="B8425" s="90">
        <v>8.3253648355974725</v>
      </c>
    </row>
    <row r="8426" spans="1:2">
      <c r="A8426" s="32">
        <v>8416</v>
      </c>
      <c r="B8426" s="90">
        <v>7.4925764684373437</v>
      </c>
    </row>
    <row r="8427" spans="1:2">
      <c r="A8427" s="32">
        <v>8417</v>
      </c>
      <c r="B8427" s="90">
        <v>7.2583502228301828</v>
      </c>
    </row>
    <row r="8428" spans="1:2">
      <c r="A8428" s="32">
        <v>8418</v>
      </c>
      <c r="B8428" s="90">
        <v>8.1023499997067141</v>
      </c>
    </row>
    <row r="8429" spans="1:2">
      <c r="A8429" s="32">
        <v>8419</v>
      </c>
      <c r="B8429" s="90">
        <v>8.9345584689540534</v>
      </c>
    </row>
    <row r="8430" spans="1:2">
      <c r="A8430" s="32">
        <v>8420</v>
      </c>
      <c r="B8430" s="90">
        <v>8.1604647750844599</v>
      </c>
    </row>
    <row r="8431" spans="1:2">
      <c r="A8431" s="32">
        <v>8421</v>
      </c>
      <c r="B8431" s="90">
        <v>8.3750513818542309</v>
      </c>
    </row>
    <row r="8432" spans="1:2">
      <c r="A8432" s="32">
        <v>8422</v>
      </c>
      <c r="B8432" s="90">
        <v>7.0292455100644107</v>
      </c>
    </row>
    <row r="8433" spans="1:2">
      <c r="A8433" s="32">
        <v>8423</v>
      </c>
      <c r="B8433" s="90">
        <v>7.2306789753714531</v>
      </c>
    </row>
    <row r="8434" spans="1:2">
      <c r="A8434" s="32">
        <v>8424</v>
      </c>
      <c r="B8434" s="90">
        <v>8.7494016131865475</v>
      </c>
    </row>
    <row r="8435" spans="1:2">
      <c r="A8435" s="32">
        <v>8425</v>
      </c>
      <c r="B8435" s="90">
        <v>8.4363998699561211</v>
      </c>
    </row>
    <row r="8436" spans="1:2">
      <c r="A8436" s="32">
        <v>8426</v>
      </c>
      <c r="B8436" s="90">
        <v>8.1894917408047618</v>
      </c>
    </row>
    <row r="8437" spans="1:2">
      <c r="A8437" s="32">
        <v>8427</v>
      </c>
      <c r="B8437" s="90">
        <v>8.8164743690522567</v>
      </c>
    </row>
    <row r="8438" spans="1:2">
      <c r="A8438" s="32">
        <v>8428</v>
      </c>
      <c r="B8438" s="90">
        <v>7.0035612625347961</v>
      </c>
    </row>
    <row r="8439" spans="1:2">
      <c r="A8439" s="32">
        <v>8429</v>
      </c>
      <c r="B8439" s="90">
        <v>7.2792762646810578</v>
      </c>
    </row>
    <row r="8440" spans="1:2">
      <c r="A8440" s="32">
        <v>8430</v>
      </c>
      <c r="B8440" s="90">
        <v>9.1706958296480305</v>
      </c>
    </row>
    <row r="8441" spans="1:2">
      <c r="A8441" s="32">
        <v>8431</v>
      </c>
      <c r="B8441" s="90">
        <v>8.0901588260441173</v>
      </c>
    </row>
    <row r="8442" spans="1:2">
      <c r="A8442" s="32">
        <v>8432</v>
      </c>
      <c r="B8442" s="90">
        <v>8.0023135033372768</v>
      </c>
    </row>
    <row r="8443" spans="1:2">
      <c r="A8443" s="32">
        <v>8433</v>
      </c>
      <c r="B8443" s="90">
        <v>8.604003637622105</v>
      </c>
    </row>
    <row r="8444" spans="1:2">
      <c r="A8444" s="32">
        <v>8434</v>
      </c>
      <c r="B8444" s="90">
        <v>6.8586314247066253</v>
      </c>
    </row>
    <row r="8445" spans="1:2">
      <c r="A8445" s="32">
        <v>8435</v>
      </c>
      <c r="B8445" s="90">
        <v>7.8678257811806676</v>
      </c>
    </row>
    <row r="8446" spans="1:2">
      <c r="A8446" s="32">
        <v>8436</v>
      </c>
      <c r="B8446" s="90">
        <v>8.752653106970266</v>
      </c>
    </row>
    <row r="8447" spans="1:2">
      <c r="A8447" s="32">
        <v>8437</v>
      </c>
      <c r="B8447" s="90">
        <v>8.3754502886787012</v>
      </c>
    </row>
    <row r="8448" spans="1:2">
      <c r="A8448" s="32">
        <v>8438</v>
      </c>
      <c r="B8448" s="90">
        <v>8.3359250592931478</v>
      </c>
    </row>
    <row r="8449" spans="1:2">
      <c r="A8449" s="32">
        <v>8439</v>
      </c>
      <c r="B8449" s="90">
        <v>7.7198571092149164</v>
      </c>
    </row>
    <row r="8450" spans="1:2">
      <c r="A8450" s="32">
        <v>8440</v>
      </c>
      <c r="B8450" s="90">
        <v>7.0076660880179906</v>
      </c>
    </row>
    <row r="8451" spans="1:2">
      <c r="A8451" s="32">
        <v>8441</v>
      </c>
      <c r="B8451" s="90">
        <v>8.1947697862941755</v>
      </c>
    </row>
    <row r="8452" spans="1:2">
      <c r="A8452" s="32">
        <v>8442</v>
      </c>
      <c r="B8452" s="90">
        <v>9.1164551777034148</v>
      </c>
    </row>
    <row r="8453" spans="1:2">
      <c r="A8453" s="32">
        <v>8443</v>
      </c>
      <c r="B8453" s="90">
        <v>7.7239583038328243</v>
      </c>
    </row>
    <row r="8454" spans="1:2">
      <c r="A8454" s="32">
        <v>8444</v>
      </c>
      <c r="B8454" s="90">
        <v>8.466027226123634</v>
      </c>
    </row>
    <row r="8455" spans="1:2">
      <c r="A8455" s="32">
        <v>8445</v>
      </c>
      <c r="B8455" s="90">
        <v>7.7328037990503597</v>
      </c>
    </row>
    <row r="8456" spans="1:2">
      <c r="A8456" s="32">
        <v>8446</v>
      </c>
      <c r="B8456" s="90">
        <v>7.0499262967149638</v>
      </c>
    </row>
    <row r="8457" spans="1:2">
      <c r="A8457" s="32">
        <v>8447</v>
      </c>
      <c r="B8457" s="90">
        <v>8.2017805270149626</v>
      </c>
    </row>
    <row r="8458" spans="1:2">
      <c r="A8458" s="32">
        <v>8448</v>
      </c>
      <c r="B8458" s="90">
        <v>8.7252850077851072</v>
      </c>
    </row>
    <row r="8459" spans="1:2">
      <c r="A8459" s="32">
        <v>8449</v>
      </c>
      <c r="B8459" s="90">
        <v>8.5982008275740647</v>
      </c>
    </row>
    <row r="8460" spans="1:2">
      <c r="A8460" s="32">
        <v>8450</v>
      </c>
      <c r="B8460" s="90">
        <v>8.2061043150030351</v>
      </c>
    </row>
    <row r="8461" spans="1:2">
      <c r="A8461" s="32">
        <v>8451</v>
      </c>
      <c r="B8461" s="90">
        <v>6.9986609512983042</v>
      </c>
    </row>
    <row r="8462" spans="1:2">
      <c r="A8462" s="32">
        <v>8452</v>
      </c>
      <c r="B8462" s="90">
        <v>7.1907810434057131</v>
      </c>
    </row>
    <row r="8463" spans="1:2">
      <c r="A8463" s="32">
        <v>8453</v>
      </c>
      <c r="B8463" s="90">
        <v>8.4747303147845496</v>
      </c>
    </row>
    <row r="8464" spans="1:2">
      <c r="A8464" s="32">
        <v>8454</v>
      </c>
      <c r="B8464" s="90">
        <v>8.3169735887744718</v>
      </c>
    </row>
    <row r="8465" spans="1:2">
      <c r="A8465" s="32">
        <v>8455</v>
      </c>
      <c r="B8465" s="90">
        <v>9.3363605451140508</v>
      </c>
    </row>
    <row r="8466" spans="1:2">
      <c r="A8466" s="32">
        <v>8456</v>
      </c>
      <c r="B8466" s="90">
        <v>7.0514977231457365</v>
      </c>
    </row>
    <row r="8467" spans="1:2">
      <c r="A8467" s="32">
        <v>8457</v>
      </c>
      <c r="B8467" s="90">
        <v>8.8825331832668386</v>
      </c>
    </row>
    <row r="8468" spans="1:2">
      <c r="A8468" s="32">
        <v>8458</v>
      </c>
      <c r="B8468" s="90">
        <v>7.7941679429769186</v>
      </c>
    </row>
    <row r="8469" spans="1:2">
      <c r="A8469" s="32">
        <v>8459</v>
      </c>
      <c r="B8469" s="90">
        <v>7.1291681968718539</v>
      </c>
    </row>
    <row r="8470" spans="1:2">
      <c r="A8470" s="32">
        <v>8460</v>
      </c>
      <c r="B8470" s="90">
        <v>8.8196150748945108</v>
      </c>
    </row>
    <row r="8471" spans="1:2">
      <c r="A8471" s="32">
        <v>8461</v>
      </c>
      <c r="B8471" s="90">
        <v>8.7013205609823761</v>
      </c>
    </row>
    <row r="8472" spans="1:2">
      <c r="A8472" s="32">
        <v>8462</v>
      </c>
      <c r="B8472" s="90">
        <v>7.3916009603083648</v>
      </c>
    </row>
    <row r="8473" spans="1:2">
      <c r="A8473" s="32">
        <v>8463</v>
      </c>
      <c r="B8473" s="90">
        <v>8.5203835032738571</v>
      </c>
    </row>
    <row r="8474" spans="1:2">
      <c r="A8474" s="32">
        <v>8464</v>
      </c>
      <c r="B8474" s="90">
        <v>7.4016231741605223</v>
      </c>
    </row>
    <row r="8475" spans="1:2">
      <c r="A8475" s="32">
        <v>8465</v>
      </c>
      <c r="B8475" s="90">
        <v>7.5344530242552379</v>
      </c>
    </row>
    <row r="8476" spans="1:2">
      <c r="A8476" s="32">
        <v>8466</v>
      </c>
      <c r="B8476" s="90">
        <v>8.8974638357599503</v>
      </c>
    </row>
    <row r="8477" spans="1:2">
      <c r="A8477" s="32">
        <v>8467</v>
      </c>
      <c r="B8477" s="90">
        <v>8.5904804851693193</v>
      </c>
    </row>
    <row r="8478" spans="1:2">
      <c r="A8478" s="32">
        <v>8468</v>
      </c>
      <c r="B8478" s="90">
        <v>7.4197378549772059</v>
      </c>
    </row>
    <row r="8479" spans="1:2">
      <c r="A8479" s="32">
        <v>8469</v>
      </c>
      <c r="B8479" s="90">
        <v>8.8890131099978156</v>
      </c>
    </row>
    <row r="8480" spans="1:2">
      <c r="A8480" s="32">
        <v>8470</v>
      </c>
      <c r="B8480" s="90">
        <v>7.1770818028551204</v>
      </c>
    </row>
    <row r="8481" spans="1:2">
      <c r="A8481" s="32">
        <v>8471</v>
      </c>
      <c r="B8481" s="90">
        <v>7.5437044148764905</v>
      </c>
    </row>
    <row r="8482" spans="1:2">
      <c r="A8482" s="32">
        <v>8472</v>
      </c>
      <c r="B8482" s="90">
        <v>9.1445899648188718</v>
      </c>
    </row>
    <row r="8483" spans="1:2">
      <c r="A8483" s="32">
        <v>8473</v>
      </c>
      <c r="B8483" s="90">
        <v>8.1926109279522183</v>
      </c>
    </row>
    <row r="8484" spans="1:2">
      <c r="A8484" s="32">
        <v>8474</v>
      </c>
      <c r="B8484" s="90">
        <v>7.857415815329035</v>
      </c>
    </row>
    <row r="8485" spans="1:2">
      <c r="A8485" s="32">
        <v>8475</v>
      </c>
      <c r="B8485" s="90">
        <v>8.4072213307095538</v>
      </c>
    </row>
    <row r="8486" spans="1:2">
      <c r="A8486" s="32">
        <v>8476</v>
      </c>
      <c r="B8486" s="90">
        <v>7.343340836696326</v>
      </c>
    </row>
    <row r="8487" spans="1:2">
      <c r="A8487" s="32">
        <v>8477</v>
      </c>
      <c r="B8487" s="90">
        <v>7.4590325474914518</v>
      </c>
    </row>
    <row r="8488" spans="1:2">
      <c r="A8488" s="32">
        <v>8478</v>
      </c>
      <c r="B8488" s="90">
        <v>9.7762017091835762</v>
      </c>
    </row>
    <row r="8489" spans="1:2">
      <c r="A8489" s="32">
        <v>8479</v>
      </c>
      <c r="B8489" s="90">
        <v>7.6486519550804433</v>
      </c>
    </row>
    <row r="8490" spans="1:2">
      <c r="A8490" s="32">
        <v>8480</v>
      </c>
      <c r="B8490" s="90">
        <v>8.1333141640649806</v>
      </c>
    </row>
    <row r="8491" spans="1:2">
      <c r="A8491" s="32">
        <v>8481</v>
      </c>
      <c r="B8491" s="90">
        <v>8.7428043300864271</v>
      </c>
    </row>
    <row r="8492" spans="1:2">
      <c r="A8492" s="32">
        <v>8482</v>
      </c>
      <c r="B8492" s="90">
        <v>6.6919743241645007</v>
      </c>
    </row>
    <row r="8493" spans="1:2">
      <c r="A8493" s="32">
        <v>8483</v>
      </c>
      <c r="B8493" s="90">
        <v>7.6924138662323047</v>
      </c>
    </row>
    <row r="8494" spans="1:2">
      <c r="A8494" s="32">
        <v>8484</v>
      </c>
      <c r="B8494" s="90">
        <v>9.9911210292330583</v>
      </c>
    </row>
    <row r="8495" spans="1:2">
      <c r="A8495" s="32">
        <v>8485</v>
      </c>
      <c r="B8495" s="90">
        <v>7.1495469804781173</v>
      </c>
    </row>
    <row r="8496" spans="1:2">
      <c r="A8496" s="32">
        <v>8486</v>
      </c>
      <c r="B8496" s="90">
        <v>8.368747997958744</v>
      </c>
    </row>
    <row r="8497" spans="1:2">
      <c r="A8497" s="32">
        <v>8487</v>
      </c>
      <c r="B8497" s="90">
        <v>8.2781677765065798</v>
      </c>
    </row>
    <row r="8498" spans="1:2">
      <c r="A8498" s="32">
        <v>8488</v>
      </c>
      <c r="B8498" s="90">
        <v>7.0854268774515745</v>
      </c>
    </row>
    <row r="8499" spans="1:2">
      <c r="A8499" s="32">
        <v>8489</v>
      </c>
      <c r="B8499" s="90">
        <v>8.3228317071465412</v>
      </c>
    </row>
    <row r="8500" spans="1:2">
      <c r="A8500" s="32">
        <v>8490</v>
      </c>
      <c r="B8500" s="90">
        <v>9.2000803233836415</v>
      </c>
    </row>
    <row r="8501" spans="1:2">
      <c r="A8501" s="32">
        <v>8491</v>
      </c>
      <c r="B8501" s="90">
        <v>7.3075344335933536</v>
      </c>
    </row>
    <row r="8502" spans="1:2">
      <c r="A8502" s="32">
        <v>8492</v>
      </c>
      <c r="B8502" s="90">
        <v>8.4749990373825437</v>
      </c>
    </row>
    <row r="8503" spans="1:2">
      <c r="A8503" s="32">
        <v>8493</v>
      </c>
      <c r="B8503" s="90">
        <v>7.4377186973854839</v>
      </c>
    </row>
    <row r="8504" spans="1:2">
      <c r="A8504" s="32">
        <v>8494</v>
      </c>
      <c r="B8504" s="90">
        <v>7.44547527469856</v>
      </c>
    </row>
    <row r="8505" spans="1:2">
      <c r="A8505" s="32">
        <v>8495</v>
      </c>
      <c r="B8505" s="90">
        <v>9.0390837959366213</v>
      </c>
    </row>
    <row r="8506" spans="1:2">
      <c r="A8506" s="32">
        <v>8496</v>
      </c>
      <c r="B8506" s="90">
        <v>8.7072593965086895</v>
      </c>
    </row>
    <row r="8507" spans="1:2">
      <c r="A8507" s="32">
        <v>8497</v>
      </c>
      <c r="B8507" s="90">
        <v>7.1952512968039688</v>
      </c>
    </row>
    <row r="8508" spans="1:2">
      <c r="A8508" s="32">
        <v>8498</v>
      </c>
      <c r="B8508" s="90">
        <v>8.9366504325713159</v>
      </c>
    </row>
    <row r="8509" spans="1:2">
      <c r="A8509" s="32">
        <v>8499</v>
      </c>
      <c r="B8509" s="90">
        <v>6.9382573769631319</v>
      </c>
    </row>
    <row r="8510" spans="1:2">
      <c r="A8510" s="32">
        <v>8500</v>
      </c>
      <c r="B8510" s="90">
        <v>7.9922244865905832</v>
      </c>
    </row>
    <row r="8511" spans="1:2">
      <c r="A8511" s="32">
        <v>8501</v>
      </c>
      <c r="B8511" s="90">
        <v>8.9050187580430507</v>
      </c>
    </row>
    <row r="8512" spans="1:2">
      <c r="A8512" s="32">
        <v>8502</v>
      </c>
      <c r="B8512" s="90">
        <v>8.2437673431839062</v>
      </c>
    </row>
    <row r="8513" spans="1:2">
      <c r="A8513" s="32">
        <v>8503</v>
      </c>
      <c r="B8513" s="90">
        <v>7.7515967712172786</v>
      </c>
    </row>
    <row r="8514" spans="1:2">
      <c r="A8514" s="32">
        <v>8504</v>
      </c>
      <c r="B8514" s="90">
        <v>8.6043615805648148</v>
      </c>
    </row>
    <row r="8515" spans="1:2">
      <c r="A8515" s="32">
        <v>8505</v>
      </c>
      <c r="B8515" s="90">
        <v>7.5191768475093061</v>
      </c>
    </row>
    <row r="8516" spans="1:2">
      <c r="A8516" s="32">
        <v>8506</v>
      </c>
      <c r="B8516" s="90">
        <v>7.1913342398500211</v>
      </c>
    </row>
    <row r="8517" spans="1:2">
      <c r="A8517" s="32">
        <v>8507</v>
      </c>
      <c r="B8517" s="90">
        <v>9.3497309502784827</v>
      </c>
    </row>
    <row r="8518" spans="1:2">
      <c r="A8518" s="32">
        <v>8508</v>
      </c>
      <c r="B8518" s="90">
        <v>8.0466049914852427</v>
      </c>
    </row>
    <row r="8519" spans="1:2">
      <c r="A8519" s="32">
        <v>8509</v>
      </c>
      <c r="B8519" s="90">
        <v>8.0712299409844359</v>
      </c>
    </row>
    <row r="8520" spans="1:2">
      <c r="A8520" s="32">
        <v>8510</v>
      </c>
      <c r="B8520" s="90">
        <v>8.3233550684571451</v>
      </c>
    </row>
    <row r="8521" spans="1:2">
      <c r="A8521" s="32">
        <v>8511</v>
      </c>
      <c r="B8521" s="90">
        <v>7.3000362008355522</v>
      </c>
    </row>
    <row r="8522" spans="1:2">
      <c r="A8522" s="32">
        <v>8512</v>
      </c>
      <c r="B8522" s="90">
        <v>7.3589463623096529</v>
      </c>
    </row>
    <row r="8523" spans="1:2">
      <c r="A8523" s="32">
        <v>8513</v>
      </c>
      <c r="B8523" s="90">
        <v>9.7494705284161611</v>
      </c>
    </row>
    <row r="8524" spans="1:2">
      <c r="A8524" s="32">
        <v>8514</v>
      </c>
      <c r="B8524" s="90">
        <v>7.6764954143398727</v>
      </c>
    </row>
    <row r="8525" spans="1:2">
      <c r="A8525" s="32">
        <v>8515</v>
      </c>
      <c r="B8525" s="90">
        <v>8.2913811618480988</v>
      </c>
    </row>
    <row r="8526" spans="1:2">
      <c r="A8526" s="32">
        <v>8516</v>
      </c>
      <c r="B8526" s="90">
        <v>8.2651973939301406</v>
      </c>
    </row>
    <row r="8527" spans="1:2">
      <c r="A8527" s="32">
        <v>8517</v>
      </c>
      <c r="B8527" s="90">
        <v>6.8819128284617381</v>
      </c>
    </row>
    <row r="8528" spans="1:2">
      <c r="A8528" s="32">
        <v>8518</v>
      </c>
      <c r="B8528" s="90">
        <v>8.3169735887744718</v>
      </c>
    </row>
    <row r="8529" spans="1:2">
      <c r="A8529" s="32">
        <v>8519</v>
      </c>
      <c r="B8529" s="90">
        <v>9.3363605451140508</v>
      </c>
    </row>
    <row r="8530" spans="1:2">
      <c r="A8530" s="32">
        <v>8520</v>
      </c>
      <c r="B8530" s="90">
        <v>7.0514977231457365</v>
      </c>
    </row>
    <row r="8531" spans="1:2">
      <c r="A8531" s="32">
        <v>8521</v>
      </c>
      <c r="B8531" s="90">
        <v>8.8825331832668386</v>
      </c>
    </row>
    <row r="8532" spans="1:2">
      <c r="A8532" s="32">
        <v>8522</v>
      </c>
      <c r="B8532" s="90">
        <v>7.7941679429769186</v>
      </c>
    </row>
    <row r="8533" spans="1:2">
      <c r="A8533" s="32">
        <v>8523</v>
      </c>
      <c r="B8533" s="90">
        <v>7.1291681968718539</v>
      </c>
    </row>
    <row r="8534" spans="1:2">
      <c r="A8534" s="32">
        <v>8524</v>
      </c>
      <c r="B8534" s="90">
        <v>8.8196150748945108</v>
      </c>
    </row>
    <row r="8535" spans="1:2">
      <c r="A8535" s="32">
        <v>8525</v>
      </c>
      <c r="B8535" s="90">
        <v>8.7013205609823761</v>
      </c>
    </row>
    <row r="8536" spans="1:2">
      <c r="A8536" s="32">
        <v>8526</v>
      </c>
      <c r="B8536" s="90">
        <v>7.3916009603083648</v>
      </c>
    </row>
    <row r="8537" spans="1:2">
      <c r="A8537" s="32">
        <v>8527</v>
      </c>
      <c r="B8537" s="90">
        <v>8.5203835032738571</v>
      </c>
    </row>
    <row r="8538" spans="1:2">
      <c r="A8538" s="32">
        <v>8528</v>
      </c>
      <c r="B8538" s="90">
        <v>7.4016231741605223</v>
      </c>
    </row>
    <row r="8539" spans="1:2">
      <c r="A8539" s="32">
        <v>8529</v>
      </c>
      <c r="B8539" s="90">
        <v>7.5344530242552379</v>
      </c>
    </row>
    <row r="8540" spans="1:2">
      <c r="A8540" s="32">
        <v>8530</v>
      </c>
      <c r="B8540" s="90">
        <v>8.8974638357599503</v>
      </c>
    </row>
    <row r="8541" spans="1:2">
      <c r="A8541" s="32">
        <v>8531</v>
      </c>
      <c r="B8541" s="90">
        <v>8.5904804851693193</v>
      </c>
    </row>
    <row r="8542" spans="1:2">
      <c r="A8542" s="32">
        <v>8532</v>
      </c>
      <c r="B8542" s="90">
        <v>7.4197378549772059</v>
      </c>
    </row>
    <row r="8543" spans="1:2">
      <c r="A8543" s="32">
        <v>8533</v>
      </c>
      <c r="B8543" s="90">
        <v>8.8890131099978156</v>
      </c>
    </row>
    <row r="8544" spans="1:2">
      <c r="A8544" s="32">
        <v>8534</v>
      </c>
      <c r="B8544" s="90">
        <v>7.2114690926292955</v>
      </c>
    </row>
    <row r="8545" spans="1:2">
      <c r="A8545" s="32">
        <v>8535</v>
      </c>
      <c r="B8545" s="90">
        <v>9.1664443063606296</v>
      </c>
    </row>
    <row r="8546" spans="1:2">
      <c r="A8546" s="32">
        <v>8536</v>
      </c>
      <c r="B8546" s="90">
        <v>7.9823324651788372</v>
      </c>
    </row>
    <row r="8547" spans="1:2">
      <c r="A8547" s="32">
        <v>8537</v>
      </c>
      <c r="B8547" s="90">
        <v>6.6131990170957806</v>
      </c>
    </row>
    <row r="8548" spans="1:2">
      <c r="A8548" s="32">
        <v>8538</v>
      </c>
      <c r="B8548" s="90">
        <v>7.2567365094300067</v>
      </c>
    </row>
    <row r="8549" spans="1:2">
      <c r="A8549" s="32">
        <v>8539</v>
      </c>
      <c r="B8549" s="90">
        <v>8.8627035825258389</v>
      </c>
    </row>
    <row r="8550" spans="1:2">
      <c r="A8550" s="32">
        <v>8540</v>
      </c>
      <c r="B8550" s="90">
        <v>8.1027822858277379</v>
      </c>
    </row>
    <row r="8551" spans="1:2">
      <c r="A8551" s="32">
        <v>8541</v>
      </c>
      <c r="B8551" s="90">
        <v>8.6097309158383748</v>
      </c>
    </row>
    <row r="8552" spans="1:2">
      <c r="A8552" s="32">
        <v>8542</v>
      </c>
      <c r="B8552" s="90">
        <v>7.7001063676565478</v>
      </c>
    </row>
    <row r="8553" spans="1:2">
      <c r="A8553" s="32">
        <v>8543</v>
      </c>
      <c r="B8553" s="90">
        <v>7.2605656222922326</v>
      </c>
    </row>
    <row r="8554" spans="1:2">
      <c r="A8554" s="32">
        <v>8544</v>
      </c>
      <c r="B8554" s="90">
        <v>6.9834592350079117</v>
      </c>
    </row>
    <row r="8555" spans="1:2">
      <c r="A8555" s="32">
        <v>8545</v>
      </c>
      <c r="B8555" s="90">
        <v>9.0595202845776459</v>
      </c>
    </row>
    <row r="8556" spans="1:2">
      <c r="A8556" s="32">
        <v>8546</v>
      </c>
      <c r="B8556" s="90">
        <v>8.3538307466017105</v>
      </c>
    </row>
    <row r="8557" spans="1:2">
      <c r="A8557" s="32">
        <v>8547</v>
      </c>
      <c r="B8557" s="90">
        <v>8.2767827698028693</v>
      </c>
    </row>
    <row r="8558" spans="1:2">
      <c r="A8558" s="32">
        <v>8548</v>
      </c>
      <c r="B8558" s="90">
        <v>7.3679487615012711</v>
      </c>
    </row>
    <row r="8559" spans="1:2">
      <c r="A8559" s="32">
        <v>8549</v>
      </c>
      <c r="B8559" s="90">
        <v>7.4530263610614549</v>
      </c>
    </row>
    <row r="8560" spans="1:2">
      <c r="A8560" s="32">
        <v>8550</v>
      </c>
      <c r="B8560" s="90">
        <v>7.3293381834631131</v>
      </c>
    </row>
    <row r="8561" spans="1:2">
      <c r="A8561" s="32">
        <v>8551</v>
      </c>
      <c r="B8561" s="90">
        <v>8.326774415770263</v>
      </c>
    </row>
    <row r="8562" spans="1:2">
      <c r="A8562" s="32">
        <v>8552</v>
      </c>
      <c r="B8562" s="90">
        <v>9.3020509450150222</v>
      </c>
    </row>
    <row r="8563" spans="1:2">
      <c r="A8563" s="32">
        <v>8553</v>
      </c>
      <c r="B8563" s="90">
        <v>7.6228906433409565</v>
      </c>
    </row>
    <row r="8564" spans="1:2">
      <c r="A8564" s="32">
        <v>8554</v>
      </c>
      <c r="B8564" s="90">
        <v>7.7575632150653107</v>
      </c>
    </row>
    <row r="8565" spans="1:2">
      <c r="A8565" s="32">
        <v>8555</v>
      </c>
      <c r="B8565" s="90">
        <v>7.3284337508653969</v>
      </c>
    </row>
    <row r="8566" spans="1:2">
      <c r="A8566" s="32">
        <v>8556</v>
      </c>
      <c r="B8566" s="90">
        <v>7.3462897040458124</v>
      </c>
    </row>
    <row r="8567" spans="1:2">
      <c r="A8567" s="32">
        <v>8557</v>
      </c>
      <c r="B8567" s="90">
        <v>8.425542808148009</v>
      </c>
    </row>
    <row r="8568" spans="1:2">
      <c r="A8568" s="32">
        <v>8558</v>
      </c>
      <c r="B8568" s="90">
        <v>9.3206775049060564</v>
      </c>
    </row>
    <row r="8569" spans="1:2">
      <c r="A8569" s="32">
        <v>8559</v>
      </c>
      <c r="B8569" s="90">
        <v>7.9933098598442243</v>
      </c>
    </row>
    <row r="8570" spans="1:2">
      <c r="A8570" s="32">
        <v>8560</v>
      </c>
      <c r="B8570" s="90">
        <v>6.92236660598304</v>
      </c>
    </row>
    <row r="8571" spans="1:2">
      <c r="A8571" s="32">
        <v>8561</v>
      </c>
      <c r="B8571" s="90">
        <v>7.5945841777458503</v>
      </c>
    </row>
    <row r="8572" spans="1:2">
      <c r="A8572" s="32">
        <v>8562</v>
      </c>
      <c r="B8572" s="90">
        <v>7.5687014479544432</v>
      </c>
    </row>
    <row r="8573" spans="1:2">
      <c r="A8573" s="32">
        <v>8563</v>
      </c>
      <c r="B8573" s="90">
        <v>8.2642183422905564</v>
      </c>
    </row>
    <row r="8574" spans="1:2">
      <c r="A8574" s="32">
        <v>8564</v>
      </c>
      <c r="B8574" s="90">
        <v>9.201592168236159</v>
      </c>
    </row>
    <row r="8575" spans="1:2">
      <c r="A8575" s="32">
        <v>8565</v>
      </c>
      <c r="B8575" s="90">
        <v>7.6914929628126245</v>
      </c>
    </row>
    <row r="8576" spans="1:2">
      <c r="A8576" s="32">
        <v>8566</v>
      </c>
      <c r="B8576" s="90">
        <v>6.9475732164249857</v>
      </c>
    </row>
    <row r="8577" spans="1:2">
      <c r="A8577" s="32">
        <v>8567</v>
      </c>
      <c r="B8577" s="90">
        <v>7.3372308198057263</v>
      </c>
    </row>
    <row r="8578" spans="1:2">
      <c r="A8578" s="32">
        <v>8568</v>
      </c>
      <c r="B8578" s="90">
        <v>8.4717626677435707</v>
      </c>
    </row>
    <row r="8579" spans="1:2">
      <c r="A8579" s="32">
        <v>8569</v>
      </c>
      <c r="B8579" s="90">
        <v>8.0661000925701796</v>
      </c>
    </row>
    <row r="8580" spans="1:2">
      <c r="A8580" s="32">
        <v>8570</v>
      </c>
      <c r="B8580" s="90">
        <v>9.0950314693885126</v>
      </c>
    </row>
    <row r="8581" spans="1:2">
      <c r="A8581" s="32">
        <v>8571</v>
      </c>
      <c r="B8581" s="90">
        <v>7.6803892966746341</v>
      </c>
    </row>
    <row r="8582" spans="1:2">
      <c r="A8582" s="32">
        <v>8572</v>
      </c>
      <c r="B8582" s="90">
        <v>7.0904860080657643</v>
      </c>
    </row>
    <row r="8583" spans="1:2">
      <c r="A8583" s="32">
        <v>8573</v>
      </c>
      <c r="B8583" s="90">
        <v>7.2138382718608183</v>
      </c>
    </row>
    <row r="8584" spans="1:2">
      <c r="A8584" s="32">
        <v>8574</v>
      </c>
      <c r="B8584" s="90">
        <v>8.7526596656914677</v>
      </c>
    </row>
    <row r="8585" spans="1:2">
      <c r="A8585" s="32">
        <v>8575</v>
      </c>
      <c r="B8585" s="90">
        <v>8.2012618303568203</v>
      </c>
    </row>
    <row r="8586" spans="1:2">
      <c r="A8586" s="32">
        <v>8576</v>
      </c>
      <c r="B8586" s="90">
        <v>8.3131152690034273</v>
      </c>
    </row>
    <row r="8587" spans="1:2">
      <c r="A8587" s="32">
        <v>8577</v>
      </c>
      <c r="B8587" s="90">
        <v>7.7273128080014635</v>
      </c>
    </row>
    <row r="8588" spans="1:2">
      <c r="A8588" s="32">
        <v>8578</v>
      </c>
      <c r="B8588" s="90">
        <v>7.2166658733305518</v>
      </c>
    </row>
    <row r="8589" spans="1:2">
      <c r="A8589" s="32">
        <v>8579</v>
      </c>
      <c r="B8589" s="90">
        <v>7.4013623462024993</v>
      </c>
    </row>
    <row r="8590" spans="1:2">
      <c r="A8590" s="32">
        <v>8580</v>
      </c>
      <c r="B8590" s="90">
        <v>8.4252586860165373</v>
      </c>
    </row>
    <row r="8591" spans="1:2">
      <c r="A8591" s="32">
        <v>8581</v>
      </c>
      <c r="B8591" s="90">
        <v>9.0404080393435304</v>
      </c>
    </row>
    <row r="8592" spans="1:2">
      <c r="A8592" s="32">
        <v>8582</v>
      </c>
      <c r="B8592" s="90">
        <v>7.903928317538842</v>
      </c>
    </row>
    <row r="8593" spans="1:2">
      <c r="A8593" s="32">
        <v>8583</v>
      </c>
      <c r="B8593" s="90">
        <v>7.3541913500798204</v>
      </c>
    </row>
    <row r="8594" spans="1:2">
      <c r="A8594" s="32">
        <v>8584</v>
      </c>
      <c r="B8594" s="90">
        <v>7.3424803144387498</v>
      </c>
    </row>
    <row r="8595" spans="1:2">
      <c r="A8595" s="32">
        <v>8585</v>
      </c>
      <c r="B8595" s="90">
        <v>7.6875280025359105</v>
      </c>
    </row>
    <row r="8596" spans="1:2">
      <c r="A8596" s="32">
        <v>8586</v>
      </c>
      <c r="B8596" s="90">
        <v>8.4362598539025253</v>
      </c>
    </row>
    <row r="8597" spans="1:2">
      <c r="A8597" s="32">
        <v>8587</v>
      </c>
      <c r="B8597" s="90">
        <v>9.079083656500087</v>
      </c>
    </row>
    <row r="8598" spans="1:2">
      <c r="A8598" s="32">
        <v>8588</v>
      </c>
      <c r="B8598" s="90">
        <v>7.3515578548716096</v>
      </c>
    </row>
    <row r="8599" spans="1:2">
      <c r="A8599" s="32">
        <v>8589</v>
      </c>
      <c r="B8599" s="90">
        <v>7.7008509910428931</v>
      </c>
    </row>
    <row r="8600" spans="1:2">
      <c r="A8600" s="32">
        <v>8590</v>
      </c>
      <c r="B8600" s="90">
        <v>7.3658061925733138</v>
      </c>
    </row>
    <row r="8601" spans="1:2">
      <c r="A8601" s="32">
        <v>8591</v>
      </c>
      <c r="B8601" s="90">
        <v>7.5275306825030466</v>
      </c>
    </row>
    <row r="8602" spans="1:2">
      <c r="A8602" s="32">
        <v>8592</v>
      </c>
      <c r="B8602" s="90">
        <v>8.2657498243444056</v>
      </c>
    </row>
    <row r="8603" spans="1:2">
      <c r="A8603" s="32">
        <v>8593</v>
      </c>
      <c r="B8603" s="90">
        <v>9.2458219008742493</v>
      </c>
    </row>
    <row r="8604" spans="1:2">
      <c r="A8604" s="32">
        <v>8594</v>
      </c>
      <c r="B8604" s="90">
        <v>8.1249150880943741</v>
      </c>
    </row>
    <row r="8605" spans="1:2">
      <c r="A8605" s="32">
        <v>8595</v>
      </c>
      <c r="B8605" s="90">
        <v>6.6224764843199306</v>
      </c>
    </row>
    <row r="8606" spans="1:2">
      <c r="A8606" s="32">
        <v>8596</v>
      </c>
      <c r="B8606" s="90">
        <v>7.2035707952902754</v>
      </c>
    </row>
    <row r="8607" spans="1:2">
      <c r="A8607" s="32">
        <v>8597</v>
      </c>
      <c r="B8607" s="90">
        <v>8.3708906602307156</v>
      </c>
    </row>
    <row r="8608" spans="1:2">
      <c r="A8608" s="32">
        <v>8598</v>
      </c>
      <c r="B8608" s="90">
        <v>8.2189033221681154</v>
      </c>
    </row>
    <row r="8609" spans="1:2">
      <c r="A8609" s="32">
        <v>8599</v>
      </c>
      <c r="B8609" s="90">
        <v>9.1664443063606296</v>
      </c>
    </row>
    <row r="8610" spans="1:2">
      <c r="A8610" s="32">
        <v>8600</v>
      </c>
      <c r="B8610" s="90">
        <v>7.9823324651788372</v>
      </c>
    </row>
    <row r="8611" spans="1:2">
      <c r="A8611" s="32">
        <v>8601</v>
      </c>
      <c r="B8611" s="90">
        <v>6.6131990170957806</v>
      </c>
    </row>
    <row r="8612" spans="1:2">
      <c r="A8612" s="32">
        <v>8602</v>
      </c>
      <c r="B8612" s="90">
        <v>7.2567365094300067</v>
      </c>
    </row>
    <row r="8613" spans="1:2">
      <c r="A8613" s="32">
        <v>8603</v>
      </c>
      <c r="B8613" s="90">
        <v>8.8627035825258389</v>
      </c>
    </row>
    <row r="8614" spans="1:2">
      <c r="A8614" s="32">
        <v>8604</v>
      </c>
      <c r="B8614" s="90">
        <v>8.1027822858277379</v>
      </c>
    </row>
    <row r="8615" spans="1:2">
      <c r="A8615" s="32">
        <v>8605</v>
      </c>
      <c r="B8615" s="90">
        <v>8.6097309158383748</v>
      </c>
    </row>
    <row r="8616" spans="1:2">
      <c r="A8616" s="32">
        <v>8606</v>
      </c>
      <c r="B8616" s="90">
        <v>7.7001063676565478</v>
      </c>
    </row>
    <row r="8617" spans="1:2">
      <c r="A8617" s="32">
        <v>8607</v>
      </c>
      <c r="B8617" s="90">
        <v>7.2605656222922326</v>
      </c>
    </row>
    <row r="8618" spans="1:2">
      <c r="A8618" s="32">
        <v>8608</v>
      </c>
      <c r="B8618" s="90">
        <v>6.9834592350079117</v>
      </c>
    </row>
    <row r="8619" spans="1:2">
      <c r="A8619" s="32">
        <v>8609</v>
      </c>
      <c r="B8619" s="90">
        <v>9.0595202845776459</v>
      </c>
    </row>
    <row r="8620" spans="1:2">
      <c r="A8620" s="32">
        <v>8610</v>
      </c>
      <c r="B8620" s="90">
        <v>8.3538307466017105</v>
      </c>
    </row>
    <row r="8621" spans="1:2">
      <c r="A8621" s="32">
        <v>8611</v>
      </c>
      <c r="B8621" s="90">
        <v>8.2767827698028693</v>
      </c>
    </row>
    <row r="8622" spans="1:2">
      <c r="A8622" s="32">
        <v>8612</v>
      </c>
      <c r="B8622" s="90">
        <v>7.3679487615012711</v>
      </c>
    </row>
    <row r="8623" spans="1:2">
      <c r="A8623" s="32">
        <v>8613</v>
      </c>
      <c r="B8623" s="90">
        <v>7.4530263610614549</v>
      </c>
    </row>
    <row r="8624" spans="1:2">
      <c r="A8624" s="32">
        <v>8614</v>
      </c>
      <c r="B8624" s="90">
        <v>7.3293381834631131</v>
      </c>
    </row>
    <row r="8625" spans="1:2">
      <c r="A8625" s="32">
        <v>8615</v>
      </c>
      <c r="B8625" s="90">
        <v>8.326774415770263</v>
      </c>
    </row>
    <row r="8626" spans="1:2">
      <c r="A8626" s="32">
        <v>8616</v>
      </c>
      <c r="B8626" s="90">
        <v>9.3020509450150222</v>
      </c>
    </row>
    <row r="8627" spans="1:2">
      <c r="A8627" s="32">
        <v>8617</v>
      </c>
      <c r="B8627" s="90">
        <v>7.6228906433409565</v>
      </c>
    </row>
    <row r="8628" spans="1:2">
      <c r="A8628" s="32">
        <v>8618</v>
      </c>
      <c r="B8628" s="90">
        <v>7.7575632150653107</v>
      </c>
    </row>
    <row r="8629" spans="1:2">
      <c r="A8629" s="32">
        <v>8619</v>
      </c>
      <c r="B8629" s="90">
        <v>7.3284337508653969</v>
      </c>
    </row>
    <row r="8630" spans="1:2">
      <c r="A8630" s="32">
        <v>8620</v>
      </c>
      <c r="B8630" s="90">
        <v>7.3462897040458124</v>
      </c>
    </row>
    <row r="8631" spans="1:2">
      <c r="A8631" s="32">
        <v>8621</v>
      </c>
      <c r="B8631" s="90">
        <v>8.425542808148009</v>
      </c>
    </row>
    <row r="8632" spans="1:2">
      <c r="A8632" s="32">
        <v>8622</v>
      </c>
      <c r="B8632" s="90">
        <v>9.3206775049060564</v>
      </c>
    </row>
    <row r="8633" spans="1:2">
      <c r="A8633" s="32">
        <v>8623</v>
      </c>
      <c r="B8633" s="90">
        <v>7.9933098598442243</v>
      </c>
    </row>
    <row r="8634" spans="1:2">
      <c r="A8634" s="32">
        <v>8624</v>
      </c>
      <c r="B8634" s="90">
        <v>6.92236660598304</v>
      </c>
    </row>
    <row r="8635" spans="1:2">
      <c r="A8635" s="32">
        <v>8625</v>
      </c>
      <c r="B8635" s="90">
        <v>7.5945841777458503</v>
      </c>
    </row>
    <row r="8636" spans="1:2">
      <c r="A8636" s="32">
        <v>8626</v>
      </c>
      <c r="B8636" s="90">
        <v>7.5687014479544432</v>
      </c>
    </row>
    <row r="8637" spans="1:2">
      <c r="A8637" s="32">
        <v>8627</v>
      </c>
      <c r="B8637" s="90">
        <v>8.2642183422905564</v>
      </c>
    </row>
    <row r="8638" spans="1:2">
      <c r="A8638" s="32">
        <v>8628</v>
      </c>
      <c r="B8638" s="90">
        <v>9.201592168236159</v>
      </c>
    </row>
    <row r="8639" spans="1:2">
      <c r="A8639" s="32">
        <v>8629</v>
      </c>
      <c r="B8639" s="90">
        <v>7.6914929628126245</v>
      </c>
    </row>
    <row r="8640" spans="1:2">
      <c r="A8640" s="32">
        <v>8630</v>
      </c>
      <c r="B8640" s="90">
        <v>6.9475732164249857</v>
      </c>
    </row>
    <row r="8641" spans="1:2">
      <c r="A8641" s="32">
        <v>8631</v>
      </c>
      <c r="B8641" s="90">
        <v>7.3372308198057263</v>
      </c>
    </row>
    <row r="8642" spans="1:2">
      <c r="A8642" s="32">
        <v>8632</v>
      </c>
      <c r="B8642" s="90">
        <v>8.4717626677435707</v>
      </c>
    </row>
    <row r="8643" spans="1:2">
      <c r="A8643" s="32">
        <v>8633</v>
      </c>
      <c r="B8643" s="90">
        <v>8.0661000925701796</v>
      </c>
    </row>
    <row r="8644" spans="1:2">
      <c r="A8644" s="32">
        <v>8634</v>
      </c>
      <c r="B8644" s="90">
        <v>9.0950314693885126</v>
      </c>
    </row>
    <row r="8645" spans="1:2">
      <c r="A8645" s="32">
        <v>8635</v>
      </c>
      <c r="B8645" s="90">
        <v>7.6803892966746341</v>
      </c>
    </row>
    <row r="8646" spans="1:2">
      <c r="A8646" s="32">
        <v>8636</v>
      </c>
      <c r="B8646" s="90">
        <v>7.0904860080657643</v>
      </c>
    </row>
    <row r="8647" spans="1:2">
      <c r="A8647" s="32">
        <v>8637</v>
      </c>
      <c r="B8647" s="90">
        <v>7.2138382718608183</v>
      </c>
    </row>
    <row r="8648" spans="1:2">
      <c r="A8648" s="32">
        <v>8638</v>
      </c>
      <c r="B8648" s="90">
        <v>8.7526596656914677</v>
      </c>
    </row>
    <row r="8649" spans="1:2">
      <c r="A8649" s="32">
        <v>8639</v>
      </c>
      <c r="B8649" s="90">
        <v>8.2012618303568203</v>
      </c>
    </row>
    <row r="8650" spans="1:2">
      <c r="A8650" s="32">
        <v>8640</v>
      </c>
      <c r="B8650" s="90">
        <v>8.3131152690034273</v>
      </c>
    </row>
    <row r="8651" spans="1:2">
      <c r="A8651" s="32">
        <v>8641</v>
      </c>
      <c r="B8651" s="90">
        <v>7.7273128080014635</v>
      </c>
    </row>
    <row r="8652" spans="1:2">
      <c r="A8652" s="32">
        <v>8642</v>
      </c>
      <c r="B8652" s="90">
        <v>7.2166658733305518</v>
      </c>
    </row>
    <row r="8653" spans="1:2">
      <c r="A8653" s="32">
        <v>8643</v>
      </c>
      <c r="B8653" s="90">
        <v>7.4013623462024993</v>
      </c>
    </row>
    <row r="8654" spans="1:2">
      <c r="A8654" s="32">
        <v>8644</v>
      </c>
      <c r="B8654" s="90">
        <v>8.4252586860165373</v>
      </c>
    </row>
    <row r="8655" spans="1:2">
      <c r="A8655" s="32">
        <v>8645</v>
      </c>
      <c r="B8655" s="90">
        <v>9.0404080393435304</v>
      </c>
    </row>
    <row r="8656" spans="1:2">
      <c r="A8656" s="32">
        <v>8646</v>
      </c>
      <c r="B8656" s="90">
        <v>7.903928317538842</v>
      </c>
    </row>
    <row r="8657" spans="1:2">
      <c r="A8657" s="32">
        <v>8647</v>
      </c>
      <c r="B8657" s="90">
        <v>7.3541913500798204</v>
      </c>
    </row>
    <row r="8658" spans="1:2">
      <c r="A8658" s="32">
        <v>8648</v>
      </c>
      <c r="B8658" s="90">
        <v>7.3424803144387498</v>
      </c>
    </row>
    <row r="8659" spans="1:2">
      <c r="A8659" s="32">
        <v>8649</v>
      </c>
      <c r="B8659" s="90">
        <v>7.6393828681863907</v>
      </c>
    </row>
    <row r="8660" spans="1:2">
      <c r="A8660" s="32">
        <v>8650</v>
      </c>
      <c r="B8660" s="90">
        <v>7.4583216141655386</v>
      </c>
    </row>
    <row r="8661" spans="1:2">
      <c r="A8661" s="32">
        <v>8651</v>
      </c>
      <c r="B8661" s="90">
        <v>7.7153616084185019</v>
      </c>
    </row>
    <row r="8662" spans="1:2">
      <c r="A8662" s="32">
        <v>8652</v>
      </c>
      <c r="B8662" s="90">
        <v>7.9190004049683891</v>
      </c>
    </row>
    <row r="8663" spans="1:2">
      <c r="A8663" s="32">
        <v>8653</v>
      </c>
      <c r="B8663" s="90">
        <v>8.5192109138392826</v>
      </c>
    </row>
    <row r="8664" spans="1:2">
      <c r="A8664" s="32">
        <v>8654</v>
      </c>
      <c r="B8664" s="90">
        <v>8.2638654508911955</v>
      </c>
    </row>
    <row r="8665" spans="1:2">
      <c r="A8665" s="32">
        <v>8655</v>
      </c>
      <c r="B8665" s="90">
        <v>7.9357859663725883</v>
      </c>
    </row>
    <row r="8666" spans="1:2">
      <c r="A8666" s="32">
        <v>8656</v>
      </c>
      <c r="B8666" s="90">
        <v>7.5326815409840986</v>
      </c>
    </row>
    <row r="8667" spans="1:2">
      <c r="A8667" s="32">
        <v>8657</v>
      </c>
      <c r="B8667" s="90">
        <v>7.4807578026057815</v>
      </c>
    </row>
    <row r="8668" spans="1:2">
      <c r="A8668" s="32">
        <v>8658</v>
      </c>
      <c r="B8668" s="90">
        <v>9.1899401443947486</v>
      </c>
    </row>
    <row r="8669" spans="1:2">
      <c r="A8669" s="32">
        <v>8659</v>
      </c>
      <c r="B8669" s="90">
        <v>7.8547918197822675</v>
      </c>
    </row>
    <row r="8670" spans="1:2">
      <c r="A8670" s="32">
        <v>8660</v>
      </c>
      <c r="B8670" s="90">
        <v>8.0048930581021462</v>
      </c>
    </row>
    <row r="8671" spans="1:2">
      <c r="A8671" s="32">
        <v>8661</v>
      </c>
      <c r="B8671" s="90">
        <v>7.7748953598058455</v>
      </c>
    </row>
    <row r="8672" spans="1:2">
      <c r="A8672" s="32">
        <v>8662</v>
      </c>
      <c r="B8672" s="90">
        <v>8.2606342700146538</v>
      </c>
    </row>
    <row r="8673" spans="1:2">
      <c r="A8673" s="32">
        <v>8663</v>
      </c>
      <c r="B8673" s="90">
        <v>6.8942489191314076</v>
      </c>
    </row>
    <row r="8674" spans="1:2">
      <c r="A8674" s="32">
        <v>8664</v>
      </c>
      <c r="B8674" s="90">
        <v>9.7406464156994854</v>
      </c>
    </row>
    <row r="8675" spans="1:2">
      <c r="A8675" s="32">
        <v>8665</v>
      </c>
      <c r="B8675" s="90">
        <v>7.695729064520628</v>
      </c>
    </row>
    <row r="8676" spans="1:2">
      <c r="A8676" s="32">
        <v>8666</v>
      </c>
      <c r="B8676" s="90">
        <v>7.495414064365197</v>
      </c>
    </row>
    <row r="8677" spans="1:2">
      <c r="A8677" s="32">
        <v>8667</v>
      </c>
      <c r="B8677" s="90">
        <v>7.9430493554709996</v>
      </c>
    </row>
    <row r="8678" spans="1:2">
      <c r="A8678" s="32">
        <v>8668</v>
      </c>
      <c r="B8678" s="90">
        <v>7.7172601526905282</v>
      </c>
    </row>
    <row r="8679" spans="1:2">
      <c r="A8679" s="32">
        <v>8669</v>
      </c>
      <c r="B8679" s="90">
        <v>7.9231510699469636</v>
      </c>
    </row>
    <row r="8680" spans="1:2">
      <c r="A8680" s="32">
        <v>8670</v>
      </c>
      <c r="B8680" s="90">
        <v>8.8299415545860906</v>
      </c>
    </row>
    <row r="8681" spans="1:2">
      <c r="A8681" s="32">
        <v>8671</v>
      </c>
      <c r="B8681" s="90">
        <v>7.6742960620236405</v>
      </c>
    </row>
    <row r="8682" spans="1:2">
      <c r="A8682" s="32">
        <v>8672</v>
      </c>
      <c r="B8682" s="90">
        <v>8.2666499429366951</v>
      </c>
    </row>
    <row r="8683" spans="1:2">
      <c r="A8683" s="32">
        <v>8673</v>
      </c>
      <c r="B8683" s="90">
        <v>7.5656368933813614</v>
      </c>
    </row>
    <row r="8684" spans="1:2">
      <c r="A8684" s="32">
        <v>8674</v>
      </c>
      <c r="B8684" s="90">
        <v>7.9255181744265819</v>
      </c>
    </row>
    <row r="8685" spans="1:2">
      <c r="A8685" s="32">
        <v>8675</v>
      </c>
      <c r="B8685" s="90">
        <v>7.6944846902244644</v>
      </c>
    </row>
    <row r="8686" spans="1:2">
      <c r="A8686" s="32">
        <v>8676</v>
      </c>
      <c r="B8686" s="90">
        <v>9.1443316686290412</v>
      </c>
    </row>
    <row r="8687" spans="1:2">
      <c r="A8687" s="32">
        <v>8677</v>
      </c>
      <c r="B8687" s="90">
        <v>7.9332141620192536</v>
      </c>
    </row>
    <row r="8688" spans="1:2">
      <c r="A8688" s="32">
        <v>8678</v>
      </c>
      <c r="B8688" s="90">
        <v>8.0844523403864379</v>
      </c>
    </row>
    <row r="8689" spans="1:2">
      <c r="A8689" s="32">
        <v>8679</v>
      </c>
      <c r="B8689" s="90">
        <v>7.2922816273461564</v>
      </c>
    </row>
    <row r="8690" spans="1:2">
      <c r="A8690" s="32">
        <v>8680</v>
      </c>
      <c r="B8690" s="90">
        <v>7.7207092559956427</v>
      </c>
    </row>
    <row r="8691" spans="1:2">
      <c r="A8691" s="32">
        <v>8681</v>
      </c>
      <c r="B8691" s="90">
        <v>7.9573369034884491</v>
      </c>
    </row>
    <row r="8692" spans="1:2">
      <c r="A8692" s="32">
        <v>8682</v>
      </c>
      <c r="B8692" s="90">
        <v>8.5560820717251964</v>
      </c>
    </row>
    <row r="8693" spans="1:2">
      <c r="A8693" s="32">
        <v>8683</v>
      </c>
      <c r="B8693" s="90">
        <v>8.3353836675464166</v>
      </c>
    </row>
    <row r="8694" spans="1:2">
      <c r="A8694" s="32">
        <v>8684</v>
      </c>
      <c r="B8694" s="90">
        <v>8.0794222323260296</v>
      </c>
    </row>
    <row r="8695" spans="1:2">
      <c r="A8695" s="32">
        <v>8685</v>
      </c>
      <c r="B8695" s="90">
        <v>7.3080054822535088</v>
      </c>
    </row>
    <row r="8696" spans="1:2">
      <c r="A8696" s="32">
        <v>8686</v>
      </c>
      <c r="B8696" s="90">
        <v>7.5141326339298082</v>
      </c>
    </row>
    <row r="8697" spans="1:2">
      <c r="A8697" s="32">
        <v>8687</v>
      </c>
      <c r="B8697" s="90">
        <v>8.5809881441389955</v>
      </c>
    </row>
    <row r="8698" spans="1:2">
      <c r="A8698" s="32">
        <v>8688</v>
      </c>
      <c r="B8698" s="90">
        <v>8.2004338731920541</v>
      </c>
    </row>
    <row r="8699" spans="1:2">
      <c r="A8699" s="32">
        <v>8689</v>
      </c>
      <c r="B8699" s="90">
        <v>8.4992842039070879</v>
      </c>
    </row>
    <row r="8700" spans="1:2">
      <c r="A8700" s="32">
        <v>8690</v>
      </c>
      <c r="B8700" s="90">
        <v>7.514153753611537</v>
      </c>
    </row>
    <row r="8701" spans="1:2">
      <c r="A8701" s="32">
        <v>8691</v>
      </c>
      <c r="B8701" s="90">
        <v>8.1428906972163251</v>
      </c>
    </row>
    <row r="8702" spans="1:2">
      <c r="A8702" s="32">
        <v>8692</v>
      </c>
      <c r="B8702" s="90">
        <v>7.1215789137199081</v>
      </c>
    </row>
    <row r="8703" spans="1:2">
      <c r="A8703" s="32">
        <v>8693</v>
      </c>
      <c r="B8703" s="90">
        <v>9.3192553061165064</v>
      </c>
    </row>
    <row r="8704" spans="1:2">
      <c r="A8704" s="32">
        <v>8694</v>
      </c>
      <c r="B8704" s="90">
        <v>7.7318106502311776</v>
      </c>
    </row>
    <row r="8705" spans="1:2">
      <c r="A8705" s="32">
        <v>8695</v>
      </c>
      <c r="B8705" s="90">
        <v>7.7044367833877203</v>
      </c>
    </row>
    <row r="8706" spans="1:2">
      <c r="A8706" s="32">
        <v>8696</v>
      </c>
      <c r="B8706" s="90">
        <v>7.7847804350946515</v>
      </c>
    </row>
    <row r="8707" spans="1:2">
      <c r="A8707" s="32">
        <v>8697</v>
      </c>
      <c r="B8707" s="90">
        <v>8.0767124946423365</v>
      </c>
    </row>
    <row r="8708" spans="1:2">
      <c r="A8708" s="32">
        <v>8698</v>
      </c>
      <c r="B8708" s="90">
        <v>7.6974987875531795</v>
      </c>
    </row>
    <row r="8709" spans="1:2">
      <c r="A8709" s="32">
        <v>8699</v>
      </c>
      <c r="B8709" s="90">
        <v>8.8461096057078947</v>
      </c>
    </row>
    <row r="8710" spans="1:2">
      <c r="A8710" s="32">
        <v>8700</v>
      </c>
      <c r="B8710" s="90">
        <v>7.7916069276097835</v>
      </c>
    </row>
    <row r="8711" spans="1:2">
      <c r="A8711" s="32">
        <v>8701</v>
      </c>
      <c r="B8711" s="90">
        <v>8.1079248034880038</v>
      </c>
    </row>
    <row r="8712" spans="1:2">
      <c r="A8712" s="32">
        <v>8702</v>
      </c>
      <c r="B8712" s="90">
        <v>7.5309813512625174</v>
      </c>
    </row>
    <row r="8713" spans="1:2">
      <c r="A8713" s="32">
        <v>8703</v>
      </c>
      <c r="B8713" s="90">
        <v>7.8632915551997833</v>
      </c>
    </row>
    <row r="8714" spans="1:2">
      <c r="A8714" s="32">
        <v>8704</v>
      </c>
      <c r="B8714" s="90">
        <v>7.7928886423014143</v>
      </c>
    </row>
    <row r="8715" spans="1:2">
      <c r="A8715" s="32">
        <v>8705</v>
      </c>
      <c r="B8715" s="90">
        <v>9.0473172052827877</v>
      </c>
    </row>
    <row r="8716" spans="1:2">
      <c r="A8716" s="32">
        <v>8706</v>
      </c>
      <c r="B8716" s="90">
        <v>7.8854091362556504</v>
      </c>
    </row>
    <row r="8717" spans="1:2">
      <c r="A8717" s="32">
        <v>8707</v>
      </c>
      <c r="B8717" s="90">
        <v>8.2074623382378071</v>
      </c>
    </row>
    <row r="8718" spans="1:2">
      <c r="A8718" s="32">
        <v>8708</v>
      </c>
      <c r="B8718" s="90">
        <v>7.1952327258891895</v>
      </c>
    </row>
    <row r="8719" spans="1:2">
      <c r="A8719" s="32">
        <v>8709</v>
      </c>
      <c r="B8719" s="90">
        <v>7.9404088075944923</v>
      </c>
    </row>
    <row r="8720" spans="1:2">
      <c r="A8720" s="32">
        <v>8710</v>
      </c>
      <c r="B8720" s="90">
        <v>7.6864264240812101</v>
      </c>
    </row>
    <row r="8721" spans="1:2">
      <c r="A8721" s="32">
        <v>8711</v>
      </c>
      <c r="B8721" s="90">
        <v>9.0620926297401354</v>
      </c>
    </row>
    <row r="8722" spans="1:2">
      <c r="A8722" s="32">
        <v>8712</v>
      </c>
      <c r="B8722" s="90">
        <v>8.0577360426673383</v>
      </c>
    </row>
    <row r="8723" spans="1:2">
      <c r="A8723" s="32">
        <v>8713</v>
      </c>
      <c r="B8723" s="90">
        <v>7.9628233971333593</v>
      </c>
    </row>
    <row r="8724" spans="1:2">
      <c r="A8724" s="32">
        <v>8714</v>
      </c>
      <c r="B8724" s="90">
        <v>7.4583216141655386</v>
      </c>
    </row>
    <row r="8725" spans="1:2">
      <c r="A8725" s="32">
        <v>8715</v>
      </c>
      <c r="B8725" s="90">
        <v>7.7153616084185019</v>
      </c>
    </row>
    <row r="8726" spans="1:2">
      <c r="A8726" s="32">
        <v>8716</v>
      </c>
      <c r="B8726" s="90">
        <v>7.9190004049683891</v>
      </c>
    </row>
    <row r="8727" spans="1:2">
      <c r="A8727" s="32">
        <v>8717</v>
      </c>
      <c r="B8727" s="90">
        <v>8.5192109138392826</v>
      </c>
    </row>
    <row r="8728" spans="1:2">
      <c r="A8728" s="32">
        <v>8718</v>
      </c>
      <c r="B8728" s="90">
        <v>8.2638654508911955</v>
      </c>
    </row>
    <row r="8729" spans="1:2">
      <c r="A8729" s="32">
        <v>8719</v>
      </c>
      <c r="B8729" s="90">
        <v>7.9357859663725883</v>
      </c>
    </row>
    <row r="8730" spans="1:2">
      <c r="A8730" s="32">
        <v>8720</v>
      </c>
      <c r="B8730" s="90">
        <v>7.5326815409840986</v>
      </c>
    </row>
    <row r="8731" spans="1:2">
      <c r="A8731" s="32">
        <v>8721</v>
      </c>
      <c r="B8731" s="90">
        <v>7.4807578026057815</v>
      </c>
    </row>
    <row r="8732" spans="1:2">
      <c r="A8732" s="32">
        <v>8722</v>
      </c>
      <c r="B8732" s="90">
        <v>9.1899401443947486</v>
      </c>
    </row>
    <row r="8733" spans="1:2">
      <c r="A8733" s="32">
        <v>8723</v>
      </c>
      <c r="B8733" s="90">
        <v>7.8547918197822675</v>
      </c>
    </row>
    <row r="8734" spans="1:2">
      <c r="A8734" s="32">
        <v>8724</v>
      </c>
      <c r="B8734" s="90">
        <v>8.0048930581021462</v>
      </c>
    </row>
    <row r="8735" spans="1:2">
      <c r="A8735" s="32">
        <v>8725</v>
      </c>
      <c r="B8735" s="90">
        <v>7.7748953598058455</v>
      </c>
    </row>
    <row r="8736" spans="1:2">
      <c r="A8736" s="32">
        <v>8726</v>
      </c>
      <c r="B8736" s="90">
        <v>8.2606342700146538</v>
      </c>
    </row>
    <row r="8737" spans="1:2">
      <c r="A8737" s="32">
        <v>8727</v>
      </c>
      <c r="B8737" s="90">
        <v>7.6770937227599791</v>
      </c>
    </row>
    <row r="8738" spans="1:2">
      <c r="A8738" s="32">
        <v>8728</v>
      </c>
      <c r="B8738" s="90">
        <v>7.3361457238255747</v>
      </c>
    </row>
    <row r="8739" spans="1:2">
      <c r="A8739" s="32">
        <v>8729</v>
      </c>
      <c r="B8739" s="90">
        <v>8.2814805350634586</v>
      </c>
    </row>
    <row r="8740" spans="1:2">
      <c r="A8740" s="32">
        <v>8730</v>
      </c>
      <c r="B8740" s="90">
        <v>8.9274744563060739</v>
      </c>
    </row>
    <row r="8741" spans="1:2">
      <c r="A8741" s="32">
        <v>8731</v>
      </c>
      <c r="B8741" s="90">
        <v>7.6486637292978754</v>
      </c>
    </row>
    <row r="8742" spans="1:2">
      <c r="A8742" s="32">
        <v>8732</v>
      </c>
      <c r="B8742" s="90">
        <v>7.6094698167385584</v>
      </c>
    </row>
    <row r="8743" spans="1:2">
      <c r="A8743" s="32">
        <v>8733</v>
      </c>
      <c r="B8743" s="90">
        <v>8.8100612476295126</v>
      </c>
    </row>
    <row r="8744" spans="1:2">
      <c r="A8744" s="32">
        <v>8734</v>
      </c>
      <c r="B8744" s="90">
        <v>7.7691246531922982</v>
      </c>
    </row>
    <row r="8745" spans="1:2">
      <c r="A8745" s="32">
        <v>8735</v>
      </c>
      <c r="B8745" s="90">
        <v>8.0706878519168459</v>
      </c>
    </row>
    <row r="8746" spans="1:2">
      <c r="A8746" s="32">
        <v>8736</v>
      </c>
      <c r="B8746" s="90">
        <v>8.8852727843964701</v>
      </c>
    </row>
    <row r="8747" spans="1:2">
      <c r="A8747" s="32">
        <v>8737</v>
      </c>
      <c r="B8747" s="90">
        <v>7.5933700359088308</v>
      </c>
    </row>
    <row r="8748" spans="1:2">
      <c r="A8748" s="32">
        <v>8738</v>
      </c>
      <c r="B8748" s="90">
        <v>8.39437306212848</v>
      </c>
    </row>
    <row r="8749" spans="1:2">
      <c r="A8749" s="32">
        <v>8739</v>
      </c>
      <c r="B8749" s="90">
        <v>7.9986682749897575</v>
      </c>
    </row>
    <row r="8750" spans="1:2">
      <c r="A8750" s="32">
        <v>8740</v>
      </c>
      <c r="B8750" s="90">
        <v>8.3688898956054807</v>
      </c>
    </row>
    <row r="8751" spans="1:2">
      <c r="A8751" s="32">
        <v>8741</v>
      </c>
      <c r="B8751" s="90">
        <v>7.6911209022985307</v>
      </c>
    </row>
    <row r="8752" spans="1:2">
      <c r="A8752" s="32">
        <v>8742</v>
      </c>
      <c r="B8752" s="90">
        <v>8.6859986594354606</v>
      </c>
    </row>
    <row r="8753" spans="1:2">
      <c r="A8753" s="32">
        <v>8743</v>
      </c>
      <c r="B8753" s="90">
        <v>7.4815721029962878</v>
      </c>
    </row>
    <row r="8754" spans="1:2">
      <c r="A8754" s="32">
        <v>8744</v>
      </c>
      <c r="B8754" s="90">
        <v>8.608321336563403</v>
      </c>
    </row>
    <row r="8755" spans="1:2">
      <c r="A8755" s="32">
        <v>8745</v>
      </c>
      <c r="B8755" s="90">
        <v>7.827198533487933</v>
      </c>
    </row>
    <row r="8756" spans="1:2">
      <c r="A8756" s="32">
        <v>8746</v>
      </c>
      <c r="B8756" s="90">
        <v>8.3214802043552645</v>
      </c>
    </row>
    <row r="8757" spans="1:2">
      <c r="A8757" s="32">
        <v>8747</v>
      </c>
      <c r="B8757" s="90">
        <v>7.8346960241232395</v>
      </c>
    </row>
    <row r="8758" spans="1:2">
      <c r="A8758" s="32">
        <v>8748</v>
      </c>
      <c r="B8758" s="90">
        <v>8.6447222986337273</v>
      </c>
    </row>
    <row r="8759" spans="1:2">
      <c r="A8759" s="32">
        <v>8749</v>
      </c>
      <c r="B8759" s="90">
        <v>7.3905136473387962</v>
      </c>
    </row>
    <row r="8760" spans="1:2">
      <c r="A8760" s="32">
        <v>8750</v>
      </c>
      <c r="B8760" s="90">
        <v>8.9904624784280092</v>
      </c>
    </row>
    <row r="8761" spans="1:2">
      <c r="A8761" s="32">
        <v>8751</v>
      </c>
      <c r="B8761" s="90">
        <v>8.019732014547639</v>
      </c>
    </row>
    <row r="8762" spans="1:2">
      <c r="A8762" s="32">
        <v>8752</v>
      </c>
      <c r="B8762" s="90">
        <v>7.6335794219264361</v>
      </c>
    </row>
    <row r="8763" spans="1:2">
      <c r="A8763" s="32">
        <v>8753</v>
      </c>
      <c r="B8763" s="90">
        <v>8.8959868847614771</v>
      </c>
    </row>
    <row r="8764" spans="1:2">
      <c r="A8764" s="32">
        <v>8754</v>
      </c>
      <c r="B8764" s="90">
        <v>7.8090311004132671</v>
      </c>
    </row>
    <row r="8765" spans="1:2">
      <c r="A8765" s="32">
        <v>8755</v>
      </c>
      <c r="B8765" s="90">
        <v>7.5789397376962349</v>
      </c>
    </row>
    <row r="8766" spans="1:2">
      <c r="A8766" s="32">
        <v>8756</v>
      </c>
      <c r="B8766" s="90">
        <v>9.1188087377842866</v>
      </c>
    </row>
    <row r="8767" spans="1:2">
      <c r="A8767" s="32">
        <v>8757</v>
      </c>
      <c r="B8767" s="90">
        <v>7.5315880645942448</v>
      </c>
    </row>
    <row r="8768" spans="1:2">
      <c r="A8768" s="32">
        <v>8758</v>
      </c>
      <c r="B8768" s="90">
        <v>7.9727084420864687</v>
      </c>
    </row>
    <row r="8769" spans="1:2">
      <c r="A8769" s="32">
        <v>8759</v>
      </c>
      <c r="B8769" s="90">
        <v>9.1533179010556811</v>
      </c>
    </row>
    <row r="8770" spans="1:2">
      <c r="A8770" s="32">
        <v>8760</v>
      </c>
      <c r="B8770" s="90">
        <v>7.5003943399741138</v>
      </c>
    </row>
    <row r="8771" spans="1:2">
      <c r="A8771" s="32">
        <v>8761</v>
      </c>
      <c r="B8771" s="90">
        <v>7.8482461090583788</v>
      </c>
    </row>
    <row r="8772" spans="1:2">
      <c r="A8772" s="32">
        <v>8762</v>
      </c>
      <c r="B8772" s="90">
        <v>8.8628323314730917</v>
      </c>
    </row>
    <row r="8773" spans="1:2">
      <c r="A8773" s="32">
        <v>8763</v>
      </c>
      <c r="B8773" s="90">
        <v>7.6776891735312995</v>
      </c>
    </row>
    <row r="8774" spans="1:2">
      <c r="A8774" s="32">
        <v>8764</v>
      </c>
      <c r="B8774" s="90">
        <v>7.9860887665033831</v>
      </c>
    </row>
    <row r="8775" spans="1:2">
      <c r="A8775" s="32">
        <v>8765</v>
      </c>
      <c r="B8775" s="90">
        <v>8.8351508045859397</v>
      </c>
    </row>
    <row r="8776" spans="1:2">
      <c r="A8776" s="32">
        <v>8766</v>
      </c>
      <c r="B8776" s="90">
        <v>7.5958559148129572</v>
      </c>
    </row>
    <row r="8777" spans="1:2">
      <c r="A8777" s="32">
        <v>8767</v>
      </c>
      <c r="B8777" s="90">
        <v>7.9983014087215469</v>
      </c>
    </row>
    <row r="8778" spans="1:2">
      <c r="A8778" s="32">
        <v>8768</v>
      </c>
      <c r="B8778" s="90">
        <v>8.4576569248520332</v>
      </c>
    </row>
    <row r="8779" spans="1:2">
      <c r="A8779" s="32">
        <v>8769</v>
      </c>
      <c r="B8779" s="90">
        <v>8.3749536829228379</v>
      </c>
    </row>
    <row r="8780" spans="1:2">
      <c r="A8780" s="32">
        <v>8770</v>
      </c>
      <c r="B8780" s="90">
        <v>7.758722560504892</v>
      </c>
    </row>
    <row r="8781" spans="1:2">
      <c r="A8781" s="32">
        <v>8771</v>
      </c>
      <c r="B8781" s="90">
        <v>8.6770696069750599</v>
      </c>
    </row>
    <row r="8782" spans="1:2">
      <c r="A8782" s="32">
        <v>8772</v>
      </c>
      <c r="B8782" s="90">
        <v>7.3576934968857248</v>
      </c>
    </row>
    <row r="8783" spans="1:2">
      <c r="A8783" s="32">
        <v>8773</v>
      </c>
      <c r="B8783" s="90">
        <v>8.4852579084545976</v>
      </c>
    </row>
    <row r="8784" spans="1:2">
      <c r="A8784" s="32">
        <v>8774</v>
      </c>
      <c r="B8784" s="90">
        <v>7.9525236383100868</v>
      </c>
    </row>
    <row r="8785" spans="1:2">
      <c r="A8785" s="32">
        <v>8775</v>
      </c>
      <c r="B8785" s="90">
        <v>8.1394590159351843</v>
      </c>
    </row>
    <row r="8786" spans="1:2">
      <c r="A8786" s="32">
        <v>8776</v>
      </c>
      <c r="B8786" s="90">
        <v>7.9389544595792341</v>
      </c>
    </row>
    <row r="8787" spans="1:2">
      <c r="A8787" s="32">
        <v>8777</v>
      </c>
      <c r="B8787" s="90">
        <v>8.8278097726399558</v>
      </c>
    </row>
    <row r="8788" spans="1:2">
      <c r="A8788" s="32">
        <v>8778</v>
      </c>
      <c r="B8788" s="90">
        <v>7.3862512599641672</v>
      </c>
    </row>
    <row r="8789" spans="1:2">
      <c r="A8789" s="32">
        <v>8779</v>
      </c>
      <c r="B8789" s="90">
        <v>8.625584570063344</v>
      </c>
    </row>
    <row r="8790" spans="1:2">
      <c r="A8790" s="32">
        <v>8780</v>
      </c>
      <c r="B8790" s="90">
        <v>8.295668925728469</v>
      </c>
    </row>
    <row r="8791" spans="1:2">
      <c r="A8791" s="32">
        <v>8781</v>
      </c>
      <c r="B8791" s="90">
        <v>7.9092514536430416</v>
      </c>
    </row>
    <row r="8792" spans="1:2">
      <c r="A8792" s="32">
        <v>8782</v>
      </c>
      <c r="B8792" s="90">
        <v>8.2956143769984525</v>
      </c>
    </row>
    <row r="8793" spans="1:2">
      <c r="A8793" s="32">
        <v>8783</v>
      </c>
      <c r="B8793" s="90">
        <v>8.4196545980831523</v>
      </c>
    </row>
    <row r="8794" spans="1:2">
      <c r="A8794" s="32">
        <v>8784</v>
      </c>
      <c r="B8794" s="90">
        <v>7.4200412913045986</v>
      </c>
    </row>
    <row r="8795" spans="1:2">
      <c r="A8795" s="32">
        <v>8785</v>
      </c>
      <c r="B8795" s="90">
        <v>10.924626581745381</v>
      </c>
    </row>
    <row r="8796" spans="1:2">
      <c r="A8796" s="32">
        <v>8786</v>
      </c>
      <c r="B8796" s="90">
        <v>8.7789862115554413</v>
      </c>
    </row>
    <row r="8797" spans="1:2">
      <c r="A8797" s="32">
        <v>8787</v>
      </c>
      <c r="B8797" s="90">
        <v>6.8199619172649353</v>
      </c>
    </row>
    <row r="8798" spans="1:2">
      <c r="A8798" s="32">
        <v>8788</v>
      </c>
      <c r="B8798" s="90">
        <v>6.8296529562328017</v>
      </c>
    </row>
    <row r="8799" spans="1:2">
      <c r="A8799" s="32">
        <v>8789</v>
      </c>
      <c r="B8799" s="90">
        <v>8.1713568393225433</v>
      </c>
    </row>
    <row r="8800" spans="1:2">
      <c r="A8800" s="32">
        <v>8790</v>
      </c>
      <c r="B8800" s="90">
        <v>8.9724920872047083</v>
      </c>
    </row>
    <row r="8801" spans="1:2">
      <c r="A8801" s="32">
        <v>8791</v>
      </c>
      <c r="B8801" s="90">
        <v>11.245957145857341</v>
      </c>
    </row>
    <row r="8802" spans="1:2">
      <c r="A8802" s="32">
        <v>8792</v>
      </c>
      <c r="B8802" s="90">
        <v>8.4731464820327727</v>
      </c>
    </row>
    <row r="8803" spans="1:2">
      <c r="A8803" s="32">
        <v>8793</v>
      </c>
      <c r="B8803" s="90">
        <v>6.6158781383253311</v>
      </c>
    </row>
    <row r="8804" spans="1:2">
      <c r="A8804" s="32">
        <v>8794</v>
      </c>
      <c r="B8804" s="90">
        <v>6.7812066729470528</v>
      </c>
    </row>
    <row r="8805" spans="1:2">
      <c r="A8805" s="32">
        <v>8795</v>
      </c>
      <c r="B8805" s="90">
        <v>8.9202302358801902</v>
      </c>
    </row>
    <row r="8806" spans="1:2">
      <c r="A8806" s="32">
        <v>8796</v>
      </c>
      <c r="B8806" s="90">
        <v>9.4028366188203307</v>
      </c>
    </row>
    <row r="8807" spans="1:2">
      <c r="A8807" s="32">
        <v>8797</v>
      </c>
      <c r="B8807" s="90">
        <v>10.672453526279572</v>
      </c>
    </row>
    <row r="8808" spans="1:2">
      <c r="A8808" s="32">
        <v>8798</v>
      </c>
      <c r="B8808" s="90">
        <v>7.5702670710188045</v>
      </c>
    </row>
    <row r="8809" spans="1:2">
      <c r="A8809" s="32">
        <v>8799</v>
      </c>
      <c r="B8809" s="90">
        <v>6.9733027152327747</v>
      </c>
    </row>
    <row r="8810" spans="1:2">
      <c r="A8810" s="32">
        <v>8800</v>
      </c>
      <c r="B8810" s="90">
        <v>6.9434439866812676</v>
      </c>
    </row>
    <row r="8811" spans="1:2">
      <c r="A8811" s="32">
        <v>8801</v>
      </c>
      <c r="B8811" s="90">
        <v>8.7470508975391521</v>
      </c>
    </row>
    <row r="8812" spans="1:2">
      <c r="A8812" s="32">
        <v>8802</v>
      </c>
      <c r="B8812" s="90">
        <v>10.432158405935203</v>
      </c>
    </row>
    <row r="8813" spans="1:2">
      <c r="A8813" s="32">
        <v>8803</v>
      </c>
      <c r="B8813" s="90">
        <v>9.2975276606643824</v>
      </c>
    </row>
    <row r="8814" spans="1:2">
      <c r="A8814" s="32">
        <v>8804</v>
      </c>
      <c r="B8814" s="90">
        <v>7.6779534146396093</v>
      </c>
    </row>
    <row r="8815" spans="1:2">
      <c r="A8815" s="32">
        <v>8805</v>
      </c>
      <c r="B8815" s="90">
        <v>7.1759999530937275</v>
      </c>
    </row>
    <row r="8816" spans="1:2">
      <c r="A8816" s="32">
        <v>8806</v>
      </c>
      <c r="B8816" s="90">
        <v>7.0511371787406381</v>
      </c>
    </row>
    <row r="8817" spans="1:2">
      <c r="A8817" s="32">
        <v>8807</v>
      </c>
      <c r="B8817" s="90">
        <v>9.4419227010256463</v>
      </c>
    </row>
    <row r="8818" spans="1:2">
      <c r="A8818" s="32">
        <v>8808</v>
      </c>
      <c r="B8818" s="90">
        <v>10.176721155136249</v>
      </c>
    </row>
    <row r="8819" spans="1:2">
      <c r="A8819" s="32">
        <v>8809</v>
      </c>
      <c r="B8819" s="90">
        <v>9.1775441490969616</v>
      </c>
    </row>
    <row r="8820" spans="1:2">
      <c r="A8820" s="32">
        <v>8810</v>
      </c>
      <c r="B8820" s="90">
        <v>7.1118320801315713</v>
      </c>
    </row>
    <row r="8821" spans="1:2">
      <c r="A8821" s="32">
        <v>8811</v>
      </c>
      <c r="B8821" s="90">
        <v>7.1882273471764258</v>
      </c>
    </row>
    <row r="8822" spans="1:2">
      <c r="A8822" s="32">
        <v>8812</v>
      </c>
      <c r="B8822" s="90">
        <v>7.0577726087624901</v>
      </c>
    </row>
    <row r="8823" spans="1:2">
      <c r="A8823" s="32">
        <v>8813</v>
      </c>
      <c r="B8823" s="90">
        <v>9.7086855828904799</v>
      </c>
    </row>
    <row r="8824" spans="1:2">
      <c r="A8824" s="32">
        <v>8814</v>
      </c>
      <c r="B8824" s="90">
        <v>10.491479435709397</v>
      </c>
    </row>
    <row r="8825" spans="1:2">
      <c r="A8825" s="32">
        <v>8815</v>
      </c>
      <c r="B8825" s="90">
        <v>8.8219491945886492</v>
      </c>
    </row>
    <row r="8826" spans="1:2">
      <c r="A8826" s="32">
        <v>8816</v>
      </c>
      <c r="B8826" s="90">
        <v>7.2002583217335756</v>
      </c>
    </row>
    <row r="8827" spans="1:2">
      <c r="A8827" s="32">
        <v>8817</v>
      </c>
      <c r="B8827" s="90">
        <v>6.7677114204638977</v>
      </c>
    </row>
    <row r="8828" spans="1:2">
      <c r="A8828" s="32">
        <v>8818</v>
      </c>
      <c r="B8828" s="90">
        <v>7.861680634611635</v>
      </c>
    </row>
    <row r="8829" spans="1:2">
      <c r="A8829" s="32">
        <v>8819</v>
      </c>
      <c r="B8829" s="90">
        <v>9.2955356065694072</v>
      </c>
    </row>
    <row r="8830" spans="1:2">
      <c r="A8830" s="32">
        <v>8820</v>
      </c>
      <c r="B8830" s="90">
        <v>11.016093369754145</v>
      </c>
    </row>
    <row r="8831" spans="1:2">
      <c r="A8831" s="32">
        <v>8821</v>
      </c>
      <c r="B8831" s="90">
        <v>8.502528294240232</v>
      </c>
    </row>
    <row r="8832" spans="1:2">
      <c r="A8832" s="32">
        <v>8822</v>
      </c>
      <c r="B8832" s="90">
        <v>6.7209684062468353</v>
      </c>
    </row>
    <row r="8833" spans="1:2">
      <c r="A8833" s="32">
        <v>8823</v>
      </c>
      <c r="B8833" s="90">
        <v>6.8282043969245416</v>
      </c>
    </row>
    <row r="8834" spans="1:2">
      <c r="A8834" s="32">
        <v>8824</v>
      </c>
      <c r="B8834" s="90">
        <v>8.6071839299063537</v>
      </c>
    </row>
    <row r="8835" spans="1:2">
      <c r="A8835" s="32">
        <v>8825</v>
      </c>
      <c r="B8835" s="90">
        <v>8.9018557986456699</v>
      </c>
    </row>
    <row r="8836" spans="1:2">
      <c r="A8836" s="32">
        <v>8826</v>
      </c>
      <c r="B8836" s="90">
        <v>11.385056573714374</v>
      </c>
    </row>
    <row r="8837" spans="1:2">
      <c r="A8837" s="32">
        <v>8827</v>
      </c>
      <c r="B8837" s="90">
        <v>7.9452687408242539</v>
      </c>
    </row>
    <row r="8838" spans="1:2">
      <c r="A8838" s="32">
        <v>8828</v>
      </c>
      <c r="B8838" s="90">
        <v>6.8539330944303627</v>
      </c>
    </row>
    <row r="8839" spans="1:2">
      <c r="A8839" s="32">
        <v>8829</v>
      </c>
      <c r="B8839" s="90">
        <v>7.0090202436307845</v>
      </c>
    </row>
    <row r="8840" spans="1:2">
      <c r="A8840" s="32">
        <v>8830</v>
      </c>
      <c r="B8840" s="90">
        <v>8.4023409454616491</v>
      </c>
    </row>
    <row r="8841" spans="1:2">
      <c r="A8841" s="32">
        <v>8831</v>
      </c>
      <c r="B8841" s="90">
        <v>10.291390259283924</v>
      </c>
    </row>
    <row r="8842" spans="1:2">
      <c r="A8842" s="32">
        <v>8832</v>
      </c>
      <c r="B8842" s="90">
        <v>9.8876524815451869</v>
      </c>
    </row>
    <row r="8843" spans="1:2">
      <c r="A8843" s="32">
        <v>8833</v>
      </c>
      <c r="B8843" s="90">
        <v>7.6320274440828459</v>
      </c>
    </row>
    <row r="8844" spans="1:2">
      <c r="A8844" s="32">
        <v>8834</v>
      </c>
      <c r="B8844" s="90">
        <v>7.1309537020850877</v>
      </c>
    </row>
    <row r="8845" spans="1:2">
      <c r="A8845" s="32">
        <v>8835</v>
      </c>
      <c r="B8845" s="90">
        <v>6.7911226940413369</v>
      </c>
    </row>
    <row r="8846" spans="1:2">
      <c r="A8846" s="32">
        <v>8836</v>
      </c>
      <c r="B8846" s="90">
        <v>8.8798752193991053</v>
      </c>
    </row>
    <row r="8847" spans="1:2">
      <c r="A8847" s="32">
        <v>8837</v>
      </c>
      <c r="B8847" s="90">
        <v>10.613019134831982</v>
      </c>
    </row>
    <row r="8848" spans="1:2">
      <c r="A8848" s="32">
        <v>8838</v>
      </c>
      <c r="B8848" s="90">
        <v>9.2580121680264877</v>
      </c>
    </row>
    <row r="8849" spans="1:2">
      <c r="A8849" s="32">
        <v>8839</v>
      </c>
      <c r="B8849" s="90">
        <v>7.3171033560669363</v>
      </c>
    </row>
    <row r="8850" spans="1:2">
      <c r="A8850" s="32">
        <v>8840</v>
      </c>
      <c r="B8850" s="90">
        <v>7.2275820614381363</v>
      </c>
    </row>
    <row r="8851" spans="1:2">
      <c r="A8851" s="32">
        <v>8841</v>
      </c>
      <c r="B8851" s="90">
        <v>7.0019018750373032</v>
      </c>
    </row>
    <row r="8852" spans="1:2">
      <c r="A8852" s="32">
        <v>8842</v>
      </c>
      <c r="B8852" s="90">
        <v>9.6534318136263035</v>
      </c>
    </row>
    <row r="8853" spans="1:2">
      <c r="A8853" s="32">
        <v>8843</v>
      </c>
      <c r="B8853" s="90">
        <v>9.9078976005572024</v>
      </c>
    </row>
    <row r="8854" spans="1:2">
      <c r="A8854" s="32">
        <v>8844</v>
      </c>
      <c r="B8854" s="90">
        <v>9.2691853806826465</v>
      </c>
    </row>
    <row r="8855" spans="1:2">
      <c r="A8855" s="32">
        <v>8845</v>
      </c>
      <c r="B8855" s="90">
        <v>7.0405412855872358</v>
      </c>
    </row>
    <row r="8856" spans="1:2">
      <c r="A8856" s="32">
        <v>8846</v>
      </c>
      <c r="B8856" s="90">
        <v>7.0998135452233431</v>
      </c>
    </row>
    <row r="8857" spans="1:2">
      <c r="A8857" s="32">
        <v>8847</v>
      </c>
      <c r="B8857" s="90">
        <v>7.5336689619910322</v>
      </c>
    </row>
    <row r="8858" spans="1:2">
      <c r="A8858" s="32">
        <v>8848</v>
      </c>
      <c r="B8858" s="90">
        <v>9.4721777730410395</v>
      </c>
    </row>
    <row r="8859" spans="1:2">
      <c r="A8859" s="32">
        <v>8849</v>
      </c>
      <c r="B8859" s="90">
        <v>10.924626581745381</v>
      </c>
    </row>
    <row r="8860" spans="1:2">
      <c r="A8860" s="32">
        <v>8850</v>
      </c>
      <c r="B8860" s="90">
        <v>8.7789862115554413</v>
      </c>
    </row>
    <row r="8861" spans="1:2">
      <c r="A8861" s="32">
        <v>8851</v>
      </c>
      <c r="B8861" s="90">
        <v>6.8199619172649353</v>
      </c>
    </row>
    <row r="8862" spans="1:2">
      <c r="A8862" s="32">
        <v>8852</v>
      </c>
      <c r="B8862" s="90">
        <v>6.8296529562328017</v>
      </c>
    </row>
    <row r="8863" spans="1:2">
      <c r="A8863" s="32">
        <v>8853</v>
      </c>
      <c r="B8863" s="90">
        <v>8.1713568393225433</v>
      </c>
    </row>
    <row r="8864" spans="1:2">
      <c r="A8864" s="32">
        <v>8854</v>
      </c>
      <c r="B8864" s="90">
        <v>8.9724920872047083</v>
      </c>
    </row>
    <row r="8865" spans="1:2">
      <c r="A8865" s="32">
        <v>8855</v>
      </c>
      <c r="B8865" s="90">
        <v>11.245957145857341</v>
      </c>
    </row>
    <row r="8866" spans="1:2">
      <c r="A8866" s="32">
        <v>8856</v>
      </c>
      <c r="B8866" s="90">
        <v>8.4731464820327727</v>
      </c>
    </row>
    <row r="8867" spans="1:2">
      <c r="A8867" s="32">
        <v>8857</v>
      </c>
      <c r="B8867" s="90">
        <v>6.6158781383253311</v>
      </c>
    </row>
    <row r="8868" spans="1:2">
      <c r="A8868" s="32">
        <v>8858</v>
      </c>
      <c r="B8868" s="90">
        <v>6.7812066729470528</v>
      </c>
    </row>
    <row r="8869" spans="1:2">
      <c r="A8869" s="32">
        <v>8859</v>
      </c>
      <c r="B8869" s="90">
        <v>8.9202302358801902</v>
      </c>
    </row>
    <row r="8870" spans="1:2">
      <c r="A8870" s="32">
        <v>8860</v>
      </c>
      <c r="B8870" s="90">
        <v>9.4028366188203307</v>
      </c>
    </row>
    <row r="8871" spans="1:2">
      <c r="A8871" s="32">
        <v>8861</v>
      </c>
      <c r="B8871" s="90">
        <v>10.672453526279572</v>
      </c>
    </row>
    <row r="8872" spans="1:2">
      <c r="A8872" s="32">
        <v>8862</v>
      </c>
      <c r="B8872" s="90">
        <v>7.5702670710188045</v>
      </c>
    </row>
    <row r="8873" spans="1:2">
      <c r="A8873" s="32">
        <v>8863</v>
      </c>
      <c r="B8873" s="90">
        <v>6.9733027152327747</v>
      </c>
    </row>
    <row r="8874" spans="1:2">
      <c r="A8874" s="32">
        <v>8864</v>
      </c>
      <c r="B8874" s="90">
        <v>6.9434439866812676</v>
      </c>
    </row>
    <row r="8875" spans="1:2">
      <c r="A8875" s="32">
        <v>8865</v>
      </c>
      <c r="B8875" s="90">
        <v>8.7470508975391521</v>
      </c>
    </row>
    <row r="8876" spans="1:2">
      <c r="A8876" s="32">
        <v>8866</v>
      </c>
      <c r="B8876" s="90">
        <v>10.432158405935203</v>
      </c>
    </row>
    <row r="8877" spans="1:2">
      <c r="A8877" s="32">
        <v>8867</v>
      </c>
      <c r="B8877" s="90">
        <v>9.2975276606643824</v>
      </c>
    </row>
    <row r="8878" spans="1:2">
      <c r="A8878" s="32">
        <v>8868</v>
      </c>
      <c r="B8878" s="90">
        <v>7.6779534146396093</v>
      </c>
    </row>
    <row r="8879" spans="1:2">
      <c r="A8879" s="32">
        <v>8869</v>
      </c>
      <c r="B8879" s="90">
        <v>7.1759999530937275</v>
      </c>
    </row>
    <row r="8880" spans="1:2">
      <c r="A8880" s="32">
        <v>8870</v>
      </c>
      <c r="B8880" s="90">
        <v>7.0511371787406381</v>
      </c>
    </row>
    <row r="8881" spans="1:2">
      <c r="A8881" s="32">
        <v>8871</v>
      </c>
      <c r="B8881" s="90">
        <v>9.4419227010256463</v>
      </c>
    </row>
    <row r="8882" spans="1:2">
      <c r="A8882" s="32">
        <v>8872</v>
      </c>
      <c r="B8882" s="90">
        <v>10.176721155136249</v>
      </c>
    </row>
    <row r="8883" spans="1:2">
      <c r="A8883" s="32">
        <v>8873</v>
      </c>
      <c r="B8883" s="90">
        <v>9.1775441490969616</v>
      </c>
    </row>
    <row r="8884" spans="1:2">
      <c r="A8884" s="32">
        <v>8874</v>
      </c>
      <c r="B8884" s="90">
        <v>7.1118320801315713</v>
      </c>
    </row>
    <row r="8885" spans="1:2">
      <c r="A8885" s="32">
        <v>8875</v>
      </c>
      <c r="B8885" s="90">
        <v>7.1882273471764258</v>
      </c>
    </row>
    <row r="8886" spans="1:2">
      <c r="A8886" s="32">
        <v>8876</v>
      </c>
      <c r="B8886" s="90">
        <v>7.0577726087624901</v>
      </c>
    </row>
    <row r="8887" spans="1:2">
      <c r="A8887" s="32">
        <v>8877</v>
      </c>
      <c r="B8887" s="90">
        <v>9.7086855828904799</v>
      </c>
    </row>
    <row r="8888" spans="1:2">
      <c r="A8888" s="32">
        <v>8878</v>
      </c>
      <c r="B8888" s="90">
        <v>10.491479435709397</v>
      </c>
    </row>
    <row r="8889" spans="1:2">
      <c r="A8889" s="32">
        <v>8879</v>
      </c>
      <c r="B8889" s="90">
        <v>8.8219491945886492</v>
      </c>
    </row>
    <row r="8890" spans="1:2">
      <c r="A8890" s="32">
        <v>8880</v>
      </c>
      <c r="B8890" s="90">
        <v>7.2002583217335756</v>
      </c>
    </row>
    <row r="8891" spans="1:2">
      <c r="A8891" s="32">
        <v>8881</v>
      </c>
      <c r="B8891" s="90">
        <v>6.7677114204638977</v>
      </c>
    </row>
    <row r="8892" spans="1:2">
      <c r="A8892" s="32">
        <v>8882</v>
      </c>
      <c r="B8892" s="90">
        <v>7.861680634611635</v>
      </c>
    </row>
    <row r="8893" spans="1:2">
      <c r="A8893" s="32">
        <v>8883</v>
      </c>
      <c r="B8893" s="90">
        <v>9.2955356065694072</v>
      </c>
    </row>
    <row r="8894" spans="1:2">
      <c r="A8894" s="32">
        <v>8884</v>
      </c>
      <c r="B8894" s="90">
        <v>11.016093369754145</v>
      </c>
    </row>
    <row r="8895" spans="1:2">
      <c r="A8895" s="32">
        <v>8885</v>
      </c>
      <c r="B8895" s="90">
        <v>8.502528294240232</v>
      </c>
    </row>
    <row r="8896" spans="1:2">
      <c r="A8896" s="32">
        <v>8886</v>
      </c>
      <c r="B8896" s="90">
        <v>6.7209684062468353</v>
      </c>
    </row>
    <row r="8897" spans="1:2">
      <c r="A8897" s="32">
        <v>8887</v>
      </c>
      <c r="B8897" s="90">
        <v>6.8282043969245416</v>
      </c>
    </row>
    <row r="8898" spans="1:2">
      <c r="A8898" s="32">
        <v>8888</v>
      </c>
      <c r="B8898" s="90">
        <v>8.6071839299063537</v>
      </c>
    </row>
    <row r="8899" spans="1:2">
      <c r="A8899" s="32">
        <v>8889</v>
      </c>
      <c r="B8899" s="90">
        <v>8.9018557986456699</v>
      </c>
    </row>
    <row r="8900" spans="1:2">
      <c r="A8900" s="32">
        <v>8890</v>
      </c>
      <c r="B8900" s="90">
        <v>11.385056573714374</v>
      </c>
    </row>
    <row r="8901" spans="1:2">
      <c r="A8901" s="32">
        <v>8891</v>
      </c>
      <c r="B8901" s="90">
        <v>7.9452687408242539</v>
      </c>
    </row>
    <row r="8902" spans="1:2">
      <c r="A8902" s="32">
        <v>8892</v>
      </c>
      <c r="B8902" s="90">
        <v>6.8539330944303627</v>
      </c>
    </row>
    <row r="8903" spans="1:2">
      <c r="A8903" s="32">
        <v>8893</v>
      </c>
      <c r="B8903" s="90">
        <v>7.0090202436307845</v>
      </c>
    </row>
    <row r="8904" spans="1:2">
      <c r="A8904" s="32">
        <v>8894</v>
      </c>
      <c r="B8904" s="90">
        <v>8.4023409454616491</v>
      </c>
    </row>
    <row r="8905" spans="1:2">
      <c r="A8905" s="32">
        <v>8895</v>
      </c>
      <c r="B8905" s="90">
        <v>10.291390259283924</v>
      </c>
    </row>
    <row r="8906" spans="1:2">
      <c r="A8906" s="32">
        <v>8896</v>
      </c>
      <c r="B8906" s="90">
        <v>9.8876524815451869</v>
      </c>
    </row>
    <row r="8907" spans="1:2">
      <c r="A8907" s="32">
        <v>8897</v>
      </c>
      <c r="B8907" s="90">
        <v>7.6320274440828459</v>
      </c>
    </row>
    <row r="8908" spans="1:2">
      <c r="A8908" s="32">
        <v>8898</v>
      </c>
      <c r="B8908" s="90">
        <v>7.1309537020850877</v>
      </c>
    </row>
    <row r="8909" spans="1:2">
      <c r="A8909" s="32">
        <v>8899</v>
      </c>
      <c r="B8909" s="90">
        <v>6.7911226940413369</v>
      </c>
    </row>
    <row r="8910" spans="1:2">
      <c r="A8910" s="32">
        <v>8900</v>
      </c>
      <c r="B8910" s="90">
        <v>8.8798752193991053</v>
      </c>
    </row>
    <row r="8911" spans="1:2">
      <c r="A8911" s="32">
        <v>8901</v>
      </c>
      <c r="B8911" s="90">
        <v>10.613019134831982</v>
      </c>
    </row>
    <row r="8912" spans="1:2">
      <c r="A8912" s="32">
        <v>8902</v>
      </c>
      <c r="B8912" s="90">
        <v>9.2580121680264877</v>
      </c>
    </row>
    <row r="8913" spans="1:2">
      <c r="A8913" s="32">
        <v>8903</v>
      </c>
      <c r="B8913" s="90">
        <v>7.3171033560669363</v>
      </c>
    </row>
    <row r="8914" spans="1:2">
      <c r="A8914" s="32">
        <v>8904</v>
      </c>
      <c r="B8914" s="90">
        <v>7.2275820614381363</v>
      </c>
    </row>
    <row r="8915" spans="1:2">
      <c r="A8915" s="32">
        <v>8905</v>
      </c>
      <c r="B8915" s="90">
        <v>7.4603912973169217</v>
      </c>
    </row>
    <row r="8916" spans="1:2">
      <c r="A8916" s="32">
        <v>8906</v>
      </c>
      <c r="B8916" s="90">
        <v>7.7874381693167063</v>
      </c>
    </row>
    <row r="8917" spans="1:2">
      <c r="A8917" s="32">
        <v>8907</v>
      </c>
      <c r="B8917" s="90">
        <v>9.499686032786558</v>
      </c>
    </row>
    <row r="8918" spans="1:2">
      <c r="A8918" s="32">
        <v>8908</v>
      </c>
      <c r="B8918" s="90">
        <v>8.0663319220542</v>
      </c>
    </row>
    <row r="8919" spans="1:2">
      <c r="A8919" s="32">
        <v>8909</v>
      </c>
      <c r="B8919" s="90">
        <v>7.4395773479959173</v>
      </c>
    </row>
    <row r="8920" spans="1:2">
      <c r="A8920" s="32">
        <v>8910</v>
      </c>
      <c r="B8920" s="90">
        <v>8.8368154957241085</v>
      </c>
    </row>
    <row r="8921" spans="1:2">
      <c r="A8921" s="32">
        <v>8911</v>
      </c>
      <c r="B8921" s="90">
        <v>8.3363368878950226</v>
      </c>
    </row>
    <row r="8922" spans="1:2">
      <c r="A8922" s="32">
        <v>8912</v>
      </c>
      <c r="B8922" s="90">
        <v>8.092316965189589</v>
      </c>
    </row>
    <row r="8923" spans="1:2">
      <c r="A8923" s="32">
        <v>8913</v>
      </c>
      <c r="B8923" s="90">
        <v>9.3046780773784956</v>
      </c>
    </row>
    <row r="8924" spans="1:2">
      <c r="A8924" s="32">
        <v>8914</v>
      </c>
      <c r="B8924" s="90">
        <v>8.0496286743657777</v>
      </c>
    </row>
    <row r="8925" spans="1:2">
      <c r="A8925" s="32">
        <v>8915</v>
      </c>
      <c r="B8925" s="90">
        <v>7.4629661406714183</v>
      </c>
    </row>
    <row r="8926" spans="1:2">
      <c r="A8926" s="32">
        <v>8916</v>
      </c>
      <c r="B8926" s="90">
        <v>9.1297257682845139</v>
      </c>
    </row>
    <row r="8927" spans="1:2">
      <c r="A8927" s="32">
        <v>8917</v>
      </c>
      <c r="B8927" s="90">
        <v>7.8572481521048934</v>
      </c>
    </row>
    <row r="8928" spans="1:2">
      <c r="A8928" s="32">
        <v>8918</v>
      </c>
      <c r="B8928" s="90">
        <v>8.805398352516173</v>
      </c>
    </row>
    <row r="8929" spans="1:2">
      <c r="A8929" s="32">
        <v>8919</v>
      </c>
      <c r="B8929" s="90">
        <v>8.9331351909203622</v>
      </c>
    </row>
    <row r="8930" spans="1:2">
      <c r="A8930" s="32">
        <v>8920</v>
      </c>
      <c r="B8930" s="90">
        <v>7.3316956735987207</v>
      </c>
    </row>
    <row r="8931" spans="1:2">
      <c r="A8931" s="32">
        <v>8921</v>
      </c>
      <c r="B8931" s="90">
        <v>8.2413816091078704</v>
      </c>
    </row>
    <row r="8932" spans="1:2">
      <c r="A8932" s="32">
        <v>8922</v>
      </c>
      <c r="B8932" s="90">
        <v>8.4972660178085189</v>
      </c>
    </row>
    <row r="8933" spans="1:2">
      <c r="A8933" s="32">
        <v>8923</v>
      </c>
      <c r="B8933" s="90">
        <v>8.5605528644601545</v>
      </c>
    </row>
    <row r="8934" spans="1:2">
      <c r="A8934" s="32">
        <v>8924</v>
      </c>
      <c r="B8934" s="90">
        <v>8.6004979101296328</v>
      </c>
    </row>
    <row r="8935" spans="1:2">
      <c r="A8935" s="32">
        <v>8925</v>
      </c>
      <c r="B8935" s="90">
        <v>8.8279585829497993</v>
      </c>
    </row>
    <row r="8936" spans="1:2">
      <c r="A8936" s="32">
        <v>8926</v>
      </c>
      <c r="B8936" s="90">
        <v>7.4152566993639946</v>
      </c>
    </row>
    <row r="8937" spans="1:2">
      <c r="A8937" s="32">
        <v>8927</v>
      </c>
      <c r="B8937" s="90">
        <v>8.3063787925172772</v>
      </c>
    </row>
    <row r="8938" spans="1:2">
      <c r="A8938" s="32">
        <v>8928</v>
      </c>
      <c r="B8938" s="90">
        <v>8.6471687559962511</v>
      </c>
    </row>
    <row r="8939" spans="1:2">
      <c r="A8939" s="32">
        <v>8929</v>
      </c>
      <c r="B8939" s="90">
        <v>8.4437737688742711</v>
      </c>
    </row>
    <row r="8940" spans="1:2">
      <c r="A8940" s="32">
        <v>8930</v>
      </c>
      <c r="B8940" s="90">
        <v>8.6870554929263832</v>
      </c>
    </row>
    <row r="8941" spans="1:2">
      <c r="A8941" s="32">
        <v>8931</v>
      </c>
      <c r="B8941" s="90">
        <v>8.4336004713425936</v>
      </c>
    </row>
    <row r="8942" spans="1:2">
      <c r="A8942" s="32">
        <v>8932</v>
      </c>
      <c r="B8942" s="90">
        <v>7.0484250760044214</v>
      </c>
    </row>
    <row r="8943" spans="1:2">
      <c r="A8943" s="32">
        <v>8933</v>
      </c>
      <c r="B8943" s="90">
        <v>9.0085730419938219</v>
      </c>
    </row>
    <row r="8944" spans="1:2">
      <c r="A8944" s="32">
        <v>8934</v>
      </c>
      <c r="B8944" s="90">
        <v>8.4740842568570205</v>
      </c>
    </row>
    <row r="8945" spans="1:2">
      <c r="A8945" s="32">
        <v>8935</v>
      </c>
      <c r="B8945" s="90">
        <v>8.2426979985461823</v>
      </c>
    </row>
    <row r="8946" spans="1:2">
      <c r="A8946" s="32">
        <v>8936</v>
      </c>
      <c r="B8946" s="90">
        <v>9.4714131904702583</v>
      </c>
    </row>
    <row r="8947" spans="1:2">
      <c r="A8947" s="32">
        <v>8937</v>
      </c>
      <c r="B8947" s="90">
        <v>7.7492717826798634</v>
      </c>
    </row>
    <row r="8948" spans="1:2">
      <c r="A8948" s="32">
        <v>8938</v>
      </c>
      <c r="B8948" s="90">
        <v>7.5837436887502223</v>
      </c>
    </row>
    <row r="8949" spans="1:2">
      <c r="A8949" s="32">
        <v>8939</v>
      </c>
      <c r="B8949" s="90">
        <v>8.5283016278695314</v>
      </c>
    </row>
    <row r="8950" spans="1:2">
      <c r="A8950" s="32">
        <v>8940</v>
      </c>
      <c r="B8950" s="90">
        <v>8.4411239046095119</v>
      </c>
    </row>
    <row r="8951" spans="1:2">
      <c r="A8951" s="32">
        <v>8941</v>
      </c>
      <c r="B8951" s="90">
        <v>8.0919685148901195</v>
      </c>
    </row>
    <row r="8952" spans="1:2">
      <c r="A8952" s="32">
        <v>8942</v>
      </c>
      <c r="B8952" s="90">
        <v>9.6729319393313276</v>
      </c>
    </row>
    <row r="8953" spans="1:2">
      <c r="A8953" s="32">
        <v>8943</v>
      </c>
      <c r="B8953" s="90">
        <v>7.9043901306205342</v>
      </c>
    </row>
    <row r="8954" spans="1:2">
      <c r="A8954" s="32">
        <v>8944</v>
      </c>
      <c r="B8954" s="90">
        <v>7.5598438410972308</v>
      </c>
    </row>
    <row r="8955" spans="1:2">
      <c r="A8955" s="32">
        <v>8945</v>
      </c>
      <c r="B8955" s="90">
        <v>8.9206253211903483</v>
      </c>
    </row>
    <row r="8956" spans="1:2">
      <c r="A8956" s="32">
        <v>8946</v>
      </c>
      <c r="B8956" s="90">
        <v>7.9995160193346271</v>
      </c>
    </row>
    <row r="8957" spans="1:2">
      <c r="A8957" s="32">
        <v>8947</v>
      </c>
      <c r="B8957" s="90">
        <v>8.207182506900482</v>
      </c>
    </row>
    <row r="8958" spans="1:2">
      <c r="A8958" s="32">
        <v>8948</v>
      </c>
      <c r="B8958" s="90">
        <v>9.3585601195435704</v>
      </c>
    </row>
    <row r="8959" spans="1:2">
      <c r="A8959" s="32">
        <v>8949</v>
      </c>
      <c r="B8959" s="90">
        <v>7.8024186808091542</v>
      </c>
    </row>
    <row r="8960" spans="1:2">
      <c r="A8960" s="32">
        <v>8950</v>
      </c>
      <c r="B8960" s="90">
        <v>7.6216469020249749</v>
      </c>
    </row>
    <row r="8961" spans="1:2">
      <c r="A8961" s="32">
        <v>8951</v>
      </c>
      <c r="B8961" s="90">
        <v>8.8904902502135332</v>
      </c>
    </row>
    <row r="8962" spans="1:2">
      <c r="A8962" s="32">
        <v>8952</v>
      </c>
      <c r="B8962" s="90">
        <v>8.362140566020333</v>
      </c>
    </row>
    <row r="8963" spans="1:2">
      <c r="A8963" s="32">
        <v>8953</v>
      </c>
      <c r="B8963" s="90">
        <v>8.6141694116782492</v>
      </c>
    </row>
    <row r="8964" spans="1:2">
      <c r="A8964" s="32">
        <v>8954</v>
      </c>
      <c r="B8964" s="90">
        <v>8.7488143934767866</v>
      </c>
    </row>
    <row r="8965" spans="1:2">
      <c r="A8965" s="32">
        <v>8955</v>
      </c>
      <c r="B8965" s="90">
        <v>7.7044186076977335</v>
      </c>
    </row>
    <row r="8966" spans="1:2">
      <c r="A8966" s="32">
        <v>8956</v>
      </c>
      <c r="B8966" s="90">
        <v>8.0323096008305885</v>
      </c>
    </row>
    <row r="8967" spans="1:2">
      <c r="A8967" s="32">
        <v>8957</v>
      </c>
      <c r="B8967" s="90">
        <v>8.2917844936140028</v>
      </c>
    </row>
    <row r="8968" spans="1:2">
      <c r="A8968" s="32">
        <v>8958</v>
      </c>
      <c r="B8968" s="90">
        <v>8.5407546578948565</v>
      </c>
    </row>
    <row r="8969" spans="1:2">
      <c r="A8969" s="32">
        <v>8959</v>
      </c>
      <c r="B8969" s="90">
        <v>8.9446260292268551</v>
      </c>
    </row>
    <row r="8970" spans="1:2">
      <c r="A8970" s="32">
        <v>8960</v>
      </c>
      <c r="B8970" s="90">
        <v>8.3774007790453275</v>
      </c>
    </row>
    <row r="8971" spans="1:2">
      <c r="A8971" s="32">
        <v>8961</v>
      </c>
      <c r="B8971" s="90">
        <v>7.1406213143880404</v>
      </c>
    </row>
    <row r="8972" spans="1:2">
      <c r="A8972" s="32">
        <v>8962</v>
      </c>
      <c r="B8972" s="90">
        <v>9.1458974479984203</v>
      </c>
    </row>
    <row r="8973" spans="1:2">
      <c r="A8973" s="32">
        <v>8963</v>
      </c>
      <c r="B8973" s="90">
        <v>8.1794137387509256</v>
      </c>
    </row>
    <row r="8974" spans="1:2">
      <c r="A8974" s="32">
        <v>8964</v>
      </c>
      <c r="B8974" s="90">
        <v>8.8063124705343689</v>
      </c>
    </row>
    <row r="8975" spans="1:2">
      <c r="A8975" s="32">
        <v>8965</v>
      </c>
      <c r="B8975" s="90">
        <v>8.69020657557218</v>
      </c>
    </row>
    <row r="8976" spans="1:2">
      <c r="A8976" s="32">
        <v>8966</v>
      </c>
      <c r="B8976" s="90">
        <v>8.1505008245057642</v>
      </c>
    </row>
    <row r="8977" spans="1:2">
      <c r="A8977" s="32">
        <v>8967</v>
      </c>
      <c r="B8977" s="90">
        <v>7.1751419832016685</v>
      </c>
    </row>
    <row r="8978" spans="1:2">
      <c r="A8978" s="32">
        <v>8968</v>
      </c>
      <c r="B8978" s="90">
        <v>8.8637587153260018</v>
      </c>
    </row>
    <row r="8979" spans="1:2">
      <c r="A8979" s="32">
        <v>8969</v>
      </c>
      <c r="B8979" s="90">
        <v>8.7175535188524496</v>
      </c>
    </row>
    <row r="8980" spans="1:2">
      <c r="A8980" s="32">
        <v>8970</v>
      </c>
      <c r="B8980" s="90">
        <v>7.7874381693167063</v>
      </c>
    </row>
    <row r="8981" spans="1:2">
      <c r="A8981" s="32">
        <v>8971</v>
      </c>
      <c r="B8981" s="90">
        <v>9.499686032786558</v>
      </c>
    </row>
    <row r="8982" spans="1:2">
      <c r="A8982" s="32">
        <v>8972</v>
      </c>
      <c r="B8982" s="90">
        <v>8.0663319220542</v>
      </c>
    </row>
    <row r="8983" spans="1:2">
      <c r="A8983" s="32">
        <v>8973</v>
      </c>
      <c r="B8983" s="90">
        <v>7.4395773479959173</v>
      </c>
    </row>
    <row r="8984" spans="1:2">
      <c r="A8984" s="32">
        <v>8974</v>
      </c>
      <c r="B8984" s="90">
        <v>8.8368154957241085</v>
      </c>
    </row>
    <row r="8985" spans="1:2">
      <c r="A8985" s="32">
        <v>8975</v>
      </c>
      <c r="B8985" s="90">
        <v>8.3363368878950226</v>
      </c>
    </row>
    <row r="8986" spans="1:2">
      <c r="A8986" s="32">
        <v>8976</v>
      </c>
      <c r="B8986" s="90">
        <v>8.092316965189589</v>
      </c>
    </row>
    <row r="8987" spans="1:2">
      <c r="A8987" s="32">
        <v>8977</v>
      </c>
      <c r="B8987" s="90">
        <v>9.3046780773784956</v>
      </c>
    </row>
    <row r="8988" spans="1:2">
      <c r="A8988" s="32">
        <v>8978</v>
      </c>
      <c r="B8988" s="90">
        <v>8.0496286743657777</v>
      </c>
    </row>
    <row r="8989" spans="1:2">
      <c r="A8989" s="32">
        <v>8979</v>
      </c>
      <c r="B8989" s="90">
        <v>7.4629661406714183</v>
      </c>
    </row>
    <row r="8990" spans="1:2">
      <c r="A8990" s="32">
        <v>8980</v>
      </c>
      <c r="B8990" s="90">
        <v>9.1297257682845139</v>
      </c>
    </row>
    <row r="8991" spans="1:2">
      <c r="A8991" s="32">
        <v>8981</v>
      </c>
      <c r="B8991" s="90">
        <v>7.8572481521048934</v>
      </c>
    </row>
    <row r="8992" spans="1:2">
      <c r="A8992" s="32">
        <v>8982</v>
      </c>
      <c r="B8992" s="90">
        <v>8.805398352516173</v>
      </c>
    </row>
    <row r="8993" spans="1:2">
      <c r="A8993" s="32">
        <v>8983</v>
      </c>
      <c r="B8993" s="90">
        <v>8.9331351909203622</v>
      </c>
    </row>
    <row r="8994" spans="1:2">
      <c r="A8994" s="32">
        <v>8984</v>
      </c>
      <c r="B8994" s="90">
        <v>7.3316956735987207</v>
      </c>
    </row>
    <row r="8995" spans="1:2">
      <c r="A8995" s="32">
        <v>8985</v>
      </c>
      <c r="B8995" s="90">
        <v>8.2413816091078704</v>
      </c>
    </row>
    <row r="8996" spans="1:2">
      <c r="A8996" s="32">
        <v>8986</v>
      </c>
      <c r="B8996" s="90">
        <v>8.4972660178085189</v>
      </c>
    </row>
    <row r="8997" spans="1:2">
      <c r="A8997" s="32">
        <v>8987</v>
      </c>
      <c r="B8997" s="90">
        <v>8.5605528644601545</v>
      </c>
    </row>
    <row r="8998" spans="1:2">
      <c r="A8998" s="32">
        <v>8988</v>
      </c>
      <c r="B8998" s="90">
        <v>8.6004979101296328</v>
      </c>
    </row>
    <row r="8999" spans="1:2">
      <c r="A8999" s="32">
        <v>8989</v>
      </c>
      <c r="B8999" s="90">
        <v>8.8279585829497993</v>
      </c>
    </row>
    <row r="9000" spans="1:2">
      <c r="A9000" s="32">
        <v>8990</v>
      </c>
      <c r="B9000" s="90">
        <v>7.4152566993639946</v>
      </c>
    </row>
    <row r="9001" spans="1:2">
      <c r="A9001" s="32">
        <v>8991</v>
      </c>
      <c r="B9001" s="90">
        <v>8.3063787925172772</v>
      </c>
    </row>
    <row r="9002" spans="1:2">
      <c r="A9002" s="32">
        <v>8992</v>
      </c>
      <c r="B9002" s="90">
        <v>8.6471687559962511</v>
      </c>
    </row>
    <row r="9003" spans="1:2">
      <c r="A9003" s="32">
        <v>8993</v>
      </c>
      <c r="B9003" s="90">
        <v>8.4437737688742711</v>
      </c>
    </row>
    <row r="9004" spans="1:2">
      <c r="A9004" s="32">
        <v>8994</v>
      </c>
      <c r="B9004" s="90">
        <v>8.6870554929263832</v>
      </c>
    </row>
    <row r="9005" spans="1:2">
      <c r="A9005" s="32">
        <v>8995</v>
      </c>
      <c r="B9005" s="90">
        <v>8.4336004713425936</v>
      </c>
    </row>
    <row r="9006" spans="1:2">
      <c r="A9006" s="32">
        <v>8996</v>
      </c>
      <c r="B9006" s="90">
        <v>7.0484250760044214</v>
      </c>
    </row>
    <row r="9007" spans="1:2">
      <c r="A9007" s="32">
        <v>8997</v>
      </c>
      <c r="B9007" s="90">
        <v>9.0085730419938219</v>
      </c>
    </row>
    <row r="9008" spans="1:2">
      <c r="A9008" s="32">
        <v>8998</v>
      </c>
      <c r="B9008" s="90">
        <v>8.4740842568570205</v>
      </c>
    </row>
    <row r="9009" spans="1:2">
      <c r="A9009" s="32">
        <v>8999</v>
      </c>
      <c r="B9009" s="90">
        <v>8.2426979985461823</v>
      </c>
    </row>
    <row r="9010" spans="1:2">
      <c r="A9010" s="32">
        <v>9000</v>
      </c>
      <c r="B9010" s="90">
        <v>9.4714131904702583</v>
      </c>
    </row>
    <row r="9011" spans="1:2">
      <c r="A9011" s="32">
        <v>9001</v>
      </c>
      <c r="B9011" s="90">
        <v>7.7492717826798634</v>
      </c>
    </row>
    <row r="9012" spans="1:2">
      <c r="A9012" s="32">
        <v>9002</v>
      </c>
      <c r="B9012" s="90">
        <v>7.5837436887502223</v>
      </c>
    </row>
    <row r="9013" spans="1:2">
      <c r="A9013" s="32">
        <v>9003</v>
      </c>
      <c r="B9013" s="90">
        <v>8.5283016278695314</v>
      </c>
    </row>
    <row r="9014" spans="1:2">
      <c r="A9014" s="32">
        <v>9004</v>
      </c>
      <c r="B9014" s="90">
        <v>8.4411239046095119</v>
      </c>
    </row>
    <row r="9015" spans="1:2">
      <c r="A9015" s="32">
        <v>9005</v>
      </c>
      <c r="B9015" s="90">
        <v>8.0919685148901195</v>
      </c>
    </row>
    <row r="9016" spans="1:2">
      <c r="A9016" s="32">
        <v>9006</v>
      </c>
      <c r="B9016" s="90">
        <v>9.6729319393313276</v>
      </c>
    </row>
    <row r="9017" spans="1:2">
      <c r="A9017" s="32">
        <v>9007</v>
      </c>
      <c r="B9017" s="90">
        <v>7.9043901306205342</v>
      </c>
    </row>
    <row r="9018" spans="1:2">
      <c r="A9018" s="32">
        <v>9008</v>
      </c>
      <c r="B9018" s="90">
        <v>7.5598438410972308</v>
      </c>
    </row>
    <row r="9019" spans="1:2">
      <c r="A9019" s="32">
        <v>9009</v>
      </c>
      <c r="B9019" s="90">
        <v>8.9206253211903483</v>
      </c>
    </row>
    <row r="9020" spans="1:2">
      <c r="A9020" s="32">
        <v>9010</v>
      </c>
      <c r="B9020" s="90">
        <v>7.9995160193346271</v>
      </c>
    </row>
    <row r="9021" spans="1:2">
      <c r="A9021" s="32">
        <v>9011</v>
      </c>
      <c r="B9021" s="90">
        <v>8.207182506900482</v>
      </c>
    </row>
    <row r="9022" spans="1:2">
      <c r="A9022" s="32">
        <v>9012</v>
      </c>
      <c r="B9022" s="90">
        <v>9.3585601195435704</v>
      </c>
    </row>
    <row r="9023" spans="1:2">
      <c r="A9023" s="32">
        <v>9013</v>
      </c>
      <c r="B9023" s="90">
        <v>7.8024186808091542</v>
      </c>
    </row>
    <row r="9024" spans="1:2">
      <c r="A9024" s="32">
        <v>9014</v>
      </c>
      <c r="B9024" s="90">
        <v>7.6216469020249749</v>
      </c>
    </row>
    <row r="9025" spans="1:2">
      <c r="A9025" s="32">
        <v>9015</v>
      </c>
      <c r="B9025" s="90">
        <v>8.8904902502135332</v>
      </c>
    </row>
    <row r="9026" spans="1:2">
      <c r="A9026" s="32">
        <v>9016</v>
      </c>
      <c r="B9026" s="90">
        <v>8.362140566020333</v>
      </c>
    </row>
    <row r="9027" spans="1:2">
      <c r="A9027" s="32">
        <v>9017</v>
      </c>
      <c r="B9027" s="90">
        <v>8.6141694116782492</v>
      </c>
    </row>
    <row r="9028" spans="1:2">
      <c r="A9028" s="32">
        <v>9018</v>
      </c>
      <c r="B9028" s="90">
        <v>8.7488143934767866</v>
      </c>
    </row>
    <row r="9029" spans="1:2">
      <c r="A9029" s="32">
        <v>9019</v>
      </c>
      <c r="B9029" s="90">
        <v>7.7044186076977335</v>
      </c>
    </row>
    <row r="9030" spans="1:2">
      <c r="A9030" s="32">
        <v>9020</v>
      </c>
      <c r="B9030" s="90">
        <v>8.0323096008305885</v>
      </c>
    </row>
    <row r="9031" spans="1:2">
      <c r="A9031" s="32">
        <v>9021</v>
      </c>
      <c r="B9031" s="90">
        <v>8.2917844936140028</v>
      </c>
    </row>
    <row r="9032" spans="1:2">
      <c r="A9032" s="32">
        <v>9022</v>
      </c>
      <c r="B9032" s="90">
        <v>8.5407546578948565</v>
      </c>
    </row>
    <row r="9033" spans="1:2">
      <c r="A9033" s="32">
        <v>9023</v>
      </c>
      <c r="B9033" s="90">
        <v>8.9446260292268551</v>
      </c>
    </row>
    <row r="9034" spans="1:2">
      <c r="A9034" s="32">
        <v>9024</v>
      </c>
      <c r="B9034" s="90">
        <v>8.3774007790453275</v>
      </c>
    </row>
    <row r="9035" spans="1:2">
      <c r="A9035" s="32">
        <v>9025</v>
      </c>
      <c r="B9035" s="90">
        <v>9.7364314646406456</v>
      </c>
    </row>
    <row r="9036" spans="1:2">
      <c r="A9036" s="32">
        <v>9026</v>
      </c>
      <c r="B9036" s="90">
        <v>8.2035513965922018</v>
      </c>
    </row>
    <row r="9037" spans="1:2">
      <c r="A9037" s="32">
        <v>9027</v>
      </c>
      <c r="B9037" s="90">
        <v>7.485279944521074</v>
      </c>
    </row>
    <row r="9038" spans="1:2">
      <c r="A9038" s="32">
        <v>9028</v>
      </c>
      <c r="B9038" s="90">
        <v>8.6158195014844399</v>
      </c>
    </row>
    <row r="9039" spans="1:2">
      <c r="A9039" s="32">
        <v>9029</v>
      </c>
      <c r="B9039" s="90">
        <v>8.2873330157880574</v>
      </c>
    </row>
    <row r="9040" spans="1:2">
      <c r="A9040" s="32">
        <v>9030</v>
      </c>
      <c r="B9040" s="90">
        <v>7.8390186112245308</v>
      </c>
    </row>
    <row r="9041" spans="1:2">
      <c r="A9041" s="32">
        <v>9031</v>
      </c>
      <c r="B9041" s="90">
        <v>8.8057138665569088</v>
      </c>
    </row>
    <row r="9042" spans="1:2">
      <c r="A9042" s="32">
        <v>9032</v>
      </c>
      <c r="B9042" s="90">
        <v>8.8094793262642259</v>
      </c>
    </row>
    <row r="9043" spans="1:2">
      <c r="A9043" s="32">
        <v>9033</v>
      </c>
      <c r="B9043" s="90">
        <v>7.4090914850554972</v>
      </c>
    </row>
    <row r="9044" spans="1:2">
      <c r="A9044" s="32">
        <v>9034</v>
      </c>
      <c r="B9044" s="90">
        <v>9.0750608166044024</v>
      </c>
    </row>
    <row r="9045" spans="1:2">
      <c r="A9045" s="32">
        <v>9035</v>
      </c>
      <c r="B9045" s="90">
        <v>7.447127276772961</v>
      </c>
    </row>
    <row r="9046" spans="1:2">
      <c r="A9046" s="32">
        <v>9036</v>
      </c>
      <c r="B9046" s="90">
        <v>8.4504341801368952</v>
      </c>
    </row>
    <row r="9047" spans="1:2">
      <c r="A9047" s="32">
        <v>9037</v>
      </c>
      <c r="B9047" s="90">
        <v>8.3237664631830235</v>
      </c>
    </row>
    <row r="9048" spans="1:2">
      <c r="A9048" s="32">
        <v>9038</v>
      </c>
      <c r="B9048" s="90">
        <v>8.9393719918004191</v>
      </c>
    </row>
    <row r="9049" spans="1:2">
      <c r="A9049" s="32">
        <v>9039</v>
      </c>
      <c r="B9049" s="90">
        <v>7.61376361725263</v>
      </c>
    </row>
    <row r="9050" spans="1:2">
      <c r="A9050" s="32">
        <v>9040</v>
      </c>
      <c r="B9050" s="90">
        <v>8.4828418803339414</v>
      </c>
    </row>
    <row r="9051" spans="1:2">
      <c r="A9051" s="32">
        <v>9041</v>
      </c>
      <c r="B9051" s="90">
        <v>8.2691748171237158</v>
      </c>
    </row>
    <row r="9052" spans="1:2">
      <c r="A9052" s="32">
        <v>9042</v>
      </c>
      <c r="B9052" s="90">
        <v>8.2385456150383334</v>
      </c>
    </row>
    <row r="9053" spans="1:2">
      <c r="A9053" s="32">
        <v>9043</v>
      </c>
      <c r="B9053" s="90">
        <v>8.1721708371500306</v>
      </c>
    </row>
    <row r="9054" spans="1:2">
      <c r="A9054" s="32">
        <v>9044</v>
      </c>
      <c r="B9054" s="90">
        <v>8.2122491146050436</v>
      </c>
    </row>
    <row r="9055" spans="1:2">
      <c r="A9055" s="32">
        <v>9045</v>
      </c>
      <c r="B9055" s="90">
        <v>8.9011332587133616</v>
      </c>
    </row>
    <row r="9056" spans="1:2">
      <c r="A9056" s="32">
        <v>9046</v>
      </c>
      <c r="B9056" s="90">
        <v>7.8831221300608671</v>
      </c>
    </row>
    <row r="9057" spans="1:2">
      <c r="A9057" s="32">
        <v>9047</v>
      </c>
      <c r="B9057" s="90">
        <v>8.0315153756927913</v>
      </c>
    </row>
    <row r="9058" spans="1:2">
      <c r="A9058" s="32">
        <v>9048</v>
      </c>
      <c r="B9058" s="90">
        <v>9.173342833541323</v>
      </c>
    </row>
    <row r="9059" spans="1:2">
      <c r="A9059" s="32">
        <v>9049</v>
      </c>
      <c r="B9059" s="90">
        <v>7.88908634778939</v>
      </c>
    </row>
    <row r="9060" spans="1:2">
      <c r="A9060" s="32">
        <v>9050</v>
      </c>
      <c r="B9060" s="90">
        <v>8.0032570803429177</v>
      </c>
    </row>
    <row r="9061" spans="1:2">
      <c r="A9061" s="32">
        <v>9051</v>
      </c>
      <c r="B9061" s="90">
        <v>8.8845415426026371</v>
      </c>
    </row>
    <row r="9062" spans="1:2">
      <c r="A9062" s="32">
        <v>9052</v>
      </c>
      <c r="B9062" s="90">
        <v>7.9904317324580072</v>
      </c>
    </row>
    <row r="9063" spans="1:2">
      <c r="A9063" s="32">
        <v>9053</v>
      </c>
      <c r="B9063" s="90">
        <v>8.1400194834437158</v>
      </c>
    </row>
    <row r="9064" spans="1:2">
      <c r="A9064" s="32">
        <v>9054</v>
      </c>
      <c r="B9064" s="90">
        <v>9.4025560745250267</v>
      </c>
    </row>
    <row r="9065" spans="1:2">
      <c r="A9065" s="32">
        <v>9055</v>
      </c>
      <c r="B9065" s="90">
        <v>8.057931109898453</v>
      </c>
    </row>
    <row r="9066" spans="1:2">
      <c r="A9066" s="32">
        <v>9056</v>
      </c>
      <c r="B9066" s="90">
        <v>7.7405653615199874</v>
      </c>
    </row>
    <row r="9067" spans="1:2">
      <c r="A9067" s="32">
        <v>9057</v>
      </c>
      <c r="B9067" s="90">
        <v>8.5318816212975968</v>
      </c>
    </row>
    <row r="9068" spans="1:2">
      <c r="A9068" s="32">
        <v>9058</v>
      </c>
      <c r="B9068" s="90">
        <v>7.8944073150785394</v>
      </c>
    </row>
    <row r="9069" spans="1:2">
      <c r="A9069" s="32">
        <v>9059</v>
      </c>
      <c r="B9069" s="90">
        <v>8.3004560130848688</v>
      </c>
    </row>
    <row r="9070" spans="1:2">
      <c r="A9070" s="32">
        <v>9060</v>
      </c>
      <c r="B9070" s="90">
        <v>9.0998477273768241</v>
      </c>
    </row>
    <row r="9071" spans="1:2">
      <c r="A9071" s="32">
        <v>9061</v>
      </c>
      <c r="B9071" s="90">
        <v>8.1520493504069211</v>
      </c>
    </row>
    <row r="9072" spans="1:2">
      <c r="A9072" s="32">
        <v>9062</v>
      </c>
      <c r="B9072" s="90">
        <v>7.3937497638242844</v>
      </c>
    </row>
    <row r="9073" spans="1:2">
      <c r="A9073" s="32">
        <v>9063</v>
      </c>
      <c r="B9073" s="90">
        <v>9.1165295212519357</v>
      </c>
    </row>
    <row r="9074" spans="1:2">
      <c r="A9074" s="32">
        <v>9064</v>
      </c>
      <c r="B9074" s="90">
        <v>7.8561370680619698</v>
      </c>
    </row>
    <row r="9075" spans="1:2">
      <c r="A9075" s="32">
        <v>9065</v>
      </c>
      <c r="B9075" s="90">
        <v>8.4473792831098695</v>
      </c>
    </row>
    <row r="9076" spans="1:2">
      <c r="A9076" s="32">
        <v>9066</v>
      </c>
      <c r="B9076" s="90">
        <v>8.1948859728977776</v>
      </c>
    </row>
    <row r="9077" spans="1:2">
      <c r="A9077" s="32">
        <v>9067</v>
      </c>
      <c r="B9077" s="90">
        <v>8.7459219033560736</v>
      </c>
    </row>
    <row r="9078" spans="1:2">
      <c r="A9078" s="32">
        <v>9068</v>
      </c>
      <c r="B9078" s="90">
        <v>7.6386423917568473</v>
      </c>
    </row>
    <row r="9079" spans="1:2">
      <c r="A9079" s="32">
        <v>9069</v>
      </c>
      <c r="B9079" s="90">
        <v>8.6065403783084378</v>
      </c>
    </row>
    <row r="9080" spans="1:2">
      <c r="A9080" s="32">
        <v>9070</v>
      </c>
      <c r="B9080" s="90">
        <v>8.0823925485093397</v>
      </c>
    </row>
    <row r="9081" spans="1:2">
      <c r="A9081" s="32">
        <v>9071</v>
      </c>
      <c r="B9081" s="90">
        <v>7.9586306435765053</v>
      </c>
    </row>
    <row r="9082" spans="1:2">
      <c r="A9082" s="32">
        <v>9072</v>
      </c>
      <c r="B9082" s="90">
        <v>8.595623270855544</v>
      </c>
    </row>
    <row r="9083" spans="1:2">
      <c r="A9083" s="32">
        <v>9073</v>
      </c>
      <c r="B9083" s="90">
        <v>8.5048031758286786</v>
      </c>
    </row>
    <row r="9084" spans="1:2">
      <c r="A9084" s="32">
        <v>9074</v>
      </c>
      <c r="B9084" s="90">
        <v>8.127259357066384</v>
      </c>
    </row>
    <row r="9085" spans="1:2">
      <c r="A9085" s="32">
        <v>9075</v>
      </c>
      <c r="B9085" s="90">
        <v>8.4575529096982081</v>
      </c>
    </row>
    <row r="9086" spans="1:2">
      <c r="A9086" s="32">
        <v>9076</v>
      </c>
      <c r="B9086" s="90">
        <v>7.9563955820478238</v>
      </c>
    </row>
    <row r="9087" spans="1:2">
      <c r="A9087" s="32">
        <v>9077</v>
      </c>
      <c r="B9087" s="90">
        <v>8.6535780594406457</v>
      </c>
    </row>
    <row r="9088" spans="1:2">
      <c r="A9088" s="32">
        <v>9078</v>
      </c>
      <c r="B9088" s="90">
        <v>8.019291965019022</v>
      </c>
    </row>
    <row r="9089" spans="1:2">
      <c r="A9089" s="32">
        <v>9079</v>
      </c>
      <c r="B9089" s="90">
        <v>8.2591380250105342</v>
      </c>
    </row>
    <row r="9090" spans="1:2">
      <c r="A9090" s="32">
        <v>9080</v>
      </c>
      <c r="B9090" s="90">
        <v>8.5512893938369796</v>
      </c>
    </row>
    <row r="9091" spans="1:2">
      <c r="A9091" s="32">
        <v>9081</v>
      </c>
      <c r="B9091" s="90">
        <v>8.309451267316339</v>
      </c>
    </row>
    <row r="9092" spans="1:2">
      <c r="A9092" s="32">
        <v>9082</v>
      </c>
      <c r="B9092" s="90">
        <v>8.0101999042684309</v>
      </c>
    </row>
    <row r="9093" spans="1:2">
      <c r="A9093" s="32">
        <v>9083</v>
      </c>
      <c r="B9093" s="90">
        <v>9.5125825029947073</v>
      </c>
    </row>
    <row r="9094" spans="1:2">
      <c r="A9094" s="32">
        <v>9084</v>
      </c>
      <c r="B9094" s="90">
        <v>7.7433475302647246</v>
      </c>
    </row>
    <row r="9095" spans="1:2">
      <c r="A9095" s="32">
        <v>9085</v>
      </c>
      <c r="B9095" s="90">
        <v>7.9631662584167513</v>
      </c>
    </row>
    <row r="9096" spans="1:2">
      <c r="A9096" s="32">
        <v>9086</v>
      </c>
      <c r="B9096" s="90">
        <v>8.7517940423038691</v>
      </c>
    </row>
    <row r="9097" spans="1:2">
      <c r="A9097" s="32">
        <v>9087</v>
      </c>
      <c r="B9097" s="90">
        <v>7.6795575475617817</v>
      </c>
    </row>
    <row r="9098" spans="1:2">
      <c r="A9098" s="32">
        <v>9088</v>
      </c>
      <c r="B9098" s="90">
        <v>8.2609413024051364</v>
      </c>
    </row>
    <row r="9099" spans="1:2">
      <c r="A9099" s="32">
        <v>9089</v>
      </c>
      <c r="B9099" s="90">
        <v>9.40444162640466</v>
      </c>
    </row>
    <row r="9100" spans="1:2">
      <c r="A9100" s="32">
        <v>9090</v>
      </c>
      <c r="B9100" s="90">
        <v>8.2035513965922018</v>
      </c>
    </row>
    <row r="9101" spans="1:2">
      <c r="A9101" s="32">
        <v>9091</v>
      </c>
      <c r="B9101" s="90">
        <v>7.485279944521074</v>
      </c>
    </row>
    <row r="9102" spans="1:2">
      <c r="A9102" s="32">
        <v>9092</v>
      </c>
      <c r="B9102" s="90">
        <v>8.6158195014844399</v>
      </c>
    </row>
    <row r="9103" spans="1:2">
      <c r="A9103" s="32">
        <v>9093</v>
      </c>
      <c r="B9103" s="90">
        <v>8.2873330157880574</v>
      </c>
    </row>
    <row r="9104" spans="1:2">
      <c r="A9104" s="32">
        <v>9094</v>
      </c>
      <c r="B9104" s="90">
        <v>7.8390186112245308</v>
      </c>
    </row>
    <row r="9105" spans="1:2">
      <c r="A9105" s="32">
        <v>9095</v>
      </c>
      <c r="B9105" s="90">
        <v>8.8057138665569088</v>
      </c>
    </row>
    <row r="9106" spans="1:2">
      <c r="A9106" s="32">
        <v>9096</v>
      </c>
      <c r="B9106" s="90">
        <v>8.8094793262642259</v>
      </c>
    </row>
    <row r="9107" spans="1:2">
      <c r="A9107" s="32">
        <v>9097</v>
      </c>
      <c r="B9107" s="90">
        <v>7.4090914850554972</v>
      </c>
    </row>
    <row r="9108" spans="1:2">
      <c r="A9108" s="32">
        <v>9098</v>
      </c>
      <c r="B9108" s="90">
        <v>9.0750608166044024</v>
      </c>
    </row>
    <row r="9109" spans="1:2">
      <c r="A9109" s="32">
        <v>9099</v>
      </c>
      <c r="B9109" s="90">
        <v>7.447127276772961</v>
      </c>
    </row>
    <row r="9110" spans="1:2">
      <c r="A9110" s="32">
        <v>9100</v>
      </c>
      <c r="B9110" s="90">
        <v>8.4504341801368952</v>
      </c>
    </row>
    <row r="9111" spans="1:2">
      <c r="A9111" s="32">
        <v>9101</v>
      </c>
      <c r="B9111" s="90">
        <v>8.3237664631830235</v>
      </c>
    </row>
    <row r="9112" spans="1:2">
      <c r="A9112" s="32">
        <v>9102</v>
      </c>
      <c r="B9112" s="90">
        <v>8.9393719918004191</v>
      </c>
    </row>
    <row r="9113" spans="1:2">
      <c r="A9113" s="32">
        <v>9103</v>
      </c>
      <c r="B9113" s="90">
        <v>7.61376361725263</v>
      </c>
    </row>
    <row r="9114" spans="1:2">
      <c r="A9114" s="32">
        <v>9104</v>
      </c>
      <c r="B9114" s="90">
        <v>8.4828418803339414</v>
      </c>
    </row>
    <row r="9115" spans="1:2">
      <c r="A9115" s="32">
        <v>9105</v>
      </c>
      <c r="B9115" s="90">
        <v>7.661026008887343</v>
      </c>
    </row>
    <row r="9116" spans="1:2">
      <c r="A9116" s="32">
        <v>9106</v>
      </c>
      <c r="B9116" s="90">
        <v>7.849936284900652</v>
      </c>
    </row>
    <row r="9117" spans="1:2">
      <c r="A9117" s="32">
        <v>9107</v>
      </c>
      <c r="B9117" s="90">
        <v>7.7613378939641606</v>
      </c>
    </row>
    <row r="9118" spans="1:2">
      <c r="A9118" s="32">
        <v>9108</v>
      </c>
      <c r="B9118" s="90">
        <v>9.039945847532282</v>
      </c>
    </row>
    <row r="9119" spans="1:2">
      <c r="A9119" s="32">
        <v>9109</v>
      </c>
      <c r="B9119" s="90">
        <v>8.2026727926774399</v>
      </c>
    </row>
    <row r="9120" spans="1:2">
      <c r="A9120" s="32">
        <v>9110</v>
      </c>
      <c r="B9120" s="90">
        <v>8.5984543897895147</v>
      </c>
    </row>
    <row r="9121" spans="1:2">
      <c r="A9121" s="32">
        <v>9111</v>
      </c>
      <c r="B9121" s="90">
        <v>8.420528227416062</v>
      </c>
    </row>
    <row r="9122" spans="1:2">
      <c r="A9122" s="32">
        <v>9112</v>
      </c>
      <c r="B9122" s="90">
        <v>7.8599042397684968</v>
      </c>
    </row>
    <row r="9123" spans="1:2">
      <c r="A9123" s="32">
        <v>9113</v>
      </c>
      <c r="B9123" s="90">
        <v>7.2391728671390716</v>
      </c>
    </row>
    <row r="9124" spans="1:2">
      <c r="A9124" s="32">
        <v>9114</v>
      </c>
      <c r="B9124" s="90">
        <v>9.3156618901365889</v>
      </c>
    </row>
    <row r="9125" spans="1:2">
      <c r="A9125" s="32">
        <v>9115</v>
      </c>
      <c r="B9125" s="90">
        <v>8.5380825327009262</v>
      </c>
    </row>
    <row r="9126" spans="1:2">
      <c r="A9126" s="32">
        <v>9116</v>
      </c>
      <c r="B9126" s="90">
        <v>8.7454978929227369</v>
      </c>
    </row>
    <row r="9127" spans="1:2">
      <c r="A9127" s="32">
        <v>9117</v>
      </c>
      <c r="B9127" s="90">
        <v>7.696571653997661</v>
      </c>
    </row>
    <row r="9128" spans="1:2">
      <c r="A9128" s="32">
        <v>9118</v>
      </c>
      <c r="B9128" s="90">
        <v>7.741719048626627</v>
      </c>
    </row>
    <row r="9129" spans="1:2">
      <c r="A9129" s="32">
        <v>9119</v>
      </c>
      <c r="B9129" s="90">
        <v>7.7808288673768145</v>
      </c>
    </row>
    <row r="9130" spans="1:2">
      <c r="A9130" s="32">
        <v>9120</v>
      </c>
      <c r="B9130" s="90">
        <v>8.9530382417961487</v>
      </c>
    </row>
    <row r="9131" spans="1:2">
      <c r="A9131" s="32">
        <v>9121</v>
      </c>
      <c r="B9131" s="90">
        <v>8.7630169519406973</v>
      </c>
    </row>
    <row r="9132" spans="1:2">
      <c r="A9132" s="32">
        <v>9122</v>
      </c>
      <c r="B9132" s="90">
        <v>8.6511140252178809</v>
      </c>
    </row>
    <row r="9133" spans="1:2">
      <c r="A9133" s="32">
        <v>9123</v>
      </c>
      <c r="B9133" s="90">
        <v>7.5117965447355939</v>
      </c>
    </row>
    <row r="9134" spans="1:2">
      <c r="A9134" s="32">
        <v>9124</v>
      </c>
      <c r="B9134" s="90">
        <v>7.9491785278291598</v>
      </c>
    </row>
    <row r="9135" spans="1:2">
      <c r="A9135" s="32">
        <v>9125</v>
      </c>
      <c r="B9135" s="90">
        <v>7.9790167661193863</v>
      </c>
    </row>
    <row r="9136" spans="1:2">
      <c r="A9136" s="32">
        <v>9126</v>
      </c>
      <c r="B9136" s="90">
        <v>9.0878615060804719</v>
      </c>
    </row>
    <row r="9137" spans="1:2">
      <c r="A9137" s="32">
        <v>9127</v>
      </c>
      <c r="B9137" s="90">
        <v>8.2533976223117591</v>
      </c>
    </row>
    <row r="9138" spans="1:2">
      <c r="A9138" s="32">
        <v>9128</v>
      </c>
      <c r="B9138" s="90">
        <v>8.7827016763221888</v>
      </c>
    </row>
    <row r="9139" spans="1:2">
      <c r="A9139" s="32">
        <v>9129</v>
      </c>
      <c r="B9139" s="90">
        <v>7.6108878739523282</v>
      </c>
    </row>
    <row r="9140" spans="1:2">
      <c r="A9140" s="32">
        <v>9130</v>
      </c>
      <c r="B9140" s="90">
        <v>7.8465564080098611</v>
      </c>
    </row>
    <row r="9141" spans="1:2">
      <c r="A9141" s="32">
        <v>9131</v>
      </c>
      <c r="B9141" s="90">
        <v>7.9970813095229962</v>
      </c>
    </row>
    <row r="9142" spans="1:2">
      <c r="A9142" s="32">
        <v>9132</v>
      </c>
      <c r="B9142" s="90">
        <v>9.2955185544335475</v>
      </c>
    </row>
    <row r="9143" spans="1:2">
      <c r="A9143" s="32">
        <v>9133</v>
      </c>
      <c r="B9143" s="90">
        <v>8.6482793356293683</v>
      </c>
    </row>
    <row r="9144" spans="1:2">
      <c r="A9144" s="32">
        <v>9134</v>
      </c>
      <c r="B9144" s="90">
        <v>8.3179120097447399</v>
      </c>
    </row>
    <row r="9145" spans="1:2">
      <c r="A9145" s="32">
        <v>9135</v>
      </c>
      <c r="B9145" s="90">
        <v>7.8436618066968702</v>
      </c>
    </row>
    <row r="9146" spans="1:2">
      <c r="A9146" s="32">
        <v>9136</v>
      </c>
      <c r="B9146" s="90">
        <v>7.4487530256300154</v>
      </c>
    </row>
    <row r="9147" spans="1:2">
      <c r="A9147" s="32">
        <v>9137</v>
      </c>
      <c r="B9147" s="90">
        <v>9.0065426439028933</v>
      </c>
    </row>
    <row r="9148" spans="1:2">
      <c r="A9148" s="32">
        <v>9138</v>
      </c>
      <c r="B9148" s="90">
        <v>8.032674487019424</v>
      </c>
    </row>
    <row r="9149" spans="1:2">
      <c r="A9149" s="32">
        <v>9139</v>
      </c>
      <c r="B9149" s="90">
        <v>8.5825955580792055</v>
      </c>
    </row>
    <row r="9150" spans="1:2">
      <c r="A9150" s="32">
        <v>9140</v>
      </c>
      <c r="B9150" s="90">
        <v>8.3053818950410268</v>
      </c>
    </row>
    <row r="9151" spans="1:2">
      <c r="A9151" s="32">
        <v>9141</v>
      </c>
      <c r="B9151" s="90">
        <v>8.00509354197502</v>
      </c>
    </row>
    <row r="9152" spans="1:2">
      <c r="A9152" s="32">
        <v>9142</v>
      </c>
      <c r="B9152" s="90">
        <v>7.3447068477561412</v>
      </c>
    </row>
    <row r="9153" spans="1:2">
      <c r="A9153" s="32">
        <v>9143</v>
      </c>
      <c r="B9153" s="90">
        <v>9.4543531493820421</v>
      </c>
    </row>
    <row r="9154" spans="1:2">
      <c r="A9154" s="32">
        <v>9144</v>
      </c>
      <c r="B9154" s="90">
        <v>8.157810492369201</v>
      </c>
    </row>
    <row r="9155" spans="1:2">
      <c r="A9155" s="32">
        <v>9145</v>
      </c>
      <c r="B9155" s="90">
        <v>9.0247658248368019</v>
      </c>
    </row>
    <row r="9156" spans="1:2">
      <c r="A9156" s="32">
        <v>9146</v>
      </c>
      <c r="B9156" s="90">
        <v>7.9490813604260602</v>
      </c>
    </row>
    <row r="9157" spans="1:2">
      <c r="A9157" s="32">
        <v>9147</v>
      </c>
      <c r="B9157" s="90">
        <v>7.7470267835064739</v>
      </c>
    </row>
    <row r="9158" spans="1:2">
      <c r="A9158" s="32">
        <v>9148</v>
      </c>
      <c r="B9158" s="90">
        <v>7.5306427163723972</v>
      </c>
    </row>
    <row r="9159" spans="1:2">
      <c r="A9159" s="32">
        <v>9149</v>
      </c>
      <c r="B9159" s="90">
        <v>9.1270151511974831</v>
      </c>
    </row>
    <row r="9160" spans="1:2">
      <c r="A9160" s="32">
        <v>9150</v>
      </c>
      <c r="B9160" s="90">
        <v>8.313179808888103</v>
      </c>
    </row>
    <row r="9161" spans="1:2">
      <c r="A9161" s="32">
        <v>9151</v>
      </c>
      <c r="B9161" s="90">
        <v>8.8763285903469349</v>
      </c>
    </row>
    <row r="9162" spans="1:2">
      <c r="A9162" s="32">
        <v>9152</v>
      </c>
      <c r="B9162" s="90">
        <v>7.7581067176865393</v>
      </c>
    </row>
    <row r="9163" spans="1:2">
      <c r="A9163" s="32">
        <v>9153</v>
      </c>
      <c r="B9163" s="90">
        <v>7.7313312884777377</v>
      </c>
    </row>
    <row r="9164" spans="1:2">
      <c r="A9164" s="32">
        <v>9154</v>
      </c>
      <c r="B9164" s="90">
        <v>8.1195269466748776</v>
      </c>
    </row>
    <row r="9165" spans="1:2">
      <c r="A9165" s="32">
        <v>9155</v>
      </c>
      <c r="B9165" s="90">
        <v>8.9094993617736336</v>
      </c>
    </row>
    <row r="9166" spans="1:2">
      <c r="A9166" s="32">
        <v>9156</v>
      </c>
      <c r="B9166" s="90">
        <v>8.5109716953374566</v>
      </c>
    </row>
    <row r="9167" spans="1:2">
      <c r="A9167" s="32">
        <v>9157</v>
      </c>
      <c r="B9167" s="90">
        <v>8.8748737686497012</v>
      </c>
    </row>
    <row r="9168" spans="1:2">
      <c r="A9168" s="32">
        <v>9158</v>
      </c>
      <c r="B9168" s="90">
        <v>7.4011709780251378</v>
      </c>
    </row>
    <row r="9169" spans="1:2">
      <c r="A9169" s="32">
        <v>9159</v>
      </c>
      <c r="B9169" s="90">
        <v>7.8733119801427147</v>
      </c>
    </row>
    <row r="9170" spans="1:2">
      <c r="A9170" s="32">
        <v>9160</v>
      </c>
      <c r="B9170" s="90">
        <v>7.9506894772544223</v>
      </c>
    </row>
    <row r="9171" spans="1:2">
      <c r="A9171" s="32">
        <v>9161</v>
      </c>
      <c r="B9171" s="90">
        <v>9.1372975154110065</v>
      </c>
    </row>
    <row r="9172" spans="1:2">
      <c r="A9172" s="32">
        <v>9162</v>
      </c>
      <c r="B9172" s="90">
        <v>8.4727326231279516</v>
      </c>
    </row>
    <row r="9173" spans="1:2">
      <c r="A9173" s="32">
        <v>9163</v>
      </c>
      <c r="B9173" s="90">
        <v>8.885679971804036</v>
      </c>
    </row>
    <row r="9174" spans="1:2">
      <c r="A9174" s="32">
        <v>9164</v>
      </c>
      <c r="B9174" s="90">
        <v>7.4721081975785131</v>
      </c>
    </row>
    <row r="9175" spans="1:2">
      <c r="A9175" s="32">
        <v>9165</v>
      </c>
      <c r="B9175" s="90">
        <v>7.651343089543464</v>
      </c>
    </row>
    <row r="9176" spans="1:2">
      <c r="A9176" s="32">
        <v>9166</v>
      </c>
      <c r="B9176" s="90">
        <v>8.6805620848133636</v>
      </c>
    </row>
    <row r="9177" spans="1:2">
      <c r="A9177" s="32">
        <v>9167</v>
      </c>
      <c r="B9177" s="90">
        <v>8.3649279352357286</v>
      </c>
    </row>
    <row r="9178" spans="1:2">
      <c r="A9178" s="32">
        <v>9168</v>
      </c>
      <c r="B9178" s="90">
        <v>8.7767919702447053</v>
      </c>
    </row>
    <row r="9179" spans="1:2">
      <c r="A9179" s="32">
        <v>9169</v>
      </c>
      <c r="B9179" s="90">
        <v>8.1866972390423438</v>
      </c>
    </row>
    <row r="9180" spans="1:2">
      <c r="A9180" s="32">
        <v>9170</v>
      </c>
      <c r="B9180" s="90">
        <v>7.849936284900652</v>
      </c>
    </row>
    <row r="9181" spans="1:2">
      <c r="A9181" s="32">
        <v>9171</v>
      </c>
      <c r="B9181" s="90">
        <v>7.7613378939641606</v>
      </c>
    </row>
    <row r="9182" spans="1:2">
      <c r="A9182" s="32">
        <v>9172</v>
      </c>
      <c r="B9182" s="90">
        <v>9.039945847532282</v>
      </c>
    </row>
    <row r="9183" spans="1:2">
      <c r="A9183" s="32">
        <v>9173</v>
      </c>
      <c r="B9183" s="90">
        <v>8.2026727926774399</v>
      </c>
    </row>
    <row r="9184" spans="1:2">
      <c r="A9184" s="32">
        <v>9174</v>
      </c>
      <c r="B9184" s="90">
        <v>8.5984543897895147</v>
      </c>
    </row>
    <row r="9185" spans="1:2">
      <c r="A9185" s="32">
        <v>9175</v>
      </c>
      <c r="B9185" s="90">
        <v>8.420528227416062</v>
      </c>
    </row>
    <row r="9186" spans="1:2">
      <c r="A9186" s="32">
        <v>9176</v>
      </c>
      <c r="B9186" s="90">
        <v>7.8599042397684968</v>
      </c>
    </row>
    <row r="9187" spans="1:2">
      <c r="A9187" s="32">
        <v>9177</v>
      </c>
      <c r="B9187" s="90">
        <v>7.2391728671390716</v>
      </c>
    </row>
    <row r="9188" spans="1:2">
      <c r="A9188" s="32">
        <v>9178</v>
      </c>
      <c r="B9188" s="90">
        <v>9.3156618901365889</v>
      </c>
    </row>
    <row r="9189" spans="1:2">
      <c r="A9189" s="32">
        <v>9179</v>
      </c>
      <c r="B9189" s="90">
        <v>8.5380825327009262</v>
      </c>
    </row>
    <row r="9190" spans="1:2">
      <c r="A9190" s="32">
        <v>9180</v>
      </c>
      <c r="B9190" s="90">
        <v>8.7454978929227369</v>
      </c>
    </row>
    <row r="9191" spans="1:2">
      <c r="A9191" s="32">
        <v>9181</v>
      </c>
      <c r="B9191" s="90">
        <v>7.696571653997661</v>
      </c>
    </row>
    <row r="9192" spans="1:2">
      <c r="A9192" s="32">
        <v>9182</v>
      </c>
      <c r="B9192" s="90">
        <v>7.741719048626627</v>
      </c>
    </row>
    <row r="9193" spans="1:2">
      <c r="A9193" s="32">
        <v>9183</v>
      </c>
      <c r="B9193" s="90">
        <v>7.7808288673768145</v>
      </c>
    </row>
    <row r="9194" spans="1:2">
      <c r="A9194" s="32">
        <v>9184</v>
      </c>
      <c r="B9194" s="90">
        <v>8.9530382417961487</v>
      </c>
    </row>
    <row r="9195" spans="1:2">
      <c r="A9195" s="32">
        <v>9185</v>
      </c>
      <c r="B9195" s="90">
        <v>8.7630169519406973</v>
      </c>
    </row>
    <row r="9196" spans="1:2">
      <c r="A9196" s="32">
        <v>9186</v>
      </c>
      <c r="B9196" s="90">
        <v>8.6511140252178809</v>
      </c>
    </row>
    <row r="9197" spans="1:2">
      <c r="A9197" s="32">
        <v>9187</v>
      </c>
      <c r="B9197" s="90">
        <v>7.5117965447355939</v>
      </c>
    </row>
    <row r="9198" spans="1:2">
      <c r="A9198" s="32">
        <v>9188</v>
      </c>
      <c r="B9198" s="90">
        <v>7.9491785278291598</v>
      </c>
    </row>
    <row r="9199" spans="1:2">
      <c r="A9199" s="32">
        <v>9189</v>
      </c>
      <c r="B9199" s="90">
        <v>7.9790167661193863</v>
      </c>
    </row>
    <row r="9200" spans="1:2">
      <c r="A9200" s="32">
        <v>9190</v>
      </c>
      <c r="B9200" s="90">
        <v>9.0878615060804719</v>
      </c>
    </row>
    <row r="9201" spans="1:2">
      <c r="A9201" s="32">
        <v>9191</v>
      </c>
      <c r="B9201" s="90">
        <v>8.2533976223117591</v>
      </c>
    </row>
    <row r="9202" spans="1:2">
      <c r="A9202" s="32">
        <v>9192</v>
      </c>
      <c r="B9202" s="90">
        <v>8.7827016763221888</v>
      </c>
    </row>
    <row r="9203" spans="1:2">
      <c r="A9203" s="32">
        <v>9193</v>
      </c>
      <c r="B9203" s="90">
        <v>7.6108878739523282</v>
      </c>
    </row>
    <row r="9204" spans="1:2">
      <c r="A9204" s="32">
        <v>9194</v>
      </c>
      <c r="B9204" s="90">
        <v>7.8465564080098611</v>
      </c>
    </row>
    <row r="9205" spans="1:2">
      <c r="A9205" s="32">
        <v>9195</v>
      </c>
      <c r="B9205" s="90">
        <v>7.9970813095229962</v>
      </c>
    </row>
    <row r="9206" spans="1:2">
      <c r="A9206" s="32">
        <v>9196</v>
      </c>
      <c r="B9206" s="90">
        <v>9.2955185544335475</v>
      </c>
    </row>
    <row r="9207" spans="1:2">
      <c r="A9207" s="32">
        <v>9197</v>
      </c>
      <c r="B9207" s="90">
        <v>8.6482793356293683</v>
      </c>
    </row>
    <row r="9208" spans="1:2">
      <c r="A9208" s="32">
        <v>9198</v>
      </c>
      <c r="B9208" s="90">
        <v>8.3179120097447399</v>
      </c>
    </row>
    <row r="9209" spans="1:2">
      <c r="A9209" s="32">
        <v>9199</v>
      </c>
      <c r="B9209" s="90">
        <v>7.8436618066968702</v>
      </c>
    </row>
    <row r="9210" spans="1:2">
      <c r="A9210" s="32">
        <v>9200</v>
      </c>
      <c r="B9210" s="90">
        <v>7.4487530256300154</v>
      </c>
    </row>
    <row r="9211" spans="1:2">
      <c r="A9211" s="32">
        <v>9201</v>
      </c>
      <c r="B9211" s="90">
        <v>9.0065426439028933</v>
      </c>
    </row>
    <row r="9212" spans="1:2">
      <c r="A9212" s="32">
        <v>9202</v>
      </c>
      <c r="B9212" s="90">
        <v>8.032674487019424</v>
      </c>
    </row>
    <row r="9213" spans="1:2">
      <c r="A9213" s="32">
        <v>9203</v>
      </c>
      <c r="B9213" s="90">
        <v>8.5825955580792055</v>
      </c>
    </row>
    <row r="9214" spans="1:2">
      <c r="A9214" s="32">
        <v>9204</v>
      </c>
      <c r="B9214" s="90">
        <v>8.3053818950410268</v>
      </c>
    </row>
    <row r="9215" spans="1:2">
      <c r="A9215" s="32">
        <v>9205</v>
      </c>
      <c r="B9215" s="90">
        <v>8.00509354197502</v>
      </c>
    </row>
    <row r="9216" spans="1:2">
      <c r="A9216" s="32">
        <v>9206</v>
      </c>
      <c r="B9216" s="90">
        <v>7.3447068477561412</v>
      </c>
    </row>
    <row r="9217" spans="1:2">
      <c r="A9217" s="32">
        <v>9207</v>
      </c>
      <c r="B9217" s="90">
        <v>9.4543531493820421</v>
      </c>
    </row>
    <row r="9218" spans="1:2">
      <c r="A9218" s="32">
        <v>9208</v>
      </c>
      <c r="B9218" s="90">
        <v>8.157810492369201</v>
      </c>
    </row>
    <row r="9219" spans="1:2">
      <c r="A9219" s="32">
        <v>9209</v>
      </c>
      <c r="B9219" s="90">
        <v>9.0247658248368019</v>
      </c>
    </row>
    <row r="9220" spans="1:2">
      <c r="A9220" s="32">
        <v>9210</v>
      </c>
      <c r="B9220" s="90">
        <v>7.9490813604260602</v>
      </c>
    </row>
    <row r="9221" spans="1:2">
      <c r="A9221" s="32">
        <v>9211</v>
      </c>
      <c r="B9221" s="90">
        <v>7.7470267835064739</v>
      </c>
    </row>
    <row r="9222" spans="1:2">
      <c r="A9222" s="32">
        <v>9212</v>
      </c>
      <c r="B9222" s="90">
        <v>7.5306427163723972</v>
      </c>
    </row>
    <row r="9223" spans="1:2">
      <c r="A9223" s="32">
        <v>9213</v>
      </c>
      <c r="B9223" s="90">
        <v>9.1270151511974831</v>
      </c>
    </row>
    <row r="9224" spans="1:2">
      <c r="A9224" s="32">
        <v>9214</v>
      </c>
      <c r="B9224" s="90">
        <v>8.313179808888103</v>
      </c>
    </row>
    <row r="9225" spans="1:2">
      <c r="A9225" s="32">
        <v>9215</v>
      </c>
      <c r="B9225" s="90">
        <v>8.8763285903469349</v>
      </c>
    </row>
    <row r="9226" spans="1:2">
      <c r="A9226" s="32">
        <v>9216</v>
      </c>
      <c r="B9226" s="90">
        <v>7.7581067176865393</v>
      </c>
    </row>
    <row r="9227" spans="1:2">
      <c r="A9227" s="32">
        <v>9217</v>
      </c>
      <c r="B9227" s="90">
        <v>7.7313312884777377</v>
      </c>
    </row>
    <row r="9228" spans="1:2">
      <c r="A9228" s="32">
        <v>9218</v>
      </c>
      <c r="B9228" s="90">
        <v>8.1195269466748776</v>
      </c>
    </row>
    <row r="9229" spans="1:2">
      <c r="A9229" s="32">
        <v>9219</v>
      </c>
      <c r="B9229" s="90">
        <v>8.9094993617736336</v>
      </c>
    </row>
    <row r="9230" spans="1:2">
      <c r="A9230" s="32">
        <v>9220</v>
      </c>
      <c r="B9230" s="90">
        <v>8.5109716953374566</v>
      </c>
    </row>
    <row r="9231" spans="1:2">
      <c r="A9231" s="32">
        <v>9221</v>
      </c>
      <c r="B9231" s="90">
        <v>8.8748737686497012</v>
      </c>
    </row>
    <row r="9232" spans="1:2">
      <c r="A9232" s="32">
        <v>9222</v>
      </c>
      <c r="B9232" s="90">
        <v>7.4011709780251378</v>
      </c>
    </row>
    <row r="9233" spans="1:2">
      <c r="A9233" s="32">
        <v>9223</v>
      </c>
      <c r="B9233" s="90">
        <v>7.9088267252687245</v>
      </c>
    </row>
    <row r="9234" spans="1:2">
      <c r="A9234" s="32">
        <v>9224</v>
      </c>
      <c r="B9234" s="90">
        <v>7.506146360400419</v>
      </c>
    </row>
    <row r="9235" spans="1:2">
      <c r="A9235" s="32">
        <v>9225</v>
      </c>
      <c r="B9235" s="90">
        <v>7.7813440528036564</v>
      </c>
    </row>
    <row r="9236" spans="1:2">
      <c r="A9236" s="32">
        <v>9226</v>
      </c>
      <c r="B9236" s="90">
        <v>7.8690209848448429</v>
      </c>
    </row>
    <row r="9237" spans="1:2">
      <c r="A9237" s="32">
        <v>9227</v>
      </c>
      <c r="B9237" s="90">
        <v>7.5010953132352993</v>
      </c>
    </row>
    <row r="9238" spans="1:2">
      <c r="A9238" s="32">
        <v>9228</v>
      </c>
      <c r="B9238" s="90">
        <v>9.2504616546657985</v>
      </c>
    </row>
    <row r="9239" spans="1:2">
      <c r="A9239" s="32">
        <v>9229</v>
      </c>
      <c r="B9239" s="90">
        <v>9.1239050321200832</v>
      </c>
    </row>
    <row r="9240" spans="1:2">
      <c r="A9240" s="32">
        <v>9230</v>
      </c>
      <c r="B9240" s="90">
        <v>7.0245432651596644</v>
      </c>
    </row>
    <row r="9241" spans="1:2">
      <c r="A9241" s="32">
        <v>9231</v>
      </c>
      <c r="B9241" s="90">
        <v>8.1597158358508644</v>
      </c>
    </row>
    <row r="9242" spans="1:2">
      <c r="A9242" s="32">
        <v>9232</v>
      </c>
      <c r="B9242" s="90">
        <v>7.8315438126193948</v>
      </c>
    </row>
    <row r="9243" spans="1:2">
      <c r="A9243" s="32">
        <v>9233</v>
      </c>
      <c r="B9243" s="90">
        <v>7.355507178504233</v>
      </c>
    </row>
    <row r="9244" spans="1:2">
      <c r="A9244" s="32">
        <v>9234</v>
      </c>
      <c r="B9244" s="90">
        <v>9.8922637068621544</v>
      </c>
    </row>
    <row r="9245" spans="1:2">
      <c r="A9245" s="32">
        <v>9235</v>
      </c>
      <c r="B9245" s="90">
        <v>8.6079664478990576</v>
      </c>
    </row>
    <row r="9246" spans="1:2">
      <c r="A9246" s="32">
        <v>9236</v>
      </c>
      <c r="B9246" s="90">
        <v>7.0695250229491275</v>
      </c>
    </row>
    <row r="9247" spans="1:2">
      <c r="A9247" s="32">
        <v>9237</v>
      </c>
      <c r="B9247" s="90">
        <v>7.6059172345871282</v>
      </c>
    </row>
    <row r="9248" spans="1:2">
      <c r="A9248" s="32">
        <v>9238</v>
      </c>
      <c r="B9248" s="90">
        <v>8.0766205422910371</v>
      </c>
    </row>
    <row r="9249" spans="1:2">
      <c r="A9249" s="32">
        <v>9239</v>
      </c>
      <c r="B9249" s="90">
        <v>8.5326454856181506</v>
      </c>
    </row>
    <row r="9250" spans="1:2">
      <c r="A9250" s="32">
        <v>9240</v>
      </c>
      <c r="B9250" s="90">
        <v>8.8345299495225991</v>
      </c>
    </row>
    <row r="9251" spans="1:2">
      <c r="A9251" s="32">
        <v>9241</v>
      </c>
      <c r="B9251" s="90">
        <v>8.6197074869442059</v>
      </c>
    </row>
    <row r="9252" spans="1:2">
      <c r="A9252" s="32">
        <v>9242</v>
      </c>
      <c r="B9252" s="90">
        <v>6.8812720297531094</v>
      </c>
    </row>
    <row r="9253" spans="1:2">
      <c r="A9253" s="32">
        <v>9243</v>
      </c>
      <c r="B9253" s="90">
        <v>7.942183928905</v>
      </c>
    </row>
    <row r="9254" spans="1:2">
      <c r="A9254" s="32">
        <v>9244</v>
      </c>
      <c r="B9254" s="90">
        <v>7.8834644048205993</v>
      </c>
    </row>
    <row r="9255" spans="1:2">
      <c r="A9255" s="32">
        <v>9245</v>
      </c>
      <c r="B9255" s="90">
        <v>9.0341667792249609</v>
      </c>
    </row>
    <row r="9256" spans="1:2">
      <c r="A9256" s="32">
        <v>9246</v>
      </c>
      <c r="B9256" s="90">
        <v>8.6482311977165729</v>
      </c>
    </row>
    <row r="9257" spans="1:2">
      <c r="A9257" s="32">
        <v>9247</v>
      </c>
      <c r="B9257" s="90">
        <v>8.0934068604146177</v>
      </c>
    </row>
    <row r="9258" spans="1:2">
      <c r="A9258" s="32">
        <v>9248</v>
      </c>
      <c r="B9258" s="90">
        <v>7.1730118862237324</v>
      </c>
    </row>
    <row r="9259" spans="1:2">
      <c r="A9259" s="32">
        <v>9249</v>
      </c>
      <c r="B9259" s="90">
        <v>8.165630126661009</v>
      </c>
    </row>
    <row r="9260" spans="1:2">
      <c r="A9260" s="32">
        <v>9250</v>
      </c>
      <c r="B9260" s="90">
        <v>7.5336867156354987</v>
      </c>
    </row>
    <row r="9261" spans="1:2">
      <c r="A9261" s="32">
        <v>9251</v>
      </c>
      <c r="B9261" s="90">
        <v>9.2371126703696529</v>
      </c>
    </row>
    <row r="9262" spans="1:2">
      <c r="A9262" s="32">
        <v>9252</v>
      </c>
      <c r="B9262" s="90">
        <v>8.7876045539509651</v>
      </c>
    </row>
    <row r="9263" spans="1:2">
      <c r="A9263" s="32">
        <v>9253</v>
      </c>
      <c r="B9263" s="90">
        <v>7.8263188417574829</v>
      </c>
    </row>
    <row r="9264" spans="1:2">
      <c r="A9264" s="32">
        <v>9254</v>
      </c>
      <c r="B9264" s="90">
        <v>7.4333072028404246</v>
      </c>
    </row>
    <row r="9265" spans="1:2">
      <c r="A9265" s="32">
        <v>9255</v>
      </c>
      <c r="B9265" s="90">
        <v>8.1074424475519766</v>
      </c>
    </row>
    <row r="9266" spans="1:2">
      <c r="A9266" s="32">
        <v>9256</v>
      </c>
      <c r="B9266" s="90">
        <v>7.4155293608618722</v>
      </c>
    </row>
    <row r="9267" spans="1:2">
      <c r="A9267" s="32">
        <v>9257</v>
      </c>
      <c r="B9267" s="90">
        <v>9.4109589066855097</v>
      </c>
    </row>
    <row r="9268" spans="1:2">
      <c r="A9268" s="32">
        <v>9258</v>
      </c>
      <c r="B9268" s="90">
        <v>8.8647576814008495</v>
      </c>
    </row>
    <row r="9269" spans="1:2">
      <c r="A9269" s="32">
        <v>9259</v>
      </c>
      <c r="B9269" s="90">
        <v>7.2762639207816449</v>
      </c>
    </row>
    <row r="9270" spans="1:2">
      <c r="A9270" s="32">
        <v>9260</v>
      </c>
      <c r="B9270" s="90">
        <v>7.9075525102629545</v>
      </c>
    </row>
    <row r="9271" spans="1:2">
      <c r="A9271" s="32">
        <v>9261</v>
      </c>
      <c r="B9271" s="90">
        <v>7.8562533756849824</v>
      </c>
    </row>
    <row r="9272" spans="1:2">
      <c r="A9272" s="32">
        <v>9262</v>
      </c>
      <c r="B9272" s="90">
        <v>7.5552209538187745</v>
      </c>
    </row>
    <row r="9273" spans="1:2">
      <c r="A9273" s="32">
        <v>9263</v>
      </c>
      <c r="B9273" s="90">
        <v>9.7882906898977726</v>
      </c>
    </row>
    <row r="9274" spans="1:2">
      <c r="A9274" s="32">
        <v>9264</v>
      </c>
      <c r="B9274" s="90">
        <v>8.6621762705122851</v>
      </c>
    </row>
    <row r="9275" spans="1:2">
      <c r="A9275" s="32">
        <v>9265</v>
      </c>
      <c r="B9275" s="90">
        <v>7.0999750473377103</v>
      </c>
    </row>
    <row r="9276" spans="1:2">
      <c r="A9276" s="32">
        <v>9266</v>
      </c>
      <c r="B9276" s="90">
        <v>7.6860309119740577</v>
      </c>
    </row>
    <row r="9277" spans="1:2">
      <c r="A9277" s="32">
        <v>9267</v>
      </c>
      <c r="B9277" s="90">
        <v>8.1612246981603374</v>
      </c>
    </row>
    <row r="9278" spans="1:2">
      <c r="A9278" s="32">
        <v>9268</v>
      </c>
      <c r="B9278" s="90">
        <v>7.9755973803579758</v>
      </c>
    </row>
    <row r="9279" spans="1:2">
      <c r="A9279" s="32">
        <v>9269</v>
      </c>
      <c r="B9279" s="90">
        <v>9.2237338771541459</v>
      </c>
    </row>
    <row r="9280" spans="1:2">
      <c r="A9280" s="32">
        <v>9270</v>
      </c>
      <c r="B9280" s="90">
        <v>8.5050018797705622</v>
      </c>
    </row>
    <row r="9281" spans="1:2">
      <c r="A9281" s="32">
        <v>9271</v>
      </c>
      <c r="B9281" s="90">
        <v>6.9628297140422264</v>
      </c>
    </row>
    <row r="9282" spans="1:2">
      <c r="A9282" s="32">
        <v>9272</v>
      </c>
      <c r="B9282" s="90">
        <v>7.7830353345285967</v>
      </c>
    </row>
    <row r="9283" spans="1:2">
      <c r="A9283" s="32">
        <v>9273</v>
      </c>
      <c r="B9283" s="90">
        <v>8.0202690525013338</v>
      </c>
    </row>
    <row r="9284" spans="1:2">
      <c r="A9284" s="32">
        <v>9274</v>
      </c>
      <c r="B9284" s="90">
        <v>8.9588209353452779</v>
      </c>
    </row>
    <row r="9285" spans="1:2">
      <c r="A9285" s="32">
        <v>9275</v>
      </c>
      <c r="B9285" s="90">
        <v>8.4432079696271227</v>
      </c>
    </row>
    <row r="9286" spans="1:2">
      <c r="A9286" s="32">
        <v>9276</v>
      </c>
      <c r="B9286" s="90">
        <v>8.4359713107678775</v>
      </c>
    </row>
    <row r="9287" spans="1:2">
      <c r="A9287" s="32">
        <v>9277</v>
      </c>
      <c r="B9287" s="90">
        <v>6.9008573212414577</v>
      </c>
    </row>
    <row r="9288" spans="1:2">
      <c r="A9288" s="32">
        <v>9278</v>
      </c>
      <c r="B9288" s="90">
        <v>8.431830066034248</v>
      </c>
    </row>
    <row r="9289" spans="1:2">
      <c r="A9289" s="32">
        <v>9279</v>
      </c>
      <c r="B9289" s="90">
        <v>7.6280158714841741</v>
      </c>
    </row>
    <row r="9290" spans="1:2">
      <c r="A9290" s="32">
        <v>9280</v>
      </c>
      <c r="B9290" s="90">
        <v>9.0128422734702802</v>
      </c>
    </row>
    <row r="9291" spans="1:2">
      <c r="A9291" s="32">
        <v>9281</v>
      </c>
      <c r="B9291" s="90">
        <v>8.9700540825186348</v>
      </c>
    </row>
    <row r="9292" spans="1:2">
      <c r="A9292" s="32">
        <v>9282</v>
      </c>
      <c r="B9292" s="90">
        <v>7.6010127976025945</v>
      </c>
    </row>
    <row r="9293" spans="1:2">
      <c r="A9293" s="32">
        <v>9283</v>
      </c>
      <c r="B9293" s="90">
        <v>7.4718666464949219</v>
      </c>
    </row>
    <row r="9294" spans="1:2">
      <c r="A9294" s="32">
        <v>9284</v>
      </c>
      <c r="B9294" s="90">
        <v>7.8964828155634548</v>
      </c>
    </row>
    <row r="9295" spans="1:2">
      <c r="A9295" s="32">
        <v>9285</v>
      </c>
      <c r="B9295" s="90">
        <v>7.7948570293675674</v>
      </c>
    </row>
    <row r="9296" spans="1:2">
      <c r="A9296" s="32">
        <v>9286</v>
      </c>
      <c r="B9296" s="90">
        <v>9.0490952309123731</v>
      </c>
    </row>
    <row r="9297" spans="1:2">
      <c r="A9297" s="32">
        <v>9287</v>
      </c>
      <c r="B9297" s="90">
        <v>9.0890318166764246</v>
      </c>
    </row>
    <row r="9298" spans="1:2">
      <c r="A9298" s="32">
        <v>9288</v>
      </c>
      <c r="B9298" s="90">
        <v>7.506146360400419</v>
      </c>
    </row>
    <row r="9299" spans="1:2">
      <c r="A9299" s="32">
        <v>9289</v>
      </c>
      <c r="B9299" s="90">
        <v>7.7813440528036564</v>
      </c>
    </row>
    <row r="9300" spans="1:2">
      <c r="A9300" s="32">
        <v>9290</v>
      </c>
      <c r="B9300" s="90">
        <v>7.8690209848448429</v>
      </c>
    </row>
    <row r="9301" spans="1:2">
      <c r="A9301" s="32">
        <v>9291</v>
      </c>
      <c r="B9301" s="90">
        <v>7.5010953132352993</v>
      </c>
    </row>
    <row r="9302" spans="1:2">
      <c r="A9302" s="32">
        <v>9292</v>
      </c>
      <c r="B9302" s="90">
        <v>9.2504616546657985</v>
      </c>
    </row>
    <row r="9303" spans="1:2">
      <c r="A9303" s="32">
        <v>9293</v>
      </c>
      <c r="B9303" s="90">
        <v>9.1239050321200832</v>
      </c>
    </row>
    <row r="9304" spans="1:2">
      <c r="A9304" s="32">
        <v>9294</v>
      </c>
      <c r="B9304" s="90">
        <v>7.0245432651596644</v>
      </c>
    </row>
    <row r="9305" spans="1:2">
      <c r="A9305" s="32">
        <v>9295</v>
      </c>
      <c r="B9305" s="90">
        <v>8.1597158358508644</v>
      </c>
    </row>
    <row r="9306" spans="1:2">
      <c r="A9306" s="32">
        <v>9296</v>
      </c>
      <c r="B9306" s="90">
        <v>7.8315438126193948</v>
      </c>
    </row>
    <row r="9307" spans="1:2">
      <c r="A9307" s="32">
        <v>9297</v>
      </c>
      <c r="B9307" s="90">
        <v>7.355507178504233</v>
      </c>
    </row>
    <row r="9308" spans="1:2">
      <c r="A9308" s="32">
        <v>9298</v>
      </c>
      <c r="B9308" s="90">
        <v>9.8922637068621544</v>
      </c>
    </row>
    <row r="9309" spans="1:2">
      <c r="A9309" s="32">
        <v>9299</v>
      </c>
      <c r="B9309" s="90">
        <v>8.6079664478990576</v>
      </c>
    </row>
    <row r="9310" spans="1:2">
      <c r="A9310" s="32">
        <v>9300</v>
      </c>
      <c r="B9310" s="90">
        <v>7.0695250229491275</v>
      </c>
    </row>
    <row r="9311" spans="1:2">
      <c r="A9311" s="32">
        <v>9301</v>
      </c>
      <c r="B9311" s="90">
        <v>7.6059172345871282</v>
      </c>
    </row>
    <row r="9312" spans="1:2">
      <c r="A9312" s="32">
        <v>9302</v>
      </c>
      <c r="B9312" s="90">
        <v>8.0766205422910371</v>
      </c>
    </row>
    <row r="9313" spans="1:2">
      <c r="A9313" s="32">
        <v>9303</v>
      </c>
      <c r="B9313" s="90">
        <v>8.5326454856181506</v>
      </c>
    </row>
    <row r="9314" spans="1:2">
      <c r="A9314" s="32">
        <v>9304</v>
      </c>
      <c r="B9314" s="90">
        <v>9.8719905708771183</v>
      </c>
    </row>
    <row r="9315" spans="1:2">
      <c r="A9315" s="32">
        <v>9305</v>
      </c>
      <c r="B9315" s="90">
        <v>8.3221951107399388</v>
      </c>
    </row>
    <row r="9316" spans="1:2">
      <c r="A9316" s="32">
        <v>9306</v>
      </c>
      <c r="B9316" s="90">
        <v>7.5640643618939212</v>
      </c>
    </row>
    <row r="9317" spans="1:2">
      <c r="A9317" s="32">
        <v>9307</v>
      </c>
      <c r="B9317" s="90">
        <v>7.8712830742843538</v>
      </c>
    </row>
    <row r="9318" spans="1:2">
      <c r="A9318" s="32">
        <v>9308</v>
      </c>
      <c r="B9318" s="90">
        <v>8.3086628035255803</v>
      </c>
    </row>
    <row r="9319" spans="1:2">
      <c r="A9319" s="32">
        <v>9309</v>
      </c>
      <c r="B9319" s="90">
        <v>7.9685791773849113</v>
      </c>
    </row>
    <row r="9320" spans="1:2">
      <c r="A9320" s="32">
        <v>9310</v>
      </c>
      <c r="B9320" s="90">
        <v>9.9296231114251743</v>
      </c>
    </row>
    <row r="9321" spans="1:2">
      <c r="A9321" s="32">
        <v>9311</v>
      </c>
      <c r="B9321" s="90">
        <v>8.1541370621028992</v>
      </c>
    </row>
    <row r="9322" spans="1:2">
      <c r="A9322" s="32">
        <v>9312</v>
      </c>
      <c r="B9322" s="90">
        <v>7.4551631587736233</v>
      </c>
    </row>
    <row r="9323" spans="1:2">
      <c r="A9323" s="32">
        <v>9313</v>
      </c>
      <c r="B9323" s="90">
        <v>7.4005271909412675</v>
      </c>
    </row>
    <row r="9324" spans="1:2">
      <c r="A9324" s="32">
        <v>9314</v>
      </c>
      <c r="B9324" s="90">
        <v>8.5475230539902931</v>
      </c>
    </row>
    <row r="9325" spans="1:2">
      <c r="A9325" s="32">
        <v>9315</v>
      </c>
      <c r="B9325" s="90">
        <v>8.4532404657649849</v>
      </c>
    </row>
    <row r="9326" spans="1:2">
      <c r="A9326" s="32">
        <v>9316</v>
      </c>
      <c r="B9326" s="90">
        <v>9.0852246787870428</v>
      </c>
    </row>
    <row r="9327" spans="1:2">
      <c r="A9327" s="32">
        <v>9317</v>
      </c>
      <c r="B9327" s="90">
        <v>8.0947830236604226</v>
      </c>
    </row>
    <row r="9328" spans="1:2">
      <c r="A9328" s="32">
        <v>9318</v>
      </c>
      <c r="B9328" s="90">
        <v>7.9549282877670446</v>
      </c>
    </row>
    <row r="9329" spans="1:2">
      <c r="A9329" s="32">
        <v>9319</v>
      </c>
      <c r="B9329" s="90">
        <v>7.4341066970407654</v>
      </c>
    </row>
    <row r="9330" spans="1:2">
      <c r="A9330" s="32">
        <v>9320</v>
      </c>
      <c r="B9330" s="90">
        <v>8.505832219369891</v>
      </c>
    </row>
    <row r="9331" spans="1:2">
      <c r="A9331" s="32">
        <v>9321</v>
      </c>
      <c r="B9331" s="90">
        <v>8.7009604419833142</v>
      </c>
    </row>
    <row r="9332" spans="1:2">
      <c r="A9332" s="32">
        <v>9322</v>
      </c>
      <c r="B9332" s="90">
        <v>8.677070811795085</v>
      </c>
    </row>
    <row r="9333" spans="1:2">
      <c r="A9333" s="32">
        <v>9323</v>
      </c>
      <c r="B9333" s="90">
        <v>7.6819648145178006</v>
      </c>
    </row>
    <row r="9334" spans="1:2">
      <c r="A9334" s="32">
        <v>9324</v>
      </c>
      <c r="B9334" s="90">
        <v>8.1701125247041784</v>
      </c>
    </row>
    <row r="9335" spans="1:2">
      <c r="A9335" s="32">
        <v>9325</v>
      </c>
      <c r="B9335" s="90">
        <v>7.6901447166478958</v>
      </c>
    </row>
    <row r="9336" spans="1:2">
      <c r="A9336" s="32">
        <v>9326</v>
      </c>
      <c r="B9336" s="90">
        <v>8.6702264050194895</v>
      </c>
    </row>
    <row r="9337" spans="1:2">
      <c r="A9337" s="32">
        <v>9327</v>
      </c>
      <c r="B9337" s="90">
        <v>8.6413454780725498</v>
      </c>
    </row>
    <row r="9338" spans="1:2">
      <c r="A9338" s="32">
        <v>9328</v>
      </c>
      <c r="B9338" s="90">
        <v>8.622038164955157</v>
      </c>
    </row>
    <row r="9339" spans="1:2">
      <c r="A9339" s="32">
        <v>9329</v>
      </c>
      <c r="B9339" s="90">
        <v>8.1378380425746872</v>
      </c>
    </row>
    <row r="9340" spans="1:2">
      <c r="A9340" s="32">
        <v>9330</v>
      </c>
      <c r="B9340" s="90">
        <v>7.5532855619197008</v>
      </c>
    </row>
    <row r="9341" spans="1:2">
      <c r="A9341" s="32">
        <v>9331</v>
      </c>
      <c r="B9341" s="90">
        <v>7.9761793620227026</v>
      </c>
    </row>
    <row r="9342" spans="1:2">
      <c r="A9342" s="32">
        <v>9332</v>
      </c>
      <c r="B9342" s="90">
        <v>8.6544858362372477</v>
      </c>
    </row>
    <row r="9343" spans="1:2">
      <c r="A9343" s="32">
        <v>9333</v>
      </c>
      <c r="B9343" s="90">
        <v>8.9431489814137439</v>
      </c>
    </row>
    <row r="9344" spans="1:2">
      <c r="A9344" s="32">
        <v>9334</v>
      </c>
      <c r="B9344" s="90">
        <v>8.3755926010727801</v>
      </c>
    </row>
    <row r="9345" spans="1:2">
      <c r="A9345" s="32">
        <v>9335</v>
      </c>
      <c r="B9345" s="90">
        <v>7.7265580723101861</v>
      </c>
    </row>
    <row r="9346" spans="1:2">
      <c r="A9346" s="32">
        <v>9336</v>
      </c>
      <c r="B9346" s="90">
        <v>7.9252343420070677</v>
      </c>
    </row>
    <row r="9347" spans="1:2">
      <c r="A9347" s="32">
        <v>9337</v>
      </c>
      <c r="B9347" s="90">
        <v>8.2063219818412954</v>
      </c>
    </row>
    <row r="9348" spans="1:2">
      <c r="A9348" s="32">
        <v>9338</v>
      </c>
      <c r="B9348" s="90">
        <v>7.9452442630061695</v>
      </c>
    </row>
    <row r="9349" spans="1:2">
      <c r="A9349" s="32">
        <v>9339</v>
      </c>
      <c r="B9349" s="90">
        <v>10.022819132057638</v>
      </c>
    </row>
    <row r="9350" spans="1:2">
      <c r="A9350" s="32">
        <v>9340</v>
      </c>
      <c r="B9350" s="90">
        <v>8.0329054390955434</v>
      </c>
    </row>
    <row r="9351" spans="1:2">
      <c r="A9351" s="32">
        <v>9341</v>
      </c>
      <c r="B9351" s="90">
        <v>7.5483710278006484</v>
      </c>
    </row>
    <row r="9352" spans="1:2">
      <c r="A9352" s="32">
        <v>9342</v>
      </c>
      <c r="B9352" s="90">
        <v>7.8585275106754411</v>
      </c>
    </row>
    <row r="9353" spans="1:2">
      <c r="A9353" s="32">
        <v>9343</v>
      </c>
      <c r="B9353" s="90">
        <v>8.2581747827117926</v>
      </c>
    </row>
    <row r="9354" spans="1:2">
      <c r="A9354" s="32">
        <v>9344</v>
      </c>
      <c r="B9354" s="90">
        <v>8.3307194332039742</v>
      </c>
    </row>
    <row r="9355" spans="1:2">
      <c r="A9355" s="32">
        <v>9345</v>
      </c>
      <c r="B9355" s="90">
        <v>9.3931248509064105</v>
      </c>
    </row>
    <row r="9356" spans="1:2">
      <c r="A9356" s="32">
        <v>9346</v>
      </c>
      <c r="B9356" s="90">
        <v>8.0424881675091555</v>
      </c>
    </row>
    <row r="9357" spans="1:2">
      <c r="A9357" s="32">
        <v>9347</v>
      </c>
      <c r="B9357" s="90">
        <v>7.8854906226551726</v>
      </c>
    </row>
    <row r="9358" spans="1:2">
      <c r="A9358" s="32">
        <v>9348</v>
      </c>
      <c r="B9358" s="90">
        <v>7.2646309762778012</v>
      </c>
    </row>
    <row r="9359" spans="1:2">
      <c r="A9359" s="32">
        <v>9349</v>
      </c>
      <c r="B9359" s="90">
        <v>8.2822898562789273</v>
      </c>
    </row>
    <row r="9360" spans="1:2">
      <c r="A9360" s="32">
        <v>9350</v>
      </c>
      <c r="B9360" s="90">
        <v>8.9616785047298464</v>
      </c>
    </row>
    <row r="9361" spans="1:2">
      <c r="A9361" s="32">
        <v>9351</v>
      </c>
      <c r="B9361" s="90">
        <v>8.6011665154785302</v>
      </c>
    </row>
    <row r="9362" spans="1:2">
      <c r="A9362" s="32">
        <v>9352</v>
      </c>
      <c r="B9362" s="90">
        <v>8.1903876458187259</v>
      </c>
    </row>
    <row r="9363" spans="1:2">
      <c r="A9363" s="32">
        <v>9353</v>
      </c>
      <c r="B9363" s="90">
        <v>7.9710133553459039</v>
      </c>
    </row>
    <row r="9364" spans="1:2">
      <c r="A9364" s="32">
        <v>9354</v>
      </c>
      <c r="B9364" s="90">
        <v>7.408552900199318</v>
      </c>
    </row>
    <row r="9365" spans="1:2">
      <c r="A9365" s="32">
        <v>9355</v>
      </c>
      <c r="B9365" s="90">
        <v>8.774651117411679</v>
      </c>
    </row>
    <row r="9366" spans="1:2">
      <c r="A9366" s="32">
        <v>9356</v>
      </c>
      <c r="B9366" s="90">
        <v>8.605560152622397</v>
      </c>
    </row>
    <row r="9367" spans="1:2">
      <c r="A9367" s="32">
        <v>9357</v>
      </c>
      <c r="B9367" s="90">
        <v>8.5978429770581695</v>
      </c>
    </row>
    <row r="9368" spans="1:2">
      <c r="A9368" s="32">
        <v>9358</v>
      </c>
      <c r="B9368" s="90">
        <v>7.9021350540111515</v>
      </c>
    </row>
    <row r="9369" spans="1:2">
      <c r="A9369" s="32">
        <v>9359</v>
      </c>
      <c r="B9369" s="90">
        <v>7.7849417562341792</v>
      </c>
    </row>
    <row r="9370" spans="1:2">
      <c r="A9370" s="32">
        <v>9360</v>
      </c>
      <c r="B9370" s="90">
        <v>7.9800901083916074</v>
      </c>
    </row>
    <row r="9371" spans="1:2">
      <c r="A9371" s="32">
        <v>9361</v>
      </c>
      <c r="B9371" s="90">
        <v>8.727799839043108</v>
      </c>
    </row>
    <row r="9372" spans="1:2">
      <c r="A9372" s="32">
        <v>9362</v>
      </c>
      <c r="B9372" s="90">
        <v>8.3947832639651363</v>
      </c>
    </row>
    <row r="9373" spans="1:2">
      <c r="A9373" s="32">
        <v>9363</v>
      </c>
      <c r="B9373" s="90">
        <v>8.5774808583941944</v>
      </c>
    </row>
    <row r="9374" spans="1:2">
      <c r="A9374" s="32">
        <v>9364</v>
      </c>
      <c r="B9374" s="90">
        <v>8.0219836710969084</v>
      </c>
    </row>
    <row r="9375" spans="1:2">
      <c r="A9375" s="32">
        <v>9365</v>
      </c>
      <c r="B9375" s="90">
        <v>7.9815225860514918</v>
      </c>
    </row>
    <row r="9376" spans="1:2">
      <c r="A9376" s="32">
        <v>9366</v>
      </c>
      <c r="B9376" s="90">
        <v>8.0400353599941354</v>
      </c>
    </row>
    <row r="9377" spans="1:2">
      <c r="A9377" s="32">
        <v>9367</v>
      </c>
      <c r="B9377" s="90">
        <v>8.2554895729729569</v>
      </c>
    </row>
    <row r="9378" spans="1:2">
      <c r="A9378" s="32">
        <v>9368</v>
      </c>
      <c r="B9378" s="90">
        <v>9.3938964653948638</v>
      </c>
    </row>
    <row r="9379" spans="1:2">
      <c r="A9379" s="32">
        <v>9369</v>
      </c>
      <c r="B9379" s="90">
        <v>8.3221951107399388</v>
      </c>
    </row>
    <row r="9380" spans="1:2">
      <c r="A9380" s="32">
        <v>9370</v>
      </c>
      <c r="B9380" s="90">
        <v>7.5640643618939212</v>
      </c>
    </row>
    <row r="9381" spans="1:2">
      <c r="A9381" s="32">
        <v>9371</v>
      </c>
      <c r="B9381" s="90">
        <v>7.8712830742843538</v>
      </c>
    </row>
    <row r="9382" spans="1:2">
      <c r="A9382" s="32">
        <v>9372</v>
      </c>
      <c r="B9382" s="90">
        <v>8.3086628035255803</v>
      </c>
    </row>
    <row r="9383" spans="1:2">
      <c r="A9383" s="32">
        <v>9373</v>
      </c>
      <c r="B9383" s="90">
        <v>7.9685791773849113</v>
      </c>
    </row>
    <row r="9384" spans="1:2">
      <c r="A9384" s="32">
        <v>9374</v>
      </c>
      <c r="B9384" s="90">
        <v>9.9296231114251743</v>
      </c>
    </row>
    <row r="9385" spans="1:2">
      <c r="A9385" s="32">
        <v>9375</v>
      </c>
      <c r="B9385" s="90">
        <v>8.1541370621028992</v>
      </c>
    </row>
    <row r="9386" spans="1:2">
      <c r="A9386" s="32">
        <v>9376</v>
      </c>
      <c r="B9386" s="90">
        <v>7.4551631587736233</v>
      </c>
    </row>
    <row r="9387" spans="1:2">
      <c r="A9387" s="32">
        <v>9377</v>
      </c>
      <c r="B9387" s="90">
        <v>7.4005271909412675</v>
      </c>
    </row>
    <row r="9388" spans="1:2">
      <c r="A9388" s="32">
        <v>9378</v>
      </c>
      <c r="B9388" s="90">
        <v>8.5475230539902931</v>
      </c>
    </row>
    <row r="9389" spans="1:2">
      <c r="A9389" s="32">
        <v>9379</v>
      </c>
      <c r="B9389" s="90">
        <v>8.4532404657649849</v>
      </c>
    </row>
    <row r="9390" spans="1:2">
      <c r="A9390" s="32">
        <v>9380</v>
      </c>
      <c r="B9390" s="90">
        <v>9.0852246787870428</v>
      </c>
    </row>
    <row r="9391" spans="1:2">
      <c r="A9391" s="32">
        <v>9381</v>
      </c>
      <c r="B9391" s="90">
        <v>8.0947830236604226</v>
      </c>
    </row>
    <row r="9392" spans="1:2">
      <c r="A9392" s="32">
        <v>9382</v>
      </c>
      <c r="B9392" s="90">
        <v>7.9549282877670446</v>
      </c>
    </row>
    <row r="9393" spans="1:2">
      <c r="A9393" s="32">
        <v>9383</v>
      </c>
      <c r="B9393" s="90">
        <v>7.4341066970407654</v>
      </c>
    </row>
    <row r="9394" spans="1:2">
      <c r="A9394" s="32">
        <v>9384</v>
      </c>
      <c r="B9394" s="90">
        <v>8.505832219369891</v>
      </c>
    </row>
    <row r="9395" spans="1:2">
      <c r="A9395" s="32">
        <v>9385</v>
      </c>
      <c r="B9395" s="90">
        <v>8.7009604419833142</v>
      </c>
    </row>
    <row r="9396" spans="1:2">
      <c r="A9396" s="32">
        <v>9386</v>
      </c>
      <c r="B9396" s="90">
        <v>8.677070811795085</v>
      </c>
    </row>
    <row r="9397" spans="1:2">
      <c r="A9397" s="32">
        <v>9387</v>
      </c>
      <c r="B9397" s="90">
        <v>7.6819648145178006</v>
      </c>
    </row>
    <row r="9398" spans="1:2">
      <c r="A9398" s="32">
        <v>9388</v>
      </c>
      <c r="B9398" s="90">
        <v>8.1701125247041784</v>
      </c>
    </row>
    <row r="9399" spans="1:2">
      <c r="A9399" s="32">
        <v>9389</v>
      </c>
      <c r="B9399" s="90">
        <v>7.6901447166478958</v>
      </c>
    </row>
    <row r="9400" spans="1:2">
      <c r="A9400" s="32">
        <v>9390</v>
      </c>
      <c r="B9400" s="90">
        <v>8.6702264050194895</v>
      </c>
    </row>
    <row r="9401" spans="1:2">
      <c r="A9401" s="32">
        <v>9391</v>
      </c>
      <c r="B9401" s="90">
        <v>8.6413454780725498</v>
      </c>
    </row>
    <row r="9402" spans="1:2">
      <c r="A9402" s="32">
        <v>9392</v>
      </c>
      <c r="B9402" s="90">
        <v>8.622038164955157</v>
      </c>
    </row>
    <row r="9403" spans="1:2">
      <c r="A9403" s="32">
        <v>9393</v>
      </c>
      <c r="B9403" s="90">
        <v>8.1378380425746872</v>
      </c>
    </row>
    <row r="9404" spans="1:2">
      <c r="A9404" s="32">
        <v>9394</v>
      </c>
      <c r="B9404" s="90">
        <v>7.5532855619197008</v>
      </c>
    </row>
    <row r="9405" spans="1:2">
      <c r="A9405" s="32">
        <v>9395</v>
      </c>
      <c r="B9405" s="90">
        <v>7.9761793620227026</v>
      </c>
    </row>
    <row r="9406" spans="1:2">
      <c r="A9406" s="32">
        <v>9396</v>
      </c>
      <c r="B9406" s="90">
        <v>8.6544858362372477</v>
      </c>
    </row>
    <row r="9407" spans="1:2">
      <c r="A9407" s="32">
        <v>9397</v>
      </c>
      <c r="B9407" s="90">
        <v>8.9431489814137439</v>
      </c>
    </row>
    <row r="9408" spans="1:2">
      <c r="A9408" s="32">
        <v>9398</v>
      </c>
      <c r="B9408" s="90">
        <v>8.3755926010727801</v>
      </c>
    </row>
    <row r="9409" spans="1:2">
      <c r="A9409" s="32">
        <v>9399</v>
      </c>
      <c r="B9409" s="90">
        <v>7.7265580723101861</v>
      </c>
    </row>
    <row r="9410" spans="1:2">
      <c r="A9410" s="32">
        <v>9400</v>
      </c>
      <c r="B9410" s="90">
        <v>7.9252343420070677</v>
      </c>
    </row>
    <row r="9411" spans="1:2">
      <c r="A9411" s="32">
        <v>9401</v>
      </c>
      <c r="B9411" s="90">
        <v>8.2063219818412954</v>
      </c>
    </row>
    <row r="9412" spans="1:2">
      <c r="A9412" s="32">
        <v>9402</v>
      </c>
      <c r="B9412" s="90">
        <v>7.9452442630061695</v>
      </c>
    </row>
    <row r="9413" spans="1:2">
      <c r="A9413" s="32">
        <v>9403</v>
      </c>
      <c r="B9413" s="90">
        <v>10.022819132057638</v>
      </c>
    </row>
    <row r="9414" spans="1:2">
      <c r="A9414" s="32">
        <v>9404</v>
      </c>
      <c r="B9414" s="90">
        <v>8.0329054390955434</v>
      </c>
    </row>
    <row r="9415" spans="1:2">
      <c r="A9415" s="32">
        <v>9405</v>
      </c>
      <c r="B9415" s="90">
        <v>7.5483710278006484</v>
      </c>
    </row>
    <row r="9416" spans="1:2">
      <c r="A9416" s="32">
        <v>9406</v>
      </c>
      <c r="B9416" s="90">
        <v>7.8585275106754411</v>
      </c>
    </row>
    <row r="9417" spans="1:2">
      <c r="A9417" s="32">
        <v>9407</v>
      </c>
      <c r="B9417" s="90">
        <v>8.2581747827117926</v>
      </c>
    </row>
    <row r="9418" spans="1:2">
      <c r="A9418" s="32">
        <v>9408</v>
      </c>
      <c r="B9418" s="90">
        <v>8.3307194332039742</v>
      </c>
    </row>
    <row r="9419" spans="1:2">
      <c r="A9419" s="32">
        <v>9409</v>
      </c>
      <c r="B9419" s="90">
        <v>9.3931248509064105</v>
      </c>
    </row>
    <row r="9420" spans="1:2">
      <c r="A9420" s="32">
        <v>9410</v>
      </c>
      <c r="B9420" s="90">
        <v>8.0424881675091555</v>
      </c>
    </row>
    <row r="9421" spans="1:2">
      <c r="A9421" s="32">
        <v>9411</v>
      </c>
      <c r="B9421" s="90">
        <v>7.8854906226551726</v>
      </c>
    </row>
    <row r="9422" spans="1:2">
      <c r="A9422" s="32">
        <v>9412</v>
      </c>
      <c r="B9422" s="90">
        <v>7.2646309762778012</v>
      </c>
    </row>
    <row r="9423" spans="1:2">
      <c r="A9423" s="32">
        <v>9413</v>
      </c>
      <c r="B9423" s="90">
        <v>8.2822898562789273</v>
      </c>
    </row>
    <row r="9424" spans="1:2">
      <c r="A9424" s="32">
        <v>9414</v>
      </c>
      <c r="B9424" s="90">
        <v>8.9616785047298464</v>
      </c>
    </row>
    <row r="9425" spans="1:2">
      <c r="A9425" s="32">
        <v>9415</v>
      </c>
      <c r="B9425" s="90">
        <v>8.6011665154785302</v>
      </c>
    </row>
    <row r="9426" spans="1:2">
      <c r="A9426" s="32">
        <v>9416</v>
      </c>
      <c r="B9426" s="90">
        <v>8.1903876458187259</v>
      </c>
    </row>
    <row r="9427" spans="1:2">
      <c r="A9427" s="32">
        <v>9417</v>
      </c>
      <c r="B9427" s="90">
        <v>7.9710133553459039</v>
      </c>
    </row>
    <row r="9428" spans="1:2">
      <c r="A9428" s="32">
        <v>9418</v>
      </c>
      <c r="B9428" s="90">
        <v>7.408552900199318</v>
      </c>
    </row>
    <row r="9429" spans="1:2">
      <c r="A9429" s="32">
        <v>9419</v>
      </c>
      <c r="B9429" s="90">
        <v>8.774651117411679</v>
      </c>
    </row>
    <row r="9430" spans="1:2">
      <c r="A9430" s="32">
        <v>9420</v>
      </c>
      <c r="B9430" s="90">
        <v>8.605560152622397</v>
      </c>
    </row>
    <row r="9431" spans="1:2">
      <c r="A9431" s="32">
        <v>9421</v>
      </c>
      <c r="B9431" s="90">
        <v>8.5978429770581695</v>
      </c>
    </row>
    <row r="9432" spans="1:2">
      <c r="A9432" s="32">
        <v>9422</v>
      </c>
      <c r="B9432" s="90">
        <v>7.9021350540111515</v>
      </c>
    </row>
    <row r="9433" spans="1:2">
      <c r="A9433" s="32">
        <v>9423</v>
      </c>
      <c r="B9433" s="90">
        <v>7.7849417562341792</v>
      </c>
    </row>
    <row r="9434" spans="1:2">
      <c r="A9434" s="32">
        <v>9424</v>
      </c>
      <c r="B9434" s="90">
        <v>8.1825663972038214</v>
      </c>
    </row>
    <row r="9435" spans="1:2">
      <c r="A9435" s="32">
        <v>9425</v>
      </c>
      <c r="B9435" s="90">
        <v>7.0980847236747309</v>
      </c>
    </row>
    <row r="9436" spans="1:2">
      <c r="A9436" s="32">
        <v>9426</v>
      </c>
      <c r="B9436" s="90">
        <v>8.1551549237129262</v>
      </c>
    </row>
    <row r="9437" spans="1:2">
      <c r="A9437" s="32">
        <v>9427</v>
      </c>
      <c r="B9437" s="90">
        <v>7.8626138838131086</v>
      </c>
    </row>
    <row r="9438" spans="1:2">
      <c r="A9438" s="32">
        <v>9428</v>
      </c>
      <c r="B9438" s="90">
        <v>9.6456072246766649</v>
      </c>
    </row>
    <row r="9439" spans="1:2">
      <c r="A9439" s="32">
        <v>9429</v>
      </c>
      <c r="B9439" s="90">
        <v>8.3374016365004806</v>
      </c>
    </row>
    <row r="9440" spans="1:2">
      <c r="A9440" s="32">
        <v>9430</v>
      </c>
      <c r="B9440" s="90">
        <v>8.069048861565209</v>
      </c>
    </row>
    <row r="9441" spans="1:2">
      <c r="A9441" s="32">
        <v>9431</v>
      </c>
      <c r="B9441" s="90">
        <v>6.9720051311110485</v>
      </c>
    </row>
    <row r="9442" spans="1:2">
      <c r="A9442" s="32">
        <v>9432</v>
      </c>
      <c r="B9442" s="90">
        <v>7.9454456411941656</v>
      </c>
    </row>
    <row r="9443" spans="1:2">
      <c r="A9443" s="32">
        <v>9433</v>
      </c>
      <c r="B9443" s="90">
        <v>8.1390554279474205</v>
      </c>
    </row>
    <row r="9444" spans="1:2">
      <c r="A9444" s="32">
        <v>9434</v>
      </c>
      <c r="B9444" s="90">
        <v>9.6838677406352218</v>
      </c>
    </row>
    <row r="9445" spans="1:2">
      <c r="A9445" s="32">
        <v>9435</v>
      </c>
      <c r="B9445" s="90">
        <v>8.6045984837753426</v>
      </c>
    </row>
    <row r="9446" spans="1:2">
      <c r="A9446" s="32">
        <v>9436</v>
      </c>
      <c r="B9446" s="90">
        <v>7.2925103834223846</v>
      </c>
    </row>
    <row r="9447" spans="1:2">
      <c r="A9447" s="32">
        <v>9437</v>
      </c>
      <c r="B9447" s="90">
        <v>7.3305876333684177</v>
      </c>
    </row>
    <row r="9448" spans="1:2">
      <c r="A9448" s="32">
        <v>9438</v>
      </c>
      <c r="B9448" s="90">
        <v>8.3022966862249987</v>
      </c>
    </row>
    <row r="9449" spans="1:2">
      <c r="A9449" s="32">
        <v>9439</v>
      </c>
      <c r="B9449" s="90">
        <v>7.9023859869881612</v>
      </c>
    </row>
    <row r="9450" spans="1:2">
      <c r="A9450" s="32">
        <v>9440</v>
      </c>
      <c r="B9450" s="90">
        <v>9.6519325737921182</v>
      </c>
    </row>
    <row r="9451" spans="1:2">
      <c r="A9451" s="32">
        <v>9441</v>
      </c>
      <c r="B9451" s="90">
        <v>7.9677772235055775</v>
      </c>
    </row>
    <row r="9452" spans="1:2">
      <c r="A9452" s="32">
        <v>9442</v>
      </c>
      <c r="B9452" s="90">
        <v>7.6291243460636977</v>
      </c>
    </row>
    <row r="9453" spans="1:2">
      <c r="A9453" s="32">
        <v>9443</v>
      </c>
      <c r="B9453" s="90">
        <v>7.4682840561890353</v>
      </c>
    </row>
    <row r="9454" spans="1:2">
      <c r="A9454" s="32">
        <v>9444</v>
      </c>
      <c r="B9454" s="90">
        <v>8.3011048806186167</v>
      </c>
    </row>
    <row r="9455" spans="1:2">
      <c r="A9455" s="32">
        <v>9445</v>
      </c>
      <c r="B9455" s="90">
        <v>8.4261358871492469</v>
      </c>
    </row>
    <row r="9456" spans="1:2">
      <c r="A9456" s="32">
        <v>9446</v>
      </c>
      <c r="B9456" s="90">
        <v>9.0550931025617807</v>
      </c>
    </row>
    <row r="9457" spans="1:2">
      <c r="A9457" s="32">
        <v>9447</v>
      </c>
      <c r="B9457" s="90">
        <v>8.1328741180593713</v>
      </c>
    </row>
    <row r="9458" spans="1:2">
      <c r="A9458" s="32">
        <v>9448</v>
      </c>
      <c r="B9458" s="90">
        <v>7.3942425060062487</v>
      </c>
    </row>
    <row r="9459" spans="1:2">
      <c r="A9459" s="32">
        <v>9449</v>
      </c>
      <c r="B9459" s="90">
        <v>7.7845814213958775</v>
      </c>
    </row>
    <row r="9460" spans="1:2">
      <c r="A9460" s="32">
        <v>9450</v>
      </c>
      <c r="B9460" s="90">
        <v>7.9458599011646083</v>
      </c>
    </row>
    <row r="9461" spans="1:2">
      <c r="A9461" s="32">
        <v>9451</v>
      </c>
      <c r="B9461" s="90">
        <v>9.1630795840433557</v>
      </c>
    </row>
    <row r="9462" spans="1:2">
      <c r="A9462" s="32">
        <v>9452</v>
      </c>
      <c r="B9462" s="90">
        <v>8.5019415067705584</v>
      </c>
    </row>
    <row r="9463" spans="1:2">
      <c r="A9463" s="32">
        <v>9453</v>
      </c>
      <c r="B9463" s="90">
        <v>8.2445916189255861</v>
      </c>
    </row>
    <row r="9464" spans="1:2">
      <c r="A9464" s="32">
        <v>9454</v>
      </c>
      <c r="B9464" s="90">
        <v>7.043956972081995</v>
      </c>
    </row>
    <row r="9465" spans="1:2">
      <c r="A9465" s="32">
        <v>9455</v>
      </c>
      <c r="B9465" s="90">
        <v>8.1390538127216434</v>
      </c>
    </row>
    <row r="9466" spans="1:2">
      <c r="A9466" s="32">
        <v>9456</v>
      </c>
      <c r="B9466" s="90">
        <v>8.0099741053850178</v>
      </c>
    </row>
    <row r="9467" spans="1:2">
      <c r="A9467" s="32">
        <v>9457</v>
      </c>
      <c r="B9467" s="90">
        <v>9.2459856926082864</v>
      </c>
    </row>
    <row r="9468" spans="1:2">
      <c r="A9468" s="32">
        <v>9458</v>
      </c>
      <c r="B9468" s="90">
        <v>8.4501127961653548</v>
      </c>
    </row>
    <row r="9469" spans="1:2">
      <c r="A9469" s="32">
        <v>9459</v>
      </c>
      <c r="B9469" s="90">
        <v>8.3053802502855181</v>
      </c>
    </row>
    <row r="9470" spans="1:2">
      <c r="A9470" s="32">
        <v>9460</v>
      </c>
      <c r="B9470" s="90">
        <v>6.8915153779883997</v>
      </c>
    </row>
    <row r="9471" spans="1:2">
      <c r="A9471" s="32">
        <v>9461</v>
      </c>
      <c r="B9471" s="90">
        <v>7.8143775341772859</v>
      </c>
    </row>
    <row r="9472" spans="1:2">
      <c r="A9472" s="32">
        <v>9462</v>
      </c>
      <c r="B9472" s="90">
        <v>8.2490195985201371</v>
      </c>
    </row>
    <row r="9473" spans="1:2">
      <c r="A9473" s="32">
        <v>9463</v>
      </c>
      <c r="B9473" s="90">
        <v>9.8502491127444056</v>
      </c>
    </row>
    <row r="9474" spans="1:2">
      <c r="A9474" s="32">
        <v>9464</v>
      </c>
      <c r="B9474" s="90">
        <v>8.5485336584681324</v>
      </c>
    </row>
    <row r="9475" spans="1:2">
      <c r="A9475" s="32">
        <v>9465</v>
      </c>
      <c r="B9475" s="90">
        <v>7.6010485626573034</v>
      </c>
    </row>
    <row r="9476" spans="1:2">
      <c r="A9476" s="32">
        <v>9466</v>
      </c>
      <c r="B9476" s="90">
        <v>6.9171396764546182</v>
      </c>
    </row>
    <row r="9477" spans="1:2">
      <c r="A9477" s="32">
        <v>9467</v>
      </c>
      <c r="B9477" s="90">
        <v>8.1674694934026402</v>
      </c>
    </row>
    <row r="9478" spans="1:2">
      <c r="A9478" s="32">
        <v>9468</v>
      </c>
      <c r="B9478" s="90">
        <v>8.1996982048365137</v>
      </c>
    </row>
    <row r="9479" spans="1:2">
      <c r="A9479" s="32">
        <v>9469</v>
      </c>
      <c r="B9479" s="90">
        <v>9.2468384782785051</v>
      </c>
    </row>
    <row r="9480" spans="1:2">
      <c r="A9480" s="32">
        <v>9470</v>
      </c>
      <c r="B9480" s="90">
        <v>8.2322021005375579</v>
      </c>
    </row>
    <row r="9481" spans="1:2">
      <c r="A9481" s="32">
        <v>9471</v>
      </c>
      <c r="B9481" s="90">
        <v>7.5801179946310659</v>
      </c>
    </row>
    <row r="9482" spans="1:2">
      <c r="A9482" s="32">
        <v>9472</v>
      </c>
      <c r="B9482" s="90">
        <v>7.4875041884027436</v>
      </c>
    </row>
    <row r="9483" spans="1:2">
      <c r="A9483" s="32">
        <v>9473</v>
      </c>
      <c r="B9483" s="90">
        <v>8.3863945068726977</v>
      </c>
    </row>
    <row r="9484" spans="1:2">
      <c r="A9484" s="32">
        <v>9474</v>
      </c>
      <c r="B9484" s="90">
        <v>8.2589618701329588</v>
      </c>
    </row>
    <row r="9485" spans="1:2">
      <c r="A9485" s="32">
        <v>9475</v>
      </c>
      <c r="B9485" s="90">
        <v>9.2750253165040135</v>
      </c>
    </row>
    <row r="9486" spans="1:2">
      <c r="A9486" s="32">
        <v>9476</v>
      </c>
      <c r="B9486" s="90">
        <v>7.9957203850223753</v>
      </c>
    </row>
    <row r="9487" spans="1:2">
      <c r="A9487" s="32">
        <v>9477</v>
      </c>
      <c r="B9487" s="90">
        <v>7.7296925003042904</v>
      </c>
    </row>
    <row r="9488" spans="1:2">
      <c r="A9488" s="32">
        <v>9478</v>
      </c>
      <c r="B9488" s="90">
        <v>7.4837624365428681</v>
      </c>
    </row>
    <row r="9489" spans="1:2">
      <c r="A9489" s="32">
        <v>9479</v>
      </c>
      <c r="B9489" s="90">
        <v>8.1120851969733465</v>
      </c>
    </row>
    <row r="9490" spans="1:2">
      <c r="A9490" s="32">
        <v>9480</v>
      </c>
      <c r="B9490" s="90">
        <v>8.7492320384470439</v>
      </c>
    </row>
    <row r="9491" spans="1:2">
      <c r="A9491" s="32">
        <v>9481</v>
      </c>
      <c r="B9491" s="90">
        <v>8.6159050248101696</v>
      </c>
    </row>
    <row r="9492" spans="1:2">
      <c r="A9492" s="32">
        <v>9482</v>
      </c>
      <c r="B9492" s="90">
        <v>8.180626739039873</v>
      </c>
    </row>
    <row r="9493" spans="1:2">
      <c r="A9493" s="32">
        <v>9483</v>
      </c>
      <c r="B9493" s="90">
        <v>7.1969894381914594</v>
      </c>
    </row>
    <row r="9494" spans="1:2">
      <c r="A9494" s="32">
        <v>9484</v>
      </c>
      <c r="B9494" s="90">
        <v>8.0478326603660086</v>
      </c>
    </row>
    <row r="9495" spans="1:2">
      <c r="A9495" s="32">
        <v>9485</v>
      </c>
      <c r="B9495" s="90">
        <v>8.0391620061638385</v>
      </c>
    </row>
    <row r="9496" spans="1:2">
      <c r="A9496" s="32">
        <v>9486</v>
      </c>
      <c r="B9496" s="90">
        <v>8.9372801440918863</v>
      </c>
    </row>
    <row r="9497" spans="1:2">
      <c r="A9497" s="32">
        <v>9487</v>
      </c>
      <c r="B9497" s="90">
        <v>8.7731424627347057</v>
      </c>
    </row>
    <row r="9498" spans="1:2">
      <c r="A9498" s="32">
        <v>9488</v>
      </c>
      <c r="B9498" s="90">
        <v>8.03878685064692</v>
      </c>
    </row>
    <row r="9499" spans="1:2">
      <c r="A9499" s="32">
        <v>9489</v>
      </c>
      <c r="B9499" s="90">
        <v>7.0980847236747309</v>
      </c>
    </row>
    <row r="9500" spans="1:2">
      <c r="A9500" s="32">
        <v>9490</v>
      </c>
      <c r="B9500" s="90">
        <v>8.1551549237129262</v>
      </c>
    </row>
    <row r="9501" spans="1:2">
      <c r="A9501" s="32">
        <v>9491</v>
      </c>
      <c r="B9501" s="90">
        <v>7.8626138838131086</v>
      </c>
    </row>
    <row r="9502" spans="1:2">
      <c r="A9502" s="32">
        <v>9492</v>
      </c>
      <c r="B9502" s="90">
        <v>9.6456072246766649</v>
      </c>
    </row>
    <row r="9503" spans="1:2">
      <c r="A9503" s="32">
        <v>9493</v>
      </c>
      <c r="B9503" s="90">
        <v>8.3374016365004806</v>
      </c>
    </row>
    <row r="9504" spans="1:2">
      <c r="A9504" s="32">
        <v>9494</v>
      </c>
      <c r="B9504" s="90">
        <v>8.069048861565209</v>
      </c>
    </row>
    <row r="9505" spans="1:2">
      <c r="A9505" s="32">
        <v>9495</v>
      </c>
      <c r="B9505" s="90">
        <v>6.9720051311110485</v>
      </c>
    </row>
    <row r="9506" spans="1:2">
      <c r="A9506" s="32">
        <v>9496</v>
      </c>
      <c r="B9506" s="90">
        <v>7.9454456411941656</v>
      </c>
    </row>
    <row r="9507" spans="1:2">
      <c r="A9507" s="32">
        <v>9497</v>
      </c>
      <c r="B9507" s="90">
        <v>8.1390554279474205</v>
      </c>
    </row>
    <row r="9508" spans="1:2">
      <c r="A9508" s="32">
        <v>9498</v>
      </c>
      <c r="B9508" s="90">
        <v>9.6838677406352218</v>
      </c>
    </row>
    <row r="9509" spans="1:2">
      <c r="A9509" s="32">
        <v>9499</v>
      </c>
      <c r="B9509" s="90">
        <v>8.6045984837753426</v>
      </c>
    </row>
    <row r="9510" spans="1:2">
      <c r="A9510" s="32">
        <v>9500</v>
      </c>
      <c r="B9510" s="90">
        <v>7.2925103834223846</v>
      </c>
    </row>
    <row r="9511" spans="1:2">
      <c r="A9511" s="32">
        <v>9501</v>
      </c>
      <c r="B9511" s="90">
        <v>7.3305876333684177</v>
      </c>
    </row>
    <row r="9512" spans="1:2">
      <c r="A9512" s="32">
        <v>9502</v>
      </c>
      <c r="B9512" s="90">
        <v>8.3022966862249987</v>
      </c>
    </row>
    <row r="9513" spans="1:2">
      <c r="A9513" s="32">
        <v>9503</v>
      </c>
      <c r="B9513" s="90">
        <v>7.9023859869881612</v>
      </c>
    </row>
    <row r="9514" spans="1:2">
      <c r="A9514" s="32">
        <v>9504</v>
      </c>
      <c r="B9514" s="90">
        <v>9.6519325737921182</v>
      </c>
    </row>
    <row r="9515" spans="1:2">
      <c r="A9515" s="32">
        <v>9505</v>
      </c>
      <c r="B9515" s="90">
        <v>7.9677772235055775</v>
      </c>
    </row>
    <row r="9516" spans="1:2">
      <c r="A9516" s="32">
        <v>9506</v>
      </c>
      <c r="B9516" s="90">
        <v>7.6291243460636977</v>
      </c>
    </row>
    <row r="9517" spans="1:2">
      <c r="A9517" s="32">
        <v>9507</v>
      </c>
      <c r="B9517" s="90">
        <v>7.4682840561890353</v>
      </c>
    </row>
    <row r="9518" spans="1:2">
      <c r="A9518" s="32">
        <v>9508</v>
      </c>
      <c r="B9518" s="90">
        <v>8.3011048806186167</v>
      </c>
    </row>
    <row r="9519" spans="1:2">
      <c r="A9519" s="32">
        <v>9509</v>
      </c>
      <c r="B9519" s="90">
        <v>8.4261358871492469</v>
      </c>
    </row>
    <row r="9520" spans="1:2">
      <c r="A9520" s="32">
        <v>9510</v>
      </c>
      <c r="B9520" s="90">
        <v>9.0550931025617807</v>
      </c>
    </row>
    <row r="9521" spans="1:2">
      <c r="A9521" s="32">
        <v>9511</v>
      </c>
      <c r="B9521" s="90">
        <v>8.1328741180593713</v>
      </c>
    </row>
    <row r="9522" spans="1:2">
      <c r="A9522" s="32">
        <v>9512</v>
      </c>
      <c r="B9522" s="90">
        <v>7.3942425060062487</v>
      </c>
    </row>
    <row r="9523" spans="1:2">
      <c r="A9523" s="32">
        <v>9513</v>
      </c>
      <c r="B9523" s="90">
        <v>7.7845814213958775</v>
      </c>
    </row>
    <row r="9524" spans="1:2">
      <c r="A9524" s="32">
        <v>9514</v>
      </c>
      <c r="B9524" s="90">
        <v>7.9458599011646083</v>
      </c>
    </row>
    <row r="9525" spans="1:2">
      <c r="A9525" s="32">
        <v>9515</v>
      </c>
      <c r="B9525" s="90">
        <v>9.1630795840433557</v>
      </c>
    </row>
    <row r="9526" spans="1:2">
      <c r="A9526" s="32">
        <v>9516</v>
      </c>
      <c r="B9526" s="90">
        <v>8.5019415067705584</v>
      </c>
    </row>
    <row r="9527" spans="1:2">
      <c r="A9527" s="32">
        <v>9517</v>
      </c>
      <c r="B9527" s="90">
        <v>8.2445916189255861</v>
      </c>
    </row>
    <row r="9528" spans="1:2">
      <c r="A9528" s="32">
        <v>9518</v>
      </c>
      <c r="B9528" s="90">
        <v>7.043956972081995</v>
      </c>
    </row>
    <row r="9529" spans="1:2">
      <c r="A9529" s="32">
        <v>9519</v>
      </c>
      <c r="B9529" s="90">
        <v>8.1390538127216434</v>
      </c>
    </row>
    <row r="9530" spans="1:2">
      <c r="A9530" s="32">
        <v>9520</v>
      </c>
      <c r="B9530" s="90">
        <v>8.0099741053850178</v>
      </c>
    </row>
    <row r="9531" spans="1:2">
      <c r="A9531" s="32">
        <v>9521</v>
      </c>
      <c r="B9531" s="90">
        <v>9.2459856926082864</v>
      </c>
    </row>
    <row r="9532" spans="1:2">
      <c r="A9532" s="32">
        <v>9522</v>
      </c>
      <c r="B9532" s="90">
        <v>8.4501127961653548</v>
      </c>
    </row>
    <row r="9533" spans="1:2">
      <c r="A9533" s="32">
        <v>9523</v>
      </c>
      <c r="B9533" s="90">
        <v>8.3053802502855181</v>
      </c>
    </row>
    <row r="9534" spans="1:2">
      <c r="A9534" s="32">
        <v>9524</v>
      </c>
      <c r="B9534" s="90">
        <v>6.8915153779883997</v>
      </c>
    </row>
    <row r="9535" spans="1:2">
      <c r="A9535" s="32">
        <v>9525</v>
      </c>
      <c r="B9535" s="90">
        <v>7.8143775341772859</v>
      </c>
    </row>
    <row r="9536" spans="1:2">
      <c r="A9536" s="32">
        <v>9526</v>
      </c>
      <c r="B9536" s="90">
        <v>8.2490195985201371</v>
      </c>
    </row>
    <row r="9537" spans="1:2">
      <c r="A9537" s="32">
        <v>9527</v>
      </c>
      <c r="B9537" s="90">
        <v>9.8502491127444056</v>
      </c>
    </row>
    <row r="9538" spans="1:2">
      <c r="A9538" s="32">
        <v>9528</v>
      </c>
      <c r="B9538" s="90">
        <v>8.5485336584681324</v>
      </c>
    </row>
    <row r="9539" spans="1:2">
      <c r="A9539" s="32">
        <v>9529</v>
      </c>
      <c r="B9539" s="90">
        <v>7.6010485626573034</v>
      </c>
    </row>
    <row r="9540" spans="1:2">
      <c r="A9540" s="32">
        <v>9530</v>
      </c>
      <c r="B9540" s="90">
        <v>6.9171396764546182</v>
      </c>
    </row>
    <row r="9541" spans="1:2">
      <c r="A9541" s="32">
        <v>9531</v>
      </c>
      <c r="B9541" s="90">
        <v>8.1674694934026402</v>
      </c>
    </row>
    <row r="9542" spans="1:2">
      <c r="A9542" s="32">
        <v>9532</v>
      </c>
      <c r="B9542" s="90">
        <v>8.1996982048365137</v>
      </c>
    </row>
    <row r="9543" spans="1:2">
      <c r="A9543" s="32">
        <v>9533</v>
      </c>
      <c r="B9543" s="90">
        <v>9.2468384782785051</v>
      </c>
    </row>
    <row r="9544" spans="1:2">
      <c r="A9544" s="32">
        <v>9534</v>
      </c>
      <c r="B9544" s="90">
        <v>8.2322021005375579</v>
      </c>
    </row>
    <row r="9545" spans="1:2">
      <c r="A9545" s="32">
        <v>9535</v>
      </c>
      <c r="B9545" s="90">
        <v>7.5801179946310659</v>
      </c>
    </row>
    <row r="9546" spans="1:2">
      <c r="A9546" s="32">
        <v>9536</v>
      </c>
      <c r="B9546" s="90">
        <v>7.4875041884027436</v>
      </c>
    </row>
    <row r="9547" spans="1:2">
      <c r="A9547" s="32">
        <v>9537</v>
      </c>
      <c r="B9547" s="90">
        <v>8.3863945068726977</v>
      </c>
    </row>
    <row r="9548" spans="1:2">
      <c r="A9548" s="32">
        <v>9538</v>
      </c>
      <c r="B9548" s="90">
        <v>8.2589618701329588</v>
      </c>
    </row>
    <row r="9549" spans="1:2">
      <c r="A9549" s="32">
        <v>9539</v>
      </c>
      <c r="B9549" s="90">
        <v>9.2750253165040135</v>
      </c>
    </row>
    <row r="9550" spans="1:2">
      <c r="A9550" s="32">
        <v>9540</v>
      </c>
      <c r="B9550" s="90">
        <v>7.9957203850223753</v>
      </c>
    </row>
    <row r="9551" spans="1:2">
      <c r="A9551" s="32">
        <v>9541</v>
      </c>
      <c r="B9551" s="90">
        <v>7.7296925003042904</v>
      </c>
    </row>
    <row r="9552" spans="1:2">
      <c r="A9552" s="32">
        <v>9542</v>
      </c>
      <c r="B9552" s="90">
        <v>7.4837624365428681</v>
      </c>
    </row>
    <row r="9553" spans="1:2">
      <c r="A9553" s="32">
        <v>9543</v>
      </c>
      <c r="B9553" s="90">
        <v>7.9362305860583255</v>
      </c>
    </row>
    <row r="9554" spans="1:2">
      <c r="A9554" s="32">
        <v>9544</v>
      </c>
      <c r="B9554" s="90">
        <v>8.5022333206577461</v>
      </c>
    </row>
    <row r="9555" spans="1:2">
      <c r="A9555" s="32">
        <v>9545</v>
      </c>
      <c r="B9555" s="90">
        <v>7.8571514542429322</v>
      </c>
    </row>
    <row r="9556" spans="1:2">
      <c r="A9556" s="32">
        <v>9546</v>
      </c>
      <c r="B9556" s="90">
        <v>7.6360775848098577</v>
      </c>
    </row>
    <row r="9557" spans="1:2">
      <c r="A9557" s="32">
        <v>9547</v>
      </c>
      <c r="B9557" s="90">
        <v>7.6202010754943288</v>
      </c>
    </row>
    <row r="9558" spans="1:2">
      <c r="A9558" s="32">
        <v>9548</v>
      </c>
      <c r="B9558" s="90">
        <v>8.1691802246471266</v>
      </c>
    </row>
    <row r="9559" spans="1:2">
      <c r="A9559" s="32">
        <v>9549</v>
      </c>
      <c r="B9559" s="90">
        <v>8.4301573570263564</v>
      </c>
    </row>
    <row r="9560" spans="1:2">
      <c r="A9560" s="32">
        <v>9550</v>
      </c>
      <c r="B9560" s="90">
        <v>8.0907097017408471</v>
      </c>
    </row>
    <row r="9561" spans="1:2">
      <c r="A9561" s="32">
        <v>9551</v>
      </c>
      <c r="B9561" s="90">
        <v>7.6086563628490627</v>
      </c>
    </row>
    <row r="9562" spans="1:2">
      <c r="A9562" s="32">
        <v>9552</v>
      </c>
      <c r="B9562" s="90">
        <v>7.7288498024471863</v>
      </c>
    </row>
    <row r="9563" spans="1:2">
      <c r="A9563" s="32">
        <v>9553</v>
      </c>
      <c r="B9563" s="90">
        <v>7.9585423108368643</v>
      </c>
    </row>
    <row r="9564" spans="1:2">
      <c r="A9564" s="32">
        <v>9554</v>
      </c>
      <c r="B9564" s="90">
        <v>8.2285473513284213</v>
      </c>
    </row>
    <row r="9565" spans="1:2">
      <c r="A9565" s="32">
        <v>9555</v>
      </c>
      <c r="B9565" s="90">
        <v>8.547006118215883</v>
      </c>
    </row>
    <row r="9566" spans="1:2">
      <c r="A9566" s="32">
        <v>9556</v>
      </c>
      <c r="B9566" s="90">
        <v>7.7822451086753937</v>
      </c>
    </row>
    <row r="9567" spans="1:2">
      <c r="A9567" s="32">
        <v>9557</v>
      </c>
      <c r="B9567" s="90">
        <v>7.6867752636194133</v>
      </c>
    </row>
    <row r="9568" spans="1:2">
      <c r="A9568" s="32">
        <v>9558</v>
      </c>
      <c r="B9568" s="90">
        <v>7.7610980177935565</v>
      </c>
    </row>
    <row r="9569" spans="1:2">
      <c r="A9569" s="32">
        <v>9559</v>
      </c>
      <c r="B9569" s="90">
        <v>7.8065338208354023</v>
      </c>
    </row>
    <row r="9570" spans="1:2">
      <c r="A9570" s="32">
        <v>9560</v>
      </c>
      <c r="B9570" s="90">
        <v>8.4043002067507313</v>
      </c>
    </row>
    <row r="9571" spans="1:2">
      <c r="A9571" s="32">
        <v>9561</v>
      </c>
      <c r="B9571" s="90">
        <v>8.7984559734976866</v>
      </c>
    </row>
    <row r="9572" spans="1:2">
      <c r="A9572" s="32">
        <v>9562</v>
      </c>
      <c r="B9572" s="90">
        <v>7.193591064994072</v>
      </c>
    </row>
    <row r="9573" spans="1:2">
      <c r="A9573" s="32">
        <v>9563</v>
      </c>
      <c r="B9573" s="90">
        <v>7.686728409763524</v>
      </c>
    </row>
    <row r="9574" spans="1:2">
      <c r="A9574" s="32">
        <v>9564</v>
      </c>
      <c r="B9574" s="90">
        <v>8.6540951405205639</v>
      </c>
    </row>
    <row r="9575" spans="1:2">
      <c r="A9575" s="32">
        <v>9565</v>
      </c>
      <c r="B9575" s="90">
        <v>7.3783218692906978</v>
      </c>
    </row>
    <row r="9576" spans="1:2">
      <c r="A9576" s="32">
        <v>9566</v>
      </c>
      <c r="B9576" s="90">
        <v>8.7083784023966206</v>
      </c>
    </row>
    <row r="9577" spans="1:2">
      <c r="A9577" s="32">
        <v>9567</v>
      </c>
      <c r="B9577" s="90">
        <v>8.311021211909992</v>
      </c>
    </row>
    <row r="9578" spans="1:2">
      <c r="A9578" s="32">
        <v>9568</v>
      </c>
      <c r="B9578" s="90">
        <v>7.0851080044147601</v>
      </c>
    </row>
    <row r="9579" spans="1:2">
      <c r="A9579" s="32">
        <v>9569</v>
      </c>
      <c r="B9579" s="90">
        <v>7.91518923126067</v>
      </c>
    </row>
    <row r="9580" spans="1:2">
      <c r="A9580" s="32">
        <v>9570</v>
      </c>
      <c r="B9580" s="90">
        <v>8.2262303219723361</v>
      </c>
    </row>
    <row r="9581" spans="1:2">
      <c r="A9581" s="32">
        <v>9571</v>
      </c>
      <c r="B9581" s="90">
        <v>7.7874337099841924</v>
      </c>
    </row>
    <row r="9582" spans="1:2">
      <c r="A9582" s="32">
        <v>9572</v>
      </c>
      <c r="B9582" s="90">
        <v>8.0400909254850905</v>
      </c>
    </row>
    <row r="9583" spans="1:2">
      <c r="A9583" s="32">
        <v>9573</v>
      </c>
      <c r="B9583" s="90">
        <v>8.3901572536669082</v>
      </c>
    </row>
    <row r="9584" spans="1:2">
      <c r="A9584" s="32">
        <v>9574</v>
      </c>
      <c r="B9584" s="90">
        <v>7.5288335143014162</v>
      </c>
    </row>
    <row r="9585" spans="1:2">
      <c r="A9585" s="32">
        <v>9575</v>
      </c>
      <c r="B9585" s="90">
        <v>8.0003125282061127</v>
      </c>
    </row>
    <row r="9586" spans="1:2">
      <c r="A9586" s="32">
        <v>9576</v>
      </c>
      <c r="B9586" s="90">
        <v>7.7531637308031671</v>
      </c>
    </row>
    <row r="9587" spans="1:2">
      <c r="A9587" s="32">
        <v>9577</v>
      </c>
      <c r="B9587" s="90">
        <v>7.8981547665949288</v>
      </c>
    </row>
    <row r="9588" spans="1:2">
      <c r="A9588" s="32">
        <v>9578</v>
      </c>
      <c r="B9588" s="90">
        <v>8.12420192044633</v>
      </c>
    </row>
    <row r="9589" spans="1:2">
      <c r="A9589" s="32">
        <v>9579</v>
      </c>
      <c r="B9589" s="90">
        <v>8.4704865618323062</v>
      </c>
    </row>
    <row r="9590" spans="1:2">
      <c r="A9590" s="32">
        <v>9580</v>
      </c>
      <c r="B9590" s="90">
        <v>7.6067797698910935</v>
      </c>
    </row>
    <row r="9591" spans="1:2">
      <c r="A9591" s="32">
        <v>9581</v>
      </c>
      <c r="B9591" s="90">
        <v>7.761939227846729</v>
      </c>
    </row>
    <row r="9592" spans="1:2">
      <c r="A9592" s="32">
        <v>9582</v>
      </c>
      <c r="B9592" s="90">
        <v>8.21758090592472</v>
      </c>
    </row>
    <row r="9593" spans="1:2">
      <c r="A9593" s="32">
        <v>9583</v>
      </c>
      <c r="B9593" s="90">
        <v>7.8365269653135092</v>
      </c>
    </row>
    <row r="9594" spans="1:2">
      <c r="A9594" s="32">
        <v>9584</v>
      </c>
      <c r="B9594" s="90">
        <v>8.5870534279712079</v>
      </c>
    </row>
    <row r="9595" spans="1:2">
      <c r="A9595" s="32">
        <v>9585</v>
      </c>
      <c r="B9595" s="90">
        <v>8.0677488821143282</v>
      </c>
    </row>
    <row r="9596" spans="1:2">
      <c r="A9596" s="32">
        <v>9586</v>
      </c>
      <c r="B9596" s="90">
        <v>7.3322318200625443</v>
      </c>
    </row>
    <row r="9597" spans="1:2">
      <c r="A9597" s="32">
        <v>9587</v>
      </c>
      <c r="B9597" s="90">
        <v>7.8256398757033097</v>
      </c>
    </row>
    <row r="9598" spans="1:2">
      <c r="A9598" s="32">
        <v>9588</v>
      </c>
      <c r="B9598" s="90">
        <v>8.0169654019842813</v>
      </c>
    </row>
    <row r="9599" spans="1:2">
      <c r="A9599" s="32">
        <v>9589</v>
      </c>
      <c r="B9599" s="90">
        <v>8.1861708039229288</v>
      </c>
    </row>
    <row r="9600" spans="1:2">
      <c r="A9600" s="32">
        <v>9590</v>
      </c>
      <c r="B9600" s="90">
        <v>8.584530122206619</v>
      </c>
    </row>
    <row r="9601" spans="1:2">
      <c r="A9601" s="32">
        <v>9591</v>
      </c>
      <c r="B9601" s="90">
        <v>7.6382528017261047</v>
      </c>
    </row>
    <row r="9602" spans="1:2">
      <c r="A9602" s="32">
        <v>9592</v>
      </c>
      <c r="B9602" s="90">
        <v>7.5262717217151494</v>
      </c>
    </row>
    <row r="9603" spans="1:2">
      <c r="A9603" s="32">
        <v>9593</v>
      </c>
      <c r="B9603" s="90">
        <v>8.080755809369343</v>
      </c>
    </row>
    <row r="9604" spans="1:2">
      <c r="A9604" s="32">
        <v>9594</v>
      </c>
      <c r="B9604" s="90">
        <v>7.7114603598686982</v>
      </c>
    </row>
    <row r="9605" spans="1:2">
      <c r="A9605" s="32">
        <v>9595</v>
      </c>
      <c r="B9605" s="90">
        <v>8.6086255780377066</v>
      </c>
    </row>
    <row r="9606" spans="1:2">
      <c r="A9606" s="32">
        <v>9596</v>
      </c>
      <c r="B9606" s="90">
        <v>8.6821886441409184</v>
      </c>
    </row>
    <row r="9607" spans="1:2">
      <c r="A9607" s="32">
        <v>9597</v>
      </c>
      <c r="B9607" s="90">
        <v>6.9027295171797238</v>
      </c>
    </row>
    <row r="9608" spans="1:2">
      <c r="A9608" s="32">
        <v>9598</v>
      </c>
      <c r="B9608" s="90">
        <v>8.0015575664789615</v>
      </c>
    </row>
    <row r="9609" spans="1:2">
      <c r="A9609" s="32">
        <v>9599</v>
      </c>
      <c r="B9609" s="90">
        <v>8.175075877850194</v>
      </c>
    </row>
    <row r="9610" spans="1:2">
      <c r="A9610" s="32">
        <v>9600</v>
      </c>
      <c r="B9610" s="90">
        <v>7.8889179346405136</v>
      </c>
    </row>
    <row r="9611" spans="1:2">
      <c r="A9611" s="32">
        <v>9601</v>
      </c>
      <c r="B9611" s="90">
        <v>8.4502389366666453</v>
      </c>
    </row>
    <row r="9612" spans="1:2">
      <c r="A9612" s="32">
        <v>9602</v>
      </c>
      <c r="B9612" s="90">
        <v>8.5843457128208165</v>
      </c>
    </row>
    <row r="9613" spans="1:2">
      <c r="A9613" s="32">
        <v>9603</v>
      </c>
      <c r="B9613" s="90">
        <v>6.7693191765031191</v>
      </c>
    </row>
    <row r="9614" spans="1:2">
      <c r="A9614" s="32">
        <v>9604</v>
      </c>
      <c r="B9614" s="90">
        <v>8.2353617492464561</v>
      </c>
    </row>
    <row r="9615" spans="1:2">
      <c r="A9615" s="32">
        <v>9605</v>
      </c>
      <c r="B9615" s="90">
        <v>7.8379136553815414</v>
      </c>
    </row>
    <row r="9616" spans="1:2">
      <c r="A9616" s="32">
        <v>9606</v>
      </c>
      <c r="B9616" s="90">
        <v>7.8586982564321533</v>
      </c>
    </row>
    <row r="9617" spans="1:2">
      <c r="A9617" s="32">
        <v>9607</v>
      </c>
      <c r="B9617" s="90">
        <v>8.1493544914136784</v>
      </c>
    </row>
    <row r="9618" spans="1:2">
      <c r="A9618" s="32">
        <v>9608</v>
      </c>
      <c r="B9618" s="90">
        <v>8.5022333206577461</v>
      </c>
    </row>
    <row r="9619" spans="1:2">
      <c r="A9619" s="32">
        <v>9609</v>
      </c>
      <c r="B9619" s="90">
        <v>7.8571514542429322</v>
      </c>
    </row>
    <row r="9620" spans="1:2">
      <c r="A9620" s="32">
        <v>9610</v>
      </c>
      <c r="B9620" s="90">
        <v>7.6360775848098577</v>
      </c>
    </row>
    <row r="9621" spans="1:2">
      <c r="A9621" s="32">
        <v>9611</v>
      </c>
      <c r="B9621" s="90">
        <v>7.6202010754943288</v>
      </c>
    </row>
    <row r="9622" spans="1:2">
      <c r="A9622" s="32">
        <v>9612</v>
      </c>
      <c r="B9622" s="90">
        <v>8.1691802246471266</v>
      </c>
    </row>
    <row r="9623" spans="1:2">
      <c r="A9623" s="32">
        <v>9613</v>
      </c>
      <c r="B9623" s="90">
        <v>8.4301573570263564</v>
      </c>
    </row>
    <row r="9624" spans="1:2">
      <c r="A9624" s="32">
        <v>9614</v>
      </c>
      <c r="B9624" s="90">
        <v>8.0907097017408471</v>
      </c>
    </row>
    <row r="9625" spans="1:2">
      <c r="A9625" s="32">
        <v>9615</v>
      </c>
      <c r="B9625" s="90">
        <v>7.6086563628490627</v>
      </c>
    </row>
    <row r="9626" spans="1:2">
      <c r="A9626" s="32">
        <v>9616</v>
      </c>
      <c r="B9626" s="90">
        <v>7.7288498024471863</v>
      </c>
    </row>
    <row r="9627" spans="1:2">
      <c r="A9627" s="32">
        <v>9617</v>
      </c>
      <c r="B9627" s="90">
        <v>7.9585423108368643</v>
      </c>
    </row>
    <row r="9628" spans="1:2">
      <c r="A9628" s="32">
        <v>9618</v>
      </c>
      <c r="B9628" s="90">
        <v>8.2285473513284213</v>
      </c>
    </row>
    <row r="9629" spans="1:2">
      <c r="A9629" s="32">
        <v>9619</v>
      </c>
      <c r="B9629" s="90">
        <v>8.547006118215883</v>
      </c>
    </row>
    <row r="9630" spans="1:2">
      <c r="A9630" s="32">
        <v>9620</v>
      </c>
      <c r="B9630" s="90">
        <v>7.7822451086753937</v>
      </c>
    </row>
    <row r="9631" spans="1:2">
      <c r="A9631" s="32">
        <v>9621</v>
      </c>
      <c r="B9631" s="90">
        <v>7.6867752636194133</v>
      </c>
    </row>
    <row r="9632" spans="1:2">
      <c r="A9632" s="32">
        <v>9622</v>
      </c>
      <c r="B9632" s="90">
        <v>7.7610980177935565</v>
      </c>
    </row>
    <row r="9633" spans="1:2">
      <c r="A9633" s="32">
        <v>9623</v>
      </c>
      <c r="B9633" s="90">
        <v>7.8065338208354023</v>
      </c>
    </row>
    <row r="9634" spans="1:2">
      <c r="A9634" s="32">
        <v>9624</v>
      </c>
      <c r="B9634" s="90">
        <v>8.4043002067507313</v>
      </c>
    </row>
    <row r="9635" spans="1:2">
      <c r="A9635" s="32">
        <v>9625</v>
      </c>
      <c r="B9635" s="90">
        <v>8.7984559734976866</v>
      </c>
    </row>
    <row r="9636" spans="1:2">
      <c r="A9636" s="32">
        <v>9626</v>
      </c>
      <c r="B9636" s="90">
        <v>7.193591064994072</v>
      </c>
    </row>
    <row r="9637" spans="1:2">
      <c r="A9637" s="32">
        <v>9627</v>
      </c>
      <c r="B9637" s="90">
        <v>7.686728409763524</v>
      </c>
    </row>
    <row r="9638" spans="1:2">
      <c r="A9638" s="32">
        <v>9628</v>
      </c>
      <c r="B9638" s="90">
        <v>8.6540951405205639</v>
      </c>
    </row>
    <row r="9639" spans="1:2">
      <c r="A9639" s="32">
        <v>9629</v>
      </c>
      <c r="B9639" s="90">
        <v>7.3783218692906978</v>
      </c>
    </row>
    <row r="9640" spans="1:2">
      <c r="A9640" s="32">
        <v>9630</v>
      </c>
      <c r="B9640" s="90">
        <v>8.7083784023966206</v>
      </c>
    </row>
    <row r="9641" spans="1:2">
      <c r="A9641" s="32">
        <v>9631</v>
      </c>
      <c r="B9641" s="90">
        <v>8.311021211909992</v>
      </c>
    </row>
    <row r="9642" spans="1:2">
      <c r="A9642" s="32">
        <v>9632</v>
      </c>
      <c r="B9642" s="90">
        <v>7.0851080044147601</v>
      </c>
    </row>
    <row r="9643" spans="1:2">
      <c r="A9643" s="32">
        <v>9633</v>
      </c>
      <c r="B9643" s="90">
        <v>7.91518923126067</v>
      </c>
    </row>
    <row r="9644" spans="1:2">
      <c r="A9644" s="32">
        <v>9634</v>
      </c>
      <c r="B9644" s="90">
        <v>8.2262303219723361</v>
      </c>
    </row>
    <row r="9645" spans="1:2">
      <c r="A9645" s="32">
        <v>9635</v>
      </c>
      <c r="B9645" s="90">
        <v>7.7874337099841924</v>
      </c>
    </row>
    <row r="9646" spans="1:2">
      <c r="A9646" s="32">
        <v>9636</v>
      </c>
      <c r="B9646" s="90">
        <v>8.0400909254850905</v>
      </c>
    </row>
    <row r="9647" spans="1:2">
      <c r="A9647" s="32">
        <v>9637</v>
      </c>
      <c r="B9647" s="90">
        <v>8.3901572536669082</v>
      </c>
    </row>
    <row r="9648" spans="1:2">
      <c r="A9648" s="32">
        <v>9638</v>
      </c>
      <c r="B9648" s="90">
        <v>7.5288335143014162</v>
      </c>
    </row>
    <row r="9649" spans="1:2">
      <c r="A9649" s="32">
        <v>9639</v>
      </c>
      <c r="B9649" s="90">
        <v>8.0003125282061127</v>
      </c>
    </row>
    <row r="9650" spans="1:2">
      <c r="A9650" s="32">
        <v>9640</v>
      </c>
      <c r="B9650" s="90">
        <v>7.7531637308031671</v>
      </c>
    </row>
    <row r="9651" spans="1:2">
      <c r="A9651" s="32">
        <v>9641</v>
      </c>
      <c r="B9651" s="90">
        <v>7.8981547665949288</v>
      </c>
    </row>
    <row r="9652" spans="1:2">
      <c r="A9652" s="32">
        <v>9642</v>
      </c>
      <c r="B9652" s="90">
        <v>8.12420192044633</v>
      </c>
    </row>
    <row r="9653" spans="1:2">
      <c r="A9653" s="32">
        <v>9643</v>
      </c>
      <c r="B9653" s="90">
        <v>8.4704865618323062</v>
      </c>
    </row>
    <row r="9654" spans="1:2">
      <c r="A9654" s="32">
        <v>9644</v>
      </c>
      <c r="B9654" s="90">
        <v>7.6067797698910935</v>
      </c>
    </row>
    <row r="9655" spans="1:2">
      <c r="A9655" s="32">
        <v>9645</v>
      </c>
      <c r="B9655" s="90">
        <v>7.761939227846729</v>
      </c>
    </row>
    <row r="9656" spans="1:2">
      <c r="A9656" s="32">
        <v>9646</v>
      </c>
      <c r="B9656" s="90">
        <v>8.21758090592472</v>
      </c>
    </row>
    <row r="9657" spans="1:2">
      <c r="A9657" s="32">
        <v>9647</v>
      </c>
      <c r="B9657" s="90">
        <v>7.8365269653135092</v>
      </c>
    </row>
    <row r="9658" spans="1:2">
      <c r="A9658" s="32">
        <v>9648</v>
      </c>
      <c r="B9658" s="90">
        <v>8.5870534279712079</v>
      </c>
    </row>
    <row r="9659" spans="1:2">
      <c r="A9659" s="32">
        <v>9649</v>
      </c>
      <c r="B9659" s="90">
        <v>8.0677488821143282</v>
      </c>
    </row>
    <row r="9660" spans="1:2">
      <c r="A9660" s="32">
        <v>9650</v>
      </c>
      <c r="B9660" s="90">
        <v>7.3322318200625443</v>
      </c>
    </row>
    <row r="9661" spans="1:2">
      <c r="A9661" s="32">
        <v>9651</v>
      </c>
      <c r="B9661" s="90">
        <v>7.8256398757033097</v>
      </c>
    </row>
    <row r="9662" spans="1:2">
      <c r="A9662" s="32">
        <v>9652</v>
      </c>
      <c r="B9662" s="90">
        <v>8.0169654019842813</v>
      </c>
    </row>
    <row r="9663" spans="1:2">
      <c r="A9663" s="32">
        <v>9653</v>
      </c>
      <c r="B9663" s="90">
        <v>8.1861708039229288</v>
      </c>
    </row>
    <row r="9664" spans="1:2">
      <c r="A9664" s="32">
        <v>9654</v>
      </c>
      <c r="B9664" s="90">
        <v>8.584530122206619</v>
      </c>
    </row>
    <row r="9665" spans="1:2">
      <c r="A9665" s="32">
        <v>9655</v>
      </c>
      <c r="B9665" s="90">
        <v>7.6382528017261047</v>
      </c>
    </row>
    <row r="9666" spans="1:2">
      <c r="A9666" s="32">
        <v>9656</v>
      </c>
      <c r="B9666" s="90">
        <v>7.5262717217151494</v>
      </c>
    </row>
    <row r="9667" spans="1:2">
      <c r="A9667" s="32">
        <v>9657</v>
      </c>
      <c r="B9667" s="90">
        <v>8.080755809369343</v>
      </c>
    </row>
    <row r="9668" spans="1:2">
      <c r="A9668" s="32">
        <v>9658</v>
      </c>
      <c r="B9668" s="90">
        <v>7.7114603598686982</v>
      </c>
    </row>
    <row r="9669" spans="1:2">
      <c r="A9669" s="32">
        <v>9659</v>
      </c>
      <c r="B9669" s="90">
        <v>8.6086255780377066</v>
      </c>
    </row>
    <row r="9670" spans="1:2">
      <c r="A9670" s="32">
        <v>9660</v>
      </c>
      <c r="B9670" s="90">
        <v>8.6821886441409184</v>
      </c>
    </row>
    <row r="9671" spans="1:2">
      <c r="A9671" s="32">
        <v>9661</v>
      </c>
      <c r="B9671" s="90">
        <v>8.3496327563755894</v>
      </c>
    </row>
    <row r="9672" spans="1:2">
      <c r="A9672" s="32">
        <v>9662</v>
      </c>
      <c r="B9672" s="90">
        <v>6.7278003632677938</v>
      </c>
    </row>
    <row r="9673" spans="1:2">
      <c r="A9673" s="32">
        <v>9663</v>
      </c>
      <c r="B9673" s="90">
        <v>7.3218493217585792</v>
      </c>
    </row>
    <row r="9674" spans="1:2">
      <c r="A9674" s="32">
        <v>9664</v>
      </c>
      <c r="B9674" s="90">
        <v>8.137001203505319</v>
      </c>
    </row>
    <row r="9675" spans="1:2">
      <c r="A9675" s="32">
        <v>9665</v>
      </c>
      <c r="B9675" s="90">
        <v>7.5445234978785134</v>
      </c>
    </row>
    <row r="9676" spans="1:2">
      <c r="A9676" s="32">
        <v>9666</v>
      </c>
      <c r="B9676" s="90">
        <v>9.14074825532016</v>
      </c>
    </row>
    <row r="9677" spans="1:2">
      <c r="A9677" s="32">
        <v>9667</v>
      </c>
      <c r="B9677" s="90">
        <v>8.6842614053287885</v>
      </c>
    </row>
    <row r="9678" spans="1:2">
      <c r="A9678" s="32">
        <v>9668</v>
      </c>
      <c r="B9678" s="90">
        <v>6.9547887454259953</v>
      </c>
    </row>
    <row r="9679" spans="1:2">
      <c r="A9679" s="32">
        <v>9669</v>
      </c>
      <c r="B9679" s="90">
        <v>7.3487766370434153</v>
      </c>
    </row>
    <row r="9680" spans="1:2">
      <c r="A9680" s="32">
        <v>9670</v>
      </c>
      <c r="B9680" s="90">
        <v>7.9790285844138369</v>
      </c>
    </row>
    <row r="9681" spans="1:2">
      <c r="A9681" s="32">
        <v>9671</v>
      </c>
      <c r="B9681" s="90">
        <v>8.063646736963392</v>
      </c>
    </row>
    <row r="9682" spans="1:2">
      <c r="A9682" s="32">
        <v>9672</v>
      </c>
      <c r="B9682" s="90">
        <v>8.8306413552274776</v>
      </c>
    </row>
    <row r="9683" spans="1:2">
      <c r="A9683" s="32">
        <v>9673</v>
      </c>
      <c r="B9683" s="90">
        <v>8.2899088387854096</v>
      </c>
    </row>
    <row r="9684" spans="1:2">
      <c r="A9684" s="32">
        <v>9674</v>
      </c>
      <c r="B9684" s="90">
        <v>7.2065021442776338</v>
      </c>
    </row>
    <row r="9685" spans="1:2">
      <c r="A9685" s="32">
        <v>9675</v>
      </c>
      <c r="B9685" s="90">
        <v>7.7250150431590612</v>
      </c>
    </row>
    <row r="9686" spans="1:2">
      <c r="A9686" s="32">
        <v>9676</v>
      </c>
      <c r="B9686" s="90">
        <v>7.1582381053232567</v>
      </c>
    </row>
    <row r="9687" spans="1:2">
      <c r="A9687" s="32">
        <v>9677</v>
      </c>
      <c r="B9687" s="90">
        <v>8.7114518433556878</v>
      </c>
    </row>
    <row r="9688" spans="1:2">
      <c r="A9688" s="32">
        <v>9678</v>
      </c>
      <c r="B9688" s="90">
        <v>9.184226676130578</v>
      </c>
    </row>
    <row r="9689" spans="1:2">
      <c r="A9689" s="32">
        <v>9679</v>
      </c>
      <c r="B9689" s="90">
        <v>7.5407809675707718</v>
      </c>
    </row>
    <row r="9690" spans="1:2">
      <c r="A9690" s="32">
        <v>9680</v>
      </c>
      <c r="B9690" s="90">
        <v>7.4638297907421816</v>
      </c>
    </row>
    <row r="9691" spans="1:2">
      <c r="A9691" s="32">
        <v>9681</v>
      </c>
      <c r="B9691" s="90">
        <v>7.4750264609750454</v>
      </c>
    </row>
    <row r="9692" spans="1:2">
      <c r="A9692" s="32">
        <v>9682</v>
      </c>
      <c r="B9692" s="90">
        <v>7.4825027069307897</v>
      </c>
    </row>
    <row r="9693" spans="1:2">
      <c r="A9693" s="32">
        <v>9683</v>
      </c>
      <c r="B9693" s="90">
        <v>8.4145224672644705</v>
      </c>
    </row>
    <row r="9694" spans="1:2">
      <c r="A9694" s="32">
        <v>9684</v>
      </c>
      <c r="B9694" s="90">
        <v>9.3139921302974287</v>
      </c>
    </row>
    <row r="9695" spans="1:2">
      <c r="A9695" s="32">
        <v>9685</v>
      </c>
      <c r="B9695" s="90">
        <v>7.3583582614904364</v>
      </c>
    </row>
    <row r="9696" spans="1:2">
      <c r="A9696" s="32">
        <v>9686</v>
      </c>
      <c r="B9696" s="90">
        <v>7.6514621296965393</v>
      </c>
    </row>
    <row r="9697" spans="1:2">
      <c r="A9697" s="32">
        <v>9687</v>
      </c>
      <c r="B9697" s="90">
        <v>7.6357709476847475</v>
      </c>
    </row>
    <row r="9698" spans="1:2">
      <c r="A9698" s="32">
        <v>9688</v>
      </c>
      <c r="B9698" s="90">
        <v>7.4048383331335668</v>
      </c>
    </row>
    <row r="9699" spans="1:2">
      <c r="A9699" s="32">
        <v>9689</v>
      </c>
      <c r="B9699" s="90">
        <v>8.8207589553309411</v>
      </c>
    </row>
    <row r="9700" spans="1:2">
      <c r="A9700" s="32">
        <v>9690</v>
      </c>
      <c r="B9700" s="90">
        <v>8.8762422781851953</v>
      </c>
    </row>
    <row r="9701" spans="1:2">
      <c r="A9701" s="32">
        <v>9691</v>
      </c>
      <c r="B9701" s="90">
        <v>7.3879811309259855</v>
      </c>
    </row>
    <row r="9702" spans="1:2">
      <c r="A9702" s="32">
        <v>9692</v>
      </c>
      <c r="B9702" s="90">
        <v>7.0141151798506218</v>
      </c>
    </row>
    <row r="9703" spans="1:2">
      <c r="A9703" s="32">
        <v>9693</v>
      </c>
      <c r="B9703" s="90">
        <v>8.2009108369759876</v>
      </c>
    </row>
    <row r="9704" spans="1:2">
      <c r="A9704" s="32">
        <v>9694</v>
      </c>
      <c r="B9704" s="90">
        <v>7.540065145253088</v>
      </c>
    </row>
    <row r="9705" spans="1:2">
      <c r="A9705" s="32">
        <v>9695</v>
      </c>
      <c r="B9705" s="90">
        <v>9.0102830531591476</v>
      </c>
    </row>
    <row r="9706" spans="1:2">
      <c r="A9706" s="32">
        <v>9696</v>
      </c>
      <c r="B9706" s="90">
        <v>8.7537011989183817</v>
      </c>
    </row>
    <row r="9707" spans="1:2">
      <c r="A9707" s="32">
        <v>9697</v>
      </c>
      <c r="B9707" s="90">
        <v>7.0884284499132217</v>
      </c>
    </row>
    <row r="9708" spans="1:2">
      <c r="A9708" s="32">
        <v>9698</v>
      </c>
      <c r="B9708" s="90">
        <v>7.2560895056606478</v>
      </c>
    </row>
    <row r="9709" spans="1:2">
      <c r="A9709" s="32">
        <v>9699</v>
      </c>
      <c r="B9709" s="90">
        <v>7.7367787679123463</v>
      </c>
    </row>
    <row r="9710" spans="1:2">
      <c r="A9710" s="32">
        <v>9700</v>
      </c>
      <c r="B9710" s="90">
        <v>7.8901030124046212</v>
      </c>
    </row>
    <row r="9711" spans="1:2">
      <c r="A9711" s="32">
        <v>9701</v>
      </c>
      <c r="B9711" s="90">
        <v>9.379925882681567</v>
      </c>
    </row>
    <row r="9712" spans="1:2">
      <c r="A9712" s="32">
        <v>9702</v>
      </c>
      <c r="B9712" s="90">
        <v>8.3078363791513041</v>
      </c>
    </row>
    <row r="9713" spans="1:2">
      <c r="A9713" s="32">
        <v>9703</v>
      </c>
      <c r="B9713" s="90">
        <v>7.0848676068070153</v>
      </c>
    </row>
    <row r="9714" spans="1:2">
      <c r="A9714" s="32">
        <v>9704</v>
      </c>
      <c r="B9714" s="90">
        <v>7.494064669477452</v>
      </c>
    </row>
    <row r="9715" spans="1:2">
      <c r="A9715" s="32">
        <v>9705</v>
      </c>
      <c r="B9715" s="90">
        <v>7.684704540198263</v>
      </c>
    </row>
    <row r="9716" spans="1:2">
      <c r="A9716" s="32">
        <v>9706</v>
      </c>
      <c r="B9716" s="90">
        <v>8.0093666308964959</v>
      </c>
    </row>
    <row r="9717" spans="1:2">
      <c r="A9717" s="32">
        <v>9707</v>
      </c>
      <c r="B9717" s="90">
        <v>9.2272336856886508</v>
      </c>
    </row>
    <row r="9718" spans="1:2">
      <c r="A9718" s="32">
        <v>9708</v>
      </c>
      <c r="B9718" s="90">
        <v>8.0612079811217985</v>
      </c>
    </row>
    <row r="9719" spans="1:2">
      <c r="A9719" s="32">
        <v>9709</v>
      </c>
      <c r="B9719" s="90">
        <v>7.0665465477272456</v>
      </c>
    </row>
    <row r="9720" spans="1:2">
      <c r="A9720" s="32">
        <v>9710</v>
      </c>
      <c r="B9720" s="90">
        <v>7.8547983308995599</v>
      </c>
    </row>
    <row r="9721" spans="1:2">
      <c r="A9721" s="32">
        <v>9711</v>
      </c>
      <c r="B9721" s="90">
        <v>7.4855311063973762</v>
      </c>
    </row>
    <row r="9722" spans="1:2">
      <c r="A9722" s="32">
        <v>9712</v>
      </c>
      <c r="B9722" s="90">
        <v>8.3495032019044615</v>
      </c>
    </row>
    <row r="9723" spans="1:2">
      <c r="A9723" s="32">
        <v>9713</v>
      </c>
      <c r="B9723" s="90">
        <v>9.3582080795724902</v>
      </c>
    </row>
    <row r="9724" spans="1:2">
      <c r="A9724" s="32">
        <v>9714</v>
      </c>
      <c r="B9724" s="90">
        <v>7.1467354545892547</v>
      </c>
    </row>
    <row r="9725" spans="1:2">
      <c r="A9725" s="32">
        <v>9715</v>
      </c>
      <c r="B9725" s="90">
        <v>7.5678099267113437</v>
      </c>
    </row>
    <row r="9726" spans="1:2">
      <c r="A9726" s="32">
        <v>9716</v>
      </c>
      <c r="B9726" s="90">
        <v>7.6974231693047805</v>
      </c>
    </row>
    <row r="9727" spans="1:2">
      <c r="A9727" s="32">
        <v>9717</v>
      </c>
      <c r="B9727" s="90">
        <v>7.352224752247805</v>
      </c>
    </row>
    <row r="9728" spans="1:2">
      <c r="A9728" s="32">
        <v>9718</v>
      </c>
      <c r="B9728" s="90">
        <v>8.6202568460120812</v>
      </c>
    </row>
    <row r="9729" spans="1:2">
      <c r="A9729" s="32">
        <v>9719</v>
      </c>
      <c r="B9729" s="90">
        <v>9.187384614434789</v>
      </c>
    </row>
    <row r="9730" spans="1:2">
      <c r="A9730" s="32">
        <v>9720</v>
      </c>
      <c r="B9730" s="90">
        <v>7.3066489724845844</v>
      </c>
    </row>
    <row r="9731" spans="1:2">
      <c r="A9731" s="32">
        <v>9721</v>
      </c>
      <c r="B9731" s="90">
        <v>7.6828177015898316</v>
      </c>
    </row>
    <row r="9732" spans="1:2">
      <c r="A9732" s="32">
        <v>9722</v>
      </c>
      <c r="B9732" s="90">
        <v>7.638756061220179</v>
      </c>
    </row>
    <row r="9733" spans="1:2">
      <c r="A9733" s="32">
        <v>9723</v>
      </c>
      <c r="B9733" s="90">
        <v>7.4558963019486013</v>
      </c>
    </row>
    <row r="9734" spans="1:2">
      <c r="A9734" s="32">
        <v>9724</v>
      </c>
      <c r="B9734" s="90">
        <v>8.8019653303609307</v>
      </c>
    </row>
    <row r="9735" spans="1:2">
      <c r="A9735" s="32">
        <v>9725</v>
      </c>
      <c r="B9735" s="90">
        <v>9.2866314120927793</v>
      </c>
    </row>
    <row r="9736" spans="1:2">
      <c r="A9736" s="32">
        <v>9726</v>
      </c>
      <c r="B9736" s="90">
        <v>6.7278003632677938</v>
      </c>
    </row>
    <row r="9737" spans="1:2">
      <c r="A9737" s="32">
        <v>9727</v>
      </c>
      <c r="B9737" s="90">
        <v>7.3218493217585792</v>
      </c>
    </row>
    <row r="9738" spans="1:2">
      <c r="A9738" s="32">
        <v>9728</v>
      </c>
      <c r="B9738" s="90">
        <v>8.137001203505319</v>
      </c>
    </row>
    <row r="9739" spans="1:2">
      <c r="A9739" s="32">
        <v>9729</v>
      </c>
      <c r="B9739" s="90">
        <v>7.5445234978785134</v>
      </c>
    </row>
    <row r="9740" spans="1:2">
      <c r="A9740" s="32">
        <v>9730</v>
      </c>
      <c r="B9740" s="90">
        <v>9.14074825532016</v>
      </c>
    </row>
    <row r="9741" spans="1:2">
      <c r="A9741" s="32">
        <v>9731</v>
      </c>
      <c r="B9741" s="90">
        <v>8.6842614053287885</v>
      </c>
    </row>
    <row r="9742" spans="1:2">
      <c r="A9742" s="32">
        <v>9732</v>
      </c>
      <c r="B9742" s="90">
        <v>6.9547887454259953</v>
      </c>
    </row>
    <row r="9743" spans="1:2">
      <c r="A9743" s="32">
        <v>9733</v>
      </c>
      <c r="B9743" s="90">
        <v>7.3487766370434153</v>
      </c>
    </row>
    <row r="9744" spans="1:2">
      <c r="A9744" s="32">
        <v>9734</v>
      </c>
      <c r="B9744" s="90">
        <v>7.9790285844138369</v>
      </c>
    </row>
    <row r="9745" spans="1:2">
      <c r="A9745" s="32">
        <v>9735</v>
      </c>
      <c r="B9745" s="90">
        <v>8.063646736963392</v>
      </c>
    </row>
    <row r="9746" spans="1:2">
      <c r="A9746" s="32">
        <v>9736</v>
      </c>
      <c r="B9746" s="90">
        <v>8.8306413552274776</v>
      </c>
    </row>
    <row r="9747" spans="1:2">
      <c r="A9747" s="32">
        <v>9737</v>
      </c>
      <c r="B9747" s="90">
        <v>8.2899088387854096</v>
      </c>
    </row>
    <row r="9748" spans="1:2">
      <c r="A9748" s="32">
        <v>9738</v>
      </c>
      <c r="B9748" s="90">
        <v>7.2065021442776338</v>
      </c>
    </row>
    <row r="9749" spans="1:2">
      <c r="A9749" s="32">
        <v>9739</v>
      </c>
      <c r="B9749" s="90">
        <v>7.7250150431590612</v>
      </c>
    </row>
    <row r="9750" spans="1:2">
      <c r="A9750" s="32">
        <v>9740</v>
      </c>
      <c r="B9750" s="90">
        <v>7.1582381053232567</v>
      </c>
    </row>
    <row r="9751" spans="1:2">
      <c r="A9751" s="32">
        <v>9741</v>
      </c>
      <c r="B9751" s="90">
        <v>8.8032046758626663</v>
      </c>
    </row>
    <row r="9752" spans="1:2">
      <c r="A9752" s="32">
        <v>9742</v>
      </c>
      <c r="B9752" s="90">
        <v>8.8715596254073184</v>
      </c>
    </row>
    <row r="9753" spans="1:2">
      <c r="A9753" s="32">
        <v>9743</v>
      </c>
      <c r="B9753" s="90">
        <v>7.0196223672987896</v>
      </c>
    </row>
    <row r="9754" spans="1:2">
      <c r="A9754" s="32">
        <v>9744</v>
      </c>
      <c r="B9754" s="90">
        <v>7.7327636849027774</v>
      </c>
    </row>
    <row r="9755" spans="1:2">
      <c r="A9755" s="32">
        <v>9745</v>
      </c>
      <c r="B9755" s="90">
        <v>8.070455959288612</v>
      </c>
    </row>
    <row r="9756" spans="1:2">
      <c r="A9756" s="32">
        <v>9746</v>
      </c>
      <c r="B9756" s="90">
        <v>7.9058534812193049</v>
      </c>
    </row>
    <row r="9757" spans="1:2">
      <c r="A9757" s="32">
        <v>9747</v>
      </c>
      <c r="B9757" s="90">
        <v>9.4945210868155687</v>
      </c>
    </row>
    <row r="9758" spans="1:2">
      <c r="A9758" s="32">
        <v>9748</v>
      </c>
      <c r="B9758" s="90">
        <v>7.7580680597865772</v>
      </c>
    </row>
    <row r="9759" spans="1:2">
      <c r="A9759" s="32">
        <v>9749</v>
      </c>
      <c r="B9759" s="90">
        <v>7.5504071391424796</v>
      </c>
    </row>
    <row r="9760" spans="1:2">
      <c r="A9760" s="32">
        <v>9750</v>
      </c>
      <c r="B9760" s="90">
        <v>7.7886906814621781</v>
      </c>
    </row>
    <row r="9761" spans="1:2">
      <c r="A9761" s="32">
        <v>9751</v>
      </c>
      <c r="B9761" s="90">
        <v>8.2969258877925967</v>
      </c>
    </row>
    <row r="9762" spans="1:2">
      <c r="A9762" s="32">
        <v>9752</v>
      </c>
      <c r="B9762" s="90">
        <v>8.1979702814900346</v>
      </c>
    </row>
    <row r="9763" spans="1:2">
      <c r="A9763" s="32">
        <v>9753</v>
      </c>
      <c r="B9763" s="90">
        <v>9.6591411465345427</v>
      </c>
    </row>
    <row r="9764" spans="1:2">
      <c r="A9764" s="32">
        <v>9754</v>
      </c>
      <c r="B9764" s="90">
        <v>7.1833994762979767</v>
      </c>
    </row>
    <row r="9765" spans="1:2">
      <c r="A9765" s="32">
        <v>9755</v>
      </c>
      <c r="B9765" s="90">
        <v>7.8679908763440753</v>
      </c>
    </row>
    <row r="9766" spans="1:2">
      <c r="A9766" s="32">
        <v>9756</v>
      </c>
      <c r="B9766" s="90">
        <v>7.4902959818709922</v>
      </c>
    </row>
    <row r="9767" spans="1:2">
      <c r="A9767" s="32">
        <v>9757</v>
      </c>
      <c r="B9767" s="90">
        <v>8.0204729727811799</v>
      </c>
    </row>
    <row r="9768" spans="1:2">
      <c r="A9768" s="32">
        <v>9758</v>
      </c>
      <c r="B9768" s="90">
        <v>9.046324782589803</v>
      </c>
    </row>
    <row r="9769" spans="1:2">
      <c r="A9769" s="32">
        <v>9759</v>
      </c>
      <c r="B9769" s="90">
        <v>9.1226046986951079</v>
      </c>
    </row>
    <row r="9770" spans="1:2">
      <c r="A9770" s="32">
        <v>9760</v>
      </c>
      <c r="B9770" s="90">
        <v>7.1546402287623172</v>
      </c>
    </row>
    <row r="9771" spans="1:2">
      <c r="A9771" s="32">
        <v>9761</v>
      </c>
      <c r="B9771" s="90">
        <v>7.7777325477224162</v>
      </c>
    </row>
    <row r="9772" spans="1:2">
      <c r="A9772" s="32">
        <v>9762</v>
      </c>
      <c r="B9772" s="90">
        <v>7.5905078456601869</v>
      </c>
    </row>
    <row r="9773" spans="1:2">
      <c r="A9773" s="32">
        <v>9763</v>
      </c>
      <c r="B9773" s="90">
        <v>7.7348878672972825</v>
      </c>
    </row>
    <row r="9774" spans="1:2">
      <c r="A9774" s="32">
        <v>9764</v>
      </c>
      <c r="B9774" s="90">
        <v>9.7634816569728695</v>
      </c>
    </row>
    <row r="9775" spans="1:2">
      <c r="A9775" s="32">
        <v>9765</v>
      </c>
      <c r="B9775" s="90">
        <v>8.5910612345842257</v>
      </c>
    </row>
    <row r="9776" spans="1:2">
      <c r="A9776" s="32">
        <v>9766</v>
      </c>
      <c r="B9776" s="90">
        <v>7.1111802923330876</v>
      </c>
    </row>
    <row r="9777" spans="1:2">
      <c r="A9777" s="32">
        <v>9767</v>
      </c>
      <c r="B9777" s="90">
        <v>8.3815366344418187</v>
      </c>
    </row>
    <row r="9778" spans="1:2">
      <c r="A9778" s="32">
        <v>9768</v>
      </c>
      <c r="B9778" s="90">
        <v>7.4455347759170234</v>
      </c>
    </row>
    <row r="9779" spans="1:2">
      <c r="A9779" s="32">
        <v>9769</v>
      </c>
      <c r="B9779" s="90">
        <v>7.7982884612564707</v>
      </c>
    </row>
    <row r="9780" spans="1:2">
      <c r="A9780" s="32">
        <v>9770</v>
      </c>
      <c r="B9780" s="90">
        <v>9.3998682942075416</v>
      </c>
    </row>
    <row r="9781" spans="1:2">
      <c r="A9781" s="32">
        <v>9771</v>
      </c>
      <c r="B9781" s="90">
        <v>8.7547120958913816</v>
      </c>
    </row>
    <row r="9782" spans="1:2">
      <c r="A9782" s="32">
        <v>9772</v>
      </c>
      <c r="B9782" s="90">
        <v>7.0523812747512293</v>
      </c>
    </row>
    <row r="9783" spans="1:2">
      <c r="A9783" s="32">
        <v>9773</v>
      </c>
      <c r="B9783" s="90">
        <v>7.9024170200340418</v>
      </c>
    </row>
    <row r="9784" spans="1:2">
      <c r="A9784" s="32">
        <v>9774</v>
      </c>
      <c r="B9784" s="90">
        <v>8.0003677458896814</v>
      </c>
    </row>
    <row r="9785" spans="1:2">
      <c r="A9785" s="32">
        <v>9775</v>
      </c>
      <c r="B9785" s="90">
        <v>7.8886281532730624</v>
      </c>
    </row>
    <row r="9786" spans="1:2">
      <c r="A9786" s="32">
        <v>9776</v>
      </c>
      <c r="B9786" s="90">
        <v>9.5734200833402543</v>
      </c>
    </row>
    <row r="9787" spans="1:2">
      <c r="A9787" s="32">
        <v>9777</v>
      </c>
      <c r="B9787" s="90">
        <v>7.9759119910811132</v>
      </c>
    </row>
    <row r="9788" spans="1:2">
      <c r="A9788" s="32">
        <v>9778</v>
      </c>
      <c r="B9788" s="90">
        <v>7.0466132456078592</v>
      </c>
    </row>
    <row r="9789" spans="1:2">
      <c r="A9789" s="32">
        <v>9779</v>
      </c>
      <c r="B9789" s="90">
        <v>8.1016917775799264</v>
      </c>
    </row>
    <row r="9790" spans="1:2">
      <c r="A9790" s="32">
        <v>9780</v>
      </c>
      <c r="B9790" s="90">
        <v>8.0824190789268027</v>
      </c>
    </row>
    <row r="9791" spans="1:2">
      <c r="A9791" s="32">
        <v>9781</v>
      </c>
      <c r="B9791" s="90">
        <v>8.232432598769142</v>
      </c>
    </row>
    <row r="9792" spans="1:2">
      <c r="A9792" s="32">
        <v>9782</v>
      </c>
      <c r="B9792" s="90">
        <v>9.3283581610466353</v>
      </c>
    </row>
    <row r="9793" spans="1:2">
      <c r="A9793" s="32">
        <v>9783</v>
      </c>
      <c r="B9793" s="90">
        <v>7.5249030892097917</v>
      </c>
    </row>
    <row r="9794" spans="1:2">
      <c r="A9794" s="32">
        <v>9784</v>
      </c>
      <c r="B9794" s="90">
        <v>7.7508601580654126</v>
      </c>
    </row>
    <row r="9795" spans="1:2">
      <c r="A9795" s="32">
        <v>9785</v>
      </c>
      <c r="B9795" s="90">
        <v>7.6897719035728542</v>
      </c>
    </row>
    <row r="9796" spans="1:2">
      <c r="A9796" s="32">
        <v>9786</v>
      </c>
      <c r="B9796" s="90">
        <v>8.1241996201863973</v>
      </c>
    </row>
    <row r="9797" spans="1:2">
      <c r="A9797" s="32">
        <v>9787</v>
      </c>
      <c r="B9797" s="90">
        <v>8.427686961565664</v>
      </c>
    </row>
    <row r="9798" spans="1:2">
      <c r="A9798" s="32">
        <v>9788</v>
      </c>
      <c r="B9798" s="90">
        <v>9.6180596288739224</v>
      </c>
    </row>
    <row r="9799" spans="1:2">
      <c r="A9799" s="32">
        <v>9789</v>
      </c>
      <c r="B9799" s="90">
        <v>6.9792061855736636</v>
      </c>
    </row>
    <row r="9800" spans="1:2">
      <c r="A9800" s="32">
        <v>9790</v>
      </c>
      <c r="B9800" s="90">
        <v>8.0442648401006487</v>
      </c>
    </row>
    <row r="9801" spans="1:2">
      <c r="A9801" s="32">
        <v>9791</v>
      </c>
      <c r="B9801" s="90">
        <v>7.4595336648006301</v>
      </c>
    </row>
    <row r="9802" spans="1:2">
      <c r="A9802" s="32">
        <v>9792</v>
      </c>
      <c r="B9802" s="90">
        <v>7.8760849980039973</v>
      </c>
    </row>
    <row r="9803" spans="1:2">
      <c r="A9803" s="32">
        <v>9793</v>
      </c>
      <c r="B9803" s="90">
        <v>9.5317263041846374</v>
      </c>
    </row>
    <row r="9804" spans="1:2">
      <c r="A9804" s="32">
        <v>9794</v>
      </c>
      <c r="B9804" s="90">
        <v>8.3248180832573002</v>
      </c>
    </row>
    <row r="9805" spans="1:2">
      <c r="A9805" s="32">
        <v>9795</v>
      </c>
      <c r="B9805" s="90">
        <v>7.2377437045302964</v>
      </c>
    </row>
    <row r="9806" spans="1:2">
      <c r="A9806" s="32">
        <v>9796</v>
      </c>
      <c r="B9806" s="90">
        <v>8.2896955331814937</v>
      </c>
    </row>
    <row r="9807" spans="1:2">
      <c r="A9807" s="32">
        <v>9797</v>
      </c>
      <c r="B9807" s="90">
        <v>7.7391034780957222</v>
      </c>
    </row>
    <row r="9808" spans="1:2">
      <c r="A9808" s="32">
        <v>9798</v>
      </c>
      <c r="B9808" s="90">
        <v>7.5945267794310922</v>
      </c>
    </row>
    <row r="9809" spans="1:2">
      <c r="A9809" s="32">
        <v>9799</v>
      </c>
      <c r="B9809" s="90">
        <v>9.798846485115579</v>
      </c>
    </row>
    <row r="9810" spans="1:2">
      <c r="A9810" s="32">
        <v>9800</v>
      </c>
      <c r="B9810" s="90">
        <v>8.4010218802354135</v>
      </c>
    </row>
    <row r="9811" spans="1:2">
      <c r="A9811" s="32">
        <v>9801</v>
      </c>
      <c r="B9811" s="90">
        <v>7.1403806529845015</v>
      </c>
    </row>
    <row r="9812" spans="1:2">
      <c r="A9812" s="32">
        <v>9802</v>
      </c>
      <c r="B9812" s="90">
        <v>8.1051773050092528</v>
      </c>
    </row>
    <row r="9813" spans="1:2">
      <c r="A9813" s="32">
        <v>9803</v>
      </c>
      <c r="B9813" s="90">
        <v>7.7785333992346475</v>
      </c>
    </row>
    <row r="9814" spans="1:2">
      <c r="A9814" s="32">
        <v>9804</v>
      </c>
      <c r="B9814" s="90">
        <v>7.9369367896378034</v>
      </c>
    </row>
    <row r="9815" spans="1:2">
      <c r="A9815" s="32">
        <v>9805</v>
      </c>
      <c r="B9815" s="90">
        <v>9.1379571379379225</v>
      </c>
    </row>
    <row r="9816" spans="1:2">
      <c r="A9816" s="32">
        <v>9806</v>
      </c>
      <c r="B9816" s="90">
        <v>8.8715596254073184</v>
      </c>
    </row>
    <row r="9817" spans="1:2">
      <c r="A9817" s="32">
        <v>9807</v>
      </c>
      <c r="B9817" s="90">
        <v>7.0196223672987896</v>
      </c>
    </row>
    <row r="9818" spans="1:2">
      <c r="A9818" s="32">
        <v>9808</v>
      </c>
      <c r="B9818" s="90">
        <v>7.7327636849027774</v>
      </c>
    </row>
    <row r="9819" spans="1:2">
      <c r="A9819" s="32">
        <v>9809</v>
      </c>
      <c r="B9819" s="90">
        <v>8.070455959288612</v>
      </c>
    </row>
    <row r="9820" spans="1:2">
      <c r="A9820" s="32">
        <v>9810</v>
      </c>
      <c r="B9820" s="90">
        <v>7.9058534812193049</v>
      </c>
    </row>
    <row r="9821" spans="1:2">
      <c r="A9821" s="32">
        <v>9811</v>
      </c>
      <c r="B9821" s="90">
        <v>9.4945210868155687</v>
      </c>
    </row>
    <row r="9822" spans="1:2">
      <c r="A9822" s="32">
        <v>9812</v>
      </c>
      <c r="B9822" s="90">
        <v>7.7580680597865772</v>
      </c>
    </row>
    <row r="9823" spans="1:2">
      <c r="A9823" s="32">
        <v>9813</v>
      </c>
      <c r="B9823" s="90">
        <v>7.5504071391424796</v>
      </c>
    </row>
    <row r="9824" spans="1:2">
      <c r="A9824" s="32">
        <v>9814</v>
      </c>
      <c r="B9824" s="90">
        <v>7.7886906814621781</v>
      </c>
    </row>
    <row r="9825" spans="1:2">
      <c r="A9825" s="32">
        <v>9815</v>
      </c>
      <c r="B9825" s="90">
        <v>8.2969258877925967</v>
      </c>
    </row>
    <row r="9826" spans="1:2">
      <c r="A9826" s="32">
        <v>9816</v>
      </c>
      <c r="B9826" s="90">
        <v>8.1979702814900346</v>
      </c>
    </row>
    <row r="9827" spans="1:2">
      <c r="A9827" s="32">
        <v>9817</v>
      </c>
      <c r="B9827" s="90">
        <v>9.6591411465345427</v>
      </c>
    </row>
    <row r="9828" spans="1:2">
      <c r="A9828" s="32">
        <v>9818</v>
      </c>
      <c r="B9828" s="90">
        <v>7.1833994762979767</v>
      </c>
    </row>
    <row r="9829" spans="1:2">
      <c r="A9829" s="32">
        <v>9819</v>
      </c>
      <c r="B9829" s="90">
        <v>7.8679908763440753</v>
      </c>
    </row>
    <row r="9830" spans="1:2">
      <c r="A9830" s="32">
        <v>9820</v>
      </c>
      <c r="B9830" s="90">
        <v>7.7224146732983021</v>
      </c>
    </row>
    <row r="9831" spans="1:2">
      <c r="A9831" s="32">
        <v>9821</v>
      </c>
      <c r="B9831" s="90">
        <v>7.1427261188753857</v>
      </c>
    </row>
    <row r="9832" spans="1:2">
      <c r="A9832" s="32">
        <v>9822</v>
      </c>
      <c r="B9832" s="90">
        <v>8.4675828749740489</v>
      </c>
    </row>
    <row r="9833" spans="1:2">
      <c r="A9833" s="32">
        <v>9823</v>
      </c>
      <c r="B9833" s="90">
        <v>8.6768406465760819</v>
      </c>
    </row>
    <row r="9834" spans="1:2">
      <c r="A9834" s="32">
        <v>9824</v>
      </c>
      <c r="B9834" s="90">
        <v>7.4805063768769795</v>
      </c>
    </row>
    <row r="9835" spans="1:2">
      <c r="A9835" s="32">
        <v>9825</v>
      </c>
      <c r="B9835" s="90">
        <v>8.5569907896490509</v>
      </c>
    </row>
    <row r="9836" spans="1:2">
      <c r="A9836" s="32">
        <v>9826</v>
      </c>
      <c r="B9836" s="90">
        <v>7.4380319050665236</v>
      </c>
    </row>
    <row r="9837" spans="1:2">
      <c r="A9837" s="32">
        <v>9827</v>
      </c>
      <c r="B9837" s="90">
        <v>7.676516750128429</v>
      </c>
    </row>
    <row r="9838" spans="1:2">
      <c r="A9838" s="32">
        <v>9828</v>
      </c>
      <c r="B9838" s="90">
        <v>7.9494119658747335</v>
      </c>
    </row>
    <row r="9839" spans="1:2">
      <c r="A9839" s="32">
        <v>9829</v>
      </c>
      <c r="B9839" s="90">
        <v>8.798613150499893</v>
      </c>
    </row>
    <row r="9840" spans="1:2">
      <c r="A9840" s="32">
        <v>9830</v>
      </c>
      <c r="B9840" s="90">
        <v>7.9919077143574215</v>
      </c>
    </row>
    <row r="9841" spans="1:2">
      <c r="A9841" s="32">
        <v>9831</v>
      </c>
      <c r="B9841" s="90">
        <v>7.8276018988063871</v>
      </c>
    </row>
    <row r="9842" spans="1:2">
      <c r="A9842" s="32">
        <v>9832</v>
      </c>
      <c r="B9842" s="90">
        <v>7.5533187619217594</v>
      </c>
    </row>
    <row r="9843" spans="1:2">
      <c r="A9843" s="32">
        <v>9833</v>
      </c>
      <c r="B9843" s="90">
        <v>7.6809063732512373</v>
      </c>
    </row>
    <row r="9844" spans="1:2">
      <c r="A9844" s="32">
        <v>9834</v>
      </c>
      <c r="B9844" s="90">
        <v>8.556342808103393</v>
      </c>
    </row>
    <row r="9845" spans="1:2">
      <c r="A9845" s="32">
        <v>9835</v>
      </c>
      <c r="B9845" s="90">
        <v>8.0999286765978162</v>
      </c>
    </row>
    <row r="9846" spans="1:2">
      <c r="A9846" s="32">
        <v>9836</v>
      </c>
      <c r="B9846" s="90">
        <v>8.3338461504969974</v>
      </c>
    </row>
    <row r="9847" spans="1:2">
      <c r="A9847" s="32">
        <v>9837</v>
      </c>
      <c r="B9847" s="90">
        <v>7.3781052747473472</v>
      </c>
    </row>
    <row r="9848" spans="1:2">
      <c r="A9848" s="32">
        <v>9838</v>
      </c>
      <c r="B9848" s="90">
        <v>7.7444811853819839</v>
      </c>
    </row>
    <row r="9849" spans="1:2">
      <c r="A9849" s="32">
        <v>9839</v>
      </c>
      <c r="B9849" s="90">
        <v>7.8723504977641925</v>
      </c>
    </row>
    <row r="9850" spans="1:2">
      <c r="A9850" s="32">
        <v>9840</v>
      </c>
      <c r="B9850" s="90">
        <v>8.69201466841022</v>
      </c>
    </row>
    <row r="9851" spans="1:2">
      <c r="A9851" s="32">
        <v>9841</v>
      </c>
      <c r="B9851" s="90">
        <v>7.5954475733971822</v>
      </c>
    </row>
    <row r="9852" spans="1:2">
      <c r="A9852" s="32">
        <v>9842</v>
      </c>
      <c r="B9852" s="90">
        <v>8.6356249264165736</v>
      </c>
    </row>
    <row r="9853" spans="1:2">
      <c r="A9853" s="32">
        <v>9843</v>
      </c>
      <c r="B9853" s="90">
        <v>7.7634344645065694</v>
      </c>
    </row>
    <row r="9854" spans="1:2">
      <c r="A9854" s="32">
        <v>9844</v>
      </c>
      <c r="B9854" s="90">
        <v>7.198821902304255</v>
      </c>
    </row>
    <row r="9855" spans="1:2">
      <c r="A9855" s="32">
        <v>9845</v>
      </c>
      <c r="B9855" s="90">
        <v>8.5842182267454366</v>
      </c>
    </row>
    <row r="9856" spans="1:2">
      <c r="A9856" s="32">
        <v>9846</v>
      </c>
      <c r="B9856" s="90">
        <v>8.306191229320234</v>
      </c>
    </row>
    <row r="9857" spans="1:2">
      <c r="A9857" s="32">
        <v>9847</v>
      </c>
      <c r="B9857" s="90">
        <v>7.7480574118292527</v>
      </c>
    </row>
    <row r="9858" spans="1:2">
      <c r="A9858" s="32">
        <v>9848</v>
      </c>
      <c r="B9858" s="90">
        <v>8.5943340510144424</v>
      </c>
    </row>
    <row r="9859" spans="1:2">
      <c r="A9859" s="32">
        <v>9849</v>
      </c>
      <c r="B9859" s="90">
        <v>7.4536192919437934</v>
      </c>
    </row>
    <row r="9860" spans="1:2">
      <c r="A9860" s="32">
        <v>9850</v>
      </c>
      <c r="B9860" s="90">
        <v>7.0993610858945733</v>
      </c>
    </row>
    <row r="9861" spans="1:2">
      <c r="A9861" s="32">
        <v>9851</v>
      </c>
      <c r="B9861" s="90">
        <v>8.149899612025246</v>
      </c>
    </row>
    <row r="9862" spans="1:2">
      <c r="A9862" s="32">
        <v>9852</v>
      </c>
      <c r="B9862" s="90">
        <v>9.5280438715405538</v>
      </c>
    </row>
    <row r="9863" spans="1:2">
      <c r="A9863" s="32">
        <v>9853</v>
      </c>
      <c r="B9863" s="90">
        <v>7.2274701914764146</v>
      </c>
    </row>
    <row r="9864" spans="1:2">
      <c r="A9864" s="32">
        <v>9854</v>
      </c>
      <c r="B9864" s="90">
        <v>8.58526752149141</v>
      </c>
    </row>
    <row r="9865" spans="1:2">
      <c r="A9865" s="32">
        <v>9855</v>
      </c>
      <c r="B9865" s="90">
        <v>7.4186969218248331</v>
      </c>
    </row>
    <row r="9866" spans="1:2">
      <c r="A9866" s="32">
        <v>9856</v>
      </c>
      <c r="B9866" s="90">
        <v>7.6704484210488229</v>
      </c>
    </row>
    <row r="9867" spans="1:2">
      <c r="A9867" s="32">
        <v>9857</v>
      </c>
      <c r="B9867" s="90">
        <v>8.0362709162864618</v>
      </c>
    </row>
    <row r="9868" spans="1:2">
      <c r="A9868" s="32">
        <v>9858</v>
      </c>
      <c r="B9868" s="90">
        <v>8.3664545236682191</v>
      </c>
    </row>
    <row r="9869" spans="1:2">
      <c r="A9869" s="32">
        <v>9859</v>
      </c>
      <c r="B9869" s="90">
        <v>8.1155042736915384</v>
      </c>
    </row>
    <row r="9870" spans="1:2">
      <c r="A9870" s="32">
        <v>9860</v>
      </c>
      <c r="B9870" s="90">
        <v>8.125638549444913</v>
      </c>
    </row>
    <row r="9871" spans="1:2">
      <c r="A9871" s="32">
        <v>9861</v>
      </c>
      <c r="B9871" s="90">
        <v>7.3473830845772579</v>
      </c>
    </row>
    <row r="9872" spans="1:2">
      <c r="A9872" s="32">
        <v>9862</v>
      </c>
      <c r="B9872" s="90">
        <v>7.6801820009200013</v>
      </c>
    </row>
    <row r="9873" spans="1:2">
      <c r="A9873" s="32">
        <v>9863</v>
      </c>
      <c r="B9873" s="90">
        <v>8.5364082738259448</v>
      </c>
    </row>
    <row r="9874" spans="1:2">
      <c r="A9874" s="32">
        <v>9864</v>
      </c>
      <c r="B9874" s="90">
        <v>8.3811801625132194</v>
      </c>
    </row>
    <row r="9875" spans="1:2">
      <c r="A9875" s="32">
        <v>9865</v>
      </c>
      <c r="B9875" s="90">
        <v>7.9070911014247311</v>
      </c>
    </row>
    <row r="9876" spans="1:2">
      <c r="A9876" s="32">
        <v>9866</v>
      </c>
      <c r="B9876" s="90">
        <v>7.6248751569629709</v>
      </c>
    </row>
    <row r="9877" spans="1:2">
      <c r="A9877" s="32">
        <v>9867</v>
      </c>
      <c r="B9877" s="90">
        <v>7.6873640133190495</v>
      </c>
    </row>
    <row r="9878" spans="1:2">
      <c r="A9878" s="32">
        <v>9868</v>
      </c>
      <c r="B9878" s="90">
        <v>7.829102151397354</v>
      </c>
    </row>
    <row r="9879" spans="1:2">
      <c r="A9879" s="32">
        <v>9869</v>
      </c>
      <c r="B9879" s="90">
        <v>8.7306301113317168</v>
      </c>
    </row>
    <row r="9880" spans="1:2">
      <c r="A9880" s="32">
        <v>9870</v>
      </c>
      <c r="B9880" s="90">
        <v>7.8330958467489014</v>
      </c>
    </row>
    <row r="9881" spans="1:2">
      <c r="A9881" s="32">
        <v>9871</v>
      </c>
      <c r="B9881" s="90">
        <v>8.8070467257900162</v>
      </c>
    </row>
    <row r="9882" spans="1:2">
      <c r="A9882" s="32">
        <v>9872</v>
      </c>
      <c r="B9882" s="90">
        <v>7.2820172932024425</v>
      </c>
    </row>
    <row r="9883" spans="1:2">
      <c r="A9883" s="32">
        <v>9873</v>
      </c>
      <c r="B9883" s="90">
        <v>7.3456583678611391</v>
      </c>
    </row>
    <row r="9884" spans="1:2">
      <c r="A9884" s="32">
        <v>9874</v>
      </c>
      <c r="B9884" s="90">
        <v>8.006122798431786</v>
      </c>
    </row>
    <row r="9885" spans="1:2">
      <c r="A9885" s="32">
        <v>9875</v>
      </c>
      <c r="B9885" s="90">
        <v>8.7600188625589297</v>
      </c>
    </row>
    <row r="9886" spans="1:2">
      <c r="A9886" s="32">
        <v>9876</v>
      </c>
      <c r="B9886" s="90">
        <v>7.6121890416543758</v>
      </c>
    </row>
    <row r="9887" spans="1:2">
      <c r="A9887" s="32">
        <v>9877</v>
      </c>
      <c r="B9887" s="90">
        <v>8.583388510710666</v>
      </c>
    </row>
    <row r="9888" spans="1:2">
      <c r="A9888" s="32">
        <v>9878</v>
      </c>
      <c r="B9888" s="90">
        <v>7.7579051221501878</v>
      </c>
    </row>
    <row r="9889" spans="1:2">
      <c r="A9889" s="32">
        <v>9879</v>
      </c>
      <c r="B9889" s="90">
        <v>7.2274572746427932</v>
      </c>
    </row>
    <row r="9890" spans="1:2">
      <c r="A9890" s="32">
        <v>9880</v>
      </c>
      <c r="B9890" s="90">
        <v>8.0068142031170293</v>
      </c>
    </row>
    <row r="9891" spans="1:2">
      <c r="A9891" s="32">
        <v>9881</v>
      </c>
      <c r="B9891" s="90">
        <v>9.1494369183431346</v>
      </c>
    </row>
    <row r="9892" spans="1:2">
      <c r="A9892" s="32">
        <v>9882</v>
      </c>
      <c r="B9892" s="90">
        <v>7.5860076453142353</v>
      </c>
    </row>
    <row r="9893" spans="1:2">
      <c r="A9893" s="32">
        <v>9883</v>
      </c>
      <c r="B9893" s="90">
        <v>8.3040769936526644</v>
      </c>
    </row>
    <row r="9894" spans="1:2">
      <c r="A9894" s="32">
        <v>9884</v>
      </c>
      <c r="B9894" s="90">
        <v>7.6497218777434322</v>
      </c>
    </row>
    <row r="9895" spans="1:2">
      <c r="A9895" s="32">
        <v>9885</v>
      </c>
      <c r="B9895" s="90">
        <v>7.1427261188753857</v>
      </c>
    </row>
    <row r="9896" spans="1:2">
      <c r="A9896" s="32">
        <v>9886</v>
      </c>
      <c r="B9896" s="90">
        <v>8.4675828749740489</v>
      </c>
    </row>
    <row r="9897" spans="1:2">
      <c r="A9897" s="32">
        <v>9887</v>
      </c>
      <c r="B9897" s="90">
        <v>8.6768406465760819</v>
      </c>
    </row>
    <row r="9898" spans="1:2">
      <c r="A9898" s="32">
        <v>9888</v>
      </c>
      <c r="B9898" s="90">
        <v>7.4805063768769795</v>
      </c>
    </row>
    <row r="9899" spans="1:2">
      <c r="A9899" s="32">
        <v>9889</v>
      </c>
      <c r="B9899" s="90">
        <v>8.5569907896490509</v>
      </c>
    </row>
    <row r="9900" spans="1:2">
      <c r="A9900" s="32">
        <v>9890</v>
      </c>
      <c r="B9900" s="90">
        <v>7.4380319050665236</v>
      </c>
    </row>
    <row r="9901" spans="1:2">
      <c r="A9901" s="32">
        <v>9891</v>
      </c>
      <c r="B9901" s="90">
        <v>7.676516750128429</v>
      </c>
    </row>
    <row r="9902" spans="1:2">
      <c r="A9902" s="32">
        <v>9892</v>
      </c>
      <c r="B9902" s="90">
        <v>7.9494119658747335</v>
      </c>
    </row>
    <row r="9903" spans="1:2">
      <c r="A9903" s="32">
        <v>9893</v>
      </c>
      <c r="B9903" s="90">
        <v>8.798613150499893</v>
      </c>
    </row>
    <row r="9904" spans="1:2">
      <c r="A9904" s="32">
        <v>9894</v>
      </c>
      <c r="B9904" s="90">
        <v>7.9919077143574215</v>
      </c>
    </row>
    <row r="9905" spans="1:2">
      <c r="A9905" s="32">
        <v>9895</v>
      </c>
      <c r="B9905" s="90">
        <v>7.8276018988063871</v>
      </c>
    </row>
    <row r="9906" spans="1:2">
      <c r="A9906" s="32">
        <v>9896</v>
      </c>
      <c r="B9906" s="90">
        <v>7.5533187619217594</v>
      </c>
    </row>
    <row r="9907" spans="1:2">
      <c r="A9907" s="32">
        <v>9897</v>
      </c>
      <c r="B9907" s="90">
        <v>7.6809063732512373</v>
      </c>
    </row>
    <row r="9908" spans="1:2">
      <c r="A9908" s="32">
        <v>9898</v>
      </c>
      <c r="B9908" s="90">
        <v>8.556342808103393</v>
      </c>
    </row>
    <row r="9909" spans="1:2">
      <c r="A9909" s="32">
        <v>9899</v>
      </c>
      <c r="B9909" s="90">
        <v>8.0999286765978162</v>
      </c>
    </row>
    <row r="9910" spans="1:2">
      <c r="A9910" s="32">
        <v>9900</v>
      </c>
      <c r="B9910" s="90">
        <v>8.0685225876885127</v>
      </c>
    </row>
    <row r="9911" spans="1:2">
      <c r="A9911" s="32">
        <v>9901</v>
      </c>
      <c r="B9911" s="90">
        <v>8.2126229979440488</v>
      </c>
    </row>
    <row r="9912" spans="1:2">
      <c r="A9912" s="32">
        <v>9902</v>
      </c>
      <c r="B9912" s="90">
        <v>7.5755165346840121</v>
      </c>
    </row>
    <row r="9913" spans="1:2">
      <c r="A9913" s="32">
        <v>9903</v>
      </c>
      <c r="B9913" s="90">
        <v>8.3296988941203534</v>
      </c>
    </row>
    <row r="9914" spans="1:2">
      <c r="A9914" s="32">
        <v>9904</v>
      </c>
      <c r="B9914" s="90">
        <v>7.3908156177581281</v>
      </c>
    </row>
    <row r="9915" spans="1:2">
      <c r="A9915" s="32">
        <v>9905</v>
      </c>
      <c r="B9915" s="90">
        <v>8.1423521586604508</v>
      </c>
    </row>
    <row r="9916" spans="1:2">
      <c r="A9916" s="32">
        <v>9906</v>
      </c>
      <c r="B9916" s="90">
        <v>8.6655568169261272</v>
      </c>
    </row>
    <row r="9917" spans="1:2">
      <c r="A9917" s="32">
        <v>9907</v>
      </c>
      <c r="B9917" s="90">
        <v>7.8963314899935106</v>
      </c>
    </row>
    <row r="9918" spans="1:2">
      <c r="A9918" s="32">
        <v>9908</v>
      </c>
      <c r="B9918" s="90">
        <v>7.6312687880812149</v>
      </c>
    </row>
    <row r="9919" spans="1:2">
      <c r="A9919" s="32">
        <v>9909</v>
      </c>
      <c r="B9919" s="90">
        <v>8.3285097540478095</v>
      </c>
    </row>
    <row r="9920" spans="1:2">
      <c r="A9920" s="32">
        <v>9910</v>
      </c>
      <c r="B9920" s="90">
        <v>7.6141201095136894</v>
      </c>
    </row>
    <row r="9921" spans="1:2">
      <c r="A9921" s="32">
        <v>9911</v>
      </c>
      <c r="B9921" s="90">
        <v>8.4612165419184802</v>
      </c>
    </row>
    <row r="9922" spans="1:2">
      <c r="A9922" s="32">
        <v>9912</v>
      </c>
      <c r="B9922" s="90">
        <v>7.8597696228708696</v>
      </c>
    </row>
    <row r="9923" spans="1:2">
      <c r="A9923" s="32">
        <v>9913</v>
      </c>
      <c r="B9923" s="90">
        <v>8.231310626134352</v>
      </c>
    </row>
    <row r="9924" spans="1:2">
      <c r="A9924" s="32">
        <v>9914</v>
      </c>
      <c r="B9924" s="90">
        <v>7.8257334928864788</v>
      </c>
    </row>
    <row r="9925" spans="1:2">
      <c r="A9925" s="32">
        <v>9915</v>
      </c>
      <c r="B9925" s="90">
        <v>7.7708988506854837</v>
      </c>
    </row>
    <row r="9926" spans="1:2">
      <c r="A9926" s="32">
        <v>9916</v>
      </c>
      <c r="B9926" s="90">
        <v>7.9313914503480296</v>
      </c>
    </row>
    <row r="9927" spans="1:2">
      <c r="A9927" s="32">
        <v>9917</v>
      </c>
      <c r="B9927" s="90">
        <v>8.093904698054434</v>
      </c>
    </row>
    <row r="9928" spans="1:2">
      <c r="A9928" s="32">
        <v>9918</v>
      </c>
      <c r="B9928" s="90">
        <v>8.2792785907617983</v>
      </c>
    </row>
    <row r="9929" spans="1:2">
      <c r="A9929" s="32">
        <v>9919</v>
      </c>
      <c r="B9929" s="90">
        <v>7.8377772640113674</v>
      </c>
    </row>
    <row r="9930" spans="1:2">
      <c r="A9930" s="32">
        <v>9920</v>
      </c>
      <c r="B9930" s="90">
        <v>8.3976979202826811</v>
      </c>
    </row>
    <row r="9931" spans="1:2">
      <c r="A9931" s="32">
        <v>9921</v>
      </c>
      <c r="B9931" s="90">
        <v>7.725125756810038</v>
      </c>
    </row>
    <row r="9932" spans="1:2">
      <c r="A9932" s="32">
        <v>9922</v>
      </c>
      <c r="B9932" s="90">
        <v>7.6484493870174468</v>
      </c>
    </row>
    <row r="9933" spans="1:2">
      <c r="A9933" s="32">
        <v>9923</v>
      </c>
      <c r="B9933" s="90">
        <v>8.262852497347966</v>
      </c>
    </row>
    <row r="9934" spans="1:2">
      <c r="A9934" s="32">
        <v>9924</v>
      </c>
      <c r="B9934" s="90">
        <v>8.1424366053309623</v>
      </c>
    </row>
    <row r="9935" spans="1:2">
      <c r="A9935" s="32">
        <v>9925</v>
      </c>
      <c r="B9935" s="90">
        <v>7.6320192510439124</v>
      </c>
    </row>
    <row r="9936" spans="1:2">
      <c r="A9936" s="32">
        <v>9926</v>
      </c>
      <c r="B9936" s="90">
        <v>9.0754116497198343</v>
      </c>
    </row>
    <row r="9937" spans="1:2">
      <c r="A9937" s="32">
        <v>9927</v>
      </c>
      <c r="B9937" s="90">
        <v>7.2218773196162749</v>
      </c>
    </row>
    <row r="9938" spans="1:2">
      <c r="A9938" s="32">
        <v>9928</v>
      </c>
      <c r="B9938" s="90">
        <v>7.7543018829467423</v>
      </c>
    </row>
    <row r="9939" spans="1:2">
      <c r="A9939" s="32">
        <v>9929</v>
      </c>
      <c r="B9939" s="90">
        <v>8.4802261935564189</v>
      </c>
    </row>
    <row r="9940" spans="1:2">
      <c r="A9940" s="32">
        <v>9930</v>
      </c>
      <c r="B9940" s="90">
        <v>7.8961788927530261</v>
      </c>
    </row>
    <row r="9941" spans="1:2">
      <c r="A9941" s="32">
        <v>9931</v>
      </c>
      <c r="B9941" s="90">
        <v>7.7035046715353133</v>
      </c>
    </row>
    <row r="9942" spans="1:2">
      <c r="A9942" s="32">
        <v>9932</v>
      </c>
      <c r="B9942" s="90">
        <v>9.0216308956823195</v>
      </c>
    </row>
    <row r="9943" spans="1:2">
      <c r="A9943" s="32">
        <v>9933</v>
      </c>
      <c r="B9943" s="90">
        <v>7.0296007395063009</v>
      </c>
    </row>
    <row r="9944" spans="1:2">
      <c r="A9944" s="32">
        <v>9934</v>
      </c>
      <c r="B9944" s="90">
        <v>7.7446138997125695</v>
      </c>
    </row>
    <row r="9945" spans="1:2">
      <c r="A9945" s="32">
        <v>9935</v>
      </c>
      <c r="B9945" s="90">
        <v>8.8424533050530414</v>
      </c>
    </row>
    <row r="9946" spans="1:2">
      <c r="A9946" s="32">
        <v>9936</v>
      </c>
      <c r="B9946" s="90">
        <v>7.9324795933684236</v>
      </c>
    </row>
    <row r="9947" spans="1:2">
      <c r="A9947" s="32">
        <v>9937</v>
      </c>
      <c r="B9947" s="90">
        <v>7.4984340023338598</v>
      </c>
    </row>
    <row r="9948" spans="1:2">
      <c r="A9948" s="32">
        <v>9938</v>
      </c>
      <c r="B9948" s="90">
        <v>8.3234797852876152</v>
      </c>
    </row>
    <row r="9949" spans="1:2">
      <c r="A9949" s="32">
        <v>9939</v>
      </c>
      <c r="B9949" s="90">
        <v>7.5555071887455529</v>
      </c>
    </row>
    <row r="9950" spans="1:2">
      <c r="A9950" s="32">
        <v>9940</v>
      </c>
      <c r="B9950" s="90">
        <v>8.3777694112189689</v>
      </c>
    </row>
    <row r="9951" spans="1:2">
      <c r="A9951" s="32">
        <v>9941</v>
      </c>
      <c r="B9951" s="90">
        <v>8.0833357023921462</v>
      </c>
    </row>
    <row r="9952" spans="1:2">
      <c r="A9952" s="32">
        <v>9942</v>
      </c>
      <c r="B9952" s="90">
        <v>8.3552777933004787</v>
      </c>
    </row>
    <row r="9953" spans="1:2">
      <c r="A9953" s="32">
        <v>9943</v>
      </c>
      <c r="B9953" s="90">
        <v>7.7742933358433426</v>
      </c>
    </row>
    <row r="9954" spans="1:2">
      <c r="A9954" s="32">
        <v>9944</v>
      </c>
      <c r="B9954" s="90">
        <v>7.8216075668618759</v>
      </c>
    </row>
    <row r="9955" spans="1:2">
      <c r="A9955" s="32">
        <v>9945</v>
      </c>
      <c r="B9955" s="90">
        <v>7.8703334870030135</v>
      </c>
    </row>
    <row r="9956" spans="1:2">
      <c r="A9956" s="32">
        <v>9946</v>
      </c>
      <c r="B9956" s="90">
        <v>8.2472482413515138</v>
      </c>
    </row>
    <row r="9957" spans="1:2">
      <c r="A9957" s="32">
        <v>9947</v>
      </c>
      <c r="B9957" s="90">
        <v>8.0296835745017408</v>
      </c>
    </row>
    <row r="9958" spans="1:2">
      <c r="A9958" s="32">
        <v>9948</v>
      </c>
      <c r="B9958" s="90">
        <v>8.0009125798504321</v>
      </c>
    </row>
    <row r="9959" spans="1:2">
      <c r="A9959" s="32">
        <v>9949</v>
      </c>
      <c r="B9959" s="90">
        <v>7.9439942838598165</v>
      </c>
    </row>
    <row r="9960" spans="1:2">
      <c r="A9960" s="32">
        <v>9950</v>
      </c>
      <c r="B9960" s="90">
        <v>7.9240699500363059</v>
      </c>
    </row>
    <row r="9961" spans="1:2">
      <c r="A9961" s="32">
        <v>9951</v>
      </c>
      <c r="B9961" s="90">
        <v>7.8559126639846415</v>
      </c>
    </row>
    <row r="9962" spans="1:2">
      <c r="A9962" s="32">
        <v>9952</v>
      </c>
      <c r="B9962" s="90">
        <v>8.0680602731336659</v>
      </c>
    </row>
    <row r="9963" spans="1:2">
      <c r="A9963" s="32">
        <v>9953</v>
      </c>
      <c r="B9963" s="90">
        <v>7.9834462839531675</v>
      </c>
    </row>
    <row r="9964" spans="1:2">
      <c r="A9964" s="32">
        <v>9954</v>
      </c>
      <c r="B9964" s="90">
        <v>7.8712364642203765</v>
      </c>
    </row>
    <row r="9965" spans="1:2">
      <c r="A9965" s="32">
        <v>9955</v>
      </c>
      <c r="B9965" s="90">
        <v>8.6131777476321485</v>
      </c>
    </row>
    <row r="9966" spans="1:2">
      <c r="A9966" s="32">
        <v>9956</v>
      </c>
      <c r="B9966" s="90">
        <v>7.8026610650826633</v>
      </c>
    </row>
    <row r="9967" spans="1:2">
      <c r="A9967" s="32">
        <v>9957</v>
      </c>
      <c r="B9967" s="90">
        <v>7.7307468688294136</v>
      </c>
    </row>
    <row r="9968" spans="1:2">
      <c r="A9968" s="32">
        <v>9958</v>
      </c>
      <c r="B9968" s="90">
        <v>8.1824071459966206</v>
      </c>
    </row>
    <row r="9969" spans="1:2">
      <c r="A9969" s="32">
        <v>9959</v>
      </c>
      <c r="B9969" s="90">
        <v>7.9231044675473807</v>
      </c>
    </row>
    <row r="9970" spans="1:2">
      <c r="A9970" s="32">
        <v>9960</v>
      </c>
      <c r="B9970" s="90">
        <v>7.7532500373577147</v>
      </c>
    </row>
    <row r="9971" spans="1:2">
      <c r="A9971" s="32">
        <v>9961</v>
      </c>
      <c r="B9971" s="90">
        <v>8.9552903917308395</v>
      </c>
    </row>
    <row r="9972" spans="1:2">
      <c r="A9972" s="32">
        <v>9962</v>
      </c>
      <c r="B9972" s="90">
        <v>7.3969797414899876</v>
      </c>
    </row>
    <row r="9973" spans="1:2">
      <c r="A9973" s="32">
        <v>9963</v>
      </c>
      <c r="B9973" s="90">
        <v>7.6047753222589947</v>
      </c>
    </row>
    <row r="9974" spans="1:2">
      <c r="A9974" s="32">
        <v>9964</v>
      </c>
      <c r="B9974" s="90">
        <v>8.4426673709490476</v>
      </c>
    </row>
    <row r="9975" spans="1:2">
      <c r="A9975" s="32">
        <v>9965</v>
      </c>
      <c r="B9975" s="90">
        <v>8.2126229979440488</v>
      </c>
    </row>
    <row r="9976" spans="1:2">
      <c r="A9976" s="32">
        <v>9966</v>
      </c>
      <c r="B9976" s="90">
        <v>7.5755165346840121</v>
      </c>
    </row>
    <row r="9977" spans="1:2">
      <c r="A9977" s="32">
        <v>9967</v>
      </c>
      <c r="B9977" s="90">
        <v>8.3296988941203534</v>
      </c>
    </row>
    <row r="9978" spans="1:2">
      <c r="A9978" s="32">
        <v>9968</v>
      </c>
      <c r="B9978" s="90">
        <v>7.3908156177581281</v>
      </c>
    </row>
    <row r="9979" spans="1:2">
      <c r="A9979" s="32">
        <v>9969</v>
      </c>
      <c r="B9979" s="90">
        <v>8.1423521586604508</v>
      </c>
    </row>
    <row r="9980" spans="1:2">
      <c r="A9980" s="32">
        <v>9970</v>
      </c>
      <c r="B9980" s="90">
        <v>8.6655568169261272</v>
      </c>
    </row>
    <row r="9981" spans="1:2">
      <c r="A9981" s="32">
        <v>9971</v>
      </c>
      <c r="B9981" s="90">
        <v>7.8963314899935106</v>
      </c>
    </row>
    <row r="9982" spans="1:2">
      <c r="A9982" s="32">
        <v>9972</v>
      </c>
      <c r="B9982" s="90">
        <v>7.6312687880812149</v>
      </c>
    </row>
    <row r="9983" spans="1:2">
      <c r="A9983" s="32">
        <v>9973</v>
      </c>
      <c r="B9983" s="90">
        <v>8.3285097540478095</v>
      </c>
    </row>
    <row r="9984" spans="1:2">
      <c r="A9984" s="32">
        <v>9974</v>
      </c>
      <c r="B9984" s="90">
        <v>7.6141201095136894</v>
      </c>
    </row>
    <row r="9985" spans="1:2">
      <c r="A9985" s="32">
        <v>9975</v>
      </c>
      <c r="B9985" s="90">
        <v>8.4612165419184802</v>
      </c>
    </row>
    <row r="9986" spans="1:2">
      <c r="A9986" s="32">
        <v>9976</v>
      </c>
      <c r="B9986" s="90">
        <v>7.8597696228708696</v>
      </c>
    </row>
    <row r="9987" spans="1:2">
      <c r="A9987" s="32">
        <v>9977</v>
      </c>
      <c r="B9987" s="90">
        <v>8.231310626134352</v>
      </c>
    </row>
    <row r="9988" spans="1:2">
      <c r="A9988" s="32">
        <v>9978</v>
      </c>
      <c r="B9988" s="90">
        <v>7.8257334928864788</v>
      </c>
    </row>
    <row r="9989" spans="1:2">
      <c r="A9989" s="32">
        <v>9979</v>
      </c>
      <c r="B9989" s="90">
        <v>7.7708988506854837</v>
      </c>
    </row>
    <row r="9990" spans="1:2">
      <c r="A9990" s="32">
        <v>9980</v>
      </c>
      <c r="B9990" s="90">
        <v>7.9313914503480296</v>
      </c>
    </row>
    <row r="9991" spans="1:2">
      <c r="A9991" s="32">
        <v>9981</v>
      </c>
      <c r="B9991" s="90">
        <v>8.093904698054434</v>
      </c>
    </row>
    <row r="9992" spans="1:2">
      <c r="A9992" s="32">
        <v>9982</v>
      </c>
      <c r="B9992" s="90">
        <v>8.2792785907617983</v>
      </c>
    </row>
    <row r="9993" spans="1:2">
      <c r="A9993" s="32">
        <v>9983</v>
      </c>
      <c r="B9993" s="90">
        <v>7.8377772640113674</v>
      </c>
    </row>
    <row r="9994" spans="1:2">
      <c r="A9994" s="32">
        <v>9984</v>
      </c>
      <c r="B9994" s="90">
        <v>8.3976979202826811</v>
      </c>
    </row>
    <row r="9995" spans="1:2">
      <c r="A9995" s="32">
        <v>9985</v>
      </c>
      <c r="B9995" s="90">
        <v>7.725125756810038</v>
      </c>
    </row>
    <row r="9996" spans="1:2">
      <c r="A9996" s="32">
        <v>9986</v>
      </c>
      <c r="B9996" s="90">
        <v>7.6484493870174468</v>
      </c>
    </row>
    <row r="9997" spans="1:2">
      <c r="A9997" s="32">
        <v>9987</v>
      </c>
      <c r="B9997" s="90">
        <v>8.262852497347966</v>
      </c>
    </row>
    <row r="9998" spans="1:2">
      <c r="A9998" s="32">
        <v>9988</v>
      </c>
      <c r="B9998" s="90">
        <v>8.1424366053309623</v>
      </c>
    </row>
    <row r="9999" spans="1:2">
      <c r="A9999" s="32">
        <v>9989</v>
      </c>
      <c r="B9999" s="90">
        <v>7.6320192510439124</v>
      </c>
    </row>
    <row r="10000" spans="1:2">
      <c r="A10000" s="32">
        <v>9990</v>
      </c>
      <c r="B10000" s="90">
        <v>9.0754116497198343</v>
      </c>
    </row>
    <row r="10001" spans="1:2">
      <c r="A10001" s="32">
        <v>9991</v>
      </c>
      <c r="B10001" s="90">
        <v>7.2218773196162749</v>
      </c>
    </row>
    <row r="10002" spans="1:2">
      <c r="A10002" s="32">
        <v>9992</v>
      </c>
      <c r="B10002" s="90">
        <v>7.7543018829467423</v>
      </c>
    </row>
    <row r="10003" spans="1:2">
      <c r="A10003" s="32">
        <v>9993</v>
      </c>
      <c r="B10003" s="90">
        <v>8.4802261935564189</v>
      </c>
    </row>
    <row r="10004" spans="1:2">
      <c r="A10004" s="32">
        <v>9994</v>
      </c>
      <c r="B10004" s="90">
        <v>7.8961788927530261</v>
      </c>
    </row>
    <row r="10005" spans="1:2">
      <c r="A10005" s="32">
        <v>9995</v>
      </c>
      <c r="B10005" s="90">
        <v>7.7035046715353133</v>
      </c>
    </row>
    <row r="10006" spans="1:2">
      <c r="A10006" s="32">
        <v>9996</v>
      </c>
      <c r="B10006" s="90">
        <v>9.0216308956823195</v>
      </c>
    </row>
    <row r="10007" spans="1:2">
      <c r="A10007" s="32">
        <v>9997</v>
      </c>
      <c r="B10007" s="90">
        <v>7.0296007395063009</v>
      </c>
    </row>
    <row r="10008" spans="1:2">
      <c r="A10008" s="32">
        <v>9998</v>
      </c>
      <c r="B10008" s="90">
        <v>7.7446138997125695</v>
      </c>
    </row>
    <row r="10009" spans="1:2">
      <c r="A10009" s="32">
        <v>9999</v>
      </c>
      <c r="B10009" s="90">
        <v>8.8424533050530414</v>
      </c>
    </row>
    <row r="10010" spans="1:2">
      <c r="A10010" s="32">
        <v>10000</v>
      </c>
      <c r="B10010" s="90">
        <v>7.9324795933684236</v>
      </c>
    </row>
    <row r="10011" spans="1:2">
      <c r="B10011" s="90"/>
    </row>
    <row r="10012" spans="1:2">
      <c r="B10012" s="90"/>
    </row>
    <row r="10013" spans="1:2">
      <c r="B10013" s="90"/>
    </row>
  </sheetData>
  <phoneticPr fontId="3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Factor_boostrap">
                <anchor moveWithCells="1" sizeWithCells="1">
                  <from>
                    <xdr:col>3</xdr:col>
                    <xdr:colOff>609600</xdr:colOff>
                    <xdr:row>7</xdr:row>
                    <xdr:rowOff>177800</xdr:rowOff>
                  </from>
                  <to>
                    <xdr:col>5</xdr:col>
                    <xdr:colOff>266700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HKData</vt:lpstr>
      <vt:lpstr>T7.3.1</vt:lpstr>
      <vt:lpstr>DailyHIBOR</vt:lpstr>
      <vt:lpstr>MCM_Excel</vt:lpstr>
      <vt:lpstr>DataTable</vt:lpstr>
      <vt:lpstr>Exercise_DataTable</vt:lpstr>
      <vt:lpstr>Simfactor</vt:lpstr>
      <vt:lpstr>MCM_VBA</vt:lpstr>
      <vt:lpstr>Bootstrap_Excel</vt:lpstr>
      <vt:lpstr>Bootstrap_VBA</vt:lpstr>
      <vt:lpstr>T7.3.1!Print_Area</vt:lpstr>
      <vt:lpstr>T7.3.1!Print_Titles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jadonng@connect.hku.hk</cp:lastModifiedBy>
  <dcterms:created xsi:type="dcterms:W3CDTF">2007-07-07T07:56:26Z</dcterms:created>
  <dcterms:modified xsi:type="dcterms:W3CDTF">2025-05-06T04:17:27Z</dcterms:modified>
</cp:coreProperties>
</file>