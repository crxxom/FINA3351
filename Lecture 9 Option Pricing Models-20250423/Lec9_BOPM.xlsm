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/Users/jadonng/Desktop/Fina3351/Lecture 9 Option Pricing Models-20250423/"/>
    </mc:Choice>
  </mc:AlternateContent>
  <xr:revisionPtr revIDLastSave="0" documentId="13_ncr:1_{E88826BF-C30A-3D40-855E-67C04B287710}" xr6:coauthVersionLast="47" xr6:coauthVersionMax="47" xr10:uidLastSave="{00000000-0000-0000-0000-000000000000}"/>
  <bookViews>
    <workbookView xWindow="0" yWindow="720" windowWidth="29400" windowHeight="18400" tabRatio="706" activeTab="1" xr2:uid="{00000000-000D-0000-FFFF-FFFF00000000}"/>
  </bookViews>
  <sheets>
    <sheet name="Option2step" sheetId="14" r:id="rId1"/>
    <sheet name="Option9step" sheetId="1" r:id="rId2"/>
    <sheet name="VBA_Euro" sheetId="6" r:id="rId3"/>
    <sheet name="VBA_Amer" sheetId="10" r:id="rId4"/>
    <sheet name="AAPLdata" sheetId="18" r:id="rId5"/>
    <sheet name="T-bill" sheetId="20" r:id="rId6"/>
    <sheet name="AAPLoption" sheetId="19" r:id="rId7"/>
  </sheets>
  <functionGroups builtInGroupCount="19"/>
  <definedNames>
    <definedName name="d">Option9step!$F$6</definedName>
    <definedName name="dt">Option9step!$F$4</definedName>
    <definedName name="K">Option9step!$B$6</definedName>
    <definedName name="n">Option9step!$B$11</definedName>
    <definedName name="OptType">Option9step!$B$4</definedName>
    <definedName name="p">Option9step!$F$7</definedName>
    <definedName name="pv">Option9step!$F$8</definedName>
    <definedName name="q">Option9step!$B$9</definedName>
    <definedName name="rr">Option9step!$B$8</definedName>
    <definedName name="S">Option9step!$B$5</definedName>
    <definedName name="sig">Option9step!$B$10</definedName>
    <definedName name="T">Option9step!$B$7</definedName>
    <definedName name="u">Option9step!$F$5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19" l="1"/>
  <c r="B11" i="19"/>
  <c r="B10" i="19"/>
  <c r="B9" i="19"/>
  <c r="L21" i="1" a="1"/>
  <c r="C21" i="19"/>
  <c r="L20" i="1" a="1"/>
  <c r="L21" i="1" l="1"/>
  <c r="L20" i="1"/>
  <c r="F4" i="1"/>
  <c r="K18" i="1"/>
  <c r="B20" i="1"/>
  <c r="C22" i="1"/>
  <c r="C33" i="1" s="1"/>
  <c r="C23" i="1"/>
  <c r="C52" i="1" s="1"/>
  <c r="D23" i="1"/>
  <c r="D34" i="1" s="1"/>
  <c r="C24" i="1"/>
  <c r="C35" i="1" s="1"/>
  <c r="D24" i="1"/>
  <c r="D53" i="1" s="1"/>
  <c r="E24" i="1"/>
  <c r="E35" i="1" s="1"/>
  <c r="C25" i="1"/>
  <c r="C36" i="1" s="1"/>
  <c r="D25" i="1"/>
  <c r="D36" i="1" s="1"/>
  <c r="E25" i="1"/>
  <c r="E36" i="1" s="1"/>
  <c r="F25" i="1"/>
  <c r="F36" i="1" s="1"/>
  <c r="C26" i="1"/>
  <c r="C37" i="1" s="1"/>
  <c r="D26" i="1"/>
  <c r="D37" i="1" s="1"/>
  <c r="E26" i="1"/>
  <c r="E37" i="1" s="1"/>
  <c r="F26" i="1"/>
  <c r="F55" i="1" s="1"/>
  <c r="G26" i="1"/>
  <c r="G37" i="1" s="1"/>
  <c r="C27" i="1"/>
  <c r="C38" i="1" s="1"/>
  <c r="D27" i="1"/>
  <c r="D38" i="1" s="1"/>
  <c r="E27" i="1"/>
  <c r="E38" i="1" s="1"/>
  <c r="F27" i="1"/>
  <c r="F38" i="1" s="1"/>
  <c r="G27" i="1"/>
  <c r="G56" i="1" s="1"/>
  <c r="H27" i="1"/>
  <c r="H38" i="1" s="1"/>
  <c r="C28" i="1"/>
  <c r="C39" i="1" s="1"/>
  <c r="D28" i="1"/>
  <c r="D39" i="1" s="1"/>
  <c r="E28" i="1"/>
  <c r="E39" i="1" s="1"/>
  <c r="F28" i="1"/>
  <c r="F39" i="1" s="1"/>
  <c r="G28" i="1"/>
  <c r="G39" i="1" s="1"/>
  <c r="H28" i="1"/>
  <c r="H39" i="1" s="1"/>
  <c r="I28" i="1"/>
  <c r="I39" i="1" s="1"/>
  <c r="C29" i="1"/>
  <c r="C40" i="1" s="1"/>
  <c r="D29" i="1"/>
  <c r="D40" i="1" s="1"/>
  <c r="E29" i="1"/>
  <c r="E40" i="1" s="1"/>
  <c r="F29" i="1"/>
  <c r="F40" i="1" s="1"/>
  <c r="G29" i="1"/>
  <c r="G40" i="1" s="1"/>
  <c r="H29" i="1"/>
  <c r="H40" i="1" s="1"/>
  <c r="I29" i="1"/>
  <c r="I40" i="1" s="1"/>
  <c r="J29" i="1"/>
  <c r="J40" i="1" s="1"/>
  <c r="A31" i="1"/>
  <c r="B32" i="1"/>
  <c r="B33" i="1"/>
  <c r="B34" i="1"/>
  <c r="B35" i="1"/>
  <c r="B36" i="1"/>
  <c r="B37" i="1"/>
  <c r="B38" i="1"/>
  <c r="B39" i="1"/>
  <c r="B40" i="1"/>
  <c r="B25" i="14"/>
  <c r="B26" i="14"/>
  <c r="B27" i="14"/>
  <c r="C27" i="14"/>
  <c r="B21" i="19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C22" i="14"/>
  <c r="F4" i="14"/>
  <c r="B20" i="14"/>
  <c r="B46" i="6"/>
  <c r="C43" i="6"/>
  <c r="C47" i="6"/>
  <c r="B41" i="6"/>
  <c r="F25" i="6"/>
  <c r="C39" i="6"/>
  <c r="B50" i="1"/>
  <c r="B51" i="1"/>
  <c r="B52" i="1"/>
  <c r="B53" i="1"/>
  <c r="B54" i="1"/>
  <c r="B55" i="1"/>
  <c r="B56" i="1"/>
  <c r="B57" i="1"/>
  <c r="A49" i="1"/>
  <c r="B18" i="14"/>
  <c r="F29" i="6"/>
  <c r="D39" i="6"/>
  <c r="I39" i="6"/>
  <c r="G39" i="6"/>
  <c r="H39" i="6"/>
  <c r="C18" i="14"/>
  <c r="F8" i="14"/>
  <c r="D18" i="14"/>
  <c r="F26" i="6"/>
  <c r="B39" i="6"/>
  <c r="F5" i="14"/>
  <c r="F6" i="14"/>
  <c r="C21" i="14"/>
  <c r="D22" i="14"/>
  <c r="D27" i="14"/>
  <c r="C20" i="14"/>
  <c r="C41" i="6"/>
  <c r="F27" i="6"/>
  <c r="D21" i="14"/>
  <c r="D26" i="14"/>
  <c r="F28" i="6"/>
  <c r="C42" i="6"/>
  <c r="D41" i="6"/>
  <c r="D45" i="6"/>
  <c r="D42" i="6"/>
  <c r="D46" i="6"/>
  <c r="D20" i="14"/>
  <c r="D25" i="14"/>
  <c r="F7" i="14"/>
  <c r="C25" i="14"/>
  <c r="C45" i="6"/>
  <c r="D43" i="6"/>
  <c r="D47" i="6"/>
  <c r="C46" i="6"/>
  <c r="B45" i="6"/>
  <c r="C27" i="10" a="1"/>
  <c r="B18" i="10" a="1"/>
  <c r="B25" i="10" a="1"/>
  <c r="B30" i="10" a="1"/>
  <c r="C29" i="10" a="1"/>
  <c r="C30" i="10" a="1"/>
  <c r="C26" i="10" a="1"/>
  <c r="B29" i="10" a="1"/>
  <c r="B18" i="6" a="1"/>
  <c r="C33" i="10" a="1"/>
  <c r="C31" i="10" a="1"/>
  <c r="C32" i="10" a="1"/>
  <c r="C18" i="6" a="1"/>
  <c r="B31" i="10" a="1"/>
  <c r="B34" i="10" a="1"/>
  <c r="B27" i="10" a="1"/>
  <c r="C34" i="10" a="1"/>
  <c r="B26" i="10" a="1"/>
  <c r="B28" i="10" a="1"/>
  <c r="C25" i="10" a="1"/>
  <c r="B32" i="10" a="1"/>
  <c r="B33" i="10" a="1"/>
  <c r="C28" i="10" a="1"/>
  <c r="B35" i="6" a="1"/>
  <c r="G8" i="14" a="1"/>
  <c r="N31" i="1" a="1"/>
  <c r="G20" i="14" a="1"/>
  <c r="C16" i="19"/>
  <c r="G6" i="14" a="1"/>
  <c r="N32" i="1" a="1"/>
  <c r="G8" i="1" a="1"/>
  <c r="G7" i="14" a="1"/>
  <c r="G6" i="1" a="1"/>
  <c r="G26" i="14" a="1"/>
  <c r="G21" i="14" a="1"/>
  <c r="C11" i="19"/>
  <c r="N50" i="1" a="1"/>
  <c r="C9" i="19"/>
  <c r="G5" i="14" a="1"/>
  <c r="G5" i="1" a="1"/>
  <c r="C18" i="10" a="1"/>
  <c r="G7" i="1" a="1"/>
  <c r="N49" i="1" a="1"/>
  <c r="G4" i="14" a="1"/>
  <c r="G4" i="1" a="1"/>
  <c r="G25" i="14" a="1"/>
  <c r="C35" i="6" a="1"/>
  <c r="G22" i="14" a="1"/>
  <c r="G5" i="1" l="1"/>
  <c r="G7" i="1"/>
  <c r="G6" i="1"/>
  <c r="G4" i="1"/>
  <c r="G8" i="1"/>
  <c r="N31" i="1"/>
  <c r="N32" i="1"/>
  <c r="C34" i="1"/>
  <c r="F8" i="1"/>
  <c r="F5" i="1"/>
  <c r="F6" i="1" s="1"/>
  <c r="F7" i="1" s="1"/>
  <c r="H18" i="1"/>
  <c r="J18" i="1"/>
  <c r="I57" i="1"/>
  <c r="I18" i="1"/>
  <c r="D54" i="1"/>
  <c r="F56" i="1"/>
  <c r="G18" i="1"/>
  <c r="E56" i="1"/>
  <c r="F18" i="1"/>
  <c r="D56" i="1"/>
  <c r="E18" i="1"/>
  <c r="D18" i="1"/>
  <c r="C18" i="1"/>
  <c r="B18" i="1"/>
  <c r="E57" i="1"/>
  <c r="F54" i="1"/>
  <c r="E54" i="1"/>
  <c r="F37" i="1"/>
  <c r="G57" i="1"/>
  <c r="C55" i="1"/>
  <c r="F57" i="1"/>
  <c r="D35" i="1"/>
  <c r="G38" i="1"/>
  <c r="D55" i="1"/>
  <c r="C54" i="1"/>
  <c r="H57" i="1"/>
  <c r="C56" i="1"/>
  <c r="C21" i="1"/>
  <c r="D22" i="1" s="1"/>
  <c r="E23" i="1" s="1"/>
  <c r="F24" i="1" s="1"/>
  <c r="G25" i="1" s="1"/>
  <c r="H26" i="1" s="1"/>
  <c r="I27" i="1" s="1"/>
  <c r="J28" i="1" s="1"/>
  <c r="K29" i="1" s="1"/>
  <c r="C51" i="1"/>
  <c r="D57" i="1"/>
  <c r="C57" i="1"/>
  <c r="H56" i="1"/>
  <c r="E55" i="1"/>
  <c r="G55" i="1"/>
  <c r="C53" i="1"/>
  <c r="E53" i="1"/>
  <c r="D52" i="1"/>
  <c r="G8" i="14"/>
  <c r="G7" i="14"/>
  <c r="G6" i="14"/>
  <c r="G5" i="14"/>
  <c r="G4" i="14"/>
  <c r="C26" i="10"/>
  <c r="C32" i="10"/>
  <c r="C31" i="10"/>
  <c r="B18" i="10"/>
  <c r="C30" i="10"/>
  <c r="C29" i="10"/>
  <c r="B30" i="10"/>
  <c r="C27" i="10"/>
  <c r="B27" i="10"/>
  <c r="B18" i="6"/>
  <c r="C28" i="10"/>
  <c r="B34" i="10"/>
  <c r="B33" i="10"/>
  <c r="B32" i="10"/>
  <c r="B31" i="10"/>
  <c r="B29" i="10"/>
  <c r="B28" i="10"/>
  <c r="C18" i="6"/>
  <c r="B35" i="6"/>
  <c r="B26" i="10"/>
  <c r="B25" i="10"/>
  <c r="C25" i="10"/>
  <c r="C34" i="10"/>
  <c r="C33" i="10"/>
  <c r="G20" i="14"/>
  <c r="C18" i="10"/>
  <c r="G26" i="14"/>
  <c r="G21" i="14"/>
  <c r="C35" i="6"/>
  <c r="G22" i="14"/>
  <c r="G25" i="14"/>
  <c r="N50" i="1"/>
  <c r="N49" i="1"/>
  <c r="B16" i="19" a="1"/>
  <c r="B16" i="19" l="1"/>
  <c r="C20" i="1"/>
  <c r="D20" i="1" s="1"/>
  <c r="E20" i="1" s="1"/>
  <c r="F20" i="1" s="1"/>
  <c r="E21" i="1"/>
  <c r="F22" i="1" s="1"/>
  <c r="G23" i="1" s="1"/>
  <c r="H24" i="1" s="1"/>
  <c r="I25" i="1" s="1"/>
  <c r="F21" i="1"/>
  <c r="G22" i="1" s="1"/>
  <c r="H23" i="1" s="1"/>
  <c r="I24" i="1" s="1"/>
  <c r="J25" i="1" s="1"/>
  <c r="D21" i="1"/>
  <c r="E22" i="1" s="1"/>
  <c r="F23" i="1" s="1"/>
  <c r="G24" i="1" s="1"/>
  <c r="H25" i="1" s="1"/>
  <c r="G21" i="1"/>
  <c r="G20" i="1"/>
  <c r="K58" i="1"/>
  <c r="K40" i="1"/>
  <c r="I26" i="1" l="1"/>
  <c r="J27" i="1" s="1"/>
  <c r="J26" i="1"/>
  <c r="K26" i="1"/>
  <c r="H20" i="1"/>
  <c r="H21" i="1"/>
  <c r="H22" i="1"/>
  <c r="K55" i="1" l="1"/>
  <c r="K37" i="1"/>
  <c r="K27" i="1"/>
  <c r="K28" i="1"/>
  <c r="I23" i="1"/>
  <c r="J24" i="1" s="1"/>
  <c r="I22" i="1"/>
  <c r="J23" i="1" s="1"/>
  <c r="I21" i="1"/>
  <c r="J22" i="1" s="1"/>
  <c r="I20" i="1"/>
  <c r="K39" i="1" l="1"/>
  <c r="J39" i="1" s="1"/>
  <c r="K57" i="1"/>
  <c r="J57" i="1" s="1"/>
  <c r="K56" i="1"/>
  <c r="K38" i="1"/>
  <c r="J20" i="1"/>
  <c r="J21" i="1"/>
  <c r="K23" i="1"/>
  <c r="K24" i="1"/>
  <c r="K25" i="1"/>
  <c r="J55" i="1"/>
  <c r="J37" i="1" l="1"/>
  <c r="J38" i="1"/>
  <c r="I38" i="1" s="1"/>
  <c r="J56" i="1"/>
  <c r="I56" i="1" s="1"/>
  <c r="K35" i="1"/>
  <c r="K53" i="1"/>
  <c r="K36" i="1"/>
  <c r="J36" i="1" s="1"/>
  <c r="K54" i="1"/>
  <c r="J54" i="1" s="1"/>
  <c r="I54" i="1" s="1"/>
  <c r="K34" i="1"/>
  <c r="J34" i="1" s="1"/>
  <c r="K52" i="1"/>
  <c r="J52" i="1" s="1"/>
  <c r="K22" i="1"/>
  <c r="K20" i="1"/>
  <c r="K21" i="1"/>
  <c r="J53" i="1" l="1"/>
  <c r="I53" i="1" s="1"/>
  <c r="H53" i="1" s="1"/>
  <c r="I36" i="1"/>
  <c r="J35" i="1"/>
  <c r="I35" i="1" s="1"/>
  <c r="I37" i="1"/>
  <c r="H37" i="1" s="1"/>
  <c r="I55" i="1"/>
  <c r="K32" i="1"/>
  <c r="K50" i="1"/>
  <c r="K31" i="1"/>
  <c r="K49" i="1"/>
  <c r="J49" i="1" s="1"/>
  <c r="K51" i="1"/>
  <c r="J51" i="1" s="1"/>
  <c r="I51" i="1" s="1"/>
  <c r="K33" i="1"/>
  <c r="H35" i="1" l="1"/>
  <c r="I52" i="1"/>
  <c r="H52" i="1" s="1"/>
  <c r="G52" i="1" s="1"/>
  <c r="J32" i="1"/>
  <c r="J33" i="1"/>
  <c r="I33" i="1" s="1"/>
  <c r="J31" i="1"/>
  <c r="I31" i="1" s="1"/>
  <c r="J50" i="1"/>
  <c r="I50" i="1" s="1"/>
  <c r="H50" i="1" s="1"/>
  <c r="H55" i="1"/>
  <c r="H54" i="1"/>
  <c r="I34" i="1"/>
  <c r="H34" i="1" s="1"/>
  <c r="G34" i="1" s="1"/>
  <c r="H36" i="1"/>
  <c r="G36" i="1" s="1"/>
  <c r="H51" i="1" l="1"/>
  <c r="G54" i="1"/>
  <c r="G53" i="1"/>
  <c r="H33" i="1"/>
  <c r="G33" i="1" s="1"/>
  <c r="F33" i="1" s="1"/>
  <c r="I49" i="1"/>
  <c r="H49" i="1" s="1"/>
  <c r="G49" i="1" s="1"/>
  <c r="I32" i="1"/>
  <c r="H32" i="1" s="1"/>
  <c r="G32" i="1" s="1"/>
  <c r="F32" i="1" s="1"/>
  <c r="E32" i="1" s="1"/>
  <c r="G35" i="1"/>
  <c r="F35" i="1" s="1"/>
  <c r="G51" i="1" l="1"/>
  <c r="F51" i="1" s="1"/>
  <c r="G50" i="1"/>
  <c r="H31" i="1"/>
  <c r="G31" i="1" s="1"/>
  <c r="F31" i="1" s="1"/>
  <c r="E31" i="1" s="1"/>
  <c r="D31" i="1" s="1"/>
  <c r="F34" i="1"/>
  <c r="E34" i="1" s="1"/>
  <c r="F53" i="1"/>
  <c r="F52" i="1"/>
  <c r="F49" i="1" l="1"/>
  <c r="F50" i="1"/>
  <c r="E50" i="1" s="1"/>
  <c r="E33" i="1"/>
  <c r="E52" i="1"/>
  <c r="E51" i="1"/>
  <c r="E49" i="1" l="1"/>
  <c r="D49" i="1" s="1"/>
  <c r="D51" i="1"/>
  <c r="D50" i="1"/>
  <c r="D33" i="1"/>
  <c r="D32" i="1"/>
  <c r="C32" i="1" l="1"/>
  <c r="C31" i="1"/>
  <c r="B31" i="1" s="1"/>
  <c r="C50" i="1"/>
  <c r="C49" i="1"/>
  <c r="B4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<sst xmlns="http://schemas.openxmlformats.org/spreadsheetml/2006/main" count="245" uniqueCount="143">
  <si>
    <t xml:space="preserve">Stock price (S) </t>
  </si>
  <si>
    <t>Exercise price (K)</t>
  </si>
  <si>
    <t>u</t>
  </si>
  <si>
    <t>d</t>
  </si>
  <si>
    <t>p</t>
  </si>
  <si>
    <t>Step (dt)</t>
  </si>
  <si>
    <t>Step</t>
  </si>
  <si>
    <t>Time</t>
  </si>
  <si>
    <t>Stock price</t>
  </si>
  <si>
    <t xml:space="preserve">   Up movement multiplier</t>
  </si>
  <si>
    <t xml:space="preserve">   Down movement multiplier,  = 1/u</t>
  </si>
  <si>
    <t xml:space="preserve">   Discount factor per step, = Exp(-rr*dt)</t>
  </si>
  <si>
    <t xml:space="preserve">Number of steps (n) </t>
  </si>
  <si>
    <t xml:space="preserve">   Risk-neutral probability of up movement</t>
  </si>
  <si>
    <t>Stock price (S)</t>
  </si>
  <si>
    <t>Strike price (K)</t>
  </si>
  <si>
    <t>Steps for European option pricing</t>
  </si>
  <si>
    <t>Steps for American option pricing</t>
  </si>
  <si>
    <t>Option</t>
  </si>
  <si>
    <t>Call or Put (c or p)</t>
  </si>
  <si>
    <t>YEAR</t>
  </si>
  <si>
    <t>Volatilty (sigma)</t>
  </si>
  <si>
    <t>Number of steps (n)</t>
  </si>
  <si>
    <t>BS</t>
  </si>
  <si>
    <t>Option Price</t>
  </si>
  <si>
    <t>VBA Binomial</t>
  </si>
  <si>
    <t>Use exact the same input we used earlier</t>
  </si>
  <si>
    <t>So, we see the power of VBA, which makes all our calculation much easier</t>
  </si>
  <si>
    <t>However, to help your understanding, let's use a "smaller" binomial tree (2 steps) as the example</t>
  </si>
  <si>
    <t>Option price</t>
  </si>
  <si>
    <t>From our tree</t>
  </si>
  <si>
    <t>From the function</t>
  </si>
  <si>
    <t>n</t>
  </si>
  <si>
    <t>dt</t>
  </si>
  <si>
    <t>Pu</t>
  </si>
  <si>
    <t>euro or amer</t>
  </si>
  <si>
    <t>amer</t>
  </si>
  <si>
    <t>&lt;= These values are consistent with our earlier computation using spreadsheet</t>
  </si>
  <si>
    <t>Date</t>
  </si>
  <si>
    <t>Open</t>
  </si>
  <si>
    <t>High</t>
  </si>
  <si>
    <t>Low</t>
  </si>
  <si>
    <t>Close</t>
  </si>
  <si>
    <t>Volume</t>
  </si>
  <si>
    <t xml:space="preserve">   Discount factor per step, = Exp(-r*dt)</t>
  </si>
  <si>
    <t>FRED Graph Observations</t>
  </si>
  <si>
    <t>Federal Reserve Economic Data</t>
  </si>
  <si>
    <t>Link: https://fred.stlouisfed.org</t>
  </si>
  <si>
    <t>Economic Research Division</t>
  </si>
  <si>
    <t>Federal Reserve Bank of St. Louis</t>
  </si>
  <si>
    <t>Frequency: Daily</t>
  </si>
  <si>
    <t>observation_date</t>
  </si>
  <si>
    <t>Riskfree rate (r)</t>
  </si>
  <si>
    <t>1: yellow, drag from left to right, compute the all ups case</t>
  </si>
  <si>
    <t>Come back to this sheet, and try to use function "binomial_euro" and "BS"</t>
  </si>
  <si>
    <t>Use exactly the same input we used earlier</t>
  </si>
  <si>
    <t>Time to maturity (T)</t>
  </si>
  <si>
    <t>Dividend yield (q)</t>
  </si>
  <si>
    <t>Function argument</t>
  </si>
  <si>
    <t>(historical estimation)</t>
  </si>
  <si>
    <t>Binomial Pricing of American Options for Stocks with Known Dividend Yield</t>
  </si>
  <si>
    <t>Option class</t>
  </si>
  <si>
    <t>Current date</t>
  </si>
  <si>
    <t>Option expiration date</t>
  </si>
  <si>
    <t>Number of steps</t>
  </si>
  <si>
    <t>Adj Close</t>
  </si>
  <si>
    <t>DTB3</t>
  </si>
  <si>
    <t>Help: https://fredhelp.stlouisfed.org</t>
  </si>
  <si>
    <t>3-Month Treasury Bill: Secondary Market Rate, Percent, Daily, Not Seasonally Adjusted</t>
  </si>
  <si>
    <t>(on 8-Jan-21)</t>
  </si>
  <si>
    <t>(on 7-Jan-21)</t>
  </si>
  <si>
    <t>Option price (VBA Fn)</t>
  </si>
  <si>
    <t>Option type</t>
  </si>
  <si>
    <t>Market price of the option</t>
  </si>
  <si>
    <t>Bid</t>
  </si>
  <si>
    <t>Ask</t>
  </si>
  <si>
    <t>Mid</t>
  </si>
  <si>
    <t>2: light blue, drag down, compute all cases in the 1st step</t>
  </si>
  <si>
    <t xml:space="preserve">    then extend the down case column to all future steps</t>
  </si>
  <si>
    <t xml:space="preserve">     then extent the claim price computation in step 1 to earlier steps</t>
  </si>
  <si>
    <t>Cell C20:</t>
  </si>
  <si>
    <t>Cell C21:</t>
  </si>
  <si>
    <t>Cell D25:</t>
  </si>
  <si>
    <t>Cell C25:</t>
  </si>
  <si>
    <t>1: green, compute the final step's payoffs; the same as European options</t>
  </si>
  <si>
    <t>2: light orange, we take the higher from (a) immidiate exercise payoffs (b) expected payoffs from waiting</t>
  </si>
  <si>
    <t xml:space="preserve">    then we extend the formula to all earlier nodes</t>
  </si>
  <si>
    <t>Cell K49:</t>
  </si>
  <si>
    <t>Cell J49:</t>
  </si>
  <si>
    <t>Stock Tree</t>
  </si>
  <si>
    <t>Option Tree</t>
  </si>
  <si>
    <t xml:space="preserve">Step j = 2 Initial </t>
  </si>
  <si>
    <t>Cell B20:</t>
  </si>
  <si>
    <t>3: green, compute the payoff in the final step, drag down</t>
  </si>
  <si>
    <t>4: pink, backward inference by compute the claim price</t>
  </si>
  <si>
    <t>Option Inputs</t>
  </si>
  <si>
    <t>Step j = 0 &lt;==</t>
  </si>
  <si>
    <t>Step j = 1 &lt;==</t>
  </si>
  <si>
    <t>VBA Function for European Binomial Price</t>
  </si>
  <si>
    <t>S(0) = S0*u^2</t>
  </si>
  <si>
    <t>optValue(0) = max(C_P*(S(0)-K),0)</t>
  </si>
  <si>
    <t>optValue(1) = max(C_P*(S(1)-K),0)</t>
  </si>
  <si>
    <t>optValue(2) = max(C_P*(S(2)-K),0)</t>
  </si>
  <si>
    <t>optValue(0)=pv*[Pu*optValue(0)+(1-Pu)*optValue(1)]</t>
  </si>
  <si>
    <t>optValue(1)=pv*[Pu*optValue(1)+(1-Pu)*optValue(2)]</t>
  </si>
  <si>
    <t>Node i = 0</t>
  </si>
  <si>
    <t>Node i = 1</t>
  </si>
  <si>
    <t>Node i = 2</t>
  </si>
  <si>
    <t>VBA Function for European/American Binomial Price</t>
  </si>
  <si>
    <t>optStyle</t>
  </si>
  <si>
    <t>optType</t>
  </si>
  <si>
    <t>K</t>
  </si>
  <si>
    <t>T</t>
  </si>
  <si>
    <t>r</t>
  </si>
  <si>
    <t>q</t>
  </si>
  <si>
    <t>v</t>
  </si>
  <si>
    <t xml:space="preserve">S0 </t>
  </si>
  <si>
    <t xml:space="preserve">Stock price  </t>
  </si>
  <si>
    <t xml:space="preserve">Strike price  </t>
  </si>
  <si>
    <t xml:space="preserve">Time to maturity </t>
  </si>
  <si>
    <t xml:space="preserve">Riskfree rate </t>
  </si>
  <si>
    <t xml:space="preserve">Dividend yield  </t>
  </si>
  <si>
    <t xml:space="preserve">Volatilty </t>
  </si>
  <si>
    <t xml:space="preserve">Number of steps </t>
  </si>
  <si>
    <r>
      <t>You will see a function "</t>
    </r>
    <r>
      <rPr>
        <sz val="11"/>
        <color indexed="10"/>
        <rFont val="Calibri"/>
        <family val="2"/>
      </rPr>
      <t>binomial_euro</t>
    </r>
    <r>
      <rPr>
        <sz val="11"/>
        <rFont val="Calibri"/>
        <family val="2"/>
      </rPr>
      <t>" in the module named "</t>
    </r>
    <r>
      <rPr>
        <sz val="11"/>
        <color indexed="10"/>
        <rFont val="Calibri"/>
        <family val="2"/>
      </rPr>
      <t>BOPM</t>
    </r>
    <r>
      <rPr>
        <sz val="11"/>
        <rFont val="Calibri"/>
        <family val="2"/>
      </rPr>
      <t>", and a function "</t>
    </r>
    <r>
      <rPr>
        <sz val="11"/>
        <color indexed="10"/>
        <rFont val="Calibri"/>
        <family val="2"/>
      </rPr>
      <t>BS"</t>
    </r>
    <r>
      <rPr>
        <sz val="11"/>
        <rFont val="Calibri"/>
        <family val="2"/>
      </rPr>
      <t xml:space="preserve"> in the module named "</t>
    </r>
    <r>
      <rPr>
        <sz val="11"/>
        <color indexed="10"/>
        <rFont val="Calibri"/>
        <family val="2"/>
      </rPr>
      <t>BlackScholes</t>
    </r>
    <r>
      <rPr>
        <sz val="11"/>
        <rFont val="Calibri"/>
        <family val="2"/>
      </rPr>
      <t>"</t>
    </r>
  </si>
  <si>
    <t>Change of Binomial Price with Step Number (n)</t>
  </si>
  <si>
    <t>American put</t>
  </si>
  <si>
    <t>American call</t>
  </si>
  <si>
    <t>Ln Return</t>
  </si>
  <si>
    <t>pv</t>
  </si>
  <si>
    <r>
      <t>You will see a function "</t>
    </r>
    <r>
      <rPr>
        <sz val="11"/>
        <color indexed="10"/>
        <rFont val="Calibri"/>
        <family val="2"/>
      </rPr>
      <t>Binomial</t>
    </r>
    <r>
      <rPr>
        <sz val="11"/>
        <rFont val="Calibri"/>
        <family val="2"/>
      </rPr>
      <t>" in the module named "</t>
    </r>
    <r>
      <rPr>
        <sz val="11"/>
        <color indexed="10"/>
        <rFont val="Calibri"/>
        <family val="2"/>
      </rPr>
      <t>BOPM</t>
    </r>
    <r>
      <rPr>
        <sz val="11"/>
        <rFont val="Calibri"/>
        <family val="2"/>
      </rPr>
      <t>"</t>
    </r>
  </si>
  <si>
    <t xml:space="preserve">S(1) = S0*u*d </t>
  </si>
  <si>
    <t>S(2) = S0*d^2</t>
  </si>
  <si>
    <t>BOPM of European Options on Stocks with Known Dividend Yield</t>
  </si>
  <si>
    <t>Call (1) or Put ( -1)</t>
  </si>
  <si>
    <t>Intermediate parameters</t>
  </si>
  <si>
    <t>Cell K31:</t>
  </si>
  <si>
    <t>Cell J31:</t>
  </si>
  <si>
    <t>Annual frequency</t>
  </si>
  <si>
    <t>Time to maturity (T, years)</t>
  </si>
  <si>
    <t>Interest rate (r, annual)</t>
  </si>
  <si>
    <t>Dividend yield (q, annual)</t>
  </si>
  <si>
    <t>Volatility (v, annual)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</si>
</sst>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(&quot;$&quot;* #,##0.00_);_(&quot;$&quot;* \(#,##0.00\);_(&quot;$&quot;* &quot;-&quot;??_);_(@_)"/>
    <numFmt numFmtId="166" formatCode="&quot;$&quot;#,##0.00"/>
    <numFmt numFmtId="167" formatCode="0.0000"/>
    <numFmt numFmtId="168" formatCode="0.0%"/>
    <numFmt numFmtId="169" formatCode="0.00000"/>
    <numFmt numFmtId="170" formatCode="yyyy\-mm\-dd"/>
    <numFmt numFmtId="171" formatCode="0.000"/>
    <numFmt numFmtId="172" formatCode="0.000E+00"/>
  </numFmts>
  <fonts count="24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2"/>
      <name val="新細明體"/>
      <family val="1"/>
      <charset val="136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color rgb="FFFF0000"/>
      <name val="Calibri"/>
      <family val="2"/>
    </font>
    <font>
      <b/>
      <sz val="16"/>
      <name val="Calibri"/>
      <family val="2"/>
    </font>
    <font>
      <sz val="16"/>
      <color indexed="18"/>
      <name val="Calibri"/>
      <family val="2"/>
    </font>
    <font>
      <sz val="16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color rgb="FF0070C0"/>
      <name val="Calibri"/>
      <family val="2"/>
    </font>
    <font>
      <sz val="10"/>
      <name val="Calibri"/>
      <family val="2"/>
    </font>
    <font>
      <b/>
      <sz val="11"/>
      <color rgb="FFFF0000"/>
      <name val="Calibri"/>
      <family val="2"/>
    </font>
    <font>
      <sz val="12"/>
      <color indexed="18"/>
      <name val="Calibri"/>
      <family val="2"/>
    </font>
    <font>
      <sz val="11"/>
      <color indexed="10"/>
      <name val="Calibri"/>
      <family val="2"/>
    </font>
    <font>
      <sz val="11"/>
      <color rgb="FF0070C0"/>
      <name val="Calibri"/>
      <family val="2"/>
    </font>
    <font>
      <b/>
      <sz val="14"/>
      <name val="Calibri"/>
      <family val="2"/>
    </font>
    <font>
      <sz val="14"/>
      <name val="Calibri"/>
      <family val="2"/>
    </font>
    <font>
      <sz val="10"/>
      <name val="Arial"/>
      <family val="2"/>
    </font>
    <font>
      <sz val="9"/>
      <name val="DengXian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5">
    <xf numFmtId="0" fontId="0" fillId="0" borderId="0"/>
    <xf numFmtId="164" fontId="3" fillId="0" borderId="0" applyFont="0" applyFill="0" applyBorder="0" applyAlignment="0" applyProtection="0"/>
    <xf numFmtId="0" fontId="3" fillId="0" borderId="0"/>
    <xf numFmtId="0" fontId="2" fillId="0" borderId="0"/>
    <xf numFmtId="0" fontId="3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165" fontId="6" fillId="0" borderId="0" applyFont="0" applyFill="0" applyBorder="0" applyAlignment="0" applyProtection="0"/>
    <xf numFmtId="0" fontId="1" fillId="0" borderId="0"/>
    <xf numFmtId="0" fontId="1" fillId="0" borderId="0"/>
    <xf numFmtId="9" fontId="22" fillId="0" borderId="0" applyFont="0" applyFill="0" applyBorder="0" applyAlignment="0" applyProtection="0">
      <alignment vertical="center"/>
    </xf>
  </cellStyleXfs>
  <cellXfs count="80">
    <xf numFmtId="0" fontId="0" fillId="0" borderId="0" xfId="0"/>
    <xf numFmtId="0" fontId="9" fillId="0" borderId="0" xfId="0" applyFont="1"/>
    <xf numFmtId="0" fontId="10" fillId="0" borderId="0" xfId="2" applyFont="1"/>
    <xf numFmtId="0" fontId="11" fillId="0" borderId="0" xfId="0" applyFont="1"/>
    <xf numFmtId="0" fontId="12" fillId="0" borderId="0" xfId="0" applyFont="1"/>
    <xf numFmtId="0" fontId="13" fillId="0" borderId="0" xfId="3" applyFont="1" applyAlignment="1">
      <alignment horizontal="left"/>
    </xf>
    <xf numFmtId="0" fontId="12" fillId="0" borderId="0" xfId="3" applyFont="1"/>
    <xf numFmtId="0" fontId="13" fillId="0" borderId="0" xfId="0" applyFont="1"/>
    <xf numFmtId="0" fontId="12" fillId="0" borderId="0" xfId="3" applyFont="1" applyAlignment="1">
      <alignment horizontal="right"/>
    </xf>
    <xf numFmtId="167" fontId="13" fillId="0" borderId="0" xfId="0" applyNumberFormat="1" applyFont="1"/>
    <xf numFmtId="0" fontId="13" fillId="5" borderId="8" xfId="0" applyFont="1" applyFill="1" applyBorder="1"/>
    <xf numFmtId="0" fontId="12" fillId="5" borderId="3" xfId="0" applyFont="1" applyFill="1" applyBorder="1"/>
    <xf numFmtId="0" fontId="12" fillId="5" borderId="6" xfId="0" applyFont="1" applyFill="1" applyBorder="1"/>
    <xf numFmtId="0" fontId="13" fillId="5" borderId="2" xfId="0" applyFont="1" applyFill="1" applyBorder="1"/>
    <xf numFmtId="0" fontId="12" fillId="5" borderId="0" xfId="0" applyFont="1" applyFill="1"/>
    <xf numFmtId="0" fontId="12" fillId="5" borderId="7" xfId="0" applyFont="1" applyFill="1" applyBorder="1"/>
    <xf numFmtId="0" fontId="12" fillId="0" borderId="0" xfId="2" applyFont="1"/>
    <xf numFmtId="0" fontId="13" fillId="0" borderId="0" xfId="2" applyFont="1"/>
    <xf numFmtId="0" fontId="13" fillId="5" borderId="4" xfId="0" applyFont="1" applyFill="1" applyBorder="1"/>
    <xf numFmtId="0" fontId="12" fillId="5" borderId="1" xfId="0" applyFont="1" applyFill="1" applyBorder="1"/>
    <xf numFmtId="0" fontId="12" fillId="5" borderId="5" xfId="0" applyFont="1" applyFill="1" applyBorder="1"/>
    <xf numFmtId="0" fontId="13" fillId="0" borderId="0" xfId="0" applyFont="1" applyAlignment="1">
      <alignment horizontal="right"/>
    </xf>
    <xf numFmtId="2" fontId="13" fillId="0" borderId="0" xfId="0" applyNumberFormat="1" applyFont="1"/>
    <xf numFmtId="2" fontId="12" fillId="0" borderId="0" xfId="0" applyNumberFormat="1" applyFont="1"/>
    <xf numFmtId="2" fontId="12" fillId="2" borderId="0" xfId="0" applyNumberFormat="1" applyFont="1" applyFill="1"/>
    <xf numFmtId="0" fontId="14" fillId="0" borderId="0" xfId="0" applyFont="1"/>
    <xf numFmtId="2" fontId="12" fillId="6" borderId="0" xfId="0" applyNumberFormat="1" applyFont="1" applyFill="1"/>
    <xf numFmtId="2" fontId="13" fillId="4" borderId="0" xfId="0" applyNumberFormat="1" applyFont="1" applyFill="1"/>
    <xf numFmtId="2" fontId="13" fillId="3" borderId="0" xfId="0" applyNumberFormat="1" applyFont="1" applyFill="1"/>
    <xf numFmtId="0" fontId="15" fillId="0" borderId="0" xfId="0" applyFont="1"/>
    <xf numFmtId="0" fontId="12" fillId="0" borderId="0" xfId="0" applyFont="1" applyAlignment="1">
      <alignment horizontal="right"/>
    </xf>
    <xf numFmtId="166" fontId="12" fillId="0" borderId="0" xfId="0" applyNumberFormat="1" applyFont="1"/>
    <xf numFmtId="166" fontId="12" fillId="2" borderId="0" xfId="0" applyNumberFormat="1" applyFont="1" applyFill="1"/>
    <xf numFmtId="166" fontId="12" fillId="6" borderId="0" xfId="0" applyNumberFormat="1" applyFont="1" applyFill="1"/>
    <xf numFmtId="0" fontId="16" fillId="0" borderId="0" xfId="0" applyFont="1" applyAlignment="1">
      <alignment horizontal="right"/>
    </xf>
    <xf numFmtId="166" fontId="12" fillId="4" borderId="0" xfId="0" applyNumberFormat="1" applyFont="1" applyFill="1"/>
    <xf numFmtId="166" fontId="12" fillId="3" borderId="0" xfId="0" applyNumberFormat="1" applyFont="1" applyFill="1"/>
    <xf numFmtId="166" fontId="12" fillId="5" borderId="3" xfId="0" applyNumberFormat="1" applyFont="1" applyFill="1" applyBorder="1"/>
    <xf numFmtId="166" fontId="12" fillId="5" borderId="6" xfId="0" applyNumberFormat="1" applyFont="1" applyFill="1" applyBorder="1"/>
    <xf numFmtId="166" fontId="12" fillId="5" borderId="0" xfId="0" applyNumberFormat="1" applyFont="1" applyFill="1"/>
    <xf numFmtId="166" fontId="12" fillId="5" borderId="7" xfId="0" applyNumberFormat="1" applyFont="1" applyFill="1" applyBorder="1"/>
    <xf numFmtId="166" fontId="12" fillId="5" borderId="1" xfId="0" applyNumberFormat="1" applyFont="1" applyFill="1" applyBorder="1"/>
    <xf numFmtId="166" fontId="12" fillId="5" borderId="5" xfId="0" applyNumberFormat="1" applyFont="1" applyFill="1" applyBorder="1"/>
    <xf numFmtId="0" fontId="9" fillId="0" borderId="0" xfId="2" applyFont="1"/>
    <xf numFmtId="0" fontId="17" fillId="0" borderId="0" xfId="2" applyFont="1"/>
    <xf numFmtId="0" fontId="13" fillId="0" borderId="0" xfId="3" applyFont="1"/>
    <xf numFmtId="0" fontId="13" fillId="0" borderId="0" xfId="2" applyFont="1" applyAlignment="1">
      <alignment horizontal="right"/>
    </xf>
    <xf numFmtId="2" fontId="13" fillId="0" borderId="0" xfId="2" applyNumberFormat="1" applyFont="1"/>
    <xf numFmtId="0" fontId="8" fillId="0" borderId="0" xfId="0" applyFont="1"/>
    <xf numFmtId="0" fontId="13" fillId="2" borderId="0" xfId="0" applyFont="1" applyFill="1"/>
    <xf numFmtId="0" fontId="12" fillId="0" borderId="0" xfId="3" applyFont="1" applyAlignment="1">
      <alignment horizontal="left"/>
    </xf>
    <xf numFmtId="0" fontId="19" fillId="0" borderId="0" xfId="0" applyFont="1"/>
    <xf numFmtId="0" fontId="14" fillId="0" borderId="0" xfId="3" applyFont="1" applyAlignment="1">
      <alignment horizontal="right"/>
    </xf>
    <xf numFmtId="0" fontId="14" fillId="0" borderId="0" xfId="3" applyFont="1"/>
    <xf numFmtId="168" fontId="14" fillId="0" borderId="0" xfId="3" applyNumberFormat="1" applyFont="1"/>
    <xf numFmtId="0" fontId="20" fillId="0" borderId="0" xfId="0" applyFont="1"/>
    <xf numFmtId="0" fontId="21" fillId="0" borderId="0" xfId="0" applyFont="1"/>
    <xf numFmtId="169" fontId="12" fillId="0" borderId="0" xfId="0" applyNumberFormat="1" applyFont="1" applyAlignment="1">
      <alignment horizontal="right"/>
    </xf>
    <xf numFmtId="14" fontId="12" fillId="0" borderId="0" xfId="0" applyNumberFormat="1" applyFont="1"/>
    <xf numFmtId="0" fontId="13" fillId="0" borderId="0" xfId="0" applyFont="1" applyAlignment="1">
      <alignment horizontal="right" wrapText="1"/>
    </xf>
    <xf numFmtId="0" fontId="12" fillId="0" borderId="0" xfId="12" applyFont="1"/>
    <xf numFmtId="170" fontId="12" fillId="0" borderId="0" xfId="12" applyNumberFormat="1" applyFont="1"/>
    <xf numFmtId="2" fontId="12" fillId="0" borderId="0" xfId="12" applyNumberFormat="1" applyFont="1"/>
    <xf numFmtId="0" fontId="12" fillId="0" borderId="0" xfId="12" applyFont="1" applyAlignment="1">
      <alignment horizontal="right"/>
    </xf>
    <xf numFmtId="2" fontId="12" fillId="2" borderId="0" xfId="12" applyNumberFormat="1" applyFont="1" applyFill="1"/>
    <xf numFmtId="170" fontId="12" fillId="0" borderId="0" xfId="0" applyNumberFormat="1" applyFont="1"/>
    <xf numFmtId="167" fontId="16" fillId="0" borderId="0" xfId="0" applyNumberFormat="1" applyFont="1"/>
    <xf numFmtId="0" fontId="14" fillId="0" borderId="0" xfId="13" applyFont="1"/>
    <xf numFmtId="0" fontId="14" fillId="0" borderId="0" xfId="0" applyFont="1" applyAlignment="1">
      <alignment horizontal="right"/>
    </xf>
    <xf numFmtId="166" fontId="14" fillId="0" borderId="0" xfId="0" applyNumberFormat="1" applyFont="1"/>
    <xf numFmtId="14" fontId="14" fillId="0" borderId="0" xfId="0" applyNumberFormat="1" applyFont="1"/>
    <xf numFmtId="172" fontId="14" fillId="0" borderId="0" xfId="0" applyNumberFormat="1" applyFont="1"/>
    <xf numFmtId="2" fontId="12" fillId="0" borderId="0" xfId="11" applyNumberFormat="1" applyFont="1"/>
    <xf numFmtId="9" fontId="12" fillId="0" borderId="0" xfId="3" applyNumberFormat="1" applyFont="1"/>
    <xf numFmtId="167" fontId="12" fillId="0" borderId="0" xfId="0" applyNumberFormat="1" applyFont="1"/>
    <xf numFmtId="10" fontId="14" fillId="0" borderId="0" xfId="0" applyNumberFormat="1" applyFont="1"/>
    <xf numFmtId="2" fontId="12" fillId="2" borderId="0" xfId="11" applyNumberFormat="1" applyFont="1" applyFill="1"/>
    <xf numFmtId="171" fontId="13" fillId="2" borderId="0" xfId="0" applyNumberFormat="1" applyFont="1" applyFill="1"/>
    <xf numFmtId="167" fontId="14" fillId="0" borderId="0" xfId="0" applyNumberFormat="1" applyFont="1"/>
    <xf numFmtId="10" fontId="14" fillId="0" borderId="0" xfId="14" applyNumberFormat="1" applyFont="1" applyAlignment="1"/>
  </cellXfs>
  <cellStyles count="15">
    <cellStyle name="Comma 2" xfId="1" xr:uid="{00000000-0005-0000-0000-000000000000}"/>
    <cellStyle name="Currency" xfId="11" builtinId="4"/>
    <cellStyle name="Followed Hyperlink" xfId="6" builtinId="9" hidden="1"/>
    <cellStyle name="Followed Hyperlink" xfId="8" builtinId="9" hidden="1"/>
    <cellStyle name="Followed Hyperlink" xfId="10" builtinId="9" hidden="1"/>
    <cellStyle name="Hyperlink" xfId="5" builtinId="8" hidden="1"/>
    <cellStyle name="Hyperlink" xfId="7" builtinId="8" hidden="1"/>
    <cellStyle name="Hyperlink" xfId="9" builtinId="8" hidden="1"/>
    <cellStyle name="Normal" xfId="0" builtinId="0"/>
    <cellStyle name="Normal 2" xfId="2" xr:uid="{00000000-0005-0000-0000-000008000000}"/>
    <cellStyle name="Normal 2 2" xfId="13" xr:uid="{C1D33EB6-3329-437D-AFE0-3ABC690D220D}"/>
    <cellStyle name="Normal 3" xfId="3" xr:uid="{00000000-0005-0000-0000-000009000000}"/>
    <cellStyle name="Normal 4" xfId="4" xr:uid="{00000000-0005-0000-0000-00000A000000}"/>
    <cellStyle name="Normal 5" xfId="12" xr:uid="{D6BC3631-93F0-4045-B5CD-5A06502355B8}"/>
    <cellStyle name="Per cent" xfId="1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HK" b="1"/>
              <a:t>American Option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VBA_Amer!$B$24</c:f>
              <c:strCache>
                <c:ptCount val="1"/>
                <c:pt idx="0">
                  <c:v>American put</c:v>
                </c:pt>
              </c:strCache>
            </c:strRef>
          </c:tx>
          <c:spPr>
            <a:ln w="22225" cap="rnd">
              <a:solidFill>
                <a:schemeClr val="tx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cat>
            <c:numRef>
              <c:f>VBA_Amer!$A$25:$A$34</c:f>
              <c:numCache>
                <c:formatCode>General</c:formatCode>
                <c:ptCount val="10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50</c:v>
                </c:pt>
                <c:pt idx="6">
                  <c:v>100</c:v>
                </c:pt>
                <c:pt idx="7">
                  <c:v>200</c:v>
                </c:pt>
                <c:pt idx="8">
                  <c:v>500</c:v>
                </c:pt>
                <c:pt idx="9">
                  <c:v>1000</c:v>
                </c:pt>
              </c:numCache>
            </c:numRef>
          </c:cat>
          <c:val>
            <c:numRef>
              <c:f>VBA_Amer!$B$25:$B$34</c:f>
              <c:numCache>
                <c:formatCode>0.00</c:formatCode>
                <c:ptCount val="10"/>
                <c:pt idx="0">
                  <c:v>2.1556210015190524</c:v>
                </c:pt>
                <c:pt idx="1">
                  <c:v>2.4129181509632738</c:v>
                </c:pt>
                <c:pt idx="2">
                  <c:v>2.2739408245881645</c:v>
                </c:pt>
                <c:pt idx="3">
                  <c:v>2.3461926893085727</c:v>
                </c:pt>
                <c:pt idx="4">
                  <c:v>2.2905806655636902</c:v>
                </c:pt>
                <c:pt idx="5">
                  <c:v>2.3005353362686045</c:v>
                </c:pt>
                <c:pt idx="6">
                  <c:v>2.3038180816696667</c:v>
                </c:pt>
                <c:pt idx="7">
                  <c:v>2.3054398434287302</c:v>
                </c:pt>
                <c:pt idx="8">
                  <c:v>2.3063944122493898</c:v>
                </c:pt>
                <c:pt idx="9">
                  <c:v>2.3067119456418266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A9-4AF1-8906-5139C9938461}"/>
            </c:ext>
          </c:extLst>
        </c:ser>
        <c:ser>
          <c:idx val="1"/>
          <c:order val="1"/>
          <c:tx>
            <c:strRef>
              <c:f>VBA_Amer!$C$24</c:f>
              <c:strCache>
                <c:ptCount val="1"/>
                <c:pt idx="0">
                  <c:v>American call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cat>
            <c:numRef>
              <c:f>VBA_Amer!$A$25:$A$34</c:f>
              <c:numCache>
                <c:formatCode>General</c:formatCode>
                <c:ptCount val="10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50</c:v>
                </c:pt>
                <c:pt idx="6">
                  <c:v>100</c:v>
                </c:pt>
                <c:pt idx="7">
                  <c:v>200</c:v>
                </c:pt>
                <c:pt idx="8">
                  <c:v>500</c:v>
                </c:pt>
                <c:pt idx="9">
                  <c:v>1000</c:v>
                </c:pt>
              </c:numCache>
            </c:numRef>
          </c:cat>
          <c:val>
            <c:numRef>
              <c:f>VBA_Amer!$C$25:$C$34</c:f>
              <c:numCache>
                <c:formatCode>0.00</c:formatCode>
                <c:ptCount val="10"/>
                <c:pt idx="0">
                  <c:v>3.0763544259583808</c:v>
                </c:pt>
                <c:pt idx="1">
                  <c:v>3.5255446940760815</c:v>
                </c:pt>
                <c:pt idx="2">
                  <c:v>3.32446243774592</c:v>
                </c:pt>
                <c:pt idx="3">
                  <c:v>3.4368276016102639</c:v>
                </c:pt>
                <c:pt idx="4">
                  <c:v>3.3585170566418245</c:v>
                </c:pt>
                <c:pt idx="5">
                  <c:v>3.3792007904466588</c:v>
                </c:pt>
                <c:pt idx="6">
                  <c:v>3.386133567533435</c:v>
                </c:pt>
                <c:pt idx="7">
                  <c:v>3.3896067617037233</c:v>
                </c:pt>
                <c:pt idx="8">
                  <c:v>3.3916928095188448</c:v>
                </c:pt>
                <c:pt idx="9">
                  <c:v>3.392388510112156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A9-4AF1-8906-5139C9938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791264"/>
        <c:axId val="2111728480"/>
      </c:lineChart>
      <c:catAx>
        <c:axId val="722791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HK" b="1"/>
                  <a:t>Number of Steps</a:t>
                </a:r>
              </a:p>
            </c:rich>
          </c:tx>
          <c:layout>
            <c:manualLayout>
              <c:xMode val="edge"/>
              <c:yMode val="edge"/>
              <c:x val="0.31783822845810167"/>
              <c:y val="0.897198891805190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1728480"/>
        <c:crosses val="autoZero"/>
        <c:auto val="1"/>
        <c:lblAlgn val="ctr"/>
        <c:lblOffset val="100"/>
        <c:noMultiLvlLbl val="0"/>
      </c:catAx>
      <c:valAx>
        <c:axId val="2111728480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279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125730</xdr:colOff>
      <xdr:row>21</xdr:row>
      <xdr:rowOff>217170</xdr:rowOff>
    </xdr:from>
    <xdr:to>
      <xdr:col>7</xdr:col>
      <xdr:colOff>3078480</xdr:colOff>
      <xdr:row>37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7A70A38-18FF-59F5-695E-FC879C6489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561975</xdr:colOff>
      <xdr:row>27</xdr:row>
      <xdr:rowOff>133350</xdr:rowOff>
    </xdr:from>
    <xdr:to>
      <xdr:col>19</xdr:col>
      <xdr:colOff>304006</xdr:colOff>
      <xdr:row>49</xdr:row>
      <xdr:rowOff>161148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E967E0-CBA8-2B94-2E4C-B2342A39C1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1700" y="5353050"/>
          <a:ext cx="8419306" cy="421879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13</xdr:col>
      <xdr:colOff>257651</xdr:colOff>
      <xdr:row>26</xdr:row>
      <xdr:rowOff>75248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C1EEF48-1223-4F2E-9B75-3D657BE0E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00750" y="457200"/>
          <a:ext cx="4639151" cy="46472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L32"/>
  <sheetViews>
    <sheetView workbookViewId="0">
      <selection activeCell="C26" sqref="C26"/>
    </sheetView>
  </sheetViews>
  <sheetFormatPr baseColWidth="10" defaultColWidth="8.6640625" defaultRowHeight="14"/>
  <cols>
    <col min="1" max="1" width="23.6640625" style="29" customWidth="1"/>
    <col min="2" max="2" width="15.5" style="29" customWidth="1"/>
    <col min="3" max="3" width="12.6640625" style="29" customWidth="1"/>
    <col min="4" max="4" width="11.33203125" style="29" customWidth="1"/>
    <col min="5" max="16384" width="8.6640625" style="29"/>
  </cols>
  <sheetData>
    <row r="1" spans="1:12" s="3" customFormat="1" ht="21">
      <c r="A1" s="1" t="s">
        <v>133</v>
      </c>
      <c r="B1" s="2"/>
      <c r="C1" s="2"/>
    </row>
    <row r="2" spans="1:12" s="4" customFormat="1" ht="15"/>
    <row r="3" spans="1:12" s="4" customFormat="1" ht="15">
      <c r="A3" s="5" t="s">
        <v>95</v>
      </c>
      <c r="B3" s="6"/>
      <c r="C3" s="6"/>
      <c r="D3" s="6"/>
      <c r="E3" s="7" t="s">
        <v>135</v>
      </c>
    </row>
    <row r="4" spans="1:12" s="4" customFormat="1" ht="15">
      <c r="A4" s="6" t="s">
        <v>134</v>
      </c>
      <c r="B4" s="8">
        <v>-1</v>
      </c>
      <c r="E4" s="4" t="s">
        <v>5</v>
      </c>
      <c r="F4" s="74">
        <f>B7/B11</f>
        <v>0.25</v>
      </c>
      <c r="G4" s="25" t="str" cm="1">
        <f t="array" aca="1" ref="G4" ca="1">getformula(F4)</f>
        <v>&lt;--  =B7/B11</v>
      </c>
    </row>
    <row r="5" spans="1:12" s="4" customFormat="1" ht="15">
      <c r="A5" s="6" t="s">
        <v>14</v>
      </c>
      <c r="B5" s="6">
        <v>50</v>
      </c>
      <c r="E5" s="4" t="s">
        <v>2</v>
      </c>
      <c r="F5" s="74">
        <f>EXP(B10*SQRT(F4))</f>
        <v>1.1051709180756477</v>
      </c>
      <c r="G5" s="25" t="str" cm="1">
        <f t="array" aca="1" ref="G5" ca="1">getformula(F5)</f>
        <v>&lt;--  =EXP(B10*SQRT(F4))</v>
      </c>
      <c r="K5" s="4" t="s">
        <v>9</v>
      </c>
    </row>
    <row r="6" spans="1:12" s="4" customFormat="1" ht="15">
      <c r="A6" s="6" t="s">
        <v>15</v>
      </c>
      <c r="B6" s="6">
        <v>50</v>
      </c>
      <c r="E6" s="4" t="s">
        <v>3</v>
      </c>
      <c r="F6" s="74">
        <f>1/F5</f>
        <v>0.90483741803595952</v>
      </c>
      <c r="G6" s="25" t="str" cm="1">
        <f t="array" aca="1" ref="G6" ca="1">getformula(F6)</f>
        <v>&lt;--  =1/F5</v>
      </c>
      <c r="K6" s="4" t="s">
        <v>10</v>
      </c>
    </row>
    <row r="7" spans="1:12" s="4" customFormat="1" ht="15">
      <c r="A7" s="6" t="s">
        <v>56</v>
      </c>
      <c r="B7" s="6">
        <v>0.5</v>
      </c>
      <c r="C7" s="4" t="s">
        <v>20</v>
      </c>
      <c r="E7" s="4" t="s">
        <v>4</v>
      </c>
      <c r="F7" s="74">
        <f>(EXP((B8-B9)*F4)-F6)/(F5-F6)</f>
        <v>0.53780837195641396</v>
      </c>
      <c r="G7" s="25" t="str" cm="1">
        <f t="array" aca="1" ref="G7" ca="1">getformula(F7)</f>
        <v>&lt;--  =(EXP((B8-B9)*F4)-F6)/(F5-F6)</v>
      </c>
      <c r="K7" s="4" t="s">
        <v>13</v>
      </c>
    </row>
    <row r="8" spans="1:12" s="4" customFormat="1" ht="15">
      <c r="A8" s="6" t="s">
        <v>52</v>
      </c>
      <c r="B8" s="73">
        <v>0.08</v>
      </c>
      <c r="E8" s="4" t="s">
        <v>129</v>
      </c>
      <c r="F8" s="74">
        <f>EXP(-B8*F4)</f>
        <v>0.98019867330675525</v>
      </c>
      <c r="G8" s="25" t="str" cm="1">
        <f t="array" aca="1" ref="G8" ca="1">getformula(F8)</f>
        <v>&lt;--  =EXP(-B8*F4)</v>
      </c>
      <c r="K8" s="4" t="s">
        <v>44</v>
      </c>
    </row>
    <row r="9" spans="1:12" s="4" customFormat="1" ht="15">
      <c r="A9" s="6" t="s">
        <v>57</v>
      </c>
      <c r="B9" s="73">
        <v>0.03</v>
      </c>
    </row>
    <row r="10" spans="1:12" s="4" customFormat="1" ht="15">
      <c r="A10" s="6" t="s">
        <v>21</v>
      </c>
      <c r="B10" s="73">
        <v>0.2</v>
      </c>
      <c r="E10" s="10" t="s">
        <v>16</v>
      </c>
      <c r="F10" s="11"/>
      <c r="G10" s="11"/>
      <c r="H10" s="11"/>
      <c r="I10" s="11"/>
      <c r="J10" s="11"/>
      <c r="K10" s="11"/>
      <c r="L10" s="12"/>
    </row>
    <row r="11" spans="1:12" s="4" customFormat="1" ht="15">
      <c r="A11" s="6" t="s">
        <v>22</v>
      </c>
      <c r="B11" s="6">
        <v>2</v>
      </c>
      <c r="E11" s="13" t="s">
        <v>53</v>
      </c>
      <c r="F11" s="14"/>
      <c r="G11" s="14"/>
      <c r="H11" s="14"/>
      <c r="I11" s="14"/>
      <c r="J11" s="14"/>
      <c r="K11" s="14"/>
      <c r="L11" s="15"/>
    </row>
    <row r="12" spans="1:12" s="4" customFormat="1" ht="15">
      <c r="E12" s="13" t="s">
        <v>77</v>
      </c>
      <c r="F12" s="14"/>
      <c r="G12" s="14"/>
      <c r="H12" s="14"/>
      <c r="I12" s="14"/>
      <c r="J12" s="14"/>
      <c r="K12" s="14"/>
      <c r="L12" s="15"/>
    </row>
    <row r="13" spans="1:12" s="4" customFormat="1" ht="15">
      <c r="A13" s="16"/>
      <c r="E13" s="13" t="s">
        <v>78</v>
      </c>
      <c r="F13" s="14"/>
      <c r="G13" s="14"/>
      <c r="H13" s="14"/>
      <c r="I13" s="14"/>
      <c r="J13" s="14"/>
      <c r="K13" s="14"/>
      <c r="L13" s="15"/>
    </row>
    <row r="14" spans="1:12" s="4" customFormat="1" ht="15">
      <c r="A14" s="17"/>
      <c r="E14" s="13" t="s">
        <v>93</v>
      </c>
      <c r="F14" s="14"/>
      <c r="G14" s="14"/>
      <c r="H14" s="14"/>
      <c r="I14" s="14"/>
      <c r="J14" s="14"/>
      <c r="K14" s="14"/>
      <c r="L14" s="15"/>
    </row>
    <row r="15" spans="1:12" s="4" customFormat="1" ht="15">
      <c r="A15" s="17"/>
      <c r="E15" s="13" t="s">
        <v>94</v>
      </c>
      <c r="F15" s="14"/>
      <c r="G15" s="14"/>
      <c r="H15" s="14"/>
      <c r="I15" s="14"/>
      <c r="J15" s="14"/>
      <c r="K15" s="14"/>
      <c r="L15" s="15"/>
    </row>
    <row r="16" spans="1:12" s="4" customFormat="1" ht="15">
      <c r="A16" s="7" t="s">
        <v>30</v>
      </c>
      <c r="E16" s="18" t="s">
        <v>79</v>
      </c>
      <c r="F16" s="19"/>
      <c r="G16" s="19"/>
      <c r="H16" s="19"/>
      <c r="I16" s="19"/>
      <c r="J16" s="19"/>
      <c r="K16" s="19"/>
      <c r="L16" s="20"/>
    </row>
    <row r="17" spans="1:7" s="4" customFormat="1" ht="15">
      <c r="A17" s="21" t="s">
        <v>6</v>
      </c>
      <c r="B17" s="7">
        <v>0</v>
      </c>
      <c r="C17" s="7">
        <v>1</v>
      </c>
      <c r="D17" s="7">
        <v>2</v>
      </c>
    </row>
    <row r="18" spans="1:7" s="4" customFormat="1" ht="15">
      <c r="A18" s="21" t="s">
        <v>7</v>
      </c>
      <c r="B18" s="22">
        <f>B17*$F$4</f>
        <v>0</v>
      </c>
      <c r="C18" s="22">
        <f>C17*$F$4</f>
        <v>0.25</v>
      </c>
      <c r="D18" s="22">
        <f>D17*$F$4</f>
        <v>0.5</v>
      </c>
    </row>
    <row r="19" spans="1:7" s="4" customFormat="1" ht="15"/>
    <row r="20" spans="1:7" s="4" customFormat="1" ht="15">
      <c r="A20" s="21" t="s">
        <v>89</v>
      </c>
      <c r="B20" s="23">
        <f>B5</f>
        <v>50</v>
      </c>
      <c r="C20" s="24">
        <f>B20*$F$5</f>
        <v>55.258545903782384</v>
      </c>
      <c r="D20" s="23">
        <f>C20*$F$5</f>
        <v>61.070137908008498</v>
      </c>
      <c r="F20" s="25" t="s">
        <v>92</v>
      </c>
      <c r="G20" s="25" t="str" cm="1">
        <f t="array" aca="1" ref="G20" ca="1">getformula(B20)</f>
        <v>&lt;--  =B5</v>
      </c>
    </row>
    <row r="21" spans="1:7" s="4" customFormat="1" ht="15">
      <c r="B21" s="23"/>
      <c r="C21" s="26">
        <f>IF(ROW()-ROW($B$20)&gt;C$17,"",B20*$F$6)</f>
        <v>45.241870901797974</v>
      </c>
      <c r="D21" s="23">
        <f>IF(ROW()-ROW($B$20)&gt;D$17,"",C20*$F$6)</f>
        <v>50</v>
      </c>
      <c r="F21" s="25" t="s">
        <v>80</v>
      </c>
      <c r="G21" s="25" t="str" cm="1">
        <f t="array" aca="1" ref="G21" ca="1">getformula(C20)</f>
        <v>&lt;--  =B20*$F$5</v>
      </c>
    </row>
    <row r="22" spans="1:7" s="4" customFormat="1" ht="15">
      <c r="B22" s="23"/>
      <c r="C22" s="23" t="str">
        <f>IF(ROW()-ROW($B$20)&gt;C$17,"",B21*$F$6)</f>
        <v/>
      </c>
      <c r="D22" s="23">
        <f>IF(ROW()-ROW($B$20)&gt;D$17,"",C21*$F$6)</f>
        <v>40.936537653899087</v>
      </c>
      <c r="F22" s="25" t="s">
        <v>81</v>
      </c>
      <c r="G22" s="25" t="str" cm="1">
        <f t="array" aca="1" ref="G22" ca="1">getformula(C21)</f>
        <v>&lt;--  =IF(ROW()-ROW($B$20)&gt;C$17,"",B20*$F$6)</v>
      </c>
    </row>
    <row r="23" spans="1:7" s="4" customFormat="1" ht="15">
      <c r="B23" s="23"/>
      <c r="C23" s="23"/>
      <c r="D23" s="23"/>
    </row>
    <row r="24" spans="1:7" s="4" customFormat="1" ht="15">
      <c r="A24" s="21" t="s">
        <v>90</v>
      </c>
      <c r="B24" s="23"/>
      <c r="C24" s="23"/>
      <c r="D24" s="23"/>
    </row>
    <row r="25" spans="1:7" s="4" customFormat="1" ht="15">
      <c r="B25" s="22">
        <f>IF(B20="", "", ($F$7*C25+(1-$F$7)*C26)*$F$8)</f>
        <v>0</v>
      </c>
      <c r="C25" s="27">
        <f>IF(C20="", "", ($F$7*D25+(1-$F$7)*D26)*$F$8)</f>
        <v>0</v>
      </c>
      <c r="D25" s="28">
        <f>MAX($B$4*(D20-$B$6),0)</f>
        <v>0</v>
      </c>
      <c r="F25" s="25" t="s">
        <v>82</v>
      </c>
      <c r="G25" s="25" t="str" cm="1">
        <f t="array" aca="1" ref="G25" ca="1">getformula(D25)</f>
        <v>&lt;--  =MAX($B$4*(D20-$B$6),0)</v>
      </c>
    </row>
    <row r="26" spans="1:7" s="4" customFormat="1" ht="15">
      <c r="B26" s="22" t="str">
        <f t="shared" ref="B26:C27" si="0">IF(B21="", "", ($F$7*C26+(1-$F$7)*C27)*$F$8)</f>
        <v/>
      </c>
      <c r="C26" s="22"/>
      <c r="D26" s="22">
        <f>MAX($B$4*(D21-$B$6),0)</f>
        <v>0</v>
      </c>
      <c r="F26" s="25" t="s">
        <v>83</v>
      </c>
      <c r="G26" s="25" t="str" cm="1">
        <f t="array" aca="1" ref="G26" ca="1">getformula(C25)</f>
        <v>&lt;--  =IF(C20="", "", ($F$7*D25+(1-$F$7)*D26)*$F$8)</v>
      </c>
    </row>
    <row r="27" spans="1:7" s="4" customFormat="1" ht="15">
      <c r="B27" s="22" t="str">
        <f t="shared" si="0"/>
        <v/>
      </c>
      <c r="C27" s="22" t="str">
        <f t="shared" si="0"/>
        <v/>
      </c>
      <c r="D27" s="22">
        <f>MAX($B$4*(D22-$B$6),0)</f>
        <v>9.0634623461009127</v>
      </c>
    </row>
    <row r="28" spans="1:7" s="4" customFormat="1" ht="15"/>
    <row r="29" spans="1:7" s="4" customFormat="1" ht="15"/>
    <row r="30" spans="1:7" s="4" customFormat="1" ht="15"/>
    <row r="31" spans="1:7" s="4" customFormat="1" ht="15"/>
    <row r="32" spans="1:7" s="4" customFormat="1" ht="15"/>
  </sheetData>
  <phoneticPr fontId="23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59"/>
  <sheetViews>
    <sheetView tabSelected="1" topLeftCell="A25" zoomScale="115" workbookViewId="0">
      <selection activeCell="U23" sqref="U23"/>
    </sheetView>
  </sheetViews>
  <sheetFormatPr baseColWidth="10" defaultColWidth="8.6640625" defaultRowHeight="15"/>
  <cols>
    <col min="1" max="1" width="25.6640625" style="4" customWidth="1"/>
    <col min="2" max="4" width="8.6640625" style="4"/>
    <col min="5" max="5" width="11.6640625" style="4" customWidth="1"/>
    <col min="6" max="11" width="8.6640625" style="4"/>
    <col min="12" max="12" width="9.1640625" style="4" customWidth="1"/>
    <col min="13" max="16384" width="8.6640625" style="4"/>
  </cols>
  <sheetData>
    <row r="1" spans="1:12" s="3" customFormat="1" ht="21">
      <c r="A1" s="1" t="s">
        <v>133</v>
      </c>
      <c r="B1" s="2"/>
      <c r="C1" s="2"/>
    </row>
    <row r="3" spans="1:12">
      <c r="A3" s="5" t="s">
        <v>95</v>
      </c>
      <c r="B3" s="6"/>
      <c r="C3" s="6"/>
      <c r="D3" s="6"/>
      <c r="E3" s="7" t="s">
        <v>135</v>
      </c>
    </row>
    <row r="4" spans="1:12">
      <c r="A4" s="6" t="s">
        <v>134</v>
      </c>
      <c r="B4" s="8">
        <v>-1</v>
      </c>
      <c r="E4" s="4" t="s">
        <v>5</v>
      </c>
      <c r="F4" s="74">
        <f>B7/B11</f>
        <v>5.5555555555555552E-2</v>
      </c>
      <c r="G4" s="25" t="str" cm="1">
        <f t="array" aca="1" ref="G4" ca="1">getformula(F4)</f>
        <v>&lt;--  =B7/B11</v>
      </c>
    </row>
    <row r="5" spans="1:12">
      <c r="A5" s="6" t="s">
        <v>14</v>
      </c>
      <c r="B5" s="6">
        <v>50</v>
      </c>
      <c r="E5" s="4" t="s">
        <v>2</v>
      </c>
      <c r="F5" s="74">
        <f>EXP(B10*SQRT(F4))</f>
        <v>1.0482692303335082</v>
      </c>
      <c r="G5" s="25" t="str" cm="1">
        <f t="array" aca="1" ref="G5" ca="1">getformula(F5)</f>
        <v>&lt;--  =EXP(B10*SQRT(F4))</v>
      </c>
      <c r="K5" s="4" t="s">
        <v>9</v>
      </c>
    </row>
    <row r="6" spans="1:12">
      <c r="A6" s="6" t="s">
        <v>15</v>
      </c>
      <c r="B6" s="6">
        <v>50</v>
      </c>
      <c r="E6" s="4" t="s">
        <v>3</v>
      </c>
      <c r="F6" s="74">
        <f>1/F5</f>
        <v>0.95395340344183222</v>
      </c>
      <c r="G6" s="25" t="str" cm="1">
        <f t="array" aca="1" ref="G6" ca="1">getformula(F6)</f>
        <v>&lt;--  =1/F5</v>
      </c>
      <c r="K6" s="4" t="s">
        <v>10</v>
      </c>
    </row>
    <row r="7" spans="1:12">
      <c r="A7" s="6" t="s">
        <v>56</v>
      </c>
      <c r="B7" s="6">
        <v>0.5</v>
      </c>
      <c r="C7" s="4" t="s">
        <v>20</v>
      </c>
      <c r="E7" s="4" t="s">
        <v>4</v>
      </c>
      <c r="F7" s="74">
        <f>(EXP((B8-B9)*F4)-F6)/(F5-F6)</f>
        <v>0.51770988544101337</v>
      </c>
      <c r="G7" s="25" t="str" cm="1">
        <f t="array" aca="1" ref="G7" ca="1">getformula(F7)</f>
        <v>&lt;--  =(EXP((B8-B9)*F4)-F6)/(F5-F6)</v>
      </c>
      <c r="K7" s="4" t="s">
        <v>13</v>
      </c>
    </row>
    <row r="8" spans="1:12">
      <c r="A8" s="6" t="s">
        <v>52</v>
      </c>
      <c r="B8" s="73">
        <v>0.08</v>
      </c>
      <c r="E8" s="4" t="s">
        <v>129</v>
      </c>
      <c r="F8" s="74">
        <f>EXP(-B8*F4)</f>
        <v>0.9955654174830928</v>
      </c>
      <c r="G8" s="25" t="str" cm="1">
        <f t="array" aca="1" ref="G8" ca="1">getformula(F8)</f>
        <v>&lt;--  =EXP(-B8*F4)</v>
      </c>
      <c r="K8" s="4" t="s">
        <v>44</v>
      </c>
    </row>
    <row r="9" spans="1:12">
      <c r="A9" s="6" t="s">
        <v>57</v>
      </c>
      <c r="B9" s="73">
        <v>0.03</v>
      </c>
    </row>
    <row r="10" spans="1:12">
      <c r="A10" s="6" t="s">
        <v>21</v>
      </c>
      <c r="B10" s="73">
        <v>0.2</v>
      </c>
      <c r="E10" s="10" t="s">
        <v>16</v>
      </c>
      <c r="F10" s="11"/>
      <c r="G10" s="11"/>
      <c r="H10" s="11"/>
      <c r="I10" s="11"/>
      <c r="J10" s="11"/>
      <c r="K10" s="11"/>
      <c r="L10" s="12"/>
    </row>
    <row r="11" spans="1:12">
      <c r="A11" s="6" t="s">
        <v>22</v>
      </c>
      <c r="B11" s="6">
        <v>9</v>
      </c>
      <c r="E11" s="13" t="s">
        <v>53</v>
      </c>
      <c r="F11" s="14"/>
      <c r="G11" s="14"/>
      <c r="H11" s="14"/>
      <c r="I11" s="14"/>
      <c r="J11" s="14"/>
      <c r="K11" s="14"/>
      <c r="L11" s="15"/>
    </row>
    <row r="12" spans="1:12">
      <c r="E12" s="13" t="s">
        <v>77</v>
      </c>
      <c r="F12" s="14"/>
      <c r="G12" s="14"/>
      <c r="H12" s="14"/>
      <c r="I12" s="14"/>
      <c r="J12" s="14"/>
      <c r="K12" s="14"/>
      <c r="L12" s="15"/>
    </row>
    <row r="13" spans="1:12">
      <c r="A13" s="16"/>
      <c r="E13" s="13" t="s">
        <v>78</v>
      </c>
      <c r="F13" s="14"/>
      <c r="G13" s="14"/>
      <c r="H13" s="14"/>
      <c r="I13" s="14"/>
      <c r="J13" s="14"/>
      <c r="K13" s="14"/>
      <c r="L13" s="15"/>
    </row>
    <row r="14" spans="1:12">
      <c r="A14" s="17"/>
      <c r="E14" s="13" t="s">
        <v>93</v>
      </c>
      <c r="F14" s="14"/>
      <c r="G14" s="14"/>
      <c r="H14" s="14"/>
      <c r="I14" s="14"/>
      <c r="J14" s="14"/>
      <c r="K14" s="14"/>
      <c r="L14" s="15"/>
    </row>
    <row r="15" spans="1:12">
      <c r="A15" s="17"/>
      <c r="E15" s="13" t="s">
        <v>94</v>
      </c>
      <c r="F15" s="14"/>
      <c r="G15" s="14"/>
      <c r="H15" s="14"/>
      <c r="I15" s="14"/>
      <c r="J15" s="14"/>
      <c r="K15" s="14"/>
      <c r="L15" s="15"/>
    </row>
    <row r="16" spans="1:12">
      <c r="A16" s="7" t="s">
        <v>30</v>
      </c>
      <c r="E16" s="18" t="s">
        <v>79</v>
      </c>
      <c r="F16" s="19"/>
      <c r="G16" s="19"/>
      <c r="H16" s="19"/>
      <c r="I16" s="19"/>
      <c r="J16" s="19"/>
      <c r="K16" s="19"/>
      <c r="L16" s="20"/>
    </row>
    <row r="17" spans="1:14">
      <c r="A17" s="21" t="s">
        <v>6</v>
      </c>
      <c r="B17" s="7">
        <v>0</v>
      </c>
      <c r="C17" s="7">
        <v>1</v>
      </c>
      <c r="D17" s="7">
        <v>2</v>
      </c>
      <c r="E17" s="7">
        <v>3</v>
      </c>
      <c r="F17" s="7">
        <v>4</v>
      </c>
      <c r="G17" s="7">
        <v>5</v>
      </c>
      <c r="H17" s="7">
        <v>6</v>
      </c>
      <c r="I17" s="7">
        <v>7</v>
      </c>
      <c r="J17" s="7">
        <v>8</v>
      </c>
      <c r="K17" s="7">
        <v>9</v>
      </c>
    </row>
    <row r="18" spans="1:14">
      <c r="A18" s="21" t="s">
        <v>7</v>
      </c>
      <c r="B18" s="22">
        <f>B17*dt</f>
        <v>0</v>
      </c>
      <c r="C18" s="22">
        <f>C17*dt</f>
        <v>5.5555555555555552E-2</v>
      </c>
      <c r="D18" s="22">
        <f t="shared" ref="D18:K18" si="0">D17*dt</f>
        <v>0.1111111111111111</v>
      </c>
      <c r="E18" s="22">
        <f t="shared" si="0"/>
        <v>0.16666666666666666</v>
      </c>
      <c r="F18" s="22">
        <f t="shared" si="0"/>
        <v>0.22222222222222221</v>
      </c>
      <c r="G18" s="22">
        <f t="shared" si="0"/>
        <v>0.27777777777777779</v>
      </c>
      <c r="H18" s="22">
        <f t="shared" si="0"/>
        <v>0.33333333333333331</v>
      </c>
      <c r="I18" s="22">
        <f t="shared" si="0"/>
        <v>0.38888888888888884</v>
      </c>
      <c r="J18" s="22">
        <f t="shared" si="0"/>
        <v>0.44444444444444442</v>
      </c>
      <c r="K18" s="22">
        <f t="shared" si="0"/>
        <v>0.5</v>
      </c>
    </row>
    <row r="19" spans="1:14">
      <c r="A19" s="30"/>
    </row>
    <row r="20" spans="1:14">
      <c r="A20" s="21" t="s">
        <v>8</v>
      </c>
      <c r="B20" s="31">
        <f>S</f>
        <v>50</v>
      </c>
      <c r="C20" s="32">
        <f>B20*u</f>
        <v>52.413461516675412</v>
      </c>
      <c r="D20" s="31">
        <f t="shared" ref="D20:I20" si="1">C20*u</f>
        <v>54.94341896320028</v>
      </c>
      <c r="E20" s="31">
        <f t="shared" si="1"/>
        <v>57.595495508445431</v>
      </c>
      <c r="F20" s="31">
        <f t="shared" si="1"/>
        <v>60.375585747315121</v>
      </c>
      <c r="G20" s="31">
        <f t="shared" si="1"/>
        <v>63.28986880227275</v>
      </c>
      <c r="H20" s="31">
        <f t="shared" si="1"/>
        <v>66.344822057267166</v>
      </c>
      <c r="I20" s="31">
        <f t="shared" si="1"/>
        <v>69.547235554585001</v>
      </c>
      <c r="J20" s="31">
        <f>I20*u</f>
        <v>72.904227086628012</v>
      </c>
      <c r="K20" s="31">
        <f>J20*u</f>
        <v>76.42325801615884</v>
      </c>
      <c r="L20" s="25" t="str" cm="1">
        <f t="array" aca="1" ref="L20" ca="1">getformula(K20)</f>
        <v>&lt;--  =J20*u</v>
      </c>
    </row>
    <row r="21" spans="1:14">
      <c r="A21" s="30"/>
      <c r="B21" s="31"/>
      <c r="C21" s="33">
        <f t="shared" ref="C21:K29" si="2">IF(ROW()-ROW($B$20)&gt;C$17,"",B20*d)</f>
        <v>47.697670172091613</v>
      </c>
      <c r="D21" s="31">
        <f t="shared" si="2"/>
        <v>50.000000000000007</v>
      </c>
      <c r="E21" s="31">
        <f t="shared" si="2"/>
        <v>52.413461516675412</v>
      </c>
      <c r="F21" s="31">
        <f t="shared" si="2"/>
        <v>54.94341896320028</v>
      </c>
      <c r="G21" s="31">
        <f t="shared" si="2"/>
        <v>57.595495508445438</v>
      </c>
      <c r="H21" s="31">
        <f t="shared" si="2"/>
        <v>60.375585747315128</v>
      </c>
      <c r="I21" s="31">
        <f t="shared" si="2"/>
        <v>63.289868802272757</v>
      </c>
      <c r="J21" s="31">
        <f t="shared" si="2"/>
        <v>66.344822057267166</v>
      </c>
      <c r="K21" s="31">
        <f t="shared" si="2"/>
        <v>69.547235554585001</v>
      </c>
      <c r="L21" s="25" t="str" cm="1">
        <f t="array" aca="1" ref="L21" ca="1">getformula(K21)</f>
        <v>&lt;--  =IF(ROW()-ROW($B$20)&gt;K$17,"",J20*d)</v>
      </c>
    </row>
    <row r="22" spans="1:14">
      <c r="A22" s="30"/>
      <c r="B22" s="31"/>
      <c r="C22" s="31" t="str">
        <f t="shared" si="2"/>
        <v/>
      </c>
      <c r="D22" s="31">
        <f t="shared" si="2"/>
        <v>45.501354796912757</v>
      </c>
      <c r="E22" s="31">
        <f t="shared" si="2"/>
        <v>47.69767017209162</v>
      </c>
      <c r="F22" s="31">
        <f t="shared" si="2"/>
        <v>50.000000000000007</v>
      </c>
      <c r="G22" s="31">
        <f t="shared" si="2"/>
        <v>52.413461516675412</v>
      </c>
      <c r="H22" s="31">
        <f t="shared" si="2"/>
        <v>54.943418963200287</v>
      </c>
      <c r="I22" s="31">
        <f t="shared" si="2"/>
        <v>57.595495508445445</v>
      </c>
      <c r="J22" s="31">
        <f t="shared" si="2"/>
        <v>60.375585747315135</v>
      </c>
      <c r="K22" s="31">
        <f t="shared" si="2"/>
        <v>63.289868802272757</v>
      </c>
    </row>
    <row r="23" spans="1:14">
      <c r="A23" s="30"/>
      <c r="B23" s="31"/>
      <c r="C23" s="31" t="str">
        <f t="shared" si="2"/>
        <v/>
      </c>
      <c r="D23" s="31" t="str">
        <f t="shared" si="2"/>
        <v/>
      </c>
      <c r="E23" s="31">
        <f t="shared" si="2"/>
        <v>43.406172269729261</v>
      </c>
      <c r="F23" s="31">
        <f t="shared" si="2"/>
        <v>45.501354796912764</v>
      </c>
      <c r="G23" s="31">
        <f t="shared" si="2"/>
        <v>47.69767017209162</v>
      </c>
      <c r="H23" s="31">
        <f t="shared" si="2"/>
        <v>50.000000000000007</v>
      </c>
      <c r="I23" s="31">
        <f t="shared" si="2"/>
        <v>52.413461516675419</v>
      </c>
      <c r="J23" s="31">
        <f t="shared" si="2"/>
        <v>54.943418963200294</v>
      </c>
      <c r="K23" s="31">
        <f t="shared" si="2"/>
        <v>57.595495508445453</v>
      </c>
    </row>
    <row r="24" spans="1:14">
      <c r="A24" s="30"/>
      <c r="B24" s="31"/>
      <c r="C24" s="31" t="str">
        <f t="shared" si="2"/>
        <v/>
      </c>
      <c r="D24" s="31" t="str">
        <f t="shared" si="2"/>
        <v/>
      </c>
      <c r="E24" s="31" t="str">
        <f t="shared" si="2"/>
        <v/>
      </c>
      <c r="F24" s="31">
        <f t="shared" si="2"/>
        <v>41.407465767090706</v>
      </c>
      <c r="G24" s="31">
        <f t="shared" si="2"/>
        <v>43.406172269729268</v>
      </c>
      <c r="H24" s="31">
        <f t="shared" si="2"/>
        <v>45.501354796912764</v>
      </c>
      <c r="I24" s="31">
        <f t="shared" si="2"/>
        <v>47.69767017209162</v>
      </c>
      <c r="J24" s="31">
        <f t="shared" si="2"/>
        <v>50.000000000000014</v>
      </c>
      <c r="K24" s="31">
        <f t="shared" si="2"/>
        <v>52.413461516675426</v>
      </c>
    </row>
    <row r="25" spans="1:14">
      <c r="A25" s="30"/>
      <c r="B25" s="31"/>
      <c r="C25" s="31" t="str">
        <f t="shared" si="2"/>
        <v/>
      </c>
      <c r="D25" s="31" t="str">
        <f t="shared" si="2"/>
        <v/>
      </c>
      <c r="E25" s="31" t="str">
        <f t="shared" si="2"/>
        <v/>
      </c>
      <c r="F25" s="31" t="str">
        <f t="shared" si="2"/>
        <v/>
      </c>
      <c r="G25" s="31">
        <f t="shared" si="2"/>
        <v>39.500792896417337</v>
      </c>
      <c r="H25" s="31">
        <f t="shared" si="2"/>
        <v>41.407465767090713</v>
      </c>
      <c r="I25" s="31">
        <f t="shared" si="2"/>
        <v>43.406172269729268</v>
      </c>
      <c r="J25" s="31">
        <f t="shared" si="2"/>
        <v>45.501354796912764</v>
      </c>
      <c r="K25" s="31">
        <f t="shared" si="2"/>
        <v>47.697670172091627</v>
      </c>
    </row>
    <row r="26" spans="1:14">
      <c r="A26" s="30"/>
      <c r="B26" s="31"/>
      <c r="C26" s="31" t="str">
        <f t="shared" si="2"/>
        <v/>
      </c>
      <c r="D26" s="31" t="str">
        <f t="shared" si="2"/>
        <v/>
      </c>
      <c r="E26" s="31" t="str">
        <f t="shared" si="2"/>
        <v/>
      </c>
      <c r="F26" s="31" t="str">
        <f t="shared" si="2"/>
        <v/>
      </c>
      <c r="G26" s="31" t="str">
        <f t="shared" si="2"/>
        <v/>
      </c>
      <c r="H26" s="31">
        <f t="shared" si="2"/>
        <v>37.681915822188266</v>
      </c>
      <c r="I26" s="31">
        <f t="shared" si="2"/>
        <v>39.500792896417344</v>
      </c>
      <c r="J26" s="31">
        <f t="shared" si="2"/>
        <v>41.407465767090713</v>
      </c>
      <c r="K26" s="31">
        <f t="shared" si="2"/>
        <v>43.406172269729268</v>
      </c>
    </row>
    <row r="27" spans="1:14">
      <c r="A27" s="30"/>
      <c r="B27" s="31"/>
      <c r="C27" s="31" t="str">
        <f t="shared" si="2"/>
        <v/>
      </c>
      <c r="D27" s="31" t="str">
        <f t="shared" si="2"/>
        <v/>
      </c>
      <c r="E27" s="31" t="str">
        <f t="shared" si="2"/>
        <v/>
      </c>
      <c r="F27" s="31" t="str">
        <f t="shared" si="2"/>
        <v/>
      </c>
      <c r="G27" s="31" t="str">
        <f t="shared" si="2"/>
        <v/>
      </c>
      <c r="H27" s="31" t="str">
        <f t="shared" si="2"/>
        <v/>
      </c>
      <c r="I27" s="31">
        <f t="shared" si="2"/>
        <v>35.946791846785125</v>
      </c>
      <c r="J27" s="31">
        <f t="shared" si="2"/>
        <v>37.681915822188273</v>
      </c>
      <c r="K27" s="31">
        <f t="shared" si="2"/>
        <v>39.500792896417344</v>
      </c>
    </row>
    <row r="28" spans="1:14">
      <c r="A28" s="30"/>
      <c r="B28" s="31"/>
      <c r="C28" s="31" t="str">
        <f t="shared" si="2"/>
        <v/>
      </c>
      <c r="D28" s="31" t="str">
        <f t="shared" si="2"/>
        <v/>
      </c>
      <c r="E28" s="31" t="str">
        <f t="shared" si="2"/>
        <v/>
      </c>
      <c r="F28" s="31" t="str">
        <f t="shared" si="2"/>
        <v/>
      </c>
      <c r="G28" s="31" t="str">
        <f t="shared" si="2"/>
        <v/>
      </c>
      <c r="H28" s="31" t="str">
        <f t="shared" si="2"/>
        <v/>
      </c>
      <c r="I28" s="31" t="str">
        <f t="shared" si="2"/>
        <v/>
      </c>
      <c r="J28" s="31">
        <f t="shared" si="2"/>
        <v>34.291564425055775</v>
      </c>
      <c r="K28" s="31">
        <f t="shared" si="2"/>
        <v>35.946791846785132</v>
      </c>
    </row>
    <row r="29" spans="1:14">
      <c r="A29" s="30"/>
      <c r="B29" s="31"/>
      <c r="C29" s="31" t="str">
        <f t="shared" si="2"/>
        <v/>
      </c>
      <c r="D29" s="31" t="str">
        <f t="shared" si="2"/>
        <v/>
      </c>
      <c r="E29" s="31" t="str">
        <f t="shared" si="2"/>
        <v/>
      </c>
      <c r="F29" s="31" t="str">
        <f t="shared" si="2"/>
        <v/>
      </c>
      <c r="G29" s="31" t="str">
        <f t="shared" si="2"/>
        <v/>
      </c>
      <c r="H29" s="31" t="str">
        <f t="shared" si="2"/>
        <v/>
      </c>
      <c r="I29" s="31" t="str">
        <f t="shared" si="2"/>
        <v/>
      </c>
      <c r="J29" s="31" t="str">
        <f t="shared" si="2"/>
        <v/>
      </c>
      <c r="K29" s="31">
        <f t="shared" si="2"/>
        <v>32.712554592626816</v>
      </c>
    </row>
    <row r="30" spans="1:14">
      <c r="A30" s="30"/>
    </row>
    <row r="31" spans="1:14">
      <c r="A31" s="34" t="str">
        <f>"Euro " &amp; IF(OptType=1,"Call", "Put") &amp; " price"</f>
        <v>Euro Put price</v>
      </c>
      <c r="B31" s="31">
        <f t="shared" ref="B31:B39" si="3">IF(B20="","",(p*C31+(1-p)*C32)*pv)</f>
        <v>2.2501399428155198</v>
      </c>
      <c r="C31" s="31">
        <f t="shared" ref="C31:J31" si="4">IF(C20="","",(p*D31+(1-p)*D32)*pv)</f>
        <v>1.34593801698735</v>
      </c>
      <c r="D31" s="31">
        <f t="shared" si="4"/>
        <v>0.68107450542327508</v>
      </c>
      <c r="E31" s="31">
        <f t="shared" si="4"/>
        <v>0.26250368473340641</v>
      </c>
      <c r="F31" s="31">
        <f t="shared" si="4"/>
        <v>5.8756829482277138E-2</v>
      </c>
      <c r="G31" s="31">
        <f t="shared" si="4"/>
        <v>0</v>
      </c>
      <c r="H31" s="31">
        <f t="shared" si="4"/>
        <v>0</v>
      </c>
      <c r="I31" s="31">
        <f t="shared" si="4"/>
        <v>0</v>
      </c>
      <c r="J31" s="35">
        <f t="shared" si="4"/>
        <v>0</v>
      </c>
      <c r="K31" s="36">
        <f>MAX(0,OptType*(K20-K))</f>
        <v>0</v>
      </c>
      <c r="M31" s="25" t="s">
        <v>136</v>
      </c>
      <c r="N31" s="25" t="str" cm="1">
        <f t="array" aca="1" ref="N31" ca="1">getformula(K31)</f>
        <v>&lt;--  =MAX(0,OptType*(K20-K))</v>
      </c>
    </row>
    <row r="32" spans="1:14">
      <c r="B32" s="31" t="str">
        <f t="shared" si="3"/>
        <v/>
      </c>
      <c r="C32" s="31">
        <f t="shared" ref="C32:C39" si="5">IF(C21="","",(p*D32+(1-p)*D33)*pv)</f>
        <v>3.2415290248956636</v>
      </c>
      <c r="D32" s="31">
        <f t="shared" ref="D32:D39" si="6">IF(D21="","",(p*E32+(1-p)*E33)*pv)</f>
        <v>2.0720604514035696</v>
      </c>
      <c r="E32" s="31">
        <f t="shared" ref="E32:E39" si="7">IF(E21="","",(p*F32+(1-p)*F33)*pv)</f>
        <v>1.1366757699638095</v>
      </c>
      <c r="F32" s="31">
        <f t="shared" ref="F32:F39" si="8">IF(F21="","",(p*G32+(1-p)*G33)*pv)</f>
        <v>0.48363830348046516</v>
      </c>
      <c r="G32" s="31">
        <f t="shared" ref="G32:G39" si="9">IF(G21="","",(p*H32+(1-p)*H33)*pv)</f>
        <v>0.12237147380815926</v>
      </c>
      <c r="H32" s="31">
        <f t="shared" ref="H32:H39" si="10">IF(H21="","",(p*I32+(1-p)*I33)*pv)</f>
        <v>0</v>
      </c>
      <c r="I32" s="31">
        <f t="shared" ref="I32:I39" si="11">IF(I21="","",(p*J32+(1-p)*J33)*pv)</f>
        <v>0</v>
      </c>
      <c r="J32" s="31">
        <f t="shared" ref="J32:J39" si="12">IF(J21="","",(p*K32+(1-p)*K33)*pv)</f>
        <v>0</v>
      </c>
      <c r="K32" s="31">
        <f t="shared" ref="K32:K40" si="13">MAX(0,OptType*(K21-K))</f>
        <v>0</v>
      </c>
      <c r="M32" s="25" t="s">
        <v>137</v>
      </c>
      <c r="N32" s="25" t="str" cm="1">
        <f t="array" aca="1" ref="N32" ca="1">getformula(J31)</f>
        <v>&lt;--  =IF(J20="","",(p*K31+(1-p)*K32)*pv)</v>
      </c>
    </row>
    <row r="33" spans="2:11">
      <c r="B33" s="31" t="str">
        <f t="shared" si="3"/>
        <v/>
      </c>
      <c r="C33" s="31" t="str">
        <f t="shared" si="5"/>
        <v/>
      </c>
      <c r="D33" s="31">
        <f>IF(D22="","",(p*E33+(1-p)*E34)*pv)</f>
        <v>4.5268224214366626</v>
      </c>
      <c r="E33" s="31">
        <f t="shared" si="7"/>
        <v>3.095277668764568</v>
      </c>
      <c r="F33" s="31">
        <f t="shared" si="8"/>
        <v>1.8481709405917812</v>
      </c>
      <c r="G33" s="31">
        <f t="shared" si="9"/>
        <v>0.87590364465656034</v>
      </c>
      <c r="H33" s="31">
        <f t="shared" si="10"/>
        <v>0.25486020491452588</v>
      </c>
      <c r="I33" s="31">
        <f t="shared" si="11"/>
        <v>0</v>
      </c>
      <c r="J33" s="31">
        <f t="shared" si="12"/>
        <v>0</v>
      </c>
      <c r="K33" s="31">
        <f t="shared" si="13"/>
        <v>0</v>
      </c>
    </row>
    <row r="34" spans="2:11">
      <c r="B34" s="31" t="str">
        <f t="shared" si="3"/>
        <v/>
      </c>
      <c r="C34" s="31" t="str">
        <f t="shared" si="5"/>
        <v/>
      </c>
      <c r="D34" s="31" t="str">
        <f>IF(D23="","",(p*E34+(1-p)*E35)*pv)</f>
        <v/>
      </c>
      <c r="E34" s="31">
        <f t="shared" si="7"/>
        <v>6.1053097952337039</v>
      </c>
      <c r="F34" s="31">
        <f t="shared" si="8"/>
        <v>4.4625602795658388</v>
      </c>
      <c r="G34" s="31">
        <f t="shared" si="9"/>
        <v>2.9089116620686752</v>
      </c>
      <c r="H34" s="31">
        <f t="shared" si="10"/>
        <v>1.5506466821709621</v>
      </c>
      <c r="I34" s="31">
        <f t="shared" si="11"/>
        <v>0.53079138485249866</v>
      </c>
      <c r="J34" s="31">
        <f t="shared" si="12"/>
        <v>0</v>
      </c>
      <c r="K34" s="31">
        <f t="shared" si="13"/>
        <v>0</v>
      </c>
    </row>
    <row r="35" spans="2:11">
      <c r="B35" s="31" t="str">
        <f t="shared" si="3"/>
        <v/>
      </c>
      <c r="C35" s="31" t="str">
        <f t="shared" si="5"/>
        <v/>
      </c>
      <c r="D35" s="31" t="str">
        <f t="shared" si="6"/>
        <v/>
      </c>
      <c r="E35" s="31" t="str">
        <f t="shared" si="7"/>
        <v/>
      </c>
      <c r="F35" s="31">
        <f t="shared" si="8"/>
        <v>7.9250915739998016</v>
      </c>
      <c r="G35" s="31">
        <f t="shared" si="9"/>
        <v>6.1715254110906388</v>
      </c>
      <c r="H35" s="31">
        <f t="shared" si="10"/>
        <v>4.3937948359112671</v>
      </c>
      <c r="I35" s="31">
        <f t="shared" si="11"/>
        <v>2.6597224309145671</v>
      </c>
      <c r="J35" s="31">
        <f t="shared" si="12"/>
        <v>1.1054667963094598</v>
      </c>
      <c r="K35" s="31">
        <f t="shared" si="13"/>
        <v>0</v>
      </c>
    </row>
    <row r="36" spans="2:11">
      <c r="B36" s="31" t="str">
        <f t="shared" si="3"/>
        <v/>
      </c>
      <c r="C36" s="31" t="str">
        <f t="shared" si="5"/>
        <v/>
      </c>
      <c r="D36" s="31" t="str">
        <f t="shared" si="6"/>
        <v/>
      </c>
      <c r="E36" s="31" t="str">
        <f t="shared" si="7"/>
        <v/>
      </c>
      <c r="F36" s="31" t="str">
        <f t="shared" si="8"/>
        <v/>
      </c>
      <c r="G36" s="31">
        <f t="shared" si="9"/>
        <v>9.8806356058129818</v>
      </c>
      <c r="H36" s="31">
        <f t="shared" si="10"/>
        <v>8.1368129203607484</v>
      </c>
      <c r="I36" s="31">
        <f t="shared" si="11"/>
        <v>6.2957991178987864</v>
      </c>
      <c r="J36" s="31">
        <f t="shared" si="12"/>
        <v>4.3526885073384074</v>
      </c>
      <c r="K36" s="31">
        <f>MAX(0,OptType*(K25-K))</f>
        <v>2.3023298279083733</v>
      </c>
    </row>
    <row r="37" spans="2:11">
      <c r="B37" s="31" t="str">
        <f t="shared" si="3"/>
        <v/>
      </c>
      <c r="C37" s="31" t="str">
        <f t="shared" si="5"/>
        <v/>
      </c>
      <c r="D37" s="31" t="str">
        <f t="shared" si="6"/>
        <v/>
      </c>
      <c r="E37" s="31" t="str">
        <f t="shared" si="7"/>
        <v/>
      </c>
      <c r="F37" s="31" t="str">
        <f t="shared" si="8"/>
        <v/>
      </c>
      <c r="G37" s="31" t="str">
        <f t="shared" si="9"/>
        <v/>
      </c>
      <c r="H37" s="31">
        <f t="shared" si="10"/>
        <v>11.843781607394282</v>
      </c>
      <c r="I37" s="31">
        <f t="shared" si="11"/>
        <v>10.188182232431206</v>
      </c>
      <c r="J37" s="31">
        <f t="shared" si="12"/>
        <v>8.4397600715768597</v>
      </c>
      <c r="K37" s="31">
        <f t="shared" si="13"/>
        <v>6.593827730270732</v>
      </c>
    </row>
    <row r="38" spans="2:11">
      <c r="B38" s="31" t="str">
        <f t="shared" si="3"/>
        <v/>
      </c>
      <c r="C38" s="31" t="str">
        <f t="shared" si="5"/>
        <v/>
      </c>
      <c r="D38" s="31" t="str">
        <f t="shared" si="6"/>
        <v/>
      </c>
      <c r="E38" s="31" t="str">
        <f t="shared" si="7"/>
        <v/>
      </c>
      <c r="F38" s="31" t="str">
        <f t="shared" si="8"/>
        <v/>
      </c>
      <c r="G38" s="31" t="str">
        <f t="shared" si="9"/>
        <v/>
      </c>
      <c r="H38" s="31" t="str">
        <f t="shared" si="10"/>
        <v/>
      </c>
      <c r="I38" s="31">
        <f t="shared" si="11"/>
        <v>13.730356334428244</v>
      </c>
      <c r="J38" s="31">
        <f t="shared" si="12"/>
        <v>12.159105938072594</v>
      </c>
      <c r="K38" s="31">
        <f t="shared" si="13"/>
        <v>10.499207103582656</v>
      </c>
    </row>
    <row r="39" spans="2:11">
      <c r="B39" s="31" t="str">
        <f t="shared" si="3"/>
        <v/>
      </c>
      <c r="C39" s="31" t="str">
        <f t="shared" si="5"/>
        <v/>
      </c>
      <c r="D39" s="31" t="str">
        <f t="shared" si="6"/>
        <v/>
      </c>
      <c r="E39" s="31" t="str">
        <f t="shared" si="7"/>
        <v/>
      </c>
      <c r="F39" s="31" t="str">
        <f t="shared" si="8"/>
        <v/>
      </c>
      <c r="G39" s="31" t="str">
        <f t="shared" si="9"/>
        <v/>
      </c>
      <c r="H39" s="31" t="str">
        <f t="shared" si="10"/>
        <v/>
      </c>
      <c r="I39" s="31" t="str">
        <f t="shared" si="11"/>
        <v/>
      </c>
      <c r="J39" s="31">
        <f t="shared" si="12"/>
        <v>15.543811455749664</v>
      </c>
      <c r="K39" s="31">
        <f t="shared" si="13"/>
        <v>14.053208153214868</v>
      </c>
    </row>
    <row r="40" spans="2:11">
      <c r="B40" s="31" t="str">
        <f t="shared" ref="B40:J40" si="14">IF(B29="","",(p*C40+(1-p)*C48)*pv)</f>
        <v/>
      </c>
      <c r="C40" s="31" t="str">
        <f t="shared" si="14"/>
        <v/>
      </c>
      <c r="D40" s="31" t="str">
        <f t="shared" si="14"/>
        <v/>
      </c>
      <c r="E40" s="31" t="str">
        <f t="shared" si="14"/>
        <v/>
      </c>
      <c r="F40" s="31" t="str">
        <f t="shared" si="14"/>
        <v/>
      </c>
      <c r="G40" s="31" t="str">
        <f t="shared" si="14"/>
        <v/>
      </c>
      <c r="H40" s="31" t="str">
        <f t="shared" si="14"/>
        <v/>
      </c>
      <c r="I40" s="31" t="str">
        <f t="shared" si="14"/>
        <v/>
      </c>
      <c r="J40" s="31" t="str">
        <f t="shared" si="14"/>
        <v/>
      </c>
      <c r="K40" s="31">
        <f t="shared" si="13"/>
        <v>17.287445407373184</v>
      </c>
    </row>
    <row r="41" spans="2:11">
      <c r="B41" s="31"/>
      <c r="C41" s="31"/>
      <c r="D41" s="31"/>
      <c r="E41" s="31"/>
      <c r="F41" s="31"/>
      <c r="G41" s="31"/>
      <c r="H41" s="31"/>
      <c r="I41" s="31"/>
      <c r="J41" s="31"/>
      <c r="K41" s="31"/>
    </row>
    <row r="42" spans="2:11">
      <c r="B42" s="10" t="s">
        <v>17</v>
      </c>
      <c r="C42" s="37"/>
      <c r="D42" s="37"/>
      <c r="E42" s="37"/>
      <c r="F42" s="37"/>
      <c r="G42" s="37"/>
      <c r="H42" s="37"/>
      <c r="I42" s="37"/>
      <c r="J42" s="37"/>
      <c r="K42" s="38"/>
    </row>
    <row r="43" spans="2:11">
      <c r="B43" s="13" t="s">
        <v>84</v>
      </c>
      <c r="C43" s="39"/>
      <c r="D43" s="39"/>
      <c r="E43" s="39"/>
      <c r="F43" s="39"/>
      <c r="G43" s="39"/>
      <c r="H43" s="39"/>
      <c r="I43" s="39"/>
      <c r="J43" s="39"/>
      <c r="K43" s="40"/>
    </row>
    <row r="44" spans="2:11">
      <c r="B44" s="13" t="s">
        <v>85</v>
      </c>
      <c r="C44" s="39"/>
      <c r="D44" s="39"/>
      <c r="E44" s="39"/>
      <c r="F44" s="39"/>
      <c r="G44" s="39"/>
      <c r="H44" s="39"/>
      <c r="I44" s="39"/>
      <c r="J44" s="39"/>
      <c r="K44" s="40"/>
    </row>
    <row r="45" spans="2:11">
      <c r="B45" s="18" t="s">
        <v>86</v>
      </c>
      <c r="C45" s="41"/>
      <c r="D45" s="41"/>
      <c r="E45" s="41"/>
      <c r="F45" s="41"/>
      <c r="G45" s="41"/>
      <c r="H45" s="41"/>
      <c r="I45" s="41"/>
      <c r="J45" s="41"/>
      <c r="K45" s="42"/>
    </row>
    <row r="46" spans="2:11">
      <c r="B46" s="31"/>
      <c r="C46" s="31"/>
      <c r="D46" s="31"/>
      <c r="E46" s="31"/>
      <c r="F46" s="31"/>
      <c r="G46" s="31"/>
      <c r="H46" s="31"/>
      <c r="I46" s="31"/>
      <c r="J46" s="31"/>
      <c r="K46" s="31"/>
    </row>
    <row r="47" spans="2:11">
      <c r="B47" s="31"/>
      <c r="C47" s="31"/>
      <c r="D47" s="31"/>
      <c r="E47" s="31"/>
      <c r="F47" s="31"/>
      <c r="G47" s="31"/>
      <c r="H47" s="31"/>
      <c r="I47" s="31"/>
      <c r="J47" s="31"/>
      <c r="K47" s="31"/>
    </row>
    <row r="49" spans="1:14">
      <c r="A49" s="34" t="str">
        <f>"American " &amp; IF(OptType=1,"Call", "Put") &amp; " price"</f>
        <v>American Put price</v>
      </c>
      <c r="B49" s="31">
        <f t="shared" ref="B49:J49" si="15">IF(B20="","",MAX((p*C49+(1-p)*C50)*pv,MAX(OptType*(B20-K),0)))</f>
        <v>2.3713890117438945</v>
      </c>
      <c r="C49" s="31">
        <f t="shared" si="15"/>
        <v>1.3979179235989534</v>
      </c>
      <c r="D49" s="31">
        <f t="shared" si="15"/>
        <v>0.69827970719671495</v>
      </c>
      <c r="E49" s="31">
        <f t="shared" si="15"/>
        <v>0.26622858660452609</v>
      </c>
      <c r="F49" s="31">
        <f t="shared" si="15"/>
        <v>5.8756829482277138E-2</v>
      </c>
      <c r="G49" s="31">
        <f t="shared" si="15"/>
        <v>0</v>
      </c>
      <c r="H49" s="31">
        <f t="shared" si="15"/>
        <v>0</v>
      </c>
      <c r="I49" s="31">
        <f t="shared" si="15"/>
        <v>0</v>
      </c>
      <c r="J49" s="35">
        <f t="shared" si="15"/>
        <v>0</v>
      </c>
      <c r="K49" s="36">
        <f t="shared" ref="K49:K58" si="16">MAX(0,OptType*(K20-K))</f>
        <v>0</v>
      </c>
      <c r="M49" s="25" t="s">
        <v>87</v>
      </c>
      <c r="N49" s="25" t="str" cm="1">
        <f t="array" aca="1" ref="N49" ca="1">getformula(K49)</f>
        <v>&lt;--  =MAX(0,OptType*(K20-K))</v>
      </c>
    </row>
    <row r="50" spans="1:14">
      <c r="B50" s="31" t="str">
        <f t="shared" ref="B50:J50" si="17">IF(B21="","",MAX((p*C50+(1-p)*C51)*pv,MAX(OptType*(B21-K),0)))</f>
        <v/>
      </c>
      <c r="C50" s="31">
        <f t="shared" si="17"/>
        <v>3.4382542709989252</v>
      </c>
      <c r="D50" s="31">
        <f t="shared" si="17"/>
        <v>2.1618490210126562</v>
      </c>
      <c r="E50" s="31">
        <f t="shared" si="17"/>
        <v>1.1685101794455053</v>
      </c>
      <c r="F50" s="31">
        <f t="shared" si="17"/>
        <v>0.49139606944190417</v>
      </c>
      <c r="G50" s="31">
        <f t="shared" si="17"/>
        <v>0.12237147380815926</v>
      </c>
      <c r="H50" s="31">
        <f t="shared" si="17"/>
        <v>0</v>
      </c>
      <c r="I50" s="31">
        <f t="shared" si="17"/>
        <v>0</v>
      </c>
      <c r="J50" s="31">
        <f t="shared" si="17"/>
        <v>0</v>
      </c>
      <c r="K50" s="31">
        <f t="shared" si="16"/>
        <v>0</v>
      </c>
      <c r="M50" s="25" t="s">
        <v>88</v>
      </c>
      <c r="N50" s="25" t="str" cm="1">
        <f t="array" aca="1" ref="N50" ca="1">getformula(J49)</f>
        <v>&lt;--  =IF(J20="","",MAX((p*K49+(1-p)*K50)*pv,MAX(OptType*(J20-K),0)))</v>
      </c>
    </row>
    <row r="51" spans="1:14">
      <c r="B51" s="31" t="str">
        <f t="shared" ref="B51:J51" si="18">IF(B22="","",MAX((p*C51+(1-p)*C52)*pv,MAX(OptType*(B22-K),0)))</f>
        <v/>
      </c>
      <c r="C51" s="31" t="str">
        <f t="shared" si="18"/>
        <v/>
      </c>
      <c r="D51" s="31">
        <f t="shared" si="18"/>
        <v>4.8401547741625732</v>
      </c>
      <c r="E51" s="31">
        <f t="shared" si="18"/>
        <v>3.2481058676504935</v>
      </c>
      <c r="F51" s="31">
        <f t="shared" si="18"/>
        <v>1.9061442177855057</v>
      </c>
      <c r="G51" s="31">
        <f t="shared" si="18"/>
        <v>0.89206056228681485</v>
      </c>
      <c r="H51" s="31">
        <f t="shared" si="18"/>
        <v>0.25486020491452588</v>
      </c>
      <c r="I51" s="31">
        <f t="shared" si="18"/>
        <v>0</v>
      </c>
      <c r="J51" s="31">
        <f t="shared" si="18"/>
        <v>0</v>
      </c>
      <c r="K51" s="31">
        <f t="shared" si="16"/>
        <v>0</v>
      </c>
    </row>
    <row r="52" spans="1:14">
      <c r="B52" s="31" t="str">
        <f t="shared" ref="B52:J52" si="19">IF(B23="","",MAX((p*C52+(1-p)*C53)*pv,MAX(OptType*(B23-K),0)))</f>
        <v/>
      </c>
      <c r="C52" s="31" t="str">
        <f t="shared" si="19"/>
        <v/>
      </c>
      <c r="D52" s="31" t="str">
        <f t="shared" si="19"/>
        <v/>
      </c>
      <c r="E52" s="31">
        <f t="shared" si="19"/>
        <v>6.5938277302707391</v>
      </c>
      <c r="F52" s="31">
        <f t="shared" si="19"/>
        <v>4.718621112155593</v>
      </c>
      <c r="G52" s="31">
        <f t="shared" si="19"/>
        <v>3.0123077553069018</v>
      </c>
      <c r="H52" s="31">
        <f t="shared" si="19"/>
        <v>1.5842963164353101</v>
      </c>
      <c r="I52" s="31">
        <f t="shared" si="19"/>
        <v>0.53079138485249866</v>
      </c>
      <c r="J52" s="31">
        <f t="shared" si="19"/>
        <v>0</v>
      </c>
      <c r="K52" s="31">
        <f t="shared" si="16"/>
        <v>0</v>
      </c>
    </row>
    <row r="53" spans="1:14">
      <c r="B53" s="31" t="str">
        <f t="shared" ref="B53:J53" si="20">IF(B24="","",MAX((p*C53+(1-p)*C54)*pv,MAX(OptType*(B24-K),0)))</f>
        <v/>
      </c>
      <c r="C53" s="31" t="str">
        <f t="shared" si="20"/>
        <v/>
      </c>
      <c r="D53" s="31" t="str">
        <f t="shared" si="20"/>
        <v/>
      </c>
      <c r="E53" s="31" t="str">
        <f t="shared" si="20"/>
        <v/>
      </c>
      <c r="F53" s="31">
        <f t="shared" si="20"/>
        <v>8.5925342329092942</v>
      </c>
      <c r="G53" s="31">
        <f t="shared" si="20"/>
        <v>6.593827730270732</v>
      </c>
      <c r="H53" s="31">
        <f t="shared" si="20"/>
        <v>4.573014569493937</v>
      </c>
      <c r="I53" s="31">
        <f t="shared" si="20"/>
        <v>2.7298037367698433</v>
      </c>
      <c r="J53" s="31">
        <f t="shared" si="20"/>
        <v>1.1054667963094598</v>
      </c>
      <c r="K53" s="31">
        <f t="shared" si="16"/>
        <v>0</v>
      </c>
    </row>
    <row r="54" spans="1:14">
      <c r="B54" s="31" t="str">
        <f t="shared" ref="B54:J54" si="21">IF(B25="","",MAX((p*C54+(1-p)*C55)*pv,MAX(OptType*(B25-K),0)))</f>
        <v/>
      </c>
      <c r="C54" s="31" t="str">
        <f t="shared" si="21"/>
        <v/>
      </c>
      <c r="D54" s="31" t="str">
        <f t="shared" si="21"/>
        <v/>
      </c>
      <c r="E54" s="31" t="str">
        <f t="shared" si="21"/>
        <v/>
      </c>
      <c r="F54" s="31" t="str">
        <f t="shared" si="21"/>
        <v/>
      </c>
      <c r="G54" s="31">
        <f t="shared" si="21"/>
        <v>10.499207103582663</v>
      </c>
      <c r="H54" s="31">
        <f t="shared" si="21"/>
        <v>8.5925342329092871</v>
      </c>
      <c r="I54" s="31">
        <f t="shared" si="21"/>
        <v>6.593827730270732</v>
      </c>
      <c r="J54" s="31">
        <f t="shared" si="21"/>
        <v>4.4986452030872357</v>
      </c>
      <c r="K54" s="31">
        <f t="shared" si="16"/>
        <v>2.3023298279083733</v>
      </c>
    </row>
    <row r="55" spans="1:14">
      <c r="B55" s="31" t="str">
        <f t="shared" ref="B55:J55" si="22">IF(B26="","",MAX((p*C55+(1-p)*C56)*pv,MAX(OptType*(B26-K),0)))</f>
        <v/>
      </c>
      <c r="C55" s="31" t="str">
        <f t="shared" si="22"/>
        <v/>
      </c>
      <c r="D55" s="31" t="str">
        <f t="shared" si="22"/>
        <v/>
      </c>
      <c r="E55" s="31" t="str">
        <f t="shared" si="22"/>
        <v/>
      </c>
      <c r="F55" s="31" t="str">
        <f t="shared" si="22"/>
        <v/>
      </c>
      <c r="G55" s="31" t="str">
        <f t="shared" si="22"/>
        <v/>
      </c>
      <c r="H55" s="31">
        <f t="shared" si="22"/>
        <v>12.318084177811734</v>
      </c>
      <c r="I55" s="31">
        <f t="shared" si="22"/>
        <v>10.499207103582656</v>
      </c>
      <c r="J55" s="31">
        <f t="shared" si="22"/>
        <v>8.5925342329092871</v>
      </c>
      <c r="K55" s="31">
        <f t="shared" si="16"/>
        <v>6.593827730270732</v>
      </c>
    </row>
    <row r="56" spans="1:14">
      <c r="B56" s="31" t="str">
        <f t="shared" ref="B56:J56" si="23">IF(B27="","",MAX((p*C56+(1-p)*C57)*pv,MAX(OptType*(B27-K),0)))</f>
        <v/>
      </c>
      <c r="C56" s="31" t="str">
        <f t="shared" si="23"/>
        <v/>
      </c>
      <c r="D56" s="31" t="str">
        <f t="shared" si="23"/>
        <v/>
      </c>
      <c r="E56" s="31" t="str">
        <f t="shared" si="23"/>
        <v/>
      </c>
      <c r="F56" s="31" t="str">
        <f t="shared" si="23"/>
        <v/>
      </c>
      <c r="G56" s="31" t="str">
        <f t="shared" si="23"/>
        <v/>
      </c>
      <c r="H56" s="31" t="str">
        <f t="shared" si="23"/>
        <v/>
      </c>
      <c r="I56" s="31">
        <f t="shared" si="23"/>
        <v>14.053208153214875</v>
      </c>
      <c r="J56" s="31">
        <f t="shared" si="23"/>
        <v>12.318084177811727</v>
      </c>
      <c r="K56" s="31">
        <f t="shared" si="16"/>
        <v>10.499207103582656</v>
      </c>
    </row>
    <row r="57" spans="1:14">
      <c r="B57" s="31" t="str">
        <f t="shared" ref="B57:J57" si="24">IF(B28="","",MAX((p*C57+(1-p)*C58)*pv,MAX(OptType*(B28-K),0)))</f>
        <v/>
      </c>
      <c r="C57" s="31" t="str">
        <f t="shared" si="24"/>
        <v/>
      </c>
      <c r="D57" s="31" t="str">
        <f t="shared" si="24"/>
        <v/>
      </c>
      <c r="E57" s="31" t="str">
        <f t="shared" si="24"/>
        <v/>
      </c>
      <c r="F57" s="31" t="str">
        <f t="shared" si="24"/>
        <v/>
      </c>
      <c r="G57" s="31" t="str">
        <f t="shared" si="24"/>
        <v/>
      </c>
      <c r="H57" s="31" t="str">
        <f t="shared" si="24"/>
        <v/>
      </c>
      <c r="I57" s="31" t="str">
        <f t="shared" si="24"/>
        <v/>
      </c>
      <c r="J57" s="31">
        <f t="shared" si="24"/>
        <v>15.708435574944225</v>
      </c>
      <c r="K57" s="31">
        <f t="shared" si="16"/>
        <v>14.053208153214868</v>
      </c>
    </row>
    <row r="58" spans="1:14">
      <c r="C58" s="31"/>
      <c r="D58" s="31"/>
      <c r="E58" s="31"/>
      <c r="F58" s="31"/>
      <c r="G58" s="31"/>
      <c r="H58" s="31"/>
      <c r="I58" s="31"/>
      <c r="J58" s="31"/>
      <c r="K58" s="31">
        <f t="shared" si="16"/>
        <v>17.287445407373184</v>
      </c>
    </row>
    <row r="59" spans="1:14">
      <c r="C59" s="31"/>
      <c r="D59" s="31"/>
      <c r="E59" s="31"/>
      <c r="F59" s="31"/>
      <c r="G59" s="31"/>
      <c r="H59" s="31"/>
      <c r="I59" s="31"/>
      <c r="J59" s="31"/>
      <c r="K59" s="31"/>
    </row>
  </sheetData>
  <phoneticPr fontId="0" type="noConversion"/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49"/>
  <sheetViews>
    <sheetView zoomScale="86" zoomScaleNormal="100" workbookViewId="0">
      <selection activeCell="F41" sqref="F41"/>
    </sheetView>
  </sheetViews>
  <sheetFormatPr baseColWidth="10" defaultColWidth="8.6640625" defaultRowHeight="14"/>
  <cols>
    <col min="1" max="1" width="20.6640625" style="29" customWidth="1"/>
    <col min="2" max="2" width="17.33203125" style="29" bestFit="1" customWidth="1"/>
    <col min="3" max="3" width="13.33203125" style="29" customWidth="1"/>
    <col min="4" max="4" width="12.1640625" style="29" customWidth="1"/>
    <col min="5" max="5" width="8.6640625" style="29"/>
    <col min="6" max="6" width="12.5" style="29" customWidth="1"/>
    <col min="7" max="7" width="12.1640625" style="29" customWidth="1"/>
    <col min="8" max="9" width="45.33203125" style="29" bestFit="1" customWidth="1"/>
    <col min="10" max="10" width="28.6640625" style="29" bestFit="1" customWidth="1"/>
    <col min="11" max="16384" width="8.6640625" style="29"/>
  </cols>
  <sheetData>
    <row r="1" spans="1:4" ht="21">
      <c r="A1" s="43" t="s">
        <v>98</v>
      </c>
      <c r="B1" s="44"/>
      <c r="C1" s="44"/>
    </row>
    <row r="2" spans="1:4" s="4" customFormat="1" ht="15">
      <c r="A2" s="16"/>
      <c r="B2" s="16"/>
      <c r="C2" s="16"/>
    </row>
    <row r="3" spans="1:4" s="4" customFormat="1" ht="15">
      <c r="A3" s="4" t="s">
        <v>124</v>
      </c>
    </row>
    <row r="4" spans="1:4" s="4" customFormat="1" ht="15">
      <c r="A4" s="4" t="s">
        <v>54</v>
      </c>
    </row>
    <row r="5" spans="1:4" s="4" customFormat="1" ht="15">
      <c r="A5" s="16" t="s">
        <v>55</v>
      </c>
      <c r="B5" s="16"/>
      <c r="C5" s="16"/>
    </row>
    <row r="6" spans="1:4" s="4" customFormat="1" ht="15">
      <c r="A6" s="16"/>
      <c r="B6" s="16"/>
      <c r="C6" s="16"/>
    </row>
    <row r="7" spans="1:4" s="4" customFormat="1" ht="15">
      <c r="A7" s="5" t="s">
        <v>18</v>
      </c>
      <c r="B7" s="45" t="s">
        <v>58</v>
      </c>
      <c r="C7" s="6"/>
    </row>
    <row r="8" spans="1:4" s="4" customFormat="1" ht="15">
      <c r="A8" s="6" t="s">
        <v>19</v>
      </c>
      <c r="B8" s="6" t="s">
        <v>110</v>
      </c>
      <c r="C8" s="52" t="s">
        <v>4</v>
      </c>
    </row>
    <row r="9" spans="1:4" s="4" customFormat="1" ht="15">
      <c r="A9" s="6" t="s">
        <v>117</v>
      </c>
      <c r="B9" s="6" t="s">
        <v>116</v>
      </c>
      <c r="C9" s="53">
        <v>50</v>
      </c>
    </row>
    <row r="10" spans="1:4" s="4" customFormat="1" ht="15">
      <c r="A10" s="6" t="s">
        <v>118</v>
      </c>
      <c r="B10" s="6" t="s">
        <v>111</v>
      </c>
      <c r="C10" s="53">
        <v>50</v>
      </c>
    </row>
    <row r="11" spans="1:4" s="4" customFormat="1" ht="15">
      <c r="A11" s="6" t="s">
        <v>119</v>
      </c>
      <c r="B11" s="6" t="s">
        <v>112</v>
      </c>
      <c r="C11" s="53">
        <v>0.5</v>
      </c>
      <c r="D11" s="51" t="s">
        <v>20</v>
      </c>
    </row>
    <row r="12" spans="1:4" s="4" customFormat="1" ht="15">
      <c r="A12" s="6" t="s">
        <v>120</v>
      </c>
      <c r="B12" s="6" t="s">
        <v>113</v>
      </c>
      <c r="C12" s="54">
        <v>0.08</v>
      </c>
    </row>
    <row r="13" spans="1:4" s="4" customFormat="1" ht="15">
      <c r="A13" s="6" t="s">
        <v>121</v>
      </c>
      <c r="B13" s="6" t="s">
        <v>114</v>
      </c>
      <c r="C13" s="54">
        <v>0.03</v>
      </c>
    </row>
    <row r="14" spans="1:4" s="4" customFormat="1" ht="15">
      <c r="A14" s="6" t="s">
        <v>122</v>
      </c>
      <c r="B14" s="6" t="s">
        <v>115</v>
      </c>
      <c r="C14" s="54">
        <v>0.2</v>
      </c>
    </row>
    <row r="15" spans="1:4" s="4" customFormat="1" ht="15">
      <c r="A15" s="6" t="s">
        <v>123</v>
      </c>
      <c r="B15" s="6" t="s">
        <v>32</v>
      </c>
      <c r="C15" s="53">
        <v>9</v>
      </c>
    </row>
    <row r="16" spans="1:4" s="4" customFormat="1" ht="15"/>
    <row r="17" spans="1:7" s="4" customFormat="1" ht="15">
      <c r="A17" s="16"/>
      <c r="B17" s="46" t="s">
        <v>25</v>
      </c>
      <c r="C17" s="46" t="s">
        <v>23</v>
      </c>
    </row>
    <row r="18" spans="1:7" s="4" customFormat="1" ht="15">
      <c r="A18" s="17" t="s">
        <v>24</v>
      </c>
      <c r="B18" s="47" cm="1">
        <f t="array" ref="B18">binomial_euro(C8,C9,C10,C11,C12,C13,C14,C15)</f>
        <v>2.2501399428155215</v>
      </c>
      <c r="C18" s="47" cm="1">
        <f t="array" ref="C18">BS(C8,C9,C10,C11,C12,C13,C14)</f>
        <v>2.1769593627420303</v>
      </c>
      <c r="D18" s="48" t="s">
        <v>37</v>
      </c>
    </row>
    <row r="19" spans="1:7" s="4" customFormat="1" ht="15"/>
    <row r="20" spans="1:7" s="4" customFormat="1" ht="15">
      <c r="A20" s="4" t="s">
        <v>27</v>
      </c>
    </row>
    <row r="21" spans="1:7" s="4" customFormat="1" ht="15"/>
    <row r="22" spans="1:7" s="4" customFormat="1" ht="15">
      <c r="A22" s="7" t="s">
        <v>28</v>
      </c>
    </row>
    <row r="23" spans="1:7" s="4" customFormat="1" ht="15"/>
    <row r="24" spans="1:7" s="4" customFormat="1" ht="15">
      <c r="A24" s="5" t="s">
        <v>18</v>
      </c>
      <c r="B24" s="45" t="s">
        <v>58</v>
      </c>
      <c r="C24" s="6"/>
    </row>
    <row r="25" spans="1:7" s="4" customFormat="1" ht="15">
      <c r="A25" s="6" t="s">
        <v>19</v>
      </c>
      <c r="B25" s="6" t="s">
        <v>110</v>
      </c>
      <c r="C25" s="52" t="s">
        <v>4</v>
      </c>
      <c r="E25" s="4" t="s">
        <v>33</v>
      </c>
      <c r="F25" s="9">
        <f>C28/C32</f>
        <v>0.25</v>
      </c>
    </row>
    <row r="26" spans="1:7" s="4" customFormat="1" ht="15">
      <c r="A26" s="6" t="s">
        <v>117</v>
      </c>
      <c r="B26" s="6" t="s">
        <v>116</v>
      </c>
      <c r="C26" s="53">
        <v>50</v>
      </c>
      <c r="E26" s="4" t="s">
        <v>2</v>
      </c>
      <c r="F26" s="9">
        <f>EXP(C31*SQRT(F25))</f>
        <v>1.1051709180756477</v>
      </c>
      <c r="G26" s="4" t="s">
        <v>9</v>
      </c>
    </row>
    <row r="27" spans="1:7" s="4" customFormat="1" ht="15">
      <c r="A27" s="6" t="s">
        <v>118</v>
      </c>
      <c r="B27" s="6" t="s">
        <v>111</v>
      </c>
      <c r="C27" s="53">
        <v>50</v>
      </c>
      <c r="E27" s="4" t="s">
        <v>3</v>
      </c>
      <c r="F27" s="9">
        <f>1/F26</f>
        <v>0.90483741803595952</v>
      </c>
      <c r="G27" s="4" t="s">
        <v>10</v>
      </c>
    </row>
    <row r="28" spans="1:7" s="4" customFormat="1" ht="15">
      <c r="A28" s="6" t="s">
        <v>119</v>
      </c>
      <c r="B28" s="6" t="s">
        <v>112</v>
      </c>
      <c r="C28" s="53">
        <v>0.5</v>
      </c>
      <c r="D28" s="4" t="s">
        <v>20</v>
      </c>
      <c r="E28" s="4" t="s">
        <v>34</v>
      </c>
      <c r="F28" s="9">
        <f>(EXP((C29-C30)*F25)-F27)/(F26-F27)</f>
        <v>0.53780837195641396</v>
      </c>
      <c r="G28" s="4" t="s">
        <v>13</v>
      </c>
    </row>
    <row r="29" spans="1:7" s="4" customFormat="1" ht="15">
      <c r="A29" s="6" t="s">
        <v>120</v>
      </c>
      <c r="B29" s="6" t="s">
        <v>113</v>
      </c>
      <c r="C29" s="54">
        <v>0.08</v>
      </c>
      <c r="E29" s="4" t="s">
        <v>129</v>
      </c>
      <c r="F29" s="9">
        <f>EXP(-C29*F25)</f>
        <v>0.98019867330675525</v>
      </c>
      <c r="G29" s="4" t="s">
        <v>11</v>
      </c>
    </row>
    <row r="30" spans="1:7" s="4" customFormat="1" ht="15">
      <c r="A30" s="6" t="s">
        <v>121</v>
      </c>
      <c r="B30" s="6" t="s">
        <v>114</v>
      </c>
      <c r="C30" s="54">
        <v>0.03</v>
      </c>
    </row>
    <row r="31" spans="1:7" s="4" customFormat="1" ht="15">
      <c r="A31" s="6" t="s">
        <v>122</v>
      </c>
      <c r="B31" s="6" t="s">
        <v>115</v>
      </c>
      <c r="C31" s="54">
        <v>0.2</v>
      </c>
    </row>
    <row r="32" spans="1:7" s="4" customFormat="1" ht="15">
      <c r="A32" s="6" t="s">
        <v>123</v>
      </c>
      <c r="B32" s="6" t="s">
        <v>32</v>
      </c>
      <c r="C32" s="53">
        <v>2</v>
      </c>
    </row>
    <row r="33" spans="1:9" s="4" customFormat="1" ht="15"/>
    <row r="34" spans="1:9" s="4" customFormat="1" ht="15">
      <c r="A34" s="16"/>
      <c r="B34" s="46" t="s">
        <v>25</v>
      </c>
    </row>
    <row r="35" spans="1:9" s="4" customFormat="1" ht="15">
      <c r="A35" s="17" t="s">
        <v>31</v>
      </c>
      <c r="B35" s="47" cm="1">
        <f t="array" ref="B35">binomial_euro(C25,C26,C27,C28,C29,C30,C31,C32)</f>
        <v>1.8602294034214042</v>
      </c>
      <c r="C35" s="25" t="str" cm="1">
        <f t="array" aca="1" ref="C35" ca="1">getformula(B35)</f>
        <v>&lt;--  =binomial_euro(C25,C26,C27,C28,C29,C30,C31,C32)</v>
      </c>
    </row>
    <row r="36" spans="1:9" s="4" customFormat="1" ht="15">
      <c r="A36" s="17"/>
      <c r="B36" s="47"/>
    </row>
    <row r="37" spans="1:9" s="4" customFormat="1" ht="15">
      <c r="A37" s="7" t="s">
        <v>30</v>
      </c>
    </row>
    <row r="38" spans="1:9" s="4" customFormat="1" ht="15">
      <c r="A38" s="21" t="s">
        <v>6</v>
      </c>
      <c r="B38" s="7">
        <v>0</v>
      </c>
      <c r="C38" s="7">
        <v>1</v>
      </c>
      <c r="D38" s="7">
        <v>2</v>
      </c>
      <c r="F38" s="21" t="s">
        <v>6</v>
      </c>
      <c r="G38" s="7">
        <v>0</v>
      </c>
      <c r="H38" s="7">
        <v>1</v>
      </c>
      <c r="I38" s="7">
        <v>2</v>
      </c>
    </row>
    <row r="39" spans="1:9" s="4" customFormat="1" ht="15">
      <c r="A39" s="21" t="s">
        <v>7</v>
      </c>
      <c r="B39" s="22">
        <f>B38*$F$25</f>
        <v>0</v>
      </c>
      <c r="C39" s="22">
        <f>C38*$F$25</f>
        <v>0.25</v>
      </c>
      <c r="D39" s="22">
        <f>D38*$F$25</f>
        <v>0.5</v>
      </c>
      <c r="F39" s="21" t="s">
        <v>7</v>
      </c>
      <c r="G39" s="7">
        <f>G38*$F$25</f>
        <v>0</v>
      </c>
      <c r="H39" s="7">
        <f>H38*$F$25</f>
        <v>0.25</v>
      </c>
      <c r="I39" s="7">
        <f>I38*$F$25</f>
        <v>0.5</v>
      </c>
    </row>
    <row r="40" spans="1:9" s="4" customFormat="1" ht="15">
      <c r="F40" s="4" t="s">
        <v>89</v>
      </c>
      <c r="G40" s="49" t="s">
        <v>96</v>
      </c>
      <c r="H40" s="49" t="s">
        <v>97</v>
      </c>
      <c r="I40" s="49" t="s">
        <v>91</v>
      </c>
    </row>
    <row r="41" spans="1:9" s="4" customFormat="1" ht="15">
      <c r="A41" s="21" t="s">
        <v>8</v>
      </c>
      <c r="B41" s="22">
        <f>C26</f>
        <v>50</v>
      </c>
      <c r="C41" s="22">
        <f>B41*$F$26</f>
        <v>55.258545903782384</v>
      </c>
      <c r="D41" s="22">
        <f>C41*$F$26</f>
        <v>61.070137908008498</v>
      </c>
      <c r="F41" s="49" t="s">
        <v>105</v>
      </c>
      <c r="I41" s="4" t="s">
        <v>99</v>
      </c>
    </row>
    <row r="42" spans="1:9" s="4" customFormat="1" ht="15">
      <c r="B42" s="22"/>
      <c r="C42" s="22">
        <f>IF(ROW()-ROW($B$41)&gt;C$38,"",B41*$F$27)</f>
        <v>45.241870901797974</v>
      </c>
      <c r="D42" s="22">
        <f>IF(ROW()-ROW($B$41)&gt;D$38,"",C41*$F$27)</f>
        <v>50</v>
      </c>
      <c r="F42" s="49" t="s">
        <v>106</v>
      </c>
      <c r="I42" s="4" t="s">
        <v>131</v>
      </c>
    </row>
    <row r="43" spans="1:9" s="4" customFormat="1" ht="15">
      <c r="B43" s="22"/>
      <c r="C43" s="22" t="str">
        <f>IF(ROW()-ROW($B$41)&gt;C$38,"",B42*$F$27)</f>
        <v/>
      </c>
      <c r="D43" s="22">
        <f>IF(ROW()-ROW($B$41)&gt;D$38,"",C42*$F$27)</f>
        <v>40.936537653899087</v>
      </c>
      <c r="F43" s="49" t="s">
        <v>107</v>
      </c>
      <c r="I43" s="4" t="s">
        <v>132</v>
      </c>
    </row>
    <row r="44" spans="1:9" s="4" customFormat="1" ht="15">
      <c r="B44" s="23"/>
      <c r="C44" s="23"/>
      <c r="D44" s="23"/>
      <c r="F44" s="4" t="s">
        <v>90</v>
      </c>
      <c r="G44" s="49" t="s">
        <v>96</v>
      </c>
      <c r="H44" s="49" t="s">
        <v>97</v>
      </c>
      <c r="I44" s="49" t="s">
        <v>91</v>
      </c>
    </row>
    <row r="45" spans="1:9" s="4" customFormat="1" ht="15">
      <c r="A45" s="21" t="s">
        <v>29</v>
      </c>
      <c r="B45" s="22">
        <f>IF(B41="", "", ($F$28*C45+(1-$F$28)*C46)*$F$29)</f>
        <v>1.8602294034214046</v>
      </c>
      <c r="C45" s="22">
        <f>IF(C41="", "", ($F$28*D45+(1-$F$28)*D46)*$F$29)</f>
        <v>0</v>
      </c>
      <c r="D45" s="22">
        <f>IF($C$25="c", MAX(D41-$C$27,0),0)+IF($C$25="p", MAX(-D41+$C$27,0),0)</f>
        <v>0</v>
      </c>
      <c r="F45" s="49" t="s">
        <v>105</v>
      </c>
      <c r="G45" s="4" t="s">
        <v>103</v>
      </c>
      <c r="H45" s="4" t="s">
        <v>103</v>
      </c>
      <c r="I45" s="4" t="s">
        <v>100</v>
      </c>
    </row>
    <row r="46" spans="1:9" s="4" customFormat="1" ht="15">
      <c r="B46" s="23" t="str">
        <f>IF(B42="", "", ($F$28*C46+(1-$F$28)*C47)*$F$29)</f>
        <v/>
      </c>
      <c r="C46" s="22">
        <f>IF(C42="", "", ($F$28*D46+(1-$F$28)*D47)*$F$29)</f>
        <v>4.1061075427976395</v>
      </c>
      <c r="D46" s="22">
        <f>IF($C$25="c", MAX(D42-$C$27,0),0)+IF($C$25="p", MAX(-D42+$C$27,0),0)</f>
        <v>0</v>
      </c>
      <c r="F46" s="49" t="s">
        <v>106</v>
      </c>
      <c r="H46" s="4" t="s">
        <v>104</v>
      </c>
      <c r="I46" s="4" t="s">
        <v>101</v>
      </c>
    </row>
    <row r="47" spans="1:9" s="4" customFormat="1" ht="15">
      <c r="B47" s="23"/>
      <c r="C47" s="22" t="str">
        <f>IF(C43="", "", ($F$28*D47+(1-$F$28)*D49)*$F$29)</f>
        <v/>
      </c>
      <c r="D47" s="22">
        <f>IF($C$25="c", MAX(D43-$C$27,0),0)+IF($C$25="p", MAX(-D43+$C$27,0),0)</f>
        <v>9.0634623461009127</v>
      </c>
      <c r="F47" s="49" t="s">
        <v>107</v>
      </c>
      <c r="I47" s="4" t="s">
        <v>102</v>
      </c>
    </row>
    <row r="48" spans="1:9" s="4" customFormat="1" ht="15"/>
    <row r="49" s="4" customFormat="1" ht="15"/>
  </sheetData>
  <phoneticPr fontId="7" type="noConversion"/>
  <pageMargins left="0.7" right="0.7" top="0.75" bottom="0.75" header="0.3" footer="0.3"/>
  <pageSetup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E34"/>
  <sheetViews>
    <sheetView workbookViewId="0">
      <selection activeCell="B38" sqref="B38"/>
    </sheetView>
  </sheetViews>
  <sheetFormatPr baseColWidth="10" defaultColWidth="8.6640625" defaultRowHeight="14"/>
  <cols>
    <col min="1" max="1" width="18.5" style="29" customWidth="1"/>
    <col min="2" max="2" width="15.5" style="29" customWidth="1"/>
    <col min="3" max="3" width="12.6640625" style="29" customWidth="1"/>
    <col min="4" max="4" width="11.33203125" style="29" customWidth="1"/>
    <col min="5" max="5" width="8.6640625" style="29"/>
    <col min="6" max="6" width="11.1640625" style="29" customWidth="1"/>
    <col min="7" max="7" width="9" style="29" bestFit="1" customWidth="1"/>
    <col min="8" max="9" width="57.5" style="29" bestFit="1" customWidth="1"/>
    <col min="10" max="10" width="25.1640625" style="29" bestFit="1" customWidth="1"/>
    <col min="11" max="16384" width="8.6640625" style="29"/>
  </cols>
  <sheetData>
    <row r="1" spans="1:4" ht="21">
      <c r="A1" s="43" t="s">
        <v>108</v>
      </c>
      <c r="B1" s="44"/>
      <c r="C1" s="44"/>
    </row>
    <row r="2" spans="1:4" s="4" customFormat="1" ht="15">
      <c r="A2" s="16"/>
      <c r="B2" s="16"/>
      <c r="C2" s="16"/>
    </row>
    <row r="3" spans="1:4" s="4" customFormat="1" ht="15">
      <c r="A3" s="4" t="s">
        <v>130</v>
      </c>
    </row>
    <row r="4" spans="1:4" s="4" customFormat="1" ht="15">
      <c r="A4" s="16" t="s">
        <v>26</v>
      </c>
    </row>
    <row r="5" spans="1:4" s="4" customFormat="1" ht="15">
      <c r="A5" s="16"/>
      <c r="B5" s="16"/>
      <c r="C5" s="16"/>
    </row>
    <row r="6" spans="1:4" s="4" customFormat="1" ht="15">
      <c r="A6" s="5" t="s">
        <v>18</v>
      </c>
      <c r="B6" s="45" t="s">
        <v>58</v>
      </c>
      <c r="C6" s="6"/>
    </row>
    <row r="7" spans="1:4" s="4" customFormat="1" ht="15">
      <c r="A7" s="50" t="s">
        <v>35</v>
      </c>
      <c r="B7" s="6" t="s">
        <v>109</v>
      </c>
      <c r="C7" s="52" t="s">
        <v>36</v>
      </c>
    </row>
    <row r="8" spans="1:4" s="4" customFormat="1" ht="15">
      <c r="A8" s="6" t="s">
        <v>19</v>
      </c>
      <c r="B8" s="6" t="s">
        <v>110</v>
      </c>
      <c r="C8" s="52" t="s">
        <v>4</v>
      </c>
    </row>
    <row r="9" spans="1:4" s="4" customFormat="1" ht="15">
      <c r="A9" s="6" t="s">
        <v>117</v>
      </c>
      <c r="B9" s="6" t="s">
        <v>116</v>
      </c>
      <c r="C9" s="53">
        <v>50</v>
      </c>
    </row>
    <row r="10" spans="1:4" s="4" customFormat="1" ht="15">
      <c r="A10" s="6" t="s">
        <v>118</v>
      </c>
      <c r="B10" s="6" t="s">
        <v>111</v>
      </c>
      <c r="C10" s="53">
        <v>50</v>
      </c>
    </row>
    <row r="11" spans="1:4" s="4" customFormat="1" ht="15">
      <c r="A11" s="6" t="s">
        <v>119</v>
      </c>
      <c r="B11" s="6" t="s">
        <v>112</v>
      </c>
      <c r="C11" s="53">
        <v>0.5</v>
      </c>
      <c r="D11" s="51" t="s">
        <v>20</v>
      </c>
    </row>
    <row r="12" spans="1:4" s="4" customFormat="1" ht="15">
      <c r="A12" s="6" t="s">
        <v>120</v>
      </c>
      <c r="B12" s="6" t="s">
        <v>113</v>
      </c>
      <c r="C12" s="54">
        <v>0.08</v>
      </c>
    </row>
    <row r="13" spans="1:4" s="4" customFormat="1" ht="15">
      <c r="A13" s="6" t="s">
        <v>121</v>
      </c>
      <c r="B13" s="6" t="s">
        <v>114</v>
      </c>
      <c r="C13" s="54">
        <v>0.03</v>
      </c>
    </row>
    <row r="14" spans="1:4" s="4" customFormat="1" ht="15">
      <c r="A14" s="6" t="s">
        <v>122</v>
      </c>
      <c r="B14" s="6" t="s">
        <v>115</v>
      </c>
      <c r="C14" s="54">
        <v>0.2</v>
      </c>
    </row>
    <row r="15" spans="1:4" s="4" customFormat="1" ht="15">
      <c r="A15" s="6" t="s">
        <v>123</v>
      </c>
      <c r="B15" s="6" t="s">
        <v>32</v>
      </c>
      <c r="C15" s="53">
        <v>9</v>
      </c>
    </row>
    <row r="16" spans="1:4" s="4" customFormat="1" ht="15"/>
    <row r="17" spans="1:5" s="4" customFormat="1" ht="15">
      <c r="A17" s="16"/>
      <c r="B17" s="46" t="s">
        <v>25</v>
      </c>
      <c r="C17" s="46"/>
    </row>
    <row r="18" spans="1:5" s="4" customFormat="1" ht="15">
      <c r="A18" s="17" t="s">
        <v>24</v>
      </c>
      <c r="B18" s="47" cm="1">
        <f t="array" ref="B18">binomial(C7,C8,C9,C10,C11,C12,C13,C14,C15)</f>
        <v>2.3713890117438958</v>
      </c>
      <c r="C18" s="25" t="str" cm="1">
        <f t="array" aca="1" ref="C18" ca="1">getformula(B18)</f>
        <v>&lt;--  =binomial(C7,C8,C9,C10,C11,C12,C13,C14,C15)</v>
      </c>
    </row>
    <row r="19" spans="1:5" s="4" customFormat="1" ht="15">
      <c r="C19" s="48" t="s">
        <v>37</v>
      </c>
    </row>
    <row r="20" spans="1:5" s="4" customFormat="1" ht="15">
      <c r="A20" s="4" t="s">
        <v>27</v>
      </c>
    </row>
    <row r="21" spans="1:5" s="4" customFormat="1" ht="15"/>
    <row r="22" spans="1:5" ht="19">
      <c r="A22" s="55" t="s">
        <v>125</v>
      </c>
      <c r="B22" s="56"/>
      <c r="C22" s="56"/>
      <c r="D22" s="56"/>
      <c r="E22" s="56"/>
    </row>
    <row r="24" spans="1:5" ht="15">
      <c r="A24" s="17" t="s">
        <v>64</v>
      </c>
      <c r="B24" s="47" t="s">
        <v>126</v>
      </c>
      <c r="C24" s="7" t="s">
        <v>127</v>
      </c>
    </row>
    <row r="25" spans="1:5" ht="15">
      <c r="A25" s="17">
        <v>2</v>
      </c>
      <c r="B25" s="47" cm="1">
        <f t="array" ref="B25">binomial("amer","p",$C$9,$C$10,$C$11,$C$12,$C$13,$C$14,A25)</f>
        <v>2.1556210015190524</v>
      </c>
      <c r="C25" s="47" cm="1">
        <f t="array" ref="C25">binomial("amer","c",$C$9,$C$10,$C$11,$C$12,$C$13,$C$14,A25)</f>
        <v>3.0763544259583808</v>
      </c>
    </row>
    <row r="26" spans="1:5" ht="15">
      <c r="A26" s="7">
        <v>5</v>
      </c>
      <c r="B26" s="47" cm="1">
        <f t="array" ref="B26">binomial("amer","p",$C$9,$C$10,$C$11,$C$12,$C$13,$C$14,A26)</f>
        <v>2.4129181509632738</v>
      </c>
      <c r="C26" s="47" cm="1">
        <f t="array" ref="C26">binomial("amer","c",$C$9,$C$10,$C$11,$C$12,$C$13,$C$14,A26)</f>
        <v>3.5255446940760815</v>
      </c>
    </row>
    <row r="27" spans="1:5" ht="15">
      <c r="A27" s="21">
        <v>10</v>
      </c>
      <c r="B27" s="47" cm="1">
        <f t="array" ref="B27">binomial("amer","p",$C$9,$C$10,$C$11,$C$12,$C$13,$C$14,A27)</f>
        <v>2.2739408245881645</v>
      </c>
      <c r="C27" s="47" cm="1">
        <f t="array" ref="C27">binomial("amer","c",$C$9,$C$10,$C$11,$C$12,$C$13,$C$14,A27)</f>
        <v>3.32446243774592</v>
      </c>
    </row>
    <row r="28" spans="1:5" ht="15">
      <c r="A28" s="21">
        <v>15</v>
      </c>
      <c r="B28" s="47" cm="1">
        <f t="array" ref="B28">binomial("amer","p",$C$9,$C$10,$C$11,$C$12,$C$13,$C$14,A28)</f>
        <v>2.3461926893085727</v>
      </c>
      <c r="C28" s="47" cm="1">
        <f t="array" ref="C28">binomial("amer","c",$C$9,$C$10,$C$11,$C$12,$C$13,$C$14,A28)</f>
        <v>3.4368276016102639</v>
      </c>
    </row>
    <row r="29" spans="1:5" ht="15">
      <c r="A29" s="7">
        <v>20</v>
      </c>
      <c r="B29" s="47" cm="1">
        <f t="array" ref="B29">binomial("amer","p",$C$9,$C$10,$C$11,$C$12,$C$13,$C$14,A29)</f>
        <v>2.2905806655636902</v>
      </c>
      <c r="C29" s="47" cm="1">
        <f t="array" ref="C29">binomial("amer","c",$C$9,$C$10,$C$11,$C$12,$C$13,$C$14,A29)</f>
        <v>3.3585170566418245</v>
      </c>
    </row>
    <row r="30" spans="1:5" ht="15">
      <c r="A30" s="21">
        <v>50</v>
      </c>
      <c r="B30" s="47" cm="1">
        <f t="array" ref="B30">binomial("amer","p",$C$9,$C$10,$C$11,$C$12,$C$13,$C$14,A30)</f>
        <v>2.3005353362686045</v>
      </c>
      <c r="C30" s="47" cm="1">
        <f t="array" ref="C30">binomial("amer","c",$C$9,$C$10,$C$11,$C$12,$C$13,$C$14,A30)</f>
        <v>3.3792007904466588</v>
      </c>
    </row>
    <row r="31" spans="1:5" ht="15">
      <c r="A31" s="21">
        <v>100</v>
      </c>
      <c r="B31" s="47" cm="1">
        <f t="array" ref="B31">binomial("amer","p",$C$9,$C$10,$C$11,$C$12,$C$13,$C$14,A31)</f>
        <v>2.3038180816696667</v>
      </c>
      <c r="C31" s="47" cm="1">
        <f t="array" ref="C31">binomial("amer","c",$C$9,$C$10,$C$11,$C$12,$C$13,$C$14,A31)</f>
        <v>3.386133567533435</v>
      </c>
    </row>
    <row r="32" spans="1:5" ht="15">
      <c r="A32" s="21">
        <v>200</v>
      </c>
      <c r="B32" s="47" cm="1">
        <f t="array" ref="B32">binomial("amer","p",$C$9,$C$10,$C$11,$C$12,$C$13,$C$14,A32)</f>
        <v>2.3054398434287302</v>
      </c>
      <c r="C32" s="47" cm="1">
        <f t="array" ref="C32">binomial("amer","c",$C$9,$C$10,$C$11,$C$12,$C$13,$C$14,A32)</f>
        <v>3.3896067617037233</v>
      </c>
    </row>
    <row r="33" spans="1:3" ht="15">
      <c r="A33" s="21">
        <v>500</v>
      </c>
      <c r="B33" s="47" cm="1">
        <f t="array" ref="B33">binomial("amer","p",$C$9,$C$10,$C$11,$C$12,$C$13,$C$14,A33)</f>
        <v>2.3063944122493898</v>
      </c>
      <c r="C33" s="47" cm="1">
        <f t="array" ref="C33">binomial("amer","c",$C$9,$C$10,$C$11,$C$12,$C$13,$C$14,A33)</f>
        <v>3.3916928095188448</v>
      </c>
    </row>
    <row r="34" spans="1:3" ht="15">
      <c r="A34" s="21">
        <v>1000</v>
      </c>
      <c r="B34" s="47" cm="1">
        <f t="array" ref="B34">binomial("amer","p",$C$9,$C$10,$C$11,$C$12,$C$13,$C$14,A34)</f>
        <v>2.3067119456418266</v>
      </c>
      <c r="C34" s="47" cm="1">
        <f t="array" ref="C34">binomial("amer","c",$C$9,$C$10,$C$11,$C$12,$C$13,$C$14,A34)</f>
        <v>3.392388510112156</v>
      </c>
    </row>
  </sheetData>
  <phoneticPr fontId="23" type="noConversion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130"/>
  <sheetViews>
    <sheetView workbookViewId="0">
      <selection activeCell="J37" sqref="J37"/>
    </sheetView>
  </sheetViews>
  <sheetFormatPr baseColWidth="10" defaultColWidth="8.6640625" defaultRowHeight="15"/>
  <cols>
    <col min="1" max="1" width="10.5" style="4" bestFit="1" customWidth="1"/>
    <col min="2" max="6" width="8.6640625" style="4"/>
    <col min="7" max="7" width="11.1640625" style="4" bestFit="1" customWidth="1"/>
    <col min="8" max="8" width="9.33203125" style="30" customWidth="1"/>
    <col min="9" max="16384" width="8.6640625" style="4"/>
  </cols>
  <sheetData>
    <row r="1" spans="1:8" ht="16">
      <c r="A1" s="4" t="s">
        <v>38</v>
      </c>
      <c r="B1" s="4" t="s">
        <v>39</v>
      </c>
      <c r="C1" s="4" t="s">
        <v>40</v>
      </c>
      <c r="D1" s="4" t="s">
        <v>41</v>
      </c>
      <c r="E1" s="4" t="s">
        <v>42</v>
      </c>
      <c r="F1" s="4" t="s">
        <v>65</v>
      </c>
      <c r="G1" s="4" t="s">
        <v>43</v>
      </c>
      <c r="H1" s="59" t="s">
        <v>128</v>
      </c>
    </row>
    <row r="2" spans="1:8">
      <c r="A2" s="58">
        <v>43070</v>
      </c>
      <c r="B2" s="4">
        <v>42.487499237060547</v>
      </c>
      <c r="C2" s="4">
        <v>44.299999237060547</v>
      </c>
      <c r="D2" s="4">
        <v>41.615001678466797</v>
      </c>
      <c r="E2" s="4">
        <v>42.307498931884766</v>
      </c>
      <c r="F2" s="4">
        <v>39.811538696289062</v>
      </c>
      <c r="G2" s="4">
        <v>2124735200</v>
      </c>
      <c r="H2" s="57"/>
    </row>
    <row r="3" spans="1:8">
      <c r="A3" s="58">
        <v>43101</v>
      </c>
      <c r="B3" s="4">
        <v>42.540000915527344</v>
      </c>
      <c r="C3" s="4">
        <v>45.025001525878906</v>
      </c>
      <c r="D3" s="4">
        <v>41.174999237060547</v>
      </c>
      <c r="E3" s="4">
        <v>41.857498168945312</v>
      </c>
      <c r="F3" s="4">
        <v>39.388084411621094</v>
      </c>
      <c r="G3" s="4">
        <v>2638717600</v>
      </c>
      <c r="H3" s="57">
        <f t="shared" ref="H3:H6" si="0">LN(F3/F2)</f>
        <v>-1.0693442801864092E-2</v>
      </c>
    </row>
    <row r="4" spans="1:8">
      <c r="A4" s="58">
        <v>43132</v>
      </c>
      <c r="B4" s="4">
        <v>41.792499542236328</v>
      </c>
      <c r="C4" s="4">
        <v>45.154998779296875</v>
      </c>
      <c r="D4" s="4">
        <v>37.560001373291016</v>
      </c>
      <c r="E4" s="4">
        <v>44.529998779296875</v>
      </c>
      <c r="F4" s="4">
        <v>41.902919769287109</v>
      </c>
      <c r="G4" s="4">
        <v>3711577200</v>
      </c>
      <c r="H4" s="57">
        <f t="shared" si="0"/>
        <v>6.1892164268549502E-2</v>
      </c>
    </row>
    <row r="5" spans="1:8">
      <c r="A5" s="58">
        <v>43160</v>
      </c>
      <c r="B5" s="4">
        <v>44.634998321533203</v>
      </c>
      <c r="C5" s="4">
        <v>45.875</v>
      </c>
      <c r="D5" s="4">
        <v>41.235000610351562</v>
      </c>
      <c r="E5" s="4">
        <v>41.944999694824219</v>
      </c>
      <c r="F5" s="4">
        <v>39.631343841552734</v>
      </c>
      <c r="G5" s="4">
        <v>2854910800</v>
      </c>
      <c r="H5" s="57">
        <f t="shared" si="0"/>
        <v>-5.5735192400455588E-2</v>
      </c>
    </row>
    <row r="6" spans="1:8">
      <c r="A6" s="58">
        <v>43191</v>
      </c>
      <c r="B6" s="4">
        <v>41.659999847412109</v>
      </c>
      <c r="C6" s="4">
        <v>44.735000610351562</v>
      </c>
      <c r="D6" s="4">
        <v>40.157501220703125</v>
      </c>
      <c r="E6" s="4">
        <v>41.314998626708984</v>
      </c>
      <c r="F6" s="4">
        <v>39.036106109619141</v>
      </c>
      <c r="G6" s="4">
        <v>2664617200</v>
      </c>
      <c r="H6" s="57">
        <f t="shared" si="0"/>
        <v>-1.5133300805167744E-2</v>
      </c>
    </row>
    <row r="7" spans="1:8">
      <c r="A7" s="58">
        <v>43221</v>
      </c>
      <c r="B7" s="4">
        <v>41.602500915527344</v>
      </c>
      <c r="C7" s="4">
        <v>47.592498779296875</v>
      </c>
      <c r="D7" s="4">
        <v>41.317501068115234</v>
      </c>
      <c r="E7" s="4">
        <v>46.717498779296875</v>
      </c>
      <c r="F7" s="4">
        <v>44.140598297119141</v>
      </c>
      <c r="G7" s="4">
        <v>2483905200</v>
      </c>
      <c r="H7" s="57">
        <f t="shared" ref="H7:H38" si="1">LN(F7/F6)</f>
        <v>0.12289293974463399</v>
      </c>
    </row>
    <row r="8" spans="1:8">
      <c r="A8" s="58">
        <v>43252</v>
      </c>
      <c r="B8" s="4">
        <v>46.997501373291016</v>
      </c>
      <c r="C8" s="4">
        <v>48.549999237060547</v>
      </c>
      <c r="D8" s="4">
        <v>45.182498931884766</v>
      </c>
      <c r="E8" s="4">
        <v>46.277500152587891</v>
      </c>
      <c r="F8" s="4">
        <v>43.893470764160156</v>
      </c>
      <c r="G8" s="4">
        <v>2110498000</v>
      </c>
      <c r="H8" s="57">
        <f t="shared" si="1"/>
        <v>-5.6143759964873462E-3</v>
      </c>
    </row>
    <row r="9" spans="1:8">
      <c r="A9" s="58">
        <v>43282</v>
      </c>
      <c r="B9" s="4">
        <v>45.955001831054688</v>
      </c>
      <c r="C9" s="4">
        <v>48.990001678466797</v>
      </c>
      <c r="D9" s="4">
        <v>45.854999542236328</v>
      </c>
      <c r="E9" s="4">
        <v>47.572498321533203</v>
      </c>
      <c r="F9" s="4">
        <v>45.121761322021484</v>
      </c>
      <c r="G9" s="4">
        <v>1574765600</v>
      </c>
      <c r="H9" s="57">
        <f t="shared" si="1"/>
        <v>2.7599063546245549E-2</v>
      </c>
    </row>
    <row r="10" spans="1:8">
      <c r="A10" s="58">
        <v>43313</v>
      </c>
      <c r="B10" s="4">
        <v>49.782501220703125</v>
      </c>
      <c r="C10" s="4">
        <v>57.217498779296875</v>
      </c>
      <c r="D10" s="4">
        <v>49.327499389648438</v>
      </c>
      <c r="E10" s="4">
        <v>56.907501220703125</v>
      </c>
      <c r="F10" s="4">
        <v>53.975864410400391</v>
      </c>
      <c r="G10" s="4">
        <v>2801275600</v>
      </c>
      <c r="H10" s="57">
        <f t="shared" si="1"/>
        <v>0.17917234846677432</v>
      </c>
    </row>
    <row r="11" spans="1:8">
      <c r="A11" s="58">
        <v>43344</v>
      </c>
      <c r="B11" s="4">
        <v>57.102500915527344</v>
      </c>
      <c r="C11" s="4">
        <v>57.417499542236328</v>
      </c>
      <c r="D11" s="4">
        <v>53.825000762939453</v>
      </c>
      <c r="E11" s="4">
        <v>56.435001373291016</v>
      </c>
      <c r="F11" s="4">
        <v>53.715427398681641</v>
      </c>
      <c r="G11" s="4">
        <v>2715888000</v>
      </c>
      <c r="H11" s="57">
        <f t="shared" si="1"/>
        <v>-4.8367424156057172E-3</v>
      </c>
    </row>
    <row r="12" spans="1:8">
      <c r="A12" s="58">
        <v>43374</v>
      </c>
      <c r="B12" s="4">
        <v>56.987499237060547</v>
      </c>
      <c r="C12" s="4">
        <v>58.367500305175781</v>
      </c>
      <c r="D12" s="4">
        <v>51.522499084472656</v>
      </c>
      <c r="E12" s="4">
        <v>54.715000152587891</v>
      </c>
      <c r="F12" s="4">
        <v>52.078315734863281</v>
      </c>
      <c r="G12" s="4">
        <v>3158994000</v>
      </c>
      <c r="H12" s="57">
        <f t="shared" si="1"/>
        <v>-3.0951591454408536E-2</v>
      </c>
    </row>
    <row r="13" spans="1:8">
      <c r="A13" s="58">
        <v>43405</v>
      </c>
      <c r="B13" s="4">
        <v>54.762500762939453</v>
      </c>
      <c r="C13" s="4">
        <v>55.590000152587891</v>
      </c>
      <c r="D13" s="4">
        <v>42.564998626708984</v>
      </c>
      <c r="E13" s="4">
        <v>44.645000457763672</v>
      </c>
      <c r="F13" s="4">
        <v>42.49359130859375</v>
      </c>
      <c r="G13" s="4">
        <v>3845305600</v>
      </c>
      <c r="H13" s="57">
        <f t="shared" si="1"/>
        <v>-0.20339538559595108</v>
      </c>
    </row>
    <row r="14" spans="1:8">
      <c r="A14" s="58">
        <v>43435</v>
      </c>
      <c r="B14" s="4">
        <v>46.115001678466797</v>
      </c>
      <c r="C14" s="4">
        <v>46.235000610351562</v>
      </c>
      <c r="D14" s="4">
        <v>36.647499084472656</v>
      </c>
      <c r="E14" s="4">
        <v>39.435001373291016</v>
      </c>
      <c r="F14" s="4">
        <v>37.665622711181641</v>
      </c>
      <c r="G14" s="4">
        <v>3595690000</v>
      </c>
      <c r="H14" s="57">
        <f t="shared" si="1"/>
        <v>-0.12060545779323266</v>
      </c>
    </row>
    <row r="15" spans="1:8">
      <c r="A15" s="58">
        <v>43466</v>
      </c>
      <c r="B15" s="4">
        <v>38.722499847412109</v>
      </c>
      <c r="C15" s="4">
        <v>42.25</v>
      </c>
      <c r="D15" s="4">
        <v>35.5</v>
      </c>
      <c r="E15" s="4">
        <v>41.610000610351562</v>
      </c>
      <c r="F15" s="4">
        <v>39.743030548095703</v>
      </c>
      <c r="G15" s="4">
        <v>3312349600</v>
      </c>
      <c r="H15" s="57">
        <f t="shared" si="1"/>
        <v>5.3686679576688996E-2</v>
      </c>
    </row>
    <row r="16" spans="1:8">
      <c r="A16" s="58">
        <v>43497</v>
      </c>
      <c r="B16" s="4">
        <v>41.740001678466797</v>
      </c>
      <c r="C16" s="4">
        <v>43.967498779296875</v>
      </c>
      <c r="D16" s="4">
        <v>41.482498168945312</v>
      </c>
      <c r="E16" s="4">
        <v>43.287498474121094</v>
      </c>
      <c r="F16" s="4">
        <v>41.345268249511719</v>
      </c>
      <c r="G16" s="4">
        <v>1890162400</v>
      </c>
      <c r="H16" s="57">
        <f t="shared" si="1"/>
        <v>3.9523489624823639E-2</v>
      </c>
    </row>
    <row r="17" spans="1:8">
      <c r="A17" s="58">
        <v>43525</v>
      </c>
      <c r="B17" s="4">
        <v>43.569999694824219</v>
      </c>
      <c r="C17" s="4">
        <v>49.422500610351562</v>
      </c>
      <c r="D17" s="4">
        <v>42.375</v>
      </c>
      <c r="E17" s="4">
        <v>47.487499237060547</v>
      </c>
      <c r="F17" s="4">
        <v>45.551349639892578</v>
      </c>
      <c r="G17" s="4">
        <v>2603925600</v>
      </c>
      <c r="H17" s="57">
        <f t="shared" si="1"/>
        <v>9.6882269892640968E-2</v>
      </c>
    </row>
    <row r="18" spans="1:8">
      <c r="A18" s="58">
        <v>43556</v>
      </c>
      <c r="B18" s="4">
        <v>47.909999847412109</v>
      </c>
      <c r="C18" s="4">
        <v>52.119998931884766</v>
      </c>
      <c r="D18" s="4">
        <v>47.095001220703125</v>
      </c>
      <c r="E18" s="4">
        <v>50.167499542236328</v>
      </c>
      <c r="F18" s="4">
        <v>48.1220703125</v>
      </c>
      <c r="G18" s="4">
        <v>2024470800</v>
      </c>
      <c r="H18" s="57">
        <f t="shared" si="1"/>
        <v>5.490066100956166E-2</v>
      </c>
    </row>
    <row r="19" spans="1:8">
      <c r="A19" s="58">
        <v>43586</v>
      </c>
      <c r="B19" s="4">
        <v>52.470001220703125</v>
      </c>
      <c r="C19" s="4">
        <v>53.827499389648438</v>
      </c>
      <c r="D19" s="4">
        <v>43.747501373291016</v>
      </c>
      <c r="E19" s="4">
        <v>43.767501831054688</v>
      </c>
      <c r="F19" s="4">
        <v>41.983016967773438</v>
      </c>
      <c r="G19" s="4">
        <v>2957826400</v>
      </c>
      <c r="H19" s="57">
        <f t="shared" si="1"/>
        <v>-0.13647573553300749</v>
      </c>
    </row>
    <row r="20" spans="1:8">
      <c r="A20" s="58">
        <v>43617</v>
      </c>
      <c r="B20" s="4">
        <v>43.900001525878906</v>
      </c>
      <c r="C20" s="4">
        <v>50.392501831054688</v>
      </c>
      <c r="D20" s="4">
        <v>42.567501068115234</v>
      </c>
      <c r="E20" s="4">
        <v>49.479999542236328</v>
      </c>
      <c r="F20" s="4">
        <v>47.645378112792969</v>
      </c>
      <c r="G20" s="4">
        <v>2060874800</v>
      </c>
      <c r="H20" s="57">
        <f t="shared" si="1"/>
        <v>0.12652045021366248</v>
      </c>
    </row>
    <row r="21" spans="1:8">
      <c r="A21" s="58">
        <v>43647</v>
      </c>
      <c r="B21" s="4">
        <v>50.792499542236328</v>
      </c>
      <c r="C21" s="4">
        <v>55.342498779296875</v>
      </c>
      <c r="D21" s="4">
        <v>49.602500915527344</v>
      </c>
      <c r="E21" s="4">
        <v>53.259998321533203</v>
      </c>
      <c r="F21" s="4">
        <v>51.285228729248047</v>
      </c>
      <c r="G21" s="4">
        <v>1895406800</v>
      </c>
      <c r="H21" s="57">
        <f t="shared" si="1"/>
        <v>7.3617142901147778E-2</v>
      </c>
    </row>
    <row r="22" spans="1:8">
      <c r="A22" s="58">
        <v>43678</v>
      </c>
      <c r="B22" s="4">
        <v>53.474998474121094</v>
      </c>
      <c r="C22" s="4">
        <v>54.507499694824219</v>
      </c>
      <c r="D22" s="4">
        <v>48.145000457763672</v>
      </c>
      <c r="E22" s="4">
        <v>52.185001373291016</v>
      </c>
      <c r="F22" s="4">
        <v>50.250083923339844</v>
      </c>
      <c r="G22" s="4">
        <v>2724326400</v>
      </c>
      <c r="H22" s="57">
        <f t="shared" si="1"/>
        <v>-2.0390554659311357E-2</v>
      </c>
    </row>
    <row r="23" spans="1:8">
      <c r="A23" s="58">
        <v>43709</v>
      </c>
      <c r="B23" s="4">
        <v>51.607498168945312</v>
      </c>
      <c r="C23" s="4">
        <v>56.604999542236328</v>
      </c>
      <c r="D23" s="4">
        <v>51.055000305175781</v>
      </c>
      <c r="E23" s="4">
        <v>55.992500305175781</v>
      </c>
      <c r="F23" s="4">
        <v>54.121269226074219</v>
      </c>
      <c r="G23" s="4">
        <v>2170268400</v>
      </c>
      <c r="H23" s="57">
        <f t="shared" si="1"/>
        <v>7.4215038044432149E-2</v>
      </c>
    </row>
    <row r="24" spans="1:8">
      <c r="A24" s="58">
        <v>43739</v>
      </c>
      <c r="B24" s="4">
        <v>56.267501831054688</v>
      </c>
      <c r="C24" s="4">
        <v>62.4375</v>
      </c>
      <c r="D24" s="4">
        <v>53.782501220703125</v>
      </c>
      <c r="E24" s="4">
        <v>62.189998626708984</v>
      </c>
      <c r="F24" s="4">
        <v>60.111644744873047</v>
      </c>
      <c r="G24" s="4">
        <v>2433210800</v>
      </c>
      <c r="H24" s="57">
        <f t="shared" si="1"/>
        <v>0.1049763238287178</v>
      </c>
    </row>
    <row r="25" spans="1:8">
      <c r="A25" s="58">
        <v>43770</v>
      </c>
      <c r="B25" s="4">
        <v>62.384998321533203</v>
      </c>
      <c r="C25" s="4">
        <v>67</v>
      </c>
      <c r="D25" s="4">
        <v>62.290000915527344</v>
      </c>
      <c r="E25" s="4">
        <v>66.8125</v>
      </c>
      <c r="F25" s="4">
        <v>64.579673767089844</v>
      </c>
      <c r="G25" s="4">
        <v>1793326000</v>
      </c>
      <c r="H25" s="57">
        <f t="shared" si="1"/>
        <v>7.1696134781199197E-2</v>
      </c>
    </row>
    <row r="26" spans="1:8">
      <c r="A26" s="58">
        <v>43800</v>
      </c>
      <c r="B26" s="4">
        <v>66.817497253417969</v>
      </c>
      <c r="C26" s="4">
        <v>73.492500305175781</v>
      </c>
      <c r="D26" s="4">
        <v>64.072502136230469</v>
      </c>
      <c r="E26" s="4">
        <v>73.412498474121094</v>
      </c>
      <c r="F26" s="4">
        <v>71.172142028808594</v>
      </c>
      <c r="G26" s="4">
        <v>2388794800</v>
      </c>
      <c r="H26" s="57">
        <f t="shared" si="1"/>
        <v>9.7201764505656235E-2</v>
      </c>
    </row>
    <row r="27" spans="1:8">
      <c r="A27" s="58">
        <v>43831</v>
      </c>
      <c r="B27" s="4">
        <v>74.05999755859375</v>
      </c>
      <c r="C27" s="4">
        <v>81.962501525878906</v>
      </c>
      <c r="D27" s="4">
        <v>73.1875</v>
      </c>
      <c r="E27" s="4">
        <v>77.37750244140625</v>
      </c>
      <c r="F27" s="4">
        <v>75.016128540039062</v>
      </c>
      <c r="G27" s="4">
        <v>2934370400</v>
      </c>
      <c r="H27" s="57">
        <f t="shared" si="1"/>
        <v>5.2601659403484977E-2</v>
      </c>
    </row>
    <row r="28" spans="1:8">
      <c r="A28" s="58">
        <v>43862</v>
      </c>
      <c r="B28" s="4">
        <v>76.074996948242188</v>
      </c>
      <c r="C28" s="4">
        <v>81.805000305175781</v>
      </c>
      <c r="D28" s="4">
        <v>64.092498779296875</v>
      </c>
      <c r="E28" s="4">
        <v>68.339996337890625</v>
      </c>
      <c r="F28" s="4">
        <v>66.254432678222656</v>
      </c>
      <c r="G28" s="4">
        <v>3019279200</v>
      </c>
      <c r="H28" s="57">
        <f t="shared" si="1"/>
        <v>-0.12420076663889809</v>
      </c>
    </row>
    <row r="29" spans="1:8">
      <c r="A29" s="58">
        <v>43891</v>
      </c>
      <c r="B29" s="4">
        <v>70.569999694824219</v>
      </c>
      <c r="C29" s="4">
        <v>76</v>
      </c>
      <c r="D29" s="4">
        <v>53.152500152587891</v>
      </c>
      <c r="E29" s="4">
        <v>63.572498321533203</v>
      </c>
      <c r="F29" s="4">
        <v>61.778697967529297</v>
      </c>
      <c r="G29" s="4">
        <v>6280072400</v>
      </c>
      <c r="H29" s="57">
        <f t="shared" si="1"/>
        <v>-6.9943759017318891E-2</v>
      </c>
    </row>
    <row r="30" spans="1:8">
      <c r="A30" s="58">
        <v>43922</v>
      </c>
      <c r="B30" s="4">
        <v>61.625</v>
      </c>
      <c r="C30" s="4">
        <v>73.632499694824219</v>
      </c>
      <c r="D30" s="4">
        <v>59.224998474121094</v>
      </c>
      <c r="E30" s="4">
        <v>73.449996948242188</v>
      </c>
      <c r="F30" s="4">
        <v>71.37750244140625</v>
      </c>
      <c r="G30" s="4">
        <v>3265299200</v>
      </c>
      <c r="H30" s="57">
        <f t="shared" si="1"/>
        <v>0.14442411587533449</v>
      </c>
    </row>
    <row r="31" spans="1:8">
      <c r="A31" s="58">
        <v>43952</v>
      </c>
      <c r="B31" s="4">
        <v>71.5625</v>
      </c>
      <c r="C31" s="4">
        <v>81.05999755859375</v>
      </c>
      <c r="D31" s="4">
        <v>71.462501525878906</v>
      </c>
      <c r="E31" s="4">
        <v>79.485000610351562</v>
      </c>
      <c r="F31" s="4">
        <v>77.242210388183594</v>
      </c>
      <c r="G31" s="4">
        <v>2805936000</v>
      </c>
      <c r="H31" s="57">
        <f t="shared" si="1"/>
        <v>7.8963346457991496E-2</v>
      </c>
    </row>
    <row r="32" spans="1:8">
      <c r="A32" s="58">
        <v>43983</v>
      </c>
      <c r="B32" s="4">
        <v>79.4375</v>
      </c>
      <c r="C32" s="4">
        <v>93.095001220703125</v>
      </c>
      <c r="D32" s="4">
        <v>79.302497863769531</v>
      </c>
      <c r="E32" s="4">
        <v>91.199996948242188</v>
      </c>
      <c r="F32" s="4">
        <v>88.866569519042969</v>
      </c>
      <c r="G32" s="4">
        <v>3243375600</v>
      </c>
      <c r="H32" s="57">
        <f t="shared" si="1"/>
        <v>0.14018995159723294</v>
      </c>
    </row>
    <row r="33" spans="1:8">
      <c r="A33" s="58">
        <v>44013</v>
      </c>
      <c r="B33" s="4">
        <v>91.279998779296875</v>
      </c>
      <c r="C33" s="4">
        <v>106.41500091552734</v>
      </c>
      <c r="D33" s="4">
        <v>89.144996643066406</v>
      </c>
      <c r="E33" s="4">
        <v>106.26000213623047</v>
      </c>
      <c r="F33" s="4">
        <v>103.54122924804688</v>
      </c>
      <c r="G33" s="4">
        <v>3020283200</v>
      </c>
      <c r="H33" s="57">
        <f t="shared" si="1"/>
        <v>0.1528338577158746</v>
      </c>
    </row>
    <row r="34" spans="1:8">
      <c r="A34" s="58">
        <v>44044</v>
      </c>
      <c r="B34" s="4">
        <v>108.19999694824219</v>
      </c>
      <c r="C34" s="4">
        <v>131</v>
      </c>
      <c r="D34" s="4">
        <v>107.89250183105469</v>
      </c>
      <c r="E34" s="4">
        <v>129.03999328613281</v>
      </c>
      <c r="F34" s="4">
        <v>125.73837280273438</v>
      </c>
      <c r="G34" s="4">
        <v>4070061100</v>
      </c>
      <c r="H34" s="57">
        <f t="shared" si="1"/>
        <v>0.19423345829587005</v>
      </c>
    </row>
    <row r="35" spans="1:8">
      <c r="A35" s="58">
        <v>44075</v>
      </c>
      <c r="B35" s="4">
        <v>132.75999450683594</v>
      </c>
      <c r="C35" s="4">
        <v>137.97999572753906</v>
      </c>
      <c r="D35" s="4">
        <v>103.09999847412109</v>
      </c>
      <c r="E35" s="4">
        <v>115.80999755859375</v>
      </c>
      <c r="F35" s="4">
        <v>113.05033874511719</v>
      </c>
      <c r="G35" s="4">
        <v>3885245100</v>
      </c>
      <c r="H35" s="57">
        <f t="shared" si="1"/>
        <v>-0.1063701467655426</v>
      </c>
    </row>
    <row r="36" spans="1:8">
      <c r="A36" s="58">
        <v>44105</v>
      </c>
      <c r="B36" s="4">
        <v>117.63999938964844</v>
      </c>
      <c r="C36" s="4">
        <v>125.38999938964844</v>
      </c>
      <c r="D36" s="4">
        <v>107.72000122070312</v>
      </c>
      <c r="E36" s="4">
        <v>108.86000061035156</v>
      </c>
      <c r="F36" s="4">
        <v>106.26596832275391</v>
      </c>
      <c r="G36" s="4">
        <v>2894666500</v>
      </c>
      <c r="H36" s="57">
        <f t="shared" si="1"/>
        <v>-6.18881085294321E-2</v>
      </c>
    </row>
    <row r="37" spans="1:8">
      <c r="A37" s="58">
        <v>44136</v>
      </c>
      <c r="B37" s="4">
        <v>109.11000061035156</v>
      </c>
      <c r="C37" s="4">
        <v>121.98999786376953</v>
      </c>
      <c r="D37" s="4">
        <v>107.31999969482422</v>
      </c>
      <c r="E37" s="4">
        <v>119.05000305175781</v>
      </c>
      <c r="F37" s="4">
        <v>116.21315002441406</v>
      </c>
      <c r="G37" s="4">
        <v>2123077300</v>
      </c>
      <c r="H37" s="57">
        <f t="shared" si="1"/>
        <v>8.9480918569914317E-2</v>
      </c>
    </row>
    <row r="38" spans="1:8">
      <c r="A38" s="58">
        <v>44166</v>
      </c>
      <c r="B38" s="4">
        <v>121.01000213623047</v>
      </c>
      <c r="C38" s="4">
        <v>138.78999328613281</v>
      </c>
      <c r="D38" s="4">
        <v>120.01000213623047</v>
      </c>
      <c r="E38" s="4">
        <v>132.69000244140625</v>
      </c>
      <c r="F38" s="4">
        <v>129.75157165527344</v>
      </c>
      <c r="G38" s="4">
        <v>2322189600</v>
      </c>
      <c r="H38" s="57">
        <f t="shared" si="1"/>
        <v>0.11019562974419839</v>
      </c>
    </row>
    <row r="39" spans="1:8">
      <c r="A39" s="58"/>
      <c r="H39" s="57"/>
    </row>
    <row r="40" spans="1:8">
      <c r="A40" s="58"/>
      <c r="H40" s="57"/>
    </row>
    <row r="41" spans="1:8">
      <c r="A41" s="58"/>
      <c r="H41" s="57"/>
    </row>
    <row r="42" spans="1:8">
      <c r="A42" s="58"/>
      <c r="H42" s="57"/>
    </row>
    <row r="43" spans="1:8">
      <c r="A43" s="58"/>
      <c r="H43" s="57"/>
    </row>
    <row r="44" spans="1:8">
      <c r="A44" s="58"/>
      <c r="H44" s="57"/>
    </row>
    <row r="45" spans="1:8">
      <c r="A45" s="58"/>
      <c r="H45" s="57"/>
    </row>
    <row r="46" spans="1:8">
      <c r="A46" s="58"/>
      <c r="H46" s="57"/>
    </row>
    <row r="47" spans="1:8">
      <c r="A47" s="58"/>
      <c r="H47" s="57"/>
    </row>
    <row r="48" spans="1:8">
      <c r="A48" s="58"/>
      <c r="H48" s="57"/>
    </row>
    <row r="49" spans="1:8">
      <c r="A49" s="58"/>
      <c r="H49" s="57"/>
    </row>
    <row r="50" spans="1:8">
      <c r="A50" s="58"/>
      <c r="H50" s="57"/>
    </row>
    <row r="51" spans="1:8">
      <c r="A51" s="58"/>
      <c r="H51" s="57"/>
    </row>
    <row r="52" spans="1:8">
      <c r="A52" s="58"/>
      <c r="H52" s="57"/>
    </row>
    <row r="53" spans="1:8">
      <c r="A53" s="58"/>
      <c r="H53" s="57"/>
    </row>
    <row r="54" spans="1:8">
      <c r="A54" s="58"/>
      <c r="H54" s="57"/>
    </row>
    <row r="55" spans="1:8">
      <c r="A55" s="58"/>
      <c r="H55" s="57"/>
    </row>
    <row r="56" spans="1:8">
      <c r="A56" s="58"/>
      <c r="H56" s="57"/>
    </row>
    <row r="57" spans="1:8">
      <c r="A57" s="58"/>
      <c r="H57" s="57"/>
    </row>
    <row r="58" spans="1:8">
      <c r="A58" s="58"/>
      <c r="H58" s="57"/>
    </row>
    <row r="59" spans="1:8">
      <c r="A59" s="58"/>
      <c r="H59" s="57"/>
    </row>
    <row r="60" spans="1:8">
      <c r="A60" s="58"/>
      <c r="H60" s="57"/>
    </row>
    <row r="61" spans="1:8">
      <c r="A61" s="58"/>
      <c r="H61" s="57"/>
    </row>
    <row r="62" spans="1:8">
      <c r="A62" s="58"/>
      <c r="H62" s="57"/>
    </row>
    <row r="63" spans="1:8">
      <c r="A63" s="58"/>
      <c r="H63" s="57"/>
    </row>
    <row r="64" spans="1:8">
      <c r="A64" s="58"/>
      <c r="H64" s="57"/>
    </row>
    <row r="65" spans="1:8">
      <c r="A65" s="58"/>
      <c r="H65" s="57"/>
    </row>
    <row r="66" spans="1:8">
      <c r="A66" s="58"/>
      <c r="H66" s="57"/>
    </row>
    <row r="67" spans="1:8">
      <c r="A67" s="58"/>
      <c r="H67" s="57"/>
    </row>
    <row r="68" spans="1:8">
      <c r="A68" s="58"/>
      <c r="H68" s="57"/>
    </row>
    <row r="69" spans="1:8">
      <c r="A69" s="58"/>
      <c r="H69" s="57"/>
    </row>
    <row r="70" spans="1:8">
      <c r="A70" s="58"/>
      <c r="H70" s="57"/>
    </row>
    <row r="71" spans="1:8">
      <c r="A71" s="58"/>
      <c r="H71" s="57"/>
    </row>
    <row r="72" spans="1:8">
      <c r="A72" s="58"/>
      <c r="H72" s="57"/>
    </row>
    <row r="73" spans="1:8">
      <c r="A73" s="58"/>
      <c r="H73" s="57"/>
    </row>
    <row r="74" spans="1:8">
      <c r="A74" s="58"/>
      <c r="H74" s="57"/>
    </row>
    <row r="75" spans="1:8">
      <c r="A75" s="58"/>
      <c r="H75" s="57"/>
    </row>
    <row r="76" spans="1:8">
      <c r="A76" s="58"/>
      <c r="H76" s="57"/>
    </row>
    <row r="77" spans="1:8">
      <c r="A77" s="58"/>
      <c r="H77" s="57"/>
    </row>
    <row r="78" spans="1:8">
      <c r="A78" s="58"/>
      <c r="H78" s="57"/>
    </row>
    <row r="79" spans="1:8">
      <c r="A79" s="58"/>
      <c r="H79" s="57"/>
    </row>
    <row r="80" spans="1:8">
      <c r="A80" s="58"/>
      <c r="H80" s="57"/>
    </row>
    <row r="81" spans="1:8">
      <c r="A81" s="58"/>
      <c r="H81" s="57"/>
    </row>
    <row r="82" spans="1:8">
      <c r="A82" s="58"/>
      <c r="H82" s="57"/>
    </row>
    <row r="83" spans="1:8">
      <c r="A83" s="58"/>
      <c r="H83" s="57"/>
    </row>
    <row r="84" spans="1:8">
      <c r="A84" s="58"/>
      <c r="H84" s="57"/>
    </row>
    <row r="85" spans="1:8">
      <c r="A85" s="58"/>
      <c r="H85" s="57"/>
    </row>
    <row r="86" spans="1:8">
      <c r="A86" s="58"/>
      <c r="H86" s="57"/>
    </row>
    <row r="87" spans="1:8">
      <c r="A87" s="58"/>
      <c r="H87" s="57"/>
    </row>
    <row r="88" spans="1:8">
      <c r="A88" s="58"/>
      <c r="H88" s="57"/>
    </row>
    <row r="89" spans="1:8">
      <c r="A89" s="58"/>
      <c r="H89" s="57"/>
    </row>
    <row r="90" spans="1:8">
      <c r="A90" s="58"/>
      <c r="H90" s="57"/>
    </row>
    <row r="91" spans="1:8">
      <c r="A91" s="58"/>
      <c r="H91" s="57"/>
    </row>
    <row r="92" spans="1:8">
      <c r="A92" s="58"/>
      <c r="H92" s="57"/>
    </row>
    <row r="93" spans="1:8">
      <c r="A93" s="58"/>
      <c r="H93" s="57"/>
    </row>
    <row r="94" spans="1:8">
      <c r="A94" s="58"/>
      <c r="H94" s="57"/>
    </row>
    <row r="95" spans="1:8">
      <c r="A95" s="58"/>
      <c r="H95" s="57"/>
    </row>
    <row r="96" spans="1:8">
      <c r="A96" s="58"/>
      <c r="H96" s="57"/>
    </row>
    <row r="97" spans="1:8">
      <c r="A97" s="58"/>
      <c r="H97" s="57"/>
    </row>
    <row r="98" spans="1:8">
      <c r="A98" s="58"/>
      <c r="H98" s="57"/>
    </row>
    <row r="99" spans="1:8">
      <c r="A99" s="58"/>
      <c r="H99" s="57"/>
    </row>
    <row r="100" spans="1:8">
      <c r="A100" s="58"/>
      <c r="H100" s="57"/>
    </row>
    <row r="101" spans="1:8">
      <c r="A101" s="58"/>
      <c r="H101" s="57"/>
    </row>
    <row r="102" spans="1:8">
      <c r="A102" s="58"/>
      <c r="H102" s="57"/>
    </row>
    <row r="103" spans="1:8">
      <c r="A103" s="58"/>
      <c r="H103" s="57"/>
    </row>
    <row r="104" spans="1:8">
      <c r="A104" s="58"/>
      <c r="H104" s="57"/>
    </row>
    <row r="105" spans="1:8">
      <c r="A105" s="58"/>
      <c r="H105" s="57"/>
    </row>
    <row r="106" spans="1:8">
      <c r="A106" s="58"/>
      <c r="H106" s="57"/>
    </row>
    <row r="107" spans="1:8">
      <c r="A107" s="58"/>
      <c r="H107" s="57"/>
    </row>
    <row r="108" spans="1:8">
      <c r="A108" s="58"/>
      <c r="H108" s="57"/>
    </row>
    <row r="109" spans="1:8">
      <c r="A109" s="58"/>
      <c r="H109" s="57"/>
    </row>
    <row r="110" spans="1:8">
      <c r="A110" s="58"/>
      <c r="H110" s="57"/>
    </row>
    <row r="111" spans="1:8">
      <c r="A111" s="58"/>
      <c r="H111" s="57"/>
    </row>
    <row r="112" spans="1:8">
      <c r="A112" s="58"/>
      <c r="H112" s="57"/>
    </row>
    <row r="113" spans="1:8">
      <c r="A113" s="58"/>
      <c r="H113" s="57"/>
    </row>
    <row r="114" spans="1:8">
      <c r="A114" s="58"/>
      <c r="H114" s="57"/>
    </row>
    <row r="115" spans="1:8">
      <c r="A115" s="58"/>
      <c r="H115" s="57"/>
    </row>
    <row r="116" spans="1:8">
      <c r="A116" s="58"/>
      <c r="H116" s="57"/>
    </row>
    <row r="117" spans="1:8">
      <c r="A117" s="58"/>
      <c r="H117" s="57"/>
    </row>
    <row r="118" spans="1:8">
      <c r="A118" s="58"/>
      <c r="H118" s="57"/>
    </row>
    <row r="119" spans="1:8">
      <c r="A119" s="58"/>
      <c r="H119" s="57"/>
    </row>
    <row r="120" spans="1:8">
      <c r="A120" s="58"/>
      <c r="H120" s="57"/>
    </row>
    <row r="121" spans="1:8">
      <c r="A121" s="58"/>
      <c r="H121" s="57"/>
    </row>
    <row r="122" spans="1:8">
      <c r="A122" s="58"/>
      <c r="H122" s="57"/>
    </row>
    <row r="123" spans="1:8">
      <c r="A123" s="58"/>
      <c r="H123" s="57"/>
    </row>
    <row r="124" spans="1:8">
      <c r="A124" s="58"/>
      <c r="H124" s="57"/>
    </row>
    <row r="125" spans="1:8">
      <c r="A125" s="58"/>
      <c r="H125" s="57"/>
    </row>
    <row r="126" spans="1:8">
      <c r="A126" s="58"/>
      <c r="H126" s="57"/>
    </row>
    <row r="127" spans="1:8">
      <c r="A127" s="58"/>
      <c r="H127" s="57"/>
    </row>
    <row r="128" spans="1:8">
      <c r="A128" s="58"/>
      <c r="H128" s="57"/>
    </row>
    <row r="129" spans="1:8">
      <c r="A129" s="58"/>
      <c r="H129" s="57"/>
    </row>
    <row r="130" spans="1:8">
      <c r="A130" s="58"/>
      <c r="H130" s="57"/>
    </row>
  </sheetData>
  <phoneticPr fontId="23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B75"/>
  <sheetViews>
    <sheetView workbookViewId="0">
      <selection activeCell="E33" sqref="E33"/>
    </sheetView>
  </sheetViews>
  <sheetFormatPr baseColWidth="10" defaultColWidth="20.6640625" defaultRowHeight="15"/>
  <cols>
    <col min="1" max="1" width="20.6640625" style="4" customWidth="1"/>
    <col min="2" max="16384" width="20.6640625" style="4"/>
  </cols>
  <sheetData>
    <row r="1" spans="1:2">
      <c r="A1" s="60" t="s">
        <v>45</v>
      </c>
      <c r="B1" s="60"/>
    </row>
    <row r="2" spans="1:2">
      <c r="A2" s="60" t="s">
        <v>46</v>
      </c>
      <c r="B2" s="60"/>
    </row>
    <row r="3" spans="1:2">
      <c r="A3" s="60" t="s">
        <v>47</v>
      </c>
      <c r="B3" s="60"/>
    </row>
    <row r="4" spans="1:2">
      <c r="A4" s="60" t="s">
        <v>67</v>
      </c>
      <c r="B4" s="60"/>
    </row>
    <row r="5" spans="1:2">
      <c r="A5" s="60" t="s">
        <v>48</v>
      </c>
      <c r="B5" s="60"/>
    </row>
    <row r="6" spans="1:2">
      <c r="A6" s="60" t="s">
        <v>49</v>
      </c>
      <c r="B6" s="60"/>
    </row>
    <row r="8" spans="1:2">
      <c r="A8" s="60" t="s">
        <v>66</v>
      </c>
      <c r="B8" s="60" t="s">
        <v>68</v>
      </c>
    </row>
    <row r="10" spans="1:2">
      <c r="A10" s="60" t="s">
        <v>50</v>
      </c>
      <c r="B10" s="60"/>
    </row>
    <row r="11" spans="1:2">
      <c r="A11" s="60" t="s">
        <v>51</v>
      </c>
      <c r="B11" s="60" t="s">
        <v>66</v>
      </c>
    </row>
    <row r="12" spans="1:2">
      <c r="A12" s="61">
        <v>44166</v>
      </c>
      <c r="B12" s="62">
        <v>0.09</v>
      </c>
    </row>
    <row r="13" spans="1:2">
      <c r="A13" s="61">
        <v>44167</v>
      </c>
      <c r="B13" s="62">
        <v>0.09</v>
      </c>
    </row>
    <row r="14" spans="1:2">
      <c r="A14" s="61">
        <v>44168</v>
      </c>
      <c r="B14" s="62">
        <v>0.08</v>
      </c>
    </row>
    <row r="15" spans="1:2">
      <c r="A15" s="61">
        <v>44169</v>
      </c>
      <c r="B15" s="62">
        <v>0.09</v>
      </c>
    </row>
    <row r="16" spans="1:2">
      <c r="A16" s="61">
        <v>44172</v>
      </c>
      <c r="B16" s="62">
        <v>0.08</v>
      </c>
    </row>
    <row r="17" spans="1:2">
      <c r="A17" s="61">
        <v>44173</v>
      </c>
      <c r="B17" s="62">
        <v>0.09</v>
      </c>
    </row>
    <row r="18" spans="1:2">
      <c r="A18" s="61">
        <v>44174</v>
      </c>
      <c r="B18" s="62">
        <v>0.08</v>
      </c>
    </row>
    <row r="19" spans="1:2">
      <c r="A19" s="61">
        <v>44175</v>
      </c>
      <c r="B19" s="62">
        <v>0.08</v>
      </c>
    </row>
    <row r="20" spans="1:2">
      <c r="A20" s="61">
        <v>44176</v>
      </c>
      <c r="B20" s="62">
        <v>0.08</v>
      </c>
    </row>
    <row r="21" spans="1:2">
      <c r="A21" s="61">
        <v>44179</v>
      </c>
      <c r="B21" s="62">
        <v>0.09</v>
      </c>
    </row>
    <row r="22" spans="1:2">
      <c r="A22" s="61">
        <v>44180</v>
      </c>
      <c r="B22" s="62">
        <v>0.08</v>
      </c>
    </row>
    <row r="23" spans="1:2">
      <c r="A23" s="61">
        <v>44181</v>
      </c>
      <c r="B23" s="62">
        <v>0.09</v>
      </c>
    </row>
    <row r="24" spans="1:2">
      <c r="A24" s="61">
        <v>44182</v>
      </c>
      <c r="B24" s="62">
        <v>0.08</v>
      </c>
    </row>
    <row r="25" spans="1:2">
      <c r="A25" s="61">
        <v>44183</v>
      </c>
      <c r="B25" s="62">
        <v>0.08</v>
      </c>
    </row>
    <row r="26" spans="1:2">
      <c r="A26" s="61">
        <v>44186</v>
      </c>
      <c r="B26" s="62">
        <v>0.09</v>
      </c>
    </row>
    <row r="27" spans="1:2">
      <c r="A27" s="61">
        <v>44187</v>
      </c>
      <c r="B27" s="62">
        <v>0.09</v>
      </c>
    </row>
    <row r="28" spans="1:2">
      <c r="A28" s="61">
        <v>44188</v>
      </c>
      <c r="B28" s="62">
        <v>0.09</v>
      </c>
    </row>
    <row r="29" spans="1:2">
      <c r="A29" s="61">
        <v>44189</v>
      </c>
      <c r="B29" s="62">
        <v>0.09</v>
      </c>
    </row>
    <row r="30" spans="1:2">
      <c r="A30" s="61">
        <v>44190</v>
      </c>
      <c r="B30" s="63">
        <v>0</v>
      </c>
    </row>
    <row r="31" spans="1:2">
      <c r="A31" s="61">
        <v>44193</v>
      </c>
      <c r="B31" s="62">
        <v>0.11</v>
      </c>
    </row>
    <row r="32" spans="1:2">
      <c r="A32" s="61">
        <v>44194</v>
      </c>
      <c r="B32" s="62">
        <v>0.1</v>
      </c>
    </row>
    <row r="33" spans="1:2">
      <c r="A33" s="61">
        <v>44195</v>
      </c>
      <c r="B33" s="62">
        <v>0.08</v>
      </c>
    </row>
    <row r="34" spans="1:2">
      <c r="A34" s="61">
        <v>44196</v>
      </c>
      <c r="B34" s="62">
        <v>0.09</v>
      </c>
    </row>
    <row r="35" spans="1:2">
      <c r="A35" s="61">
        <v>44197</v>
      </c>
      <c r="B35" s="63">
        <v>0</v>
      </c>
    </row>
    <row r="36" spans="1:2">
      <c r="A36" s="61">
        <v>44200</v>
      </c>
      <c r="B36" s="62">
        <v>0.09</v>
      </c>
    </row>
    <row r="37" spans="1:2">
      <c r="A37" s="61">
        <v>44201</v>
      </c>
      <c r="B37" s="62">
        <v>0.09</v>
      </c>
    </row>
    <row r="38" spans="1:2">
      <c r="A38" s="61">
        <v>44202</v>
      </c>
      <c r="B38" s="62">
        <v>0.09</v>
      </c>
    </row>
    <row r="39" spans="1:2">
      <c r="A39" s="61">
        <v>44203</v>
      </c>
      <c r="B39" s="64">
        <v>0.09</v>
      </c>
    </row>
    <row r="40" spans="1:2">
      <c r="A40" s="65"/>
      <c r="B40" s="23"/>
    </row>
    <row r="41" spans="1:2">
      <c r="A41" s="65"/>
      <c r="B41" s="30"/>
    </row>
    <row r="42" spans="1:2">
      <c r="A42" s="65"/>
      <c r="B42" s="23"/>
    </row>
    <row r="43" spans="1:2">
      <c r="A43" s="65"/>
      <c r="B43" s="23"/>
    </row>
    <row r="44" spans="1:2">
      <c r="A44" s="65"/>
      <c r="B44" s="23"/>
    </row>
    <row r="45" spans="1:2">
      <c r="A45" s="65"/>
      <c r="B45" s="23"/>
    </row>
    <row r="46" spans="1:2">
      <c r="A46" s="65"/>
      <c r="B46" s="23"/>
    </row>
    <row r="47" spans="1:2">
      <c r="A47" s="65"/>
      <c r="B47" s="23"/>
    </row>
    <row r="48" spans="1:2">
      <c r="A48" s="65"/>
      <c r="B48" s="23"/>
    </row>
    <row r="49" spans="1:2">
      <c r="A49" s="65"/>
      <c r="B49" s="23"/>
    </row>
    <row r="50" spans="1:2">
      <c r="A50" s="65"/>
      <c r="B50" s="23"/>
    </row>
    <row r="51" spans="1:2">
      <c r="A51" s="65"/>
      <c r="B51" s="23"/>
    </row>
    <row r="52" spans="1:2">
      <c r="A52" s="65"/>
      <c r="B52" s="23"/>
    </row>
    <row r="53" spans="1:2">
      <c r="A53" s="65"/>
      <c r="B53" s="23"/>
    </row>
    <row r="54" spans="1:2">
      <c r="A54" s="65"/>
      <c r="B54" s="23"/>
    </row>
    <row r="55" spans="1:2">
      <c r="A55" s="65"/>
      <c r="B55" s="23"/>
    </row>
    <row r="56" spans="1:2">
      <c r="A56" s="65"/>
      <c r="B56" s="23"/>
    </row>
    <row r="57" spans="1:2">
      <c r="A57" s="65"/>
      <c r="B57" s="23"/>
    </row>
    <row r="58" spans="1:2">
      <c r="A58" s="65"/>
      <c r="B58" s="23"/>
    </row>
    <row r="59" spans="1:2">
      <c r="A59" s="65"/>
      <c r="B59" s="23"/>
    </row>
    <row r="60" spans="1:2">
      <c r="A60" s="65"/>
      <c r="B60" s="23"/>
    </row>
    <row r="61" spans="1:2">
      <c r="A61" s="65"/>
      <c r="B61" s="23"/>
    </row>
    <row r="62" spans="1:2">
      <c r="A62" s="65"/>
      <c r="B62" s="30"/>
    </row>
    <row r="63" spans="1:2">
      <c r="A63" s="65"/>
      <c r="B63" s="23"/>
    </row>
    <row r="64" spans="1:2">
      <c r="A64" s="65"/>
      <c r="B64" s="23"/>
    </row>
    <row r="65" spans="1:2">
      <c r="A65" s="65"/>
      <c r="B65" s="23"/>
    </row>
    <row r="66" spans="1:2">
      <c r="A66" s="65"/>
      <c r="B66" s="23"/>
    </row>
    <row r="67" spans="1:2">
      <c r="A67" s="65"/>
      <c r="B67" s="23"/>
    </row>
    <row r="68" spans="1:2">
      <c r="A68" s="65"/>
      <c r="B68" s="23"/>
    </row>
    <row r="69" spans="1:2">
      <c r="A69" s="65"/>
      <c r="B69" s="23"/>
    </row>
    <row r="70" spans="1:2">
      <c r="A70" s="65"/>
      <c r="B70" s="23"/>
    </row>
    <row r="71" spans="1:2">
      <c r="A71" s="65"/>
      <c r="B71" s="23"/>
    </row>
    <row r="72" spans="1:2">
      <c r="A72" s="65"/>
      <c r="B72" s="23"/>
    </row>
    <row r="73" spans="1:2">
      <c r="A73" s="65"/>
      <c r="B73" s="23"/>
    </row>
    <row r="74" spans="1:2">
      <c r="A74" s="65"/>
      <c r="B74" s="30"/>
    </row>
    <row r="75" spans="1:2">
      <c r="A75" s="65"/>
      <c r="B75" s="23"/>
    </row>
  </sheetData>
  <phoneticPr fontId="2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F21"/>
  <sheetViews>
    <sheetView workbookViewId="0">
      <selection activeCell="B20" sqref="B20"/>
    </sheetView>
  </sheetViews>
  <sheetFormatPr baseColWidth="10" defaultColWidth="8.6640625" defaultRowHeight="15"/>
  <cols>
    <col min="1" max="1" width="25.6640625" style="4" customWidth="1"/>
    <col min="2" max="2" width="17.6640625" style="4" bestFit="1" customWidth="1"/>
    <col min="3" max="4" width="8.6640625" style="4"/>
    <col min="5" max="5" width="11.6640625" style="4" customWidth="1"/>
    <col min="6" max="7" width="8.6640625" style="4"/>
    <col min="8" max="8" width="21.5" style="4" bestFit="1" customWidth="1"/>
    <col min="9" max="12" width="8.6640625" style="4"/>
    <col min="13" max="13" width="9.5" style="4" bestFit="1" customWidth="1"/>
    <col min="14" max="21" width="9.33203125" style="4" bestFit="1" customWidth="1"/>
    <col min="22" max="16384" width="8.6640625" style="4"/>
  </cols>
  <sheetData>
    <row r="1" spans="1:6" ht="21">
      <c r="A1" s="1" t="s">
        <v>60</v>
      </c>
    </row>
    <row r="2" spans="1:6">
      <c r="A2" s="48" t="s">
        <v>138</v>
      </c>
    </row>
    <row r="3" spans="1:6">
      <c r="A3" s="4" t="s">
        <v>61</v>
      </c>
      <c r="B3" s="68" t="s">
        <v>36</v>
      </c>
      <c r="E3" s="7"/>
    </row>
    <row r="4" spans="1:6">
      <c r="A4" s="4" t="s">
        <v>72</v>
      </c>
      <c r="B4" s="68" t="s">
        <v>4</v>
      </c>
      <c r="F4" s="9"/>
    </row>
    <row r="5" spans="1:6">
      <c r="A5" s="4" t="s">
        <v>0</v>
      </c>
      <c r="B5" s="69">
        <v>132.05000000000001</v>
      </c>
      <c r="C5" s="4" t="s">
        <v>69</v>
      </c>
      <c r="F5" s="66"/>
    </row>
    <row r="6" spans="1:6">
      <c r="A6" s="4" t="s">
        <v>1</v>
      </c>
      <c r="B6" s="69">
        <v>130</v>
      </c>
      <c r="F6" s="66"/>
    </row>
    <row r="7" spans="1:6">
      <c r="A7" s="4" t="s">
        <v>62</v>
      </c>
      <c r="B7" s="70">
        <v>44204</v>
      </c>
      <c r="F7" s="66"/>
    </row>
    <row r="8" spans="1:6">
      <c r="A8" s="4" t="s">
        <v>63</v>
      </c>
      <c r="B8" s="70">
        <v>44302</v>
      </c>
      <c r="F8" s="9"/>
    </row>
    <row r="9" spans="1:6">
      <c r="A9" s="4" t="s">
        <v>139</v>
      </c>
      <c r="B9" s="78">
        <f>(B8-B7)/365</f>
        <v>0.26849315068493151</v>
      </c>
      <c r="C9" s="4" t="str">
        <f ca="1">getformula(B9)</f>
        <v>&lt;--  =(B8-B7)/365</v>
      </c>
      <c r="E9" s="7"/>
      <c r="F9" s="7"/>
    </row>
    <row r="10" spans="1:6">
      <c r="A10" s="4" t="s">
        <v>140</v>
      </c>
      <c r="B10" s="71">
        <f>'T-bill'!B39/100</f>
        <v>8.9999999999999998E-4</v>
      </c>
      <c r="C10" s="4" t="s">
        <v>70</v>
      </c>
      <c r="E10" s="7"/>
    </row>
    <row r="11" spans="1:6">
      <c r="A11" s="4" t="s">
        <v>141</v>
      </c>
      <c r="B11" s="79">
        <f>0.62%</f>
        <v>6.1999999999999998E-3</v>
      </c>
      <c r="C11" s="4" t="str">
        <f ca="1">getformula(B11)</f>
        <v>&lt;--  =0.62%</v>
      </c>
      <c r="E11" s="7"/>
    </row>
    <row r="12" spans="1:6">
      <c r="A12" s="4" t="s">
        <v>142</v>
      </c>
      <c r="B12" s="75">
        <f>_xlfn.STDEV.S(AAPLdata!H3:H38)*SQRT(12)</f>
        <v>0.3353679904356926</v>
      </c>
      <c r="C12" s="4" t="s">
        <v>59</v>
      </c>
      <c r="E12" s="7"/>
    </row>
    <row r="13" spans="1:6">
      <c r="A13" s="4" t="s">
        <v>12</v>
      </c>
      <c r="B13" s="25">
        <v>100</v>
      </c>
      <c r="E13" s="7"/>
    </row>
    <row r="14" spans="1:6">
      <c r="E14" s="7"/>
    </row>
    <row r="16" spans="1:6">
      <c r="A16" s="7" t="s">
        <v>71</v>
      </c>
      <c r="B16" s="77" cm="1">
        <f t="array" ref="B16">binomial(B3,B4,B5,B6,B9,B10,B11,B12,B13)</f>
        <v>8.1847043019991723</v>
      </c>
      <c r="C16" s="67" t="str">
        <f ca="1">getformula(B16)</f>
        <v>&lt;--  =binomial(B3,B4,B5,B6,B9,B10,B11,B12,B13)</v>
      </c>
    </row>
    <row r="18" spans="1:3">
      <c r="A18" s="7" t="s">
        <v>73</v>
      </c>
    </row>
    <row r="19" spans="1:3">
      <c r="A19" s="4" t="s">
        <v>74</v>
      </c>
      <c r="B19" s="72">
        <v>9.1</v>
      </c>
    </row>
    <row r="20" spans="1:3">
      <c r="A20" s="4" t="s">
        <v>75</v>
      </c>
      <c r="B20" s="72">
        <v>9.25</v>
      </c>
    </row>
    <row r="21" spans="1:3">
      <c r="A21" s="4" t="s">
        <v>76</v>
      </c>
      <c r="B21" s="76">
        <f>(B19+B20)/2</f>
        <v>9.1750000000000007</v>
      </c>
      <c r="C21" s="67" t="str">
        <f ca="1">getformula(B21)</f>
        <v>&lt;--  =(B19+B20)/2</v>
      </c>
    </row>
  </sheetData>
  <phoneticPr fontId="23" type="noConversion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</vt:i4>
      </vt:variant>
    </vt:vector>
  </HeadingPairs>
  <TitlesOfParts>
    <vt:vector size="20" baseType="lpstr">
      <vt:lpstr>Option2step</vt:lpstr>
      <vt:lpstr>Option9step</vt:lpstr>
      <vt:lpstr>VBA_Euro</vt:lpstr>
      <vt:lpstr>VBA_Amer</vt:lpstr>
      <vt:lpstr>AAPLdata</vt:lpstr>
      <vt:lpstr>T-bill</vt:lpstr>
      <vt:lpstr>AAPLoption</vt:lpstr>
      <vt:lpstr>d</vt:lpstr>
      <vt:lpstr>dt</vt:lpstr>
      <vt:lpstr>K</vt:lpstr>
      <vt:lpstr>n</vt:lpstr>
      <vt:lpstr>OptType</vt:lpstr>
      <vt:lpstr>p</vt:lpstr>
      <vt:lpstr>pv</vt:lpstr>
      <vt:lpstr>q</vt:lpstr>
      <vt:lpstr>rr</vt:lpstr>
      <vt:lpstr>S</vt:lpstr>
      <vt:lpstr>sig</vt:lpstr>
      <vt:lpstr>T</vt:lpstr>
      <vt:lpstr>u</vt:lpstr>
    </vt:vector>
  </TitlesOfParts>
  <Company>X Axis Technologies,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Chandan Sengupta</dc:creator>
  <cp:lastModifiedBy>jadonng@connect.hku.hk</cp:lastModifiedBy>
  <dcterms:created xsi:type="dcterms:W3CDTF">2003-07-10T15:30:05Z</dcterms:created>
  <dcterms:modified xsi:type="dcterms:W3CDTF">2025-05-07T16:13:52Z</dcterms:modified>
</cp:coreProperties>
</file>