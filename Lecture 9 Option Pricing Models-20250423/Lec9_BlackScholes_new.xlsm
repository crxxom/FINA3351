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eacherPC\Downloads\"/>
    </mc:Choice>
  </mc:AlternateContent>
  <xr:revisionPtr revIDLastSave="0" documentId="13_ncr:1_{8FFA376E-30D2-45FB-80DF-ED3AFEBD9520}" xr6:coauthVersionLast="47" xr6:coauthVersionMax="47" xr10:uidLastSave="{00000000-0000-0000-0000-000000000000}"/>
  <bookViews>
    <workbookView xWindow="-108" yWindow="-108" windowWidth="23256" windowHeight="12456" tabRatio="623" activeTab="8" xr2:uid="{00000000-000D-0000-FFFF-FFFF00000000}"/>
  </bookViews>
  <sheets>
    <sheet name="BS" sheetId="20" r:id="rId1"/>
    <sheet name="BS_div1" sheetId="22" r:id="rId2"/>
    <sheet name="BS_div2" sheetId="23" r:id="rId3"/>
    <sheet name="NDXOption" sheetId="24" r:id="rId4"/>
    <sheet name="^NDX" sheetId="27" r:id="rId5"/>
    <sheet name="DTB4WK" sheetId="26" r:id="rId6"/>
    <sheet name="BS chart" sheetId="28" r:id="rId7"/>
    <sheet name="BS Delta" sheetId="30" r:id="rId8"/>
    <sheet name="Delta Hedging" sheetId="34" r:id="rId9"/>
  </sheets>
  <functionGroups builtInGroupCount="19"/>
  <definedNames>
    <definedName name="dOne" localSheetId="0">BS!$D$14</definedName>
    <definedName name="dt" localSheetId="8">'Delta Hedging'!$B$11</definedName>
    <definedName name="dTwo" localSheetId="0">BS!$D$15</definedName>
    <definedName name="K" localSheetId="0">BS!$D$8</definedName>
    <definedName name="K" localSheetId="1">BS_div1!$D$7</definedName>
    <definedName name="K" localSheetId="8">'Delta Hedging'!$B$6</definedName>
    <definedName name="optType" localSheetId="8">'Delta Hedging'!$B$4</definedName>
    <definedName name="q" localSheetId="1">BS_div1!$D$10</definedName>
    <definedName name="q" localSheetId="8">'Delta Hedging'!$B$9</definedName>
    <definedName name="rr" localSheetId="0">BS!$D$10</definedName>
    <definedName name="rr" localSheetId="1">BS_div1!$D$9</definedName>
    <definedName name="rr" localSheetId="8">'Delta Hedging'!$B$8</definedName>
    <definedName name="S" localSheetId="0">BS!$D$7</definedName>
    <definedName name="S" localSheetId="1">BS_div1!$D$6</definedName>
    <definedName name="S0">'Delta Hedging'!$B$5</definedName>
    <definedName name="T" localSheetId="0">BS!$D$9</definedName>
    <definedName name="T" localSheetId="1">BS_div1!$D$8</definedName>
    <definedName name="v" localSheetId="0">BS!$D$11</definedName>
    <definedName name="v" localSheetId="1">BS_div1!$D$11</definedName>
    <definedName name="v" localSheetId="8">'Delta Hedging'!$B$10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34" l="1" a="1"/>
  <c r="C16" i="34" l="1"/>
  <c r="C17" i="34" a="1"/>
  <c r="C17" i="34" l="1"/>
  <c r="C18" i="34" a="1"/>
  <c r="C18" i="34" l="1"/>
  <c r="C19" i="34" a="1"/>
  <c r="C19" i="34" l="1"/>
  <c r="C20" i="34" a="1"/>
  <c r="C20" i="34" l="1"/>
  <c r="C21" i="34" a="1"/>
  <c r="C21" i="34" l="1"/>
  <c r="C22" i="34" a="1"/>
  <c r="C22" i="34" l="1"/>
  <c r="C23" i="34" a="1"/>
  <c r="C23" i="34" l="1"/>
  <c r="C24" i="34" a="1"/>
  <c r="C24" i="34" l="1"/>
  <c r="C25" i="34" a="1"/>
  <c r="C25" i="34" l="1"/>
  <c r="C26" i="34" a="1"/>
  <c r="C26" i="34" l="1"/>
  <c r="C27" i="34" a="1"/>
  <c r="C27" i="34" l="1"/>
  <c r="C15" i="34" l="1"/>
  <c r="G18" i="28" a="1"/>
  <c r="G23" i="28" a="1"/>
  <c r="G28" i="28" a="1"/>
  <c r="G33" i="28" a="1"/>
  <c r="G38" i="28" a="1"/>
  <c r="G43" i="28" a="1"/>
  <c r="G48" i="28" a="1"/>
  <c r="G53" i="28" a="1"/>
  <c r="H18" i="28" a="1"/>
  <c r="H23" i="28" a="1"/>
  <c r="H28" i="28" a="1"/>
  <c r="H33" i="28" a="1"/>
  <c r="H38" i="28" a="1"/>
  <c r="H43" i="28" a="1"/>
  <c r="H48" i="28" a="1"/>
  <c r="H53" i="28" a="1"/>
  <c r="G19" i="28" a="1"/>
  <c r="G24" i="28" a="1"/>
  <c r="G29" i="28" a="1"/>
  <c r="G34" i="28" a="1"/>
  <c r="G39" i="28" a="1"/>
  <c r="G44" i="28" a="1"/>
  <c r="G49" i="28" a="1"/>
  <c r="G54" i="28" a="1"/>
  <c r="H24" i="28" a="1"/>
  <c r="H29" i="28" a="1"/>
  <c r="H39" i="28" a="1"/>
  <c r="H44" i="28" a="1"/>
  <c r="H49" i="28" a="1"/>
  <c r="H54" i="28" a="1"/>
  <c r="G20" i="28" a="1"/>
  <c r="G25" i="28" a="1"/>
  <c r="G30" i="28" a="1"/>
  <c r="G35" i="28" a="1"/>
  <c r="G40" i="28" a="1"/>
  <c r="G50" i="28" a="1"/>
  <c r="G55" i="28" a="1"/>
  <c r="H20" i="28" a="1"/>
  <c r="H25" i="28" a="1"/>
  <c r="H30" i="28" a="1"/>
  <c r="H35" i="28" a="1"/>
  <c r="H40" i="28" a="1"/>
  <c r="H50" i="28" a="1"/>
  <c r="H55" i="28" a="1"/>
  <c r="G21" i="28" a="1"/>
  <c r="G26" i="28" a="1"/>
  <c r="G31" i="28" a="1"/>
  <c r="G36" i="28" a="1"/>
  <c r="G41" i="28" a="1"/>
  <c r="G46" i="28" a="1"/>
  <c r="G51" i="28" a="1"/>
  <c r="G56" i="28" a="1"/>
  <c r="H34" i="28" a="1"/>
  <c r="G45" i="28" a="1"/>
  <c r="H45" i="28" a="1"/>
  <c r="H19" i="28" a="1"/>
  <c r="H21" i="28" a="1"/>
  <c r="G37" i="28" a="1"/>
  <c r="H52" i="28" a="1"/>
  <c r="H56" i="28" a="1"/>
  <c r="H22" i="28" a="1"/>
  <c r="H41" i="28" a="1"/>
  <c r="H26" i="28" a="1"/>
  <c r="G42" i="28" a="1"/>
  <c r="H42" i="28" a="1"/>
  <c r="H46" i="28" a="1"/>
  <c r="G32" i="28" a="1"/>
  <c r="H36" i="28" a="1"/>
  <c r="G22" i="28" a="1"/>
  <c r="H31" i="28" a="1"/>
  <c r="G52" i="28" a="1"/>
  <c r="H37" i="28" a="1"/>
  <c r="H27" i="28" a="1"/>
  <c r="G47" i="28" a="1"/>
  <c r="H32" i="28" a="1"/>
  <c r="G27" i="28" a="1"/>
  <c r="H47" i="28" a="1"/>
  <c r="H51" i="28" a="1"/>
  <c r="H17" i="28" a="1"/>
  <c r="G17" i="28" a="1"/>
  <c r="K27" i="34"/>
  <c r="H51" i="28" l="1"/>
  <c r="H47" i="28"/>
  <c r="G27" i="28"/>
  <c r="H32" i="28"/>
  <c r="G47" i="28"/>
  <c r="H27" i="28"/>
  <c r="H37" i="28"/>
  <c r="G52" i="28"/>
  <c r="H31" i="28"/>
  <c r="G22" i="28"/>
  <c r="H36" i="28"/>
  <c r="G32" i="28"/>
  <c r="H46" i="28"/>
  <c r="H42" i="28"/>
  <c r="G42" i="28"/>
  <c r="H26" i="28"/>
  <c r="H41" i="28"/>
  <c r="H22" i="28"/>
  <c r="H56" i="28"/>
  <c r="H52" i="28"/>
  <c r="G37" i="28"/>
  <c r="H21" i="28"/>
  <c r="H19" i="28"/>
  <c r="H45" i="28"/>
  <c r="G45" i="28"/>
  <c r="H34" i="28"/>
  <c r="G56" i="28"/>
  <c r="G51" i="28"/>
  <c r="G46" i="28"/>
  <c r="G41" i="28"/>
  <c r="G36" i="28"/>
  <c r="G31" i="28"/>
  <c r="G26" i="28"/>
  <c r="G21" i="28"/>
  <c r="H55" i="28"/>
  <c r="H50" i="28"/>
  <c r="H40" i="28"/>
  <c r="H35" i="28"/>
  <c r="H30" i="28"/>
  <c r="H25" i="28"/>
  <c r="H20" i="28"/>
  <c r="G55" i="28"/>
  <c r="G50" i="28"/>
  <c r="G40" i="28"/>
  <c r="G35" i="28"/>
  <c r="G30" i="28"/>
  <c r="G25" i="28"/>
  <c r="G20" i="28"/>
  <c r="H54" i="28"/>
  <c r="H49" i="28"/>
  <c r="H44" i="28"/>
  <c r="H39" i="28"/>
  <c r="H29" i="28"/>
  <c r="H24" i="28"/>
  <c r="G54" i="28"/>
  <c r="G49" i="28"/>
  <c r="G44" i="28"/>
  <c r="G39" i="28"/>
  <c r="G34" i="28"/>
  <c r="G29" i="28"/>
  <c r="G24" i="28"/>
  <c r="G19" i="28"/>
  <c r="H53" i="28"/>
  <c r="H48" i="28"/>
  <c r="H43" i="28"/>
  <c r="H38" i="28"/>
  <c r="H33" i="28"/>
  <c r="H28" i="28"/>
  <c r="H23" i="28"/>
  <c r="H18" i="28"/>
  <c r="G53" i="28"/>
  <c r="G48" i="28"/>
  <c r="G43" i="28"/>
  <c r="G38" i="28"/>
  <c r="G33" i="28"/>
  <c r="G28" i="28"/>
  <c r="G23" i="28"/>
  <c r="G18" i="28"/>
  <c r="H17" i="28"/>
  <c r="G17" i="28"/>
  <c r="B7" i="34"/>
  <c r="C38" i="28" a="1"/>
  <c r="D49" i="28" a="1"/>
  <c r="C48" i="28" a="1"/>
  <c r="D55" i="28" a="1"/>
  <c r="D41" i="28" a="1"/>
  <c r="C45" i="28" a="1"/>
  <c r="C29" i="28" a="1"/>
  <c r="D24" i="28" a="1"/>
  <c r="B14" i="30" a="1"/>
  <c r="D26" i="28" a="1"/>
  <c r="D35" i="28" a="1"/>
  <c r="D40" i="28" a="1"/>
  <c r="C21" i="28" a="1"/>
  <c r="C42" i="28" a="1"/>
  <c r="D51" i="28" a="1"/>
  <c r="D20" i="28" a="1"/>
  <c r="D18" i="28" a="1"/>
  <c r="D25" i="28" a="1"/>
  <c r="C53" i="28" a="1"/>
  <c r="C40" i="28" a="1"/>
  <c r="D52" i="28" a="1"/>
  <c r="D28" i="28" a="1"/>
  <c r="C26" i="28" a="1"/>
  <c r="C19" i="28" a="1"/>
  <c r="D29" i="28" a="1"/>
  <c r="C28" i="28" a="1"/>
  <c r="C25" i="28" a="1"/>
  <c r="C18" i="28" a="1"/>
  <c r="C43" i="28" a="1"/>
  <c r="D45" i="28" a="1"/>
  <c r="C20" i="28" a="1"/>
  <c r="D50" i="28" a="1"/>
  <c r="C31" i="28" a="1"/>
  <c r="D54" i="28" a="1"/>
  <c r="D21" i="28" a="1"/>
  <c r="D30" i="28" a="1"/>
  <c r="C33" i="28" a="1"/>
  <c r="D34" i="28" a="1"/>
  <c r="C56" i="28" a="1"/>
  <c r="D36" i="28" a="1"/>
  <c r="C32" i="28" a="1"/>
  <c r="D56" i="28" a="1"/>
  <c r="C44" i="28" a="1"/>
  <c r="D23" i="28" a="1"/>
  <c r="C49" i="28" a="1"/>
  <c r="D38" i="28" a="1"/>
  <c r="D22" i="28" a="1"/>
  <c r="D19" i="28" a="1"/>
  <c r="D32" i="28" a="1"/>
  <c r="D48" i="28" a="1"/>
  <c r="B13" i="30" a="1"/>
  <c r="D31" i="28" a="1"/>
  <c r="C35" i="28" a="1"/>
  <c r="D47" i="28" a="1"/>
  <c r="C22" i="28" a="1"/>
  <c r="C23" i="28" a="1"/>
  <c r="C50" i="28" a="1"/>
  <c r="C17" i="28" a="1"/>
  <c r="C41" i="28" a="1"/>
  <c r="C27" i="28" a="1"/>
  <c r="C34" i="28" a="1"/>
  <c r="C47" i="28" a="1"/>
  <c r="D46" i="28" a="1"/>
  <c r="C54" i="28" a="1"/>
  <c r="C36" i="28" a="1"/>
  <c r="C55" i="28" a="1"/>
  <c r="C24" i="28" a="1"/>
  <c r="C51" i="28" a="1"/>
  <c r="D42" i="28" a="1"/>
  <c r="C39" i="28" a="1"/>
  <c r="D17" i="28" a="1"/>
  <c r="D44" i="28" a="1"/>
  <c r="D39" i="28" a="1"/>
  <c r="D37" i="28" a="1"/>
  <c r="C37" i="28" a="1"/>
  <c r="D33" i="28" a="1"/>
  <c r="C52" i="28" a="1"/>
  <c r="D53" i="28" a="1"/>
  <c r="D27" i="28" a="1"/>
  <c r="C46" i="28" a="1"/>
  <c r="D43" i="28" a="1"/>
  <c r="C30" i="28" a="1"/>
  <c r="K15" i="34"/>
  <c r="C7" i="34"/>
  <c r="G40" i="34"/>
  <c r="C30" i="34"/>
  <c r="E24" i="20"/>
  <c r="E14" i="22"/>
  <c r="E25" i="20"/>
  <c r="G34" i="34"/>
  <c r="G36" i="34"/>
  <c r="G39" i="34"/>
  <c r="C21" i="24" a="1"/>
  <c r="E15" i="22"/>
  <c r="C29" i="34"/>
  <c r="C21" i="24" l="1"/>
  <c r="D47" i="28"/>
  <c r="D27" i="28"/>
  <c r="D46" i="28"/>
  <c r="D26" i="28"/>
  <c r="D45" i="28"/>
  <c r="D25" i="28"/>
  <c r="D44" i="28"/>
  <c r="D24" i="28"/>
  <c r="D43" i="28"/>
  <c r="D23" i="28"/>
  <c r="D42" i="28"/>
  <c r="D22" i="28"/>
  <c r="D41" i="28"/>
  <c r="D21" i="28"/>
  <c r="D50" i="28"/>
  <c r="D30" i="28"/>
  <c r="D49" i="28"/>
  <c r="D39" i="28"/>
  <c r="D29" i="28"/>
  <c r="D19" i="28"/>
  <c r="D37" i="28"/>
  <c r="D56" i="28"/>
  <c r="D36" i="28"/>
  <c r="D55" i="28"/>
  <c r="D35" i="28"/>
  <c r="D54" i="28"/>
  <c r="D34" i="28"/>
  <c r="D53" i="28"/>
  <c r="D33" i="28"/>
  <c r="D52" i="28"/>
  <c r="D32" i="28"/>
  <c r="D51" i="28"/>
  <c r="D31" i="28"/>
  <c r="D40" i="28"/>
  <c r="D20" i="28"/>
  <c r="D48" i="28"/>
  <c r="D38" i="28"/>
  <c r="D28" i="28"/>
  <c r="D18" i="28"/>
  <c r="D17" i="28"/>
  <c r="C47" i="28"/>
  <c r="C46" i="28"/>
  <c r="C45" i="28"/>
  <c r="C44" i="28"/>
  <c r="C43" i="28"/>
  <c r="C42" i="28"/>
  <c r="C41" i="28"/>
  <c r="C30" i="28"/>
  <c r="C49" i="28"/>
  <c r="C19" i="28"/>
  <c r="C37" i="28"/>
  <c r="C36" i="28"/>
  <c r="C35" i="28"/>
  <c r="C54" i="28"/>
  <c r="C24" i="28"/>
  <c r="C23" i="28"/>
  <c r="C32" i="28"/>
  <c r="C31" i="28"/>
  <c r="C40" i="28"/>
  <c r="C29" i="28"/>
  <c r="C27" i="28"/>
  <c r="C56" i="28"/>
  <c r="C26" i="28"/>
  <c r="C55" i="28"/>
  <c r="C25" i="28"/>
  <c r="C34" i="28"/>
  <c r="C53" i="28"/>
  <c r="C33" i="28"/>
  <c r="C52" i="28"/>
  <c r="C22" i="28"/>
  <c r="C51" i="28"/>
  <c r="C21" i="28"/>
  <c r="C50" i="28"/>
  <c r="C20" i="28"/>
  <c r="C39" i="28"/>
  <c r="C48" i="28"/>
  <c r="C38" i="28"/>
  <c r="C28" i="28"/>
  <c r="C18" i="28"/>
  <c r="C17" i="28"/>
  <c r="B14" i="30"/>
  <c r="B13" i="30"/>
  <c r="B11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D15" i="34" s="1"/>
  <c r="E15" i="34" a="1"/>
  <c r="C11" i="34"/>
  <c r="E15" i="34" l="1"/>
  <c r="H15" i="34" s="1"/>
  <c r="I15" i="34"/>
  <c r="E16" i="34" a="1"/>
  <c r="D16" i="34" l="1"/>
  <c r="E16" i="34"/>
  <c r="F16" i="34" s="1"/>
  <c r="G16" i="34" s="1"/>
  <c r="I16" i="34" s="1"/>
  <c r="J15" i="34"/>
  <c r="F15" i="34"/>
  <c r="G15" i="34"/>
  <c r="E17" i="34" a="1"/>
  <c r="D17" i="34" l="1"/>
  <c r="E17" i="34"/>
  <c r="F17" i="34" s="1"/>
  <c r="G17" i="34" s="1"/>
  <c r="I17" i="34" s="1"/>
  <c r="H16" i="34"/>
  <c r="J16" i="34" s="1"/>
  <c r="E18" i="34" a="1"/>
  <c r="D18" i="34" l="1"/>
  <c r="E18" i="34"/>
  <c r="F18" i="34" s="1"/>
  <c r="G18" i="34" s="1"/>
  <c r="I18" i="34" s="1"/>
  <c r="H17" i="34"/>
  <c r="J17" i="34" s="1"/>
  <c r="E19" i="34" a="1"/>
  <c r="D19" i="34" l="1"/>
  <c r="E19" i="34"/>
  <c r="F19" i="34" s="1"/>
  <c r="G19" i="34" s="1"/>
  <c r="I19" i="34" s="1"/>
  <c r="H18" i="34"/>
  <c r="J18" i="34" s="1"/>
  <c r="E20" i="34" a="1"/>
  <c r="D20" i="34" l="1"/>
  <c r="E20" i="34"/>
  <c r="F20" i="34" s="1"/>
  <c r="G20" i="34" s="1"/>
  <c r="I20" i="34" s="1"/>
  <c r="H19" i="34"/>
  <c r="J19" i="34" s="1"/>
  <c r="E21" i="34" a="1"/>
  <c r="D21" i="34" l="1"/>
  <c r="E21" i="34"/>
  <c r="F21" i="34" s="1"/>
  <c r="G21" i="34" s="1"/>
  <c r="I21" i="34" s="1"/>
  <c r="H20" i="34"/>
  <c r="J20" i="34" s="1"/>
  <c r="E22" i="34" a="1"/>
  <c r="D22" i="34" l="1"/>
  <c r="E22" i="34"/>
  <c r="F22" i="34" s="1"/>
  <c r="G22" i="34" s="1"/>
  <c r="I22" i="34" s="1"/>
  <c r="H21" i="34"/>
  <c r="J21" i="34" s="1"/>
  <c r="E23" i="34" a="1"/>
  <c r="D23" i="34" l="1"/>
  <c r="E23" i="34"/>
  <c r="F23" i="34" s="1"/>
  <c r="G23" i="34" s="1"/>
  <c r="I23" i="34" s="1"/>
  <c r="H22" i="34"/>
  <c r="J22" i="34" s="1"/>
  <c r="E24" i="34" a="1"/>
  <c r="D24" i="34" l="1"/>
  <c r="E24" i="34"/>
  <c r="F24" i="34" s="1"/>
  <c r="G24" i="34" s="1"/>
  <c r="I24" i="34" s="1"/>
  <c r="H23" i="34"/>
  <c r="J23" i="34" s="1"/>
  <c r="E25" i="34" a="1"/>
  <c r="D25" i="34" l="1"/>
  <c r="E25" i="34"/>
  <c r="F25" i="34" s="1"/>
  <c r="G25" i="34" s="1"/>
  <c r="I25" i="34" s="1"/>
  <c r="H24" i="34"/>
  <c r="J24" i="34" s="1"/>
  <c r="E26" i="34" a="1"/>
  <c r="D26" i="34" l="1"/>
  <c r="E26" i="34"/>
  <c r="F26" i="34" s="1"/>
  <c r="G26" i="34" s="1"/>
  <c r="I26" i="34" s="1"/>
  <c r="H25" i="34"/>
  <c r="J25" i="34" s="1"/>
  <c r="J27" i="34" l="1"/>
  <c r="B29" i="34" s="1"/>
  <c r="B34" i="34" s="1"/>
  <c r="B30" i="34"/>
  <c r="C34" i="34" s="1"/>
  <c r="H26" i="34"/>
  <c r="J26" i="34" s="1"/>
  <c r="C14" i="28" a="1"/>
  <c r="C13" i="28" a="1"/>
  <c r="C14" i="30" a="1"/>
  <c r="C13" i="30" a="1"/>
  <c r="D13" i="28" a="1"/>
  <c r="D14" i="28" a="1"/>
  <c r="F36" i="34" l="1" a="1"/>
  <c r="F36" i="34" s="1"/>
  <c r="F34" i="34" a="1"/>
  <c r="F34" i="34" s="1"/>
  <c r="C14" i="30"/>
  <c r="C13" i="30"/>
  <c r="D13" i="28"/>
  <c r="C14" i="28"/>
  <c r="D14" i="28"/>
  <c r="C13" i="28"/>
  <c r="F39" i="34" l="1"/>
  <c r="F40" i="34" s="1"/>
  <c r="B11" i="24"/>
  <c r="H38" i="27"/>
  <c r="H37" i="27"/>
  <c r="H36" i="27"/>
  <c r="H35" i="27"/>
  <c r="H34" i="27"/>
  <c r="H33" i="27"/>
  <c r="H3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B21" i="24"/>
  <c r="B10" i="24"/>
  <c r="C13" i="24" a="1"/>
  <c r="C16" i="24" a="1"/>
  <c r="C10" i="24" a="1"/>
  <c r="C11" i="24" a="1"/>
  <c r="B13" i="24" l="1"/>
  <c r="C13" i="24"/>
  <c r="C10" i="24"/>
  <c r="C16" i="24"/>
  <c r="C11" i="24"/>
  <c r="B16" i="24" a="1"/>
  <c r="B16" i="24" l="1"/>
  <c r="D8" i="22"/>
  <c r="C15" i="23"/>
  <c r="C14" i="23"/>
  <c r="C8" i="23"/>
  <c r="O11" i="20"/>
  <c r="O10" i="20"/>
  <c r="O9" i="20"/>
  <c r="D9" i="20"/>
  <c r="D16" i="20" s="1"/>
  <c r="D24" i="20" a="1"/>
  <c r="D25" i="20" a="1"/>
  <c r="D14" i="22" a="1"/>
  <c r="D15" i="22" a="1"/>
  <c r="E8" i="22"/>
  <c r="P9" i="20" a="1"/>
  <c r="P16" i="20" a="1"/>
  <c r="D16" i="23"/>
  <c r="P14" i="20" a="1"/>
  <c r="P15" i="20" a="1"/>
  <c r="D19" i="23"/>
  <c r="E16" i="20" a="1"/>
  <c r="E18" i="20" a="1"/>
  <c r="D8" i="23"/>
  <c r="P19" i="20" a="1"/>
  <c r="E14" i="20" a="1"/>
  <c r="E9" i="20" a="1"/>
  <c r="P18" i="20" a="1"/>
  <c r="P20" i="20" a="1"/>
  <c r="D20" i="23"/>
  <c r="P11" i="20" a="1"/>
  <c r="E19" i="20" a="1"/>
  <c r="D15" i="23"/>
  <c r="P10" i="20" a="1"/>
  <c r="E15" i="20" a="1"/>
  <c r="D14" i="23"/>
  <c r="O16" i="20" l="1"/>
  <c r="D24" i="20"/>
  <c r="D25" i="20"/>
  <c r="D14" i="20"/>
  <c r="D15" i="20" s="1"/>
  <c r="D19" i="20" s="1"/>
  <c r="C16" i="23"/>
  <c r="O14" i="20"/>
  <c r="O15" i="20" s="1"/>
  <c r="O19" i="20" s="1"/>
  <c r="D15" i="22"/>
  <c r="D14" i="22"/>
  <c r="E19" i="20"/>
  <c r="P10" i="20"/>
  <c r="E15" i="20"/>
  <c r="P16" i="20"/>
  <c r="P19" i="20"/>
  <c r="E18" i="20"/>
  <c r="P11" i="20"/>
  <c r="P15" i="20"/>
  <c r="P20" i="20"/>
  <c r="P9" i="20"/>
  <c r="P18" i="20"/>
  <c r="P14" i="20"/>
  <c r="E9" i="20"/>
  <c r="E14" i="20"/>
  <c r="E16" i="20"/>
  <c r="C19" i="23" a="1"/>
  <c r="C20" i="23" a="1"/>
  <c r="C20" i="23" l="1"/>
  <c r="C19" i="23"/>
  <c r="O18" i="20"/>
  <c r="O20" i="20" s="1"/>
  <c r="D18" i="20"/>
  <c r="D20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<sst xmlns="http://schemas.openxmlformats.org/spreadsheetml/2006/main" count="175" uniqueCount="121">
  <si>
    <t>Stock price (S)</t>
  </si>
  <si>
    <t>Maturity (T)</t>
  </si>
  <si>
    <t>Volatilty (v)</t>
  </si>
  <si>
    <t>Euro Put Price</t>
  </si>
  <si>
    <t>Option type (c or p)</t>
  </si>
  <si>
    <t>c</t>
  </si>
  <si>
    <t>Euro Call Price</t>
  </si>
  <si>
    <t>Strike price (K)</t>
  </si>
  <si>
    <t>Maturity (T) in year</t>
  </si>
  <si>
    <t xml:space="preserve"> </t>
  </si>
  <si>
    <t>OutPut</t>
  </si>
  <si>
    <t>d_1</t>
  </si>
  <si>
    <t>d_2</t>
  </si>
  <si>
    <t>K * exp (- r T) = PV(K)</t>
  </si>
  <si>
    <t>Call Price from BS model</t>
  </si>
  <si>
    <t>Put Price from BS model</t>
  </si>
  <si>
    <t>Put price from Put-Call Parity</t>
  </si>
  <si>
    <t>Option Inputs</t>
  </si>
  <si>
    <t>Volatilty (v) in year</t>
  </si>
  <si>
    <t>Riskfree (rr) in year</t>
  </si>
  <si>
    <t>Call Price with VBA Fn</t>
  </si>
  <si>
    <t>Put Price with VBA Fn</t>
  </si>
  <si>
    <t>Riskfree Rate (r)</t>
  </si>
  <si>
    <t>Dividend yield (q)</t>
  </si>
  <si>
    <t>Option expiration date</t>
  </si>
  <si>
    <t>Current date</t>
  </si>
  <si>
    <t>(We name cells E7, E8, E9, E10, E11)</t>
  </si>
  <si>
    <t>Anticipated dividend</t>
  </si>
  <si>
    <t>Present value</t>
  </si>
  <si>
    <t>Anticipated ex-div date</t>
  </si>
  <si>
    <t>Dividend Payout schedule: This stock pays dividend quarterly.</t>
  </si>
  <si>
    <t>Stock price net of PV(dividends)</t>
  </si>
  <si>
    <t>VBA function "BS"</t>
  </si>
  <si>
    <t>Now use inputs at daily frequency:</t>
  </si>
  <si>
    <t xml:space="preserve"> = c - S + K*exp(-rT). </t>
  </si>
  <si>
    <t>We can use parity to double check our computation with put-call parity</t>
  </si>
  <si>
    <t>DATE</t>
  </si>
  <si>
    <t>DTB4WK</t>
  </si>
  <si>
    <t>.</t>
  </si>
  <si>
    <t>Data Source: https://fred.stlouisfed.org/series/DTB4WK</t>
  </si>
  <si>
    <t>Date</t>
  </si>
  <si>
    <t>Open</t>
  </si>
  <si>
    <t>High</t>
  </si>
  <si>
    <t>Low</t>
  </si>
  <si>
    <t>Close</t>
  </si>
  <si>
    <t>Adj Close</t>
  </si>
  <si>
    <t>Volume</t>
  </si>
  <si>
    <t>Market price of the option</t>
  </si>
  <si>
    <t>Bid</t>
  </si>
  <si>
    <t>Ask</t>
  </si>
  <si>
    <t>Mid</t>
  </si>
  <si>
    <t>Black-Scholes Model for Nasdaq 100 Index</t>
  </si>
  <si>
    <t>Option style</t>
  </si>
  <si>
    <t>European</t>
  </si>
  <si>
    <t>Option Inputs (Annual Frequency)</t>
  </si>
  <si>
    <t>Black-Scholes with Known Dividend</t>
  </si>
  <si>
    <t>Black-Scholes with Known Continuous Dividend Yield</t>
  </si>
  <si>
    <t>(Current value: https://www.wsj.com/market-data/stocks/peyields)</t>
  </si>
  <si>
    <t>Time to maturity (T)</t>
  </si>
  <si>
    <t>Riskfree rate (r)</t>
  </si>
  <si>
    <t>VBA Function (BS)</t>
  </si>
  <si>
    <t>Stock Price</t>
  </si>
  <si>
    <t>&lt;= case sensitive; if you enter "C" or "P", you will not get results</t>
  </si>
  <si>
    <t>Delta of call</t>
  </si>
  <si>
    <t>Delta of put</t>
  </si>
  <si>
    <t>Stock price</t>
  </si>
  <si>
    <t>Time to maturity (T, years)</t>
  </si>
  <si>
    <t>Black-Scholes-Merton (BSM) Delta Hedging</t>
  </si>
  <si>
    <t>Delta Hedging a Call</t>
  </si>
  <si>
    <t>Hedging Portfolio</t>
  </si>
  <si>
    <t>Weeks until expiration</t>
  </si>
  <si>
    <t>NdTwo</t>
  </si>
  <si>
    <t>Delta 
(stock share)</t>
  </si>
  <si>
    <t>Bond value</t>
  </si>
  <si>
    <t>Hedged position payoff</t>
  </si>
  <si>
    <t>Call option payoff</t>
  </si>
  <si>
    <t>How Do European Call Option Prices React to Input Changes: Stock Price &amp; Volatility</t>
  </si>
  <si>
    <t>Delta of European option</t>
  </si>
  <si>
    <t>Input Table</t>
  </si>
  <si>
    <t>Shares purchased</t>
  </si>
  <si>
    <t>Cost of shares purchased</t>
  </si>
  <si>
    <t>Portfolio Value</t>
  </si>
  <si>
    <t xml:space="preserve">Stock value </t>
  </si>
  <si>
    <t>Black-Scholes Model (no dividend)</t>
  </si>
  <si>
    <t>Maturity (T) in days</t>
  </si>
  <si>
    <t>Riskfree (rr) (daily)</t>
  </si>
  <si>
    <t>Volatilty (v) (daily)</t>
  </si>
  <si>
    <t>Maturity (T) in years</t>
  </si>
  <si>
    <t>Riskfree (rr) (annual)</t>
  </si>
  <si>
    <t>Volatilty (v) (annual)</t>
  </si>
  <si>
    <t>OutPut using Excel</t>
  </si>
  <si>
    <r>
      <t xml:space="preserve">OutPut using VBA function </t>
    </r>
    <r>
      <rPr>
        <b/>
        <sz val="11"/>
        <rFont val="Courier New"/>
        <family val="3"/>
      </rPr>
      <t>BS</t>
    </r>
  </si>
  <si>
    <t>Black-Scholes-Merton Formula with dividend yield</t>
  </si>
  <si>
    <t>Call Price</t>
  </si>
  <si>
    <t>Put Price</t>
  </si>
  <si>
    <t>(dividend yield q = 0)</t>
  </si>
  <si>
    <t>Riskfree Rate (rr)</t>
  </si>
  <si>
    <t>(We name cells E6, E7, E8, E9, E10, E11)</t>
  </si>
  <si>
    <t>Delta of European Options</t>
  </si>
  <si>
    <t>Time to maturity (t)</t>
  </si>
  <si>
    <r>
      <t>Option type (</t>
    </r>
    <r>
      <rPr>
        <sz val="11"/>
        <color rgb="FFFF0000"/>
        <rFont val="Calibri"/>
        <family val="2"/>
      </rPr>
      <t>optType</t>
    </r>
    <r>
      <rPr>
        <sz val="11"/>
        <rFont val="Calibri"/>
        <family val="2"/>
      </rPr>
      <t>)</t>
    </r>
  </si>
  <si>
    <r>
      <t>Strike price (</t>
    </r>
    <r>
      <rPr>
        <sz val="11"/>
        <color rgb="FFFF0000"/>
        <rFont val="Calibri"/>
        <family val="2"/>
      </rPr>
      <t>K</t>
    </r>
    <r>
      <rPr>
        <sz val="11"/>
        <rFont val="Calibri"/>
        <family val="2"/>
      </rPr>
      <t>)</t>
    </r>
  </si>
  <si>
    <r>
      <t>Riskfree rate (</t>
    </r>
    <r>
      <rPr>
        <sz val="11"/>
        <color rgb="FFFF0000"/>
        <rFont val="Calibri"/>
        <family val="2"/>
      </rPr>
      <t>rr</t>
    </r>
    <r>
      <rPr>
        <sz val="11"/>
        <rFont val="Calibri"/>
        <family val="2"/>
      </rPr>
      <t>)</t>
    </r>
  </si>
  <si>
    <r>
      <t>Dividend yield (</t>
    </r>
    <r>
      <rPr>
        <sz val="11"/>
        <color rgb="FFFF0000"/>
        <rFont val="Calibri"/>
        <family val="2"/>
      </rPr>
      <t>q</t>
    </r>
    <r>
      <rPr>
        <sz val="11"/>
        <rFont val="Calibri"/>
        <family val="2"/>
      </rPr>
      <t>)</t>
    </r>
  </si>
  <si>
    <r>
      <t>Volatility (</t>
    </r>
    <r>
      <rPr>
        <sz val="11"/>
        <color rgb="FFFF0000"/>
        <rFont val="Calibri"/>
        <family val="2"/>
      </rPr>
      <t>V</t>
    </r>
    <r>
      <rPr>
        <sz val="11"/>
        <rFont val="Calibri"/>
        <family val="2"/>
      </rPr>
      <t>)</t>
    </r>
  </si>
  <si>
    <r>
      <t>Time step (</t>
    </r>
    <r>
      <rPr>
        <sz val="11"/>
        <color rgb="FFFF0000"/>
        <rFont val="Calibri"/>
        <family val="2"/>
      </rPr>
      <t>dt</t>
    </r>
    <r>
      <rPr>
        <sz val="11"/>
        <rFont val="Calibri"/>
        <family val="2"/>
      </rPr>
      <t xml:space="preserve"> = 1 week)</t>
    </r>
  </si>
  <si>
    <t>(We name cells E4, E5, E6, E8, E9, E10, E11)</t>
  </si>
  <si>
    <t>Hedged position</t>
  </si>
  <si>
    <t>Call option</t>
  </si>
  <si>
    <t>Standard Error of diff between hedging position and call option payoff:</t>
  </si>
  <si>
    <t>t-stat =</t>
  </si>
  <si>
    <t>p-value =</t>
  </si>
  <si>
    <t>Or go to Data--&gt;Data Analysis--&gt;t-Test:Paired Two Sample for Means</t>
  </si>
  <si>
    <t>Hypothesis test that payoff difference between hedged position and call option = 0:</t>
  </si>
  <si>
    <r>
      <t>(</t>
    </r>
    <r>
      <rPr>
        <i/>
        <sz val="11"/>
        <rFont val="Calibri"/>
        <family val="2"/>
      </rPr>
      <t>This is a paired two sample t-test</t>
    </r>
    <r>
      <rPr>
        <sz val="11"/>
        <rFont val="Calibri"/>
        <family val="2"/>
      </rPr>
      <t>)</t>
    </r>
  </si>
  <si>
    <t>Simulation # (Inputs)</t>
  </si>
  <si>
    <t>Average difference between hedging position and call option payoff:</t>
  </si>
  <si>
    <r>
      <t>Stock price (</t>
    </r>
    <r>
      <rPr>
        <sz val="11"/>
        <color rgb="FFFF0000"/>
        <rFont val="Calibri"/>
        <family val="2"/>
      </rPr>
      <t>S0</t>
    </r>
    <r>
      <rPr>
        <sz val="11"/>
        <rFont val="Calibri"/>
        <family val="2"/>
      </rPr>
      <t>)</t>
    </r>
  </si>
  <si>
    <t>Log Returns</t>
    <phoneticPr fontId="28" type="noConversion"/>
  </si>
  <si>
    <t>Volatility</t>
    <phoneticPr fontId="28" type="noConversion"/>
  </si>
  <si>
    <t>Cross-sectional simulation for 30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</si>
</sst>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-* #,##0_-;\-* #,##0_-;_-* &quot;-&quot;??_-;_-@_-"/>
    <numFmt numFmtId="167" formatCode="#,##0_ "/>
    <numFmt numFmtId="168" formatCode="0.00_ "/>
    <numFmt numFmtId="169" formatCode="#,##0.0000_ "/>
    <numFmt numFmtId="170" formatCode="0.0000"/>
    <numFmt numFmtId="171" formatCode="0_ "/>
    <numFmt numFmtId="172" formatCode="_-* #,##0.000_-;\-* #,##0.000_-;_-* &quot;-&quot;??_-;_-@_-"/>
    <numFmt numFmtId="173" formatCode="#,##0.000_ "/>
    <numFmt numFmtId="174" formatCode="0.000"/>
    <numFmt numFmtId="175" formatCode="yyyy\-mm\-dd;@"/>
    <numFmt numFmtId="176" formatCode="0.000_ "/>
    <numFmt numFmtId="177" formatCode="0.00000"/>
    <numFmt numFmtId="178" formatCode="0.0000_ "/>
    <numFmt numFmtId="179" formatCode="&quot;$&quot;#,##0.00"/>
    <numFmt numFmtId="180" formatCode="&quot;$&quot;#,##0.000"/>
    <numFmt numFmtId="181" formatCode="_(* #,##0.000_);_(* \(#,##0.000\);_(* &quot;-&quot;??_);_(@_)"/>
    <numFmt numFmtId="182" formatCode="0.0%"/>
  </numFmts>
  <fonts count="29">
    <font>
      <sz val="12"/>
      <name val="新細明體"/>
      <family val="1"/>
      <charset val="136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2"/>
      <color theme="10"/>
      <name val="新細明體"/>
      <family val="1"/>
      <charset val="136"/>
    </font>
    <font>
      <u/>
      <sz val="12"/>
      <color theme="11"/>
      <name val="新細明體"/>
      <family val="1"/>
      <charset val="136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b/>
      <sz val="16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2"/>
      <name val="Calibri"/>
      <family val="2"/>
    </font>
    <font>
      <sz val="12"/>
      <color indexed="18"/>
      <name val="Calibri"/>
      <family val="2"/>
    </font>
    <font>
      <sz val="11"/>
      <color indexed="1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indexed="10"/>
      <name val="Calibri"/>
      <family val="2"/>
    </font>
    <font>
      <b/>
      <sz val="11"/>
      <color rgb="FF0070C0"/>
      <name val="Calibri"/>
      <family val="2"/>
    </font>
    <font>
      <b/>
      <sz val="12"/>
      <color rgb="FFFF0000"/>
      <name val="Calibri"/>
      <family val="2"/>
    </font>
    <font>
      <i/>
      <sz val="11"/>
      <color rgb="FFFF0000"/>
      <name val="Calibri"/>
      <family val="2"/>
    </font>
    <font>
      <b/>
      <sz val="11"/>
      <name val="Courier New"/>
      <family val="3"/>
    </font>
    <font>
      <i/>
      <sz val="11"/>
      <name val="Calibri"/>
      <family val="2"/>
    </font>
    <font>
      <b/>
      <sz val="11"/>
      <color rgb="FFFF0000"/>
      <name val="Calibri"/>
      <family val="2"/>
    </font>
    <font>
      <sz val="9"/>
      <name val="DengXian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2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5" fillId="0" borderId="0"/>
    <xf numFmtId="0" fontId="4" fillId="0" borderId="0"/>
    <xf numFmtId="0" fontId="5" fillId="0" borderId="0"/>
    <xf numFmtId="0" fontId="7" fillId="0" borderId="0"/>
    <xf numFmtId="0" fontId="4" fillId="0" borderId="0"/>
    <xf numFmtId="0" fontId="5" fillId="0" borderId="0"/>
    <xf numFmtId="0" fontId="7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" fillId="0" borderId="0"/>
    <xf numFmtId="0" fontId="2" fillId="0" borderId="0"/>
  </cellStyleXfs>
  <cellXfs count="87">
    <xf numFmtId="0" fontId="0" fillId="0" borderId="0" xfId="0"/>
    <xf numFmtId="0" fontId="12" fillId="0" borderId="0" xfId="7" applyFont="1"/>
    <xf numFmtId="0" fontId="13" fillId="0" borderId="0" xfId="7" applyFont="1"/>
    <xf numFmtId="0" fontId="14" fillId="0" borderId="0" xfId="7" applyFont="1"/>
    <xf numFmtId="0" fontId="15" fillId="0" borderId="0" xfId="7" applyFont="1"/>
    <xf numFmtId="0" fontId="16" fillId="0" borderId="0" xfId="0" applyFont="1"/>
    <xf numFmtId="0" fontId="16" fillId="0" borderId="0" xfId="7" applyFont="1"/>
    <xf numFmtId="0" fontId="17" fillId="0" borderId="0" xfId="7" applyFont="1"/>
    <xf numFmtId="174" fontId="16" fillId="0" borderId="0" xfId="0" applyNumberFormat="1" applyFont="1"/>
    <xf numFmtId="0" fontId="18" fillId="0" borderId="0" xfId="7" applyFont="1"/>
    <xf numFmtId="0" fontId="19" fillId="0" borderId="0" xfId="7" applyFont="1"/>
    <xf numFmtId="0" fontId="19" fillId="0" borderId="0" xfId="0" applyFont="1"/>
    <xf numFmtId="0" fontId="20" fillId="0" borderId="0" xfId="7" applyFont="1" applyAlignment="1">
      <alignment horizontal="left"/>
    </xf>
    <xf numFmtId="0" fontId="20" fillId="0" borderId="0" xfId="7" applyFont="1"/>
    <xf numFmtId="175" fontId="19" fillId="0" borderId="0" xfId="0" applyNumberFormat="1" applyFont="1"/>
    <xf numFmtId="0" fontId="21" fillId="0" borderId="0" xfId="7" applyFont="1"/>
    <xf numFmtId="166" fontId="19" fillId="0" borderId="0" xfId="1" applyNumberFormat="1" applyFont="1" applyFill="1" applyBorder="1" applyAlignment="1">
      <alignment horizontal="right"/>
    </xf>
    <xf numFmtId="167" fontId="19" fillId="0" borderId="0" xfId="0" applyNumberFormat="1" applyFont="1" applyAlignment="1">
      <alignment horizontal="right"/>
    </xf>
    <xf numFmtId="176" fontId="19" fillId="0" borderId="0" xfId="14" applyNumberFormat="1" applyFont="1" applyFill="1" applyBorder="1" applyAlignment="1">
      <alignment horizontal="right"/>
    </xf>
    <xf numFmtId="0" fontId="22" fillId="0" borderId="0" xfId="7" applyFont="1"/>
    <xf numFmtId="9" fontId="19" fillId="0" borderId="0" xfId="0" applyNumberFormat="1" applyFont="1" applyAlignment="1">
      <alignment horizontal="right"/>
    </xf>
    <xf numFmtId="9" fontId="19" fillId="0" borderId="0" xfId="14" applyFont="1" applyFill="1" applyBorder="1" applyAlignment="1">
      <alignment horizontal="right"/>
    </xf>
    <xf numFmtId="9" fontId="19" fillId="0" borderId="0" xfId="14" applyFont="1" applyFill="1" applyBorder="1"/>
    <xf numFmtId="0" fontId="19" fillId="0" borderId="0" xfId="7" applyFont="1" applyAlignment="1">
      <alignment wrapText="1"/>
    </xf>
    <xf numFmtId="170" fontId="19" fillId="0" borderId="0" xfId="7" applyNumberFormat="1" applyFont="1"/>
    <xf numFmtId="164" fontId="19" fillId="0" borderId="0" xfId="7" applyNumberFormat="1" applyFont="1"/>
    <xf numFmtId="169" fontId="19" fillId="0" borderId="0" xfId="7" applyNumberFormat="1" applyFont="1"/>
    <xf numFmtId="174" fontId="19" fillId="0" borderId="0" xfId="0" applyNumberFormat="1" applyFont="1"/>
    <xf numFmtId="0" fontId="10" fillId="0" borderId="0" xfId="0" applyFont="1"/>
    <xf numFmtId="0" fontId="19" fillId="0" borderId="0" xfId="0" applyFont="1" applyAlignment="1">
      <alignment horizontal="right"/>
    </xf>
    <xf numFmtId="166" fontId="19" fillId="0" borderId="0" xfId="1" applyNumberFormat="1" applyFont="1" applyFill="1" applyBorder="1"/>
    <xf numFmtId="167" fontId="19" fillId="0" borderId="0" xfId="0" applyNumberFormat="1" applyFont="1"/>
    <xf numFmtId="9" fontId="19" fillId="0" borderId="0" xfId="0" applyNumberFormat="1" applyFont="1"/>
    <xf numFmtId="0" fontId="20" fillId="0" borderId="0" xfId="0" applyFont="1"/>
    <xf numFmtId="0" fontId="19" fillId="2" borderId="0" xfId="7" applyFont="1" applyFill="1"/>
    <xf numFmtId="178" fontId="19" fillId="0" borderId="0" xfId="14" applyNumberFormat="1" applyFont="1" applyFill="1" applyBorder="1" applyAlignment="1">
      <alignment horizontal="right"/>
    </xf>
    <xf numFmtId="0" fontId="22" fillId="0" borderId="0" xfId="0" applyFont="1"/>
    <xf numFmtId="10" fontId="19" fillId="0" borderId="0" xfId="0" applyNumberFormat="1" applyFont="1"/>
    <xf numFmtId="10" fontId="19" fillId="0" borderId="0" xfId="14" applyNumberFormat="1" applyFont="1" applyFill="1" applyBorder="1"/>
    <xf numFmtId="0" fontId="19" fillId="0" borderId="0" xfId="29" applyNumberFormat="1" applyFont="1" applyFill="1" applyBorder="1"/>
    <xf numFmtId="0" fontId="11" fillId="0" borderId="0" xfId="13" applyFont="1"/>
    <xf numFmtId="0" fontId="19" fillId="0" borderId="0" xfId="29" applyNumberFormat="1" applyFont="1"/>
    <xf numFmtId="0" fontId="1" fillId="0" borderId="0" xfId="30" applyFont="1"/>
    <xf numFmtId="0" fontId="1" fillId="2" borderId="0" xfId="30" applyFont="1" applyFill="1"/>
    <xf numFmtId="14" fontId="1" fillId="0" borderId="0" xfId="30" applyNumberFormat="1" applyFont="1"/>
    <xf numFmtId="177" fontId="1" fillId="0" borderId="0" xfId="30" applyNumberFormat="1" applyFont="1"/>
    <xf numFmtId="0" fontId="11" fillId="0" borderId="0" xfId="30" applyFont="1"/>
    <xf numFmtId="0" fontId="23" fillId="0" borderId="0" xfId="7" applyFont="1"/>
    <xf numFmtId="178" fontId="16" fillId="0" borderId="0" xfId="7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9" applyFont="1"/>
    <xf numFmtId="171" fontId="19" fillId="0" borderId="0" xfId="14" applyNumberFormat="1" applyFont="1" applyFill="1" applyBorder="1"/>
    <xf numFmtId="170" fontId="19" fillId="0" borderId="0" xfId="0" applyNumberFormat="1" applyFont="1"/>
    <xf numFmtId="0" fontId="19" fillId="0" borderId="0" xfId="6" applyFont="1"/>
    <xf numFmtId="169" fontId="19" fillId="0" borderId="0" xfId="0" applyNumberFormat="1" applyFont="1"/>
    <xf numFmtId="179" fontId="19" fillId="0" borderId="0" xfId="6" applyNumberFormat="1" applyFont="1"/>
    <xf numFmtId="0" fontId="20" fillId="0" borderId="0" xfId="6" applyFont="1"/>
    <xf numFmtId="0" fontId="20" fillId="0" borderId="0" xfId="6" applyFont="1" applyAlignment="1">
      <alignment wrapText="1"/>
    </xf>
    <xf numFmtId="170" fontId="19" fillId="0" borderId="0" xfId="6" applyNumberFormat="1" applyFont="1"/>
    <xf numFmtId="174" fontId="19" fillId="0" borderId="0" xfId="6" applyNumberFormat="1" applyFont="1"/>
    <xf numFmtId="180" fontId="19" fillId="0" borderId="0" xfId="6" applyNumberFormat="1" applyFont="1"/>
    <xf numFmtId="171" fontId="19" fillId="0" borderId="0" xfId="14" applyNumberFormat="1" applyFont="1" applyFill="1" applyBorder="1" applyAlignment="1">
      <alignment horizontal="right"/>
    </xf>
    <xf numFmtId="10" fontId="19" fillId="0" borderId="0" xfId="0" applyNumberFormat="1" applyFont="1" applyAlignment="1">
      <alignment horizontal="right"/>
    </xf>
    <xf numFmtId="10" fontId="19" fillId="0" borderId="0" xfId="14" applyNumberFormat="1" applyFont="1" applyFill="1" applyBorder="1" applyAlignment="1">
      <alignment horizontal="right"/>
    </xf>
    <xf numFmtId="172" fontId="19" fillId="0" borderId="0" xfId="1" applyNumberFormat="1" applyFont="1" applyFill="1" applyBorder="1"/>
    <xf numFmtId="173" fontId="19" fillId="0" borderId="0" xfId="0" applyNumberFormat="1" applyFont="1"/>
    <xf numFmtId="168" fontId="19" fillId="0" borderId="0" xfId="14" applyNumberFormat="1" applyFont="1" applyFill="1" applyBorder="1"/>
    <xf numFmtId="174" fontId="19" fillId="0" borderId="0" xfId="14" applyNumberFormat="1" applyFont="1" applyFill="1" applyBorder="1" applyAlignment="1">
      <alignment horizontal="right"/>
    </xf>
    <xf numFmtId="174" fontId="19" fillId="0" borderId="0" xfId="7" applyNumberFormat="1" applyFont="1" applyAlignment="1">
      <alignment horizontal="right"/>
    </xf>
    <xf numFmtId="174" fontId="19" fillId="2" borderId="0" xfId="7" applyNumberFormat="1" applyFont="1" applyFill="1"/>
    <xf numFmtId="43" fontId="19" fillId="0" borderId="0" xfId="7" applyNumberFormat="1" applyFont="1"/>
    <xf numFmtId="0" fontId="24" fillId="0" borderId="0" xfId="7" applyFont="1"/>
    <xf numFmtId="181" fontId="19" fillId="0" borderId="0" xfId="7" applyNumberFormat="1" applyFont="1"/>
    <xf numFmtId="0" fontId="19" fillId="2" borderId="0" xfId="29" applyNumberFormat="1" applyFont="1" applyFill="1"/>
    <xf numFmtId="170" fontId="20" fillId="0" borderId="0" xfId="31" applyNumberFormat="1" applyFont="1"/>
    <xf numFmtId="0" fontId="19" fillId="0" borderId="0" xfId="7" applyFont="1" applyAlignment="1">
      <alignment horizontal="right"/>
    </xf>
    <xf numFmtId="178" fontId="19" fillId="0" borderId="0" xfId="7" applyNumberFormat="1" applyFont="1" applyAlignment="1">
      <alignment horizontal="right"/>
    </xf>
    <xf numFmtId="0" fontId="20" fillId="2" borderId="0" xfId="7" applyFont="1" applyFill="1" applyAlignment="1">
      <alignment horizontal="left"/>
    </xf>
    <xf numFmtId="0" fontId="19" fillId="0" borderId="0" xfId="6" applyFont="1" applyAlignment="1">
      <alignment wrapText="1"/>
    </xf>
    <xf numFmtId="0" fontId="27" fillId="0" borderId="0" xfId="7" applyFont="1"/>
    <xf numFmtId="2" fontId="1" fillId="2" borderId="0" xfId="29" applyNumberFormat="1" applyFont="1" applyFill="1" applyBorder="1"/>
    <xf numFmtId="174" fontId="19" fillId="2" borderId="0" xfId="6" applyNumberFormat="1" applyFont="1" applyFill="1"/>
    <xf numFmtId="1" fontId="19" fillId="0" borderId="0" xfId="6" applyNumberFormat="1" applyFont="1"/>
    <xf numFmtId="0" fontId="19" fillId="0" borderId="0" xfId="0" applyFont="1" applyAlignment="1">
      <alignment vertical="center"/>
    </xf>
    <xf numFmtId="14" fontId="19" fillId="0" borderId="0" xfId="0" applyNumberFormat="1" applyFont="1" applyAlignment="1">
      <alignment vertical="center"/>
    </xf>
    <xf numFmtId="182" fontId="19" fillId="0" borderId="0" xfId="7" applyNumberFormat="1" applyFont="1" applyAlignment="1">
      <alignment horizontal="right"/>
    </xf>
    <xf numFmtId="0" fontId="20" fillId="0" borderId="0" xfId="6" applyFont="1" applyAlignment="1">
      <alignment horizontal="center"/>
    </xf>
  </cellXfs>
  <cellStyles count="32">
    <cellStyle name="Comma" xfId="1" builtinId="3"/>
    <cellStyle name="Comma 2" xfId="2" xr:uid="{00000000-0005-0000-0000-000001000000}"/>
    <cellStyle name="Comma 3" xfId="3" xr:uid="{00000000-0005-0000-0000-000002000000}"/>
    <cellStyle name="Comma 4" xfId="4" xr:uid="{00000000-0005-0000-0000-000003000000}"/>
    <cellStyle name="Currency" xfId="29" builtinId="4"/>
    <cellStyle name="Currency 2" xfId="28" xr:uid="{04652B51-13A8-CB40-8E4A-38BEC52A8D37}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 2" xfId="5" xr:uid="{00000000-0005-0000-0000-00000E000000}"/>
    <cellStyle name="Normal" xfId="0" builtinId="0"/>
    <cellStyle name="Normal 2" xfId="6" xr:uid="{00000000-0005-0000-0000-000010000000}"/>
    <cellStyle name="Normal 2 2" xfId="7" xr:uid="{00000000-0005-0000-0000-000011000000}"/>
    <cellStyle name="Normal 3" xfId="8" xr:uid="{00000000-0005-0000-0000-000012000000}"/>
    <cellStyle name="Normal 3 2" xfId="9" xr:uid="{00000000-0005-0000-0000-000013000000}"/>
    <cellStyle name="Normal 4" xfId="10" xr:uid="{00000000-0005-0000-0000-000014000000}"/>
    <cellStyle name="Normal 4 2" xfId="11" xr:uid="{00000000-0005-0000-0000-000015000000}"/>
    <cellStyle name="Normal 5" xfId="12" xr:uid="{00000000-0005-0000-0000-000016000000}"/>
    <cellStyle name="Normal 6" xfId="30" xr:uid="{825C3A9F-DF72-44D2-9467-E1385B304A7D}"/>
    <cellStyle name="Normal_BS general" xfId="13" xr:uid="{00000000-0005-0000-0000-000018000000}"/>
    <cellStyle name="Normal_BS general 2" xfId="31" xr:uid="{EE8167E7-4EFC-4570-A712-EC0F88BCD73A}"/>
    <cellStyle name="Percent" xfId="14" builtinId="5"/>
    <cellStyle name="Percent 2" xfId="15" xr:uid="{00000000-0005-0000-0000-00001A000000}"/>
    <cellStyle name="Percent 3" xfId="16" xr:uid="{00000000-0005-0000-0000-00001B000000}"/>
    <cellStyle name="Percent 4" xfId="17" xr:uid="{00000000-0005-0000-0000-00001C000000}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price vs. Stock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'BS chart'!$C$16</c:f>
              <c:strCache>
                <c:ptCount val="1"/>
                <c:pt idx="0">
                  <c:v>Call Price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'BS chart'!$B$17:$B$56</c:f>
              <c:numCache>
                <c:formatCode>General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cat>
          <c:val>
            <c:numRef>
              <c:f>'BS chart'!$C$17:$C$56</c:f>
              <c:numCache>
                <c:formatCode>0.0000_ </c:formatCode>
                <c:ptCount val="40"/>
                <c:pt idx="0">
                  <c:v>3.6136175925280898E-34</c:v>
                </c:pt>
                <c:pt idx="1">
                  <c:v>6.1023780589586383E-21</c:v>
                </c:pt>
                <c:pt idx="2">
                  <c:v>1.0147998850123889E-14</c:v>
                </c:pt>
                <c:pt idx="3">
                  <c:v>5.5901751114973224E-11</c:v>
                </c:pt>
                <c:pt idx="4">
                  <c:v>1.8556241694470887E-8</c:v>
                </c:pt>
                <c:pt idx="5">
                  <c:v>1.2140019481117184E-6</c:v>
                </c:pt>
                <c:pt idx="6">
                  <c:v>2.8203083899672543E-5</c:v>
                </c:pt>
                <c:pt idx="7">
                  <c:v>3.2376209213091418E-4</c:v>
                </c:pt>
                <c:pt idx="8">
                  <c:v>2.2470892906286928E-3</c:v>
                </c:pt>
                <c:pt idx="9">
                  <c:v>1.0749339663773144E-2</c:v>
                </c:pt>
                <c:pt idx="10">
                  <c:v>3.8749373027242948E-2</c:v>
                </c:pt>
                <c:pt idx="11">
                  <c:v>0.11211831743027338</c:v>
                </c:pt>
                <c:pt idx="12">
                  <c:v>0.27264816669792352</c:v>
                </c:pt>
                <c:pt idx="13">
                  <c:v>0.57675150747803738</c:v>
                </c:pt>
                <c:pt idx="14">
                  <c:v>1.0895613283033265</c:v>
                </c:pt>
                <c:pt idx="15">
                  <c:v>1.8761574489659338</c:v>
                </c:pt>
                <c:pt idx="16">
                  <c:v>2.9926125075124865</c:v>
                </c:pt>
                <c:pt idx="17">
                  <c:v>4.4791970390383069</c:v>
                </c:pt>
                <c:pt idx="18">
                  <c:v>6.3569559958987902</c:v>
                </c:pt>
                <c:pt idx="19">
                  <c:v>8.6276740295600174</c:v>
                </c:pt>
                <c:pt idx="20">
                  <c:v>11.27643418039974</c:v>
                </c:pt>
                <c:pt idx="21">
                  <c:v>14.275657776434203</c:v>
                </c:pt>
                <c:pt idx="22">
                  <c:v>17.589584214422604</c:v>
                </c:pt>
                <c:pt idx="23">
                  <c:v>21.17842628782768</c:v>
                </c:pt>
                <c:pt idx="24">
                  <c:v>25.001762618479628</c:v>
                </c:pt>
                <c:pt idx="25">
                  <c:v>29.021007382687202</c:v>
                </c:pt>
                <c:pt idx="26">
                  <c:v>33.200990483632822</c:v>
                </c:pt>
                <c:pt idx="27">
                  <c:v>37.510788677600623</c:v>
                </c:pt>
                <c:pt idx="28">
                  <c:v>41.923988633947324</c:v>
                </c:pt>
                <c:pt idx="29">
                  <c:v>46.418559828555573</c:v>
                </c:pt>
                <c:pt idx="30">
                  <c:v>50.976488913511261</c:v>
                </c:pt>
                <c:pt idx="31">
                  <c:v>55.583292445049153</c:v>
                </c:pt>
                <c:pt idx="32">
                  <c:v>60.227490585501883</c:v>
                </c:pt>
                <c:pt idx="33">
                  <c:v>64.90009517029101</c:v>
                </c:pt>
                <c:pt idx="34">
                  <c:v>69.594142911424711</c:v>
                </c:pt>
                <c:pt idx="35">
                  <c:v>74.304288330243907</c:v>
                </c:pt>
                <c:pt idx="36">
                  <c:v>79.026460285669543</c:v>
                </c:pt>
                <c:pt idx="37">
                  <c:v>83.757579445673542</c:v>
                </c:pt>
                <c:pt idx="38">
                  <c:v>88.495330550780508</c:v>
                </c:pt>
                <c:pt idx="39">
                  <c:v>93.237981846030692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7A-4152-9C97-CE005978847F}"/>
            </c:ext>
          </c:extLst>
        </c:ser>
        <c:ser>
          <c:idx val="1"/>
          <c:order val="1"/>
          <c:tx>
            <c:strRef>
              <c:f>'BS chart'!$D$16</c:f>
              <c:strCache>
                <c:ptCount val="1"/>
                <c:pt idx="0">
                  <c:v>Put Price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'BS chart'!$D$17:$D$56</c:f>
              <c:numCache>
                <c:formatCode>0.0000_ </c:formatCode>
                <c:ptCount val="40"/>
                <c:pt idx="0">
                  <c:v>92.288406232347242</c:v>
                </c:pt>
                <c:pt idx="1">
                  <c:v>87.532259109843679</c:v>
                </c:pt>
                <c:pt idx="2">
                  <c:v>82.776111987340116</c:v>
                </c:pt>
                <c:pt idx="3">
                  <c:v>78.019964864892444</c:v>
                </c:pt>
                <c:pt idx="4">
                  <c:v>73.263817760889211</c:v>
                </c:pt>
                <c:pt idx="5">
                  <c:v>68.507671833831338</c:v>
                </c:pt>
                <c:pt idx="6">
                  <c:v>63.751551700409735</c:v>
                </c:pt>
                <c:pt idx="7">
                  <c:v>58.995700136914387</c:v>
                </c:pt>
                <c:pt idx="8">
                  <c:v>54.241476341609307</c:v>
                </c:pt>
                <c:pt idx="9">
                  <c:v>49.493831469478884</c:v>
                </c:pt>
                <c:pt idx="10">
                  <c:v>44.765684380338783</c:v>
                </c:pt>
                <c:pt idx="11">
                  <c:v>40.082906202238249</c:v>
                </c:pt>
                <c:pt idx="12">
                  <c:v>35.487288929002325</c:v>
                </c:pt>
                <c:pt idx="13">
                  <c:v>31.035245147278875</c:v>
                </c:pt>
                <c:pt idx="14">
                  <c:v>26.791907845600583</c:v>
                </c:pt>
                <c:pt idx="15">
                  <c:v>22.822356843759628</c:v>
                </c:pt>
                <c:pt idx="16">
                  <c:v>19.182664779802614</c:v>
                </c:pt>
                <c:pt idx="17">
                  <c:v>15.913102188824855</c:v>
                </c:pt>
                <c:pt idx="18">
                  <c:v>13.034714023181769</c:v>
                </c:pt>
                <c:pt idx="19">
                  <c:v>10.549284934339425</c:v>
                </c:pt>
                <c:pt idx="20">
                  <c:v>8.4418979626755881</c:v>
                </c:pt>
                <c:pt idx="21">
                  <c:v>6.6849744362064758</c:v>
                </c:pt>
                <c:pt idx="22">
                  <c:v>5.2427537516913088</c:v>
                </c:pt>
                <c:pt idx="23">
                  <c:v>4.0754487025928192</c:v>
                </c:pt>
                <c:pt idx="24">
                  <c:v>3.1426379107411826</c:v>
                </c:pt>
                <c:pt idx="25">
                  <c:v>2.405735552445194</c:v>
                </c:pt>
                <c:pt idx="26">
                  <c:v>1.8295715308872422</c:v>
                </c:pt>
                <c:pt idx="27">
                  <c:v>1.3832226023514784</c:v>
                </c:pt>
                <c:pt idx="28">
                  <c:v>1.0402754361946167</c:v>
                </c:pt>
                <c:pt idx="29">
                  <c:v>0.77869950829928425</c:v>
                </c:pt>
                <c:pt idx="30">
                  <c:v>0.58048147075139744</c:v>
                </c:pt>
                <c:pt idx="31">
                  <c:v>0.43113787978572621</c:v>
                </c:pt>
                <c:pt idx="32">
                  <c:v>0.31918889773489606</c:v>
                </c:pt>
                <c:pt idx="33">
                  <c:v>0.23564636002044459</c:v>
                </c:pt>
                <c:pt idx="34">
                  <c:v>0.17354697865058274</c:v>
                </c:pt>
                <c:pt idx="35">
                  <c:v>0.12754527496620865</c:v>
                </c:pt>
                <c:pt idx="36">
                  <c:v>9.3570107888269222E-2</c:v>
                </c:pt>
                <c:pt idx="37">
                  <c:v>6.8542145388697587E-2</c:v>
                </c:pt>
                <c:pt idx="38">
                  <c:v>5.0146127992102309E-2</c:v>
                </c:pt>
                <c:pt idx="39">
                  <c:v>3.6650300738706558E-2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D9-4447-A59D-1B0044822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204288"/>
        <c:axId val="226982080"/>
      </c:lineChart>
      <c:catAx>
        <c:axId val="28820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982080"/>
        <c:crosses val="autoZero"/>
        <c:auto val="1"/>
        <c:lblAlgn val="ctr"/>
        <c:lblOffset val="100"/>
        <c:noMultiLvlLbl val="0"/>
      </c:catAx>
      <c:valAx>
        <c:axId val="22698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20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 i="0" u="none" strike="noStrike" kern="1200" baseline="0">
                <a:solidFill>
                  <a:srgbClr val="1F497D"/>
                </a:solidFill>
              </a:rPr>
              <a:t>Option price vs.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'BS chart'!$G$16</c:f>
              <c:strCache>
                <c:ptCount val="1"/>
                <c:pt idx="0">
                  <c:v>Call Price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'BS chart'!$F$17:$F$56</c:f>
              <c:numCache>
                <c:formatCode>0.0%</c:formatCode>
                <c:ptCount val="40"/>
                <c:pt idx="0">
                  <c:v>2.5000000000000001E-2</c:v>
                </c:pt>
                <c:pt idx="1">
                  <c:v>0.05</c:v>
                </c:pt>
                <c:pt idx="2">
                  <c:v>7.4999999999999997E-2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0.17499999999999999</c:v>
                </c:pt>
                <c:pt idx="7">
                  <c:v>0.2</c:v>
                </c:pt>
                <c:pt idx="8">
                  <c:v>0.22500000000000001</c:v>
                </c:pt>
                <c:pt idx="9">
                  <c:v>0.25</c:v>
                </c:pt>
                <c:pt idx="10">
                  <c:v>0.27500000000000002</c:v>
                </c:pt>
                <c:pt idx="11">
                  <c:v>0.3</c:v>
                </c:pt>
                <c:pt idx="12">
                  <c:v>0.32500000000000001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0.42499999999999999</c:v>
                </c:pt>
                <c:pt idx="17">
                  <c:v>0.45</c:v>
                </c:pt>
                <c:pt idx="18">
                  <c:v>0.47499999999999998</c:v>
                </c:pt>
                <c:pt idx="19">
                  <c:v>0.5</c:v>
                </c:pt>
                <c:pt idx="20">
                  <c:v>0.52500000000000002</c:v>
                </c:pt>
                <c:pt idx="21">
                  <c:v>0.55000000000000004</c:v>
                </c:pt>
                <c:pt idx="22">
                  <c:v>0.57499999999999996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0.67500000000000004</c:v>
                </c:pt>
                <c:pt idx="27">
                  <c:v>0.7</c:v>
                </c:pt>
                <c:pt idx="28">
                  <c:v>0.72499999999999998</c:v>
                </c:pt>
                <c:pt idx="29">
                  <c:v>0.75</c:v>
                </c:pt>
                <c:pt idx="30">
                  <c:v>0.77500000000000002</c:v>
                </c:pt>
                <c:pt idx="31">
                  <c:v>0.8</c:v>
                </c:pt>
                <c:pt idx="32">
                  <c:v>0.82499999999999996</c:v>
                </c:pt>
                <c:pt idx="33">
                  <c:v>0.85</c:v>
                </c:pt>
                <c:pt idx="34">
                  <c:v>0.875</c:v>
                </c:pt>
                <c:pt idx="35">
                  <c:v>0.9</c:v>
                </c:pt>
                <c:pt idx="36">
                  <c:v>0.92500000000000004</c:v>
                </c:pt>
                <c:pt idx="37">
                  <c:v>0.95</c:v>
                </c:pt>
                <c:pt idx="38">
                  <c:v>0.97499999999999998</c:v>
                </c:pt>
                <c:pt idx="39">
                  <c:v>1</c:v>
                </c:pt>
              </c:numCache>
            </c:numRef>
          </c:xVal>
          <c:yVal>
            <c:numRef>
              <c:f>'BS chart'!$G$17:$G$56</c:f>
              <c:numCache>
                <c:formatCode>0.0000_ </c:formatCode>
                <c:ptCount val="40"/>
                <c:pt idx="0">
                  <c:v>0.28872129408005576</c:v>
                </c:pt>
                <c:pt idx="1">
                  <c:v>1.1068501847710632</c:v>
                </c:pt>
                <c:pt idx="2">
                  <c:v>2.0149523082699337</c:v>
                </c:pt>
                <c:pt idx="3">
                  <c:v>2.9470955164674195</c:v>
                </c:pt>
                <c:pt idx="4">
                  <c:v>3.8886391323551992</c:v>
                </c:pt>
                <c:pt idx="5">
                  <c:v>4.8344772244501621</c:v>
                </c:pt>
                <c:pt idx="6">
                  <c:v>5.7823129607562951</c:v>
                </c:pt>
                <c:pt idx="7">
                  <c:v>6.7309176491633007</c:v>
                </c:pt>
                <c:pt idx="8">
                  <c:v>7.6795411572750529</c:v>
                </c:pt>
                <c:pt idx="9">
                  <c:v>8.6276740295600174</c:v>
                </c:pt>
                <c:pt idx="10">
                  <c:v>9.5749388014805916</c:v>
                </c:pt>
                <c:pt idx="11">
                  <c:v>10.521035490786623</c:v>
                </c:pt>
                <c:pt idx="12">
                  <c:v>11.465712201570762</c:v>
                </c:pt>
                <c:pt idx="13">
                  <c:v>12.408748322978774</c:v>
                </c:pt>
                <c:pt idx="14">
                  <c:v>13.34994445998321</c:v>
                </c:pt>
                <c:pt idx="15">
                  <c:v>14.289116157148703</c:v>
                </c:pt>
                <c:pt idx="16">
                  <c:v>15.226089856238533</c:v>
                </c:pt>
                <c:pt idx="17">
                  <c:v>16.1607002200717</c:v>
                </c:pt>
                <c:pt idx="18">
                  <c:v>17.092788319685042</c:v>
                </c:pt>
                <c:pt idx="19">
                  <c:v>18.022200382703637</c:v>
                </c:pt>
                <c:pt idx="20">
                  <c:v>18.94878691573113</c:v>
                </c:pt>
                <c:pt idx="21">
                  <c:v>19.872402081540319</c:v>
                </c:pt>
                <c:pt idx="22">
                  <c:v>20.792903253250707</c:v>
                </c:pt>
                <c:pt idx="23">
                  <c:v>21.710150693577496</c:v>
                </c:pt>
                <c:pt idx="24">
                  <c:v>22.624007323821658</c:v>
                </c:pt>
                <c:pt idx="25">
                  <c:v>23.534338558120442</c:v>
                </c:pt>
                <c:pt idx="26">
                  <c:v>24.4410121857149</c:v>
                </c:pt>
                <c:pt idx="27">
                  <c:v>25.343898288904121</c:v>
                </c:pt>
                <c:pt idx="28">
                  <c:v>26.24286918774586</c:v>
                </c:pt>
                <c:pt idx="29">
                  <c:v>27.137799404937351</c:v>
                </c:pt>
                <c:pt idx="30">
                  <c:v>28.02856564599584</c:v>
                </c:pt>
                <c:pt idx="31">
                  <c:v>28.915046791070811</c:v>
                </c:pt>
                <c:pt idx="32">
                  <c:v>29.797123895601914</c:v>
                </c:pt>
                <c:pt idx="33">
                  <c:v>30.674680197686243</c:v>
                </c:pt>
                <c:pt idx="34">
                  <c:v>31.547601130501029</c:v>
                </c:pt>
                <c:pt idx="35">
                  <c:v>32.415774338490593</c:v>
                </c:pt>
                <c:pt idx="36">
                  <c:v>33.279089696301241</c:v>
                </c:pt>
                <c:pt idx="37">
                  <c:v>34.137439329657681</c:v>
                </c:pt>
                <c:pt idx="38">
                  <c:v>34.990717637536626</c:v>
                </c:pt>
                <c:pt idx="39">
                  <c:v>35.838821315119354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A8-4ECE-9E20-74DEF4AA452E}"/>
            </c:ext>
          </c:extLst>
        </c:ser>
        <c:ser>
          <c:idx val="1"/>
          <c:order val="1"/>
          <c:tx>
            <c:strRef>
              <c:f>'BS chart'!$H$16</c:f>
              <c:strCache>
                <c:ptCount val="1"/>
                <c:pt idx="0">
                  <c:v>Put Price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'BS chart'!$F$17:$F$56</c:f>
              <c:numCache>
                <c:formatCode>0.0%</c:formatCode>
                <c:ptCount val="40"/>
                <c:pt idx="0">
                  <c:v>2.5000000000000001E-2</c:v>
                </c:pt>
                <c:pt idx="1">
                  <c:v>0.05</c:v>
                </c:pt>
                <c:pt idx="2">
                  <c:v>7.4999999999999997E-2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0.17499999999999999</c:v>
                </c:pt>
                <c:pt idx="7">
                  <c:v>0.2</c:v>
                </c:pt>
                <c:pt idx="8">
                  <c:v>0.22500000000000001</c:v>
                </c:pt>
                <c:pt idx="9">
                  <c:v>0.25</c:v>
                </c:pt>
                <c:pt idx="10">
                  <c:v>0.27500000000000002</c:v>
                </c:pt>
                <c:pt idx="11">
                  <c:v>0.3</c:v>
                </c:pt>
                <c:pt idx="12">
                  <c:v>0.32500000000000001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0.42499999999999999</c:v>
                </c:pt>
                <c:pt idx="17">
                  <c:v>0.45</c:v>
                </c:pt>
                <c:pt idx="18">
                  <c:v>0.47499999999999998</c:v>
                </c:pt>
                <c:pt idx="19">
                  <c:v>0.5</c:v>
                </c:pt>
                <c:pt idx="20">
                  <c:v>0.52500000000000002</c:v>
                </c:pt>
                <c:pt idx="21">
                  <c:v>0.55000000000000004</c:v>
                </c:pt>
                <c:pt idx="22">
                  <c:v>0.57499999999999996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0.67500000000000004</c:v>
                </c:pt>
                <c:pt idx="27">
                  <c:v>0.7</c:v>
                </c:pt>
                <c:pt idx="28">
                  <c:v>0.72499999999999998</c:v>
                </c:pt>
                <c:pt idx="29">
                  <c:v>0.75</c:v>
                </c:pt>
                <c:pt idx="30">
                  <c:v>0.77500000000000002</c:v>
                </c:pt>
                <c:pt idx="31">
                  <c:v>0.8</c:v>
                </c:pt>
                <c:pt idx="32">
                  <c:v>0.82499999999999996</c:v>
                </c:pt>
                <c:pt idx="33">
                  <c:v>0.85</c:v>
                </c:pt>
                <c:pt idx="34">
                  <c:v>0.875</c:v>
                </c:pt>
                <c:pt idx="35">
                  <c:v>0.9</c:v>
                </c:pt>
                <c:pt idx="36">
                  <c:v>0.92500000000000004</c:v>
                </c:pt>
                <c:pt idx="37">
                  <c:v>0.95</c:v>
                </c:pt>
                <c:pt idx="38">
                  <c:v>0.97499999999999998</c:v>
                </c:pt>
                <c:pt idx="39">
                  <c:v>1</c:v>
                </c:pt>
              </c:numCache>
            </c:numRef>
          </c:xVal>
          <c:yVal>
            <c:numRef>
              <c:f>'BS chart'!$H$17:$H$56</c:f>
              <c:numCache>
                <c:formatCode>0.0000_ </c:formatCode>
                <c:ptCount val="40"/>
                <c:pt idx="0">
                  <c:v>2.2103321988594642</c:v>
                </c:pt>
                <c:pt idx="1">
                  <c:v>3.0284610895504773</c:v>
                </c:pt>
                <c:pt idx="2">
                  <c:v>3.9365632130493422</c:v>
                </c:pt>
                <c:pt idx="3">
                  <c:v>4.8687064212468387</c:v>
                </c:pt>
                <c:pt idx="4">
                  <c:v>5.8102500371346135</c:v>
                </c:pt>
                <c:pt idx="5">
                  <c:v>6.7560881292295765</c:v>
                </c:pt>
                <c:pt idx="6">
                  <c:v>7.7039238655357094</c:v>
                </c:pt>
                <c:pt idx="7">
                  <c:v>8.6525285539427088</c:v>
                </c:pt>
                <c:pt idx="8">
                  <c:v>9.6011520620544619</c:v>
                </c:pt>
                <c:pt idx="9">
                  <c:v>10.549284934339425</c:v>
                </c:pt>
                <c:pt idx="10">
                  <c:v>11.496549706260005</c:v>
                </c:pt>
                <c:pt idx="11">
                  <c:v>12.442646395566042</c:v>
                </c:pt>
                <c:pt idx="12">
                  <c:v>13.387323106350181</c:v>
                </c:pt>
                <c:pt idx="13">
                  <c:v>14.330359227758189</c:v>
                </c:pt>
                <c:pt idx="14">
                  <c:v>15.271555364762623</c:v>
                </c:pt>
                <c:pt idx="15">
                  <c:v>16.210727061928122</c:v>
                </c:pt>
                <c:pt idx="16">
                  <c:v>17.147700761017951</c:v>
                </c:pt>
                <c:pt idx="17">
                  <c:v>18.08231112485112</c:v>
                </c:pt>
                <c:pt idx="18">
                  <c:v>19.014399224464462</c:v>
                </c:pt>
                <c:pt idx="19">
                  <c:v>19.943811287483054</c:v>
                </c:pt>
                <c:pt idx="20">
                  <c:v>20.87039782051054</c:v>
                </c:pt>
                <c:pt idx="21">
                  <c:v>21.794012986319736</c:v>
                </c:pt>
                <c:pt idx="22">
                  <c:v>22.714514158030109</c:v>
                </c:pt>
                <c:pt idx="23">
                  <c:v>23.631761598356913</c:v>
                </c:pt>
                <c:pt idx="24">
                  <c:v>24.545618228601075</c:v>
                </c:pt>
                <c:pt idx="25">
                  <c:v>25.455949462899856</c:v>
                </c:pt>
                <c:pt idx="26">
                  <c:v>26.362623090494317</c:v>
                </c:pt>
                <c:pt idx="27">
                  <c:v>27.265509193683538</c:v>
                </c:pt>
                <c:pt idx="28">
                  <c:v>28.164480092525274</c:v>
                </c:pt>
                <c:pt idx="29">
                  <c:v>29.05941030971676</c:v>
                </c:pt>
                <c:pt idx="30">
                  <c:v>29.950176550775254</c:v>
                </c:pt>
                <c:pt idx="31">
                  <c:v>30.836657695850217</c:v>
                </c:pt>
                <c:pt idx="32">
                  <c:v>31.718734800381327</c:v>
                </c:pt>
                <c:pt idx="33">
                  <c:v>32.596291102465663</c:v>
                </c:pt>
                <c:pt idx="34">
                  <c:v>33.469212035280435</c:v>
                </c:pt>
                <c:pt idx="35">
                  <c:v>34.337385243269999</c:v>
                </c:pt>
                <c:pt idx="36">
                  <c:v>35.200700601080662</c:v>
                </c:pt>
                <c:pt idx="37">
                  <c:v>36.059050234437095</c:v>
                </c:pt>
                <c:pt idx="38">
                  <c:v>36.912328542316047</c:v>
                </c:pt>
                <c:pt idx="39">
                  <c:v>37.760432219898775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A8-4ECE-9E20-74DEF4AA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582943"/>
        <c:axId val="1334584863"/>
      </c:scatterChart>
      <c:valAx>
        <c:axId val="133458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4584863"/>
        <c:crosses val="autoZero"/>
        <c:crossBetween val="midCat"/>
      </c:valAx>
      <c:valAx>
        <c:axId val="133458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4582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356482</xdr:colOff>
      <xdr:row>0</xdr:row>
      <xdr:rowOff>115293</xdr:rowOff>
    </xdr:from>
    <xdr:ext cx="3367076" cy="15315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3855056" y="115293"/>
              <a:ext cx="3367076" cy="1531573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𝑆𝑁</m:t>
                    </m:r>
                    <m:d>
                      <m:d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US" sz="12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𝐾</m:t>
                    </m:r>
                    <m:sSup>
                      <m:sSup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𝑟𝑇</m:t>
                        </m:r>
                      </m:sup>
                    </m:sSup>
                    <m:r>
                      <a:rPr lang="en-US" sz="1200" b="0" i="1"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  <m:oMath xmlns:m="http://schemas.openxmlformats.org/officeDocument/2006/math">
                    <m:r>
                      <a:rPr lang="en-US" sz="1200" b="0" i="1">
                        <a:latin typeface="Cambria Math" panose="02040503050406030204" pitchFamily="18" charset="0"/>
                      </a:rPr>
                      <m:t>𝑝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sSup>
                      <m:sSup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𝑟𝑇</m:t>
                        </m:r>
                      </m:sup>
                    </m:sSup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𝑁</m:t>
                    </m:r>
                    <m:d>
                      <m:d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𝑆𝑁</m:t>
                    </m:r>
                    <m:d>
                      <m:d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  <m:oMath xmlns:m="http://schemas.openxmlformats.org/officeDocument/2006/math">
                    <m:r>
                      <m:rPr>
                        <m:sty m:val="p"/>
                      </m:rPr>
                      <a:rPr lang="en-US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</m:oMath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2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type m:val="lin"/>
                                    <m:ctrlP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d>
                          <m:d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f>
                              <m:fPr>
                                <m:type m:val="lin"/>
                                <m:ctrlP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𝜎</m:t>
                                    </m:r>
                                  </m:e>
                                  <m:sup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  <m:rad>
                          <m:radPr>
                            <m:degHide m:val="on"/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</m:rad>
                      </m:den>
                    </m:f>
                  </m:oMath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2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type m:val="lin"/>
                                    <m:ctrlP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d>
                          <m:d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type m:val="lin"/>
                                <m:ctrlP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𝜎</m:t>
                                    </m:r>
                                  </m:e>
                                  <m:sup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  <m:rad>
                          <m:radPr>
                            <m:degHide m:val="on"/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rad>
                      </m:den>
                    </m:f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𝜎</m:t>
                    </m:r>
                    <m:rad>
                      <m:radPr>
                        <m:degHide m:val="on"/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rad>
                  </m:oMath>
                  <m:oMath xmlns:m="http://schemas.openxmlformats.org/officeDocument/2006/math"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𝑝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𝑟𝑇</m:t>
                        </m:r>
                      </m:sup>
                    </m:sSup>
                  </m:oMath>
                </m:oMathPara>
              </a14:m>
              <a:br>
                <a:rPr lang="en-US" sz="1200" b="0" i="1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endParaRPr lang="en-US" sz="1200" b="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3855056" y="115293"/>
              <a:ext cx="3367076" cy="1531573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𝑐=𝑆𝑁(𝑑_1 )−𝐾𝑒^(−𝑟𝑇) 𝑁(𝑑_2 )</a:t>
              </a:r>
              <a:br>
                <a:rPr lang="en-US" sz="1200" b="0" i="1">
                  <a:latin typeface="Cambria Math" panose="02040503050406030204" pitchFamily="18" charset="0"/>
                </a:rPr>
              </a:br>
              <a:r>
                <a:rPr lang="en-US" sz="1200" b="0" i="0">
                  <a:latin typeface="Cambria Math" panose="02040503050406030204" pitchFamily="18" charset="0"/>
                </a:rPr>
                <a:t>𝑝=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𝐾𝑒^(−𝑟𝑇) 𝑁(−𝑑_2 )−𝑆𝑁(−𝑑_1 )</a:t>
              </a:r>
              <a:br>
                <a:rPr lang="en-US" sz="1200" b="0" i="1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where</a:t>
              </a:r>
              <a:b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𝑑_1=(ln⁡(𝑆∕𝐾)+(𝑟+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^2∕2)𝑇)/(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𝜎√𝑇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br>
                <a:rPr lang="en-US" sz="1200" b="0" i="1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</a:b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𝑑_2=(ln⁡(𝑆∕𝐾)+(𝑟−𝜎^2∕2)𝑇)/(𝜎√𝑇)=𝑑_1−𝜎√𝑇</a:t>
              </a:r>
              <a:br>
                <a:rPr lang="en-US" sz="1200" b="0" i="1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𝑐−𝑝=𝑆−𝐾𝑒^(−𝑟𝑇)</a:t>
              </a:r>
              <a:br>
                <a:rPr lang="en-US" sz="1200" b="0" i="1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endParaRPr lang="en-US" sz="1200" b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10160</xdr:colOff>
      <xdr:row>3</xdr:row>
      <xdr:rowOff>15240</xdr:rowOff>
    </xdr:from>
    <xdr:ext cx="3050130" cy="13953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5394960" y="688340"/>
              <a:ext cx="3050130" cy="1395318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𝑆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𝑞𝑇</m:t>
                        </m:r>
                      </m:sup>
                    </m:sSup>
                    <m:r>
                      <a:rPr lang="en-US" sz="1200" b="0" i="1"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US" sz="12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𝐾</m:t>
                    </m:r>
                    <m:sSup>
                      <m:sSup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𝑟𝑇</m:t>
                        </m:r>
                      </m:sup>
                    </m:sSup>
                    <m:r>
                      <a:rPr lang="en-US" sz="1200" b="0" i="1"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  <m:oMath xmlns:m="http://schemas.openxmlformats.org/officeDocument/2006/math">
                    <m:r>
                      <a:rPr lang="en-US" sz="1200" b="0" i="1">
                        <a:latin typeface="Cambria Math" panose="02040503050406030204" pitchFamily="18" charset="0"/>
                      </a:rPr>
                      <m:t>𝑝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sSup>
                      <m:sSup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𝑟𝑇</m:t>
                        </m:r>
                      </m:sup>
                    </m:sSup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𝑁</m:t>
                    </m:r>
                    <m:d>
                      <m:d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𝑞𝑇</m:t>
                        </m:r>
                      </m:sup>
                    </m:sSup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𝑁</m:t>
                    </m:r>
                    <m:d>
                      <m:d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  <m:oMath xmlns:m="http://schemas.openxmlformats.org/officeDocument/2006/math">
                    <m:r>
                      <m:rPr>
                        <m:sty m:val="p"/>
                      </m:rPr>
                      <a:rPr lang="en-US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</m:oMath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2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type m:val="lin"/>
                                    <m:ctrlP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d>
                          <m:d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f>
                              <m:fPr>
                                <m:type m:val="lin"/>
                                <m:ctrlP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𝜎</m:t>
                                    </m:r>
                                  </m:e>
                                  <m:sup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  <m:rad>
                          <m:radPr>
                            <m:degHide m:val="on"/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</m:rad>
                      </m:den>
                    </m:f>
                  </m:oMath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2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type m:val="lin"/>
                                    <m:ctrlP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d>
                          <m:d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type m:val="lin"/>
                                <m:ctrlP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𝜎</m:t>
                                    </m:r>
                                  </m:e>
                                  <m:sup>
                                    <m:r>
                                      <a:rPr lang="en-US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  <m:rad>
                          <m:radPr>
                            <m:degHide m:val="on"/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rad>
                      </m:den>
                    </m:f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𝜎</m:t>
                    </m:r>
                    <m:rad>
                      <m:radPr>
                        <m:degHide m:val="on"/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rad>
                  </m:oMath>
                </m:oMathPara>
              </a14:m>
              <a:endParaRPr lang="en-US" sz="1200" b="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D8F8694-303B-43BC-ADA0-BD4BBF94D2D7}"/>
                </a:ext>
              </a:extLst>
            </xdr:cNvPr>
            <xdr:cNvSpPr txBox="1"/>
          </xdr:nvSpPr>
          <xdr:spPr>
            <a:xfrm>
              <a:off x="3962400" y="716280"/>
              <a:ext cx="3050130" cy="1395318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200" b="0" i="0">
                  <a:latin typeface="Cambria Math" panose="02040503050406030204" pitchFamily="18" charset="0"/>
                </a:rPr>
                <a:t>𝑐=𝑆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𝑒^(−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𝑞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𝑇)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200" b="0" i="0">
                  <a:latin typeface="Cambria Math" panose="02040503050406030204" pitchFamily="18" charset="0"/>
                </a:rPr>
                <a:t>𝑁(𝑑_1 )−𝐾𝑒^(−𝑟𝑇) 𝑁(𝑑_2 )</a:t>
              </a:r>
              <a:br>
                <a:rPr lang="en-US" sz="1200" b="0"/>
              </a:br>
              <a:r>
                <a:rPr lang="en-US" sz="1200" b="0" i="0">
                  <a:latin typeface="Cambria Math" panose="02040503050406030204" pitchFamily="18" charset="0"/>
                </a:rPr>
                <a:t>𝑝=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𝐾𝑒^(−𝑟𝑇) 𝑁(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𝑑_2 )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𝑒^(−𝑞𝑇)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𝑁(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𝑑_1 )</a:t>
              </a:r>
              <a:br>
                <a:rPr lang="en-US" sz="12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</a:b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where</a:t>
              </a:r>
              <a:br>
                <a:rPr lang="en-US" sz="12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</a:b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𝑑_1=(ln⁡(𝑆∕𝐾)+(𝑟−𝑞+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^2∕2)𝑇)/(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𝜎√𝑇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br>
                <a:rPr lang="en-US" sz="12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</a:b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𝑑_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=(ln⁡(𝑆∕𝐾)+(𝑟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−𝑞−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𝜎^2∕2)𝑇)/(𝜎√𝑇)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𝑑_1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𝜎√𝑇</a:t>
              </a:r>
              <a:endParaRPr lang="en-US" sz="1200" b="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289561</xdr:colOff>
      <xdr:row>0</xdr:row>
      <xdr:rowOff>0</xdr:rowOff>
    </xdr:from>
    <xdr:to>
      <xdr:col>17</xdr:col>
      <xdr:colOff>55008</xdr:colOff>
      <xdr:row>15</xdr:row>
      <xdr:rowOff>12617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01141E0-D3C3-48C3-9E17-68DA5AEC33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7500" b="23333"/>
        <a:stretch/>
      </xdr:blipFill>
      <xdr:spPr>
        <a:xfrm>
          <a:off x="7490461" y="0"/>
          <a:ext cx="4642247" cy="2847257"/>
        </a:xfrm>
        <a:prstGeom prst="rect">
          <a:avLst/>
        </a:prstGeom>
      </xdr:spPr>
    </xdr:pic>
    <xdr:clientData/>
  </xdr:twoCellAnchor>
  <xdr:twoCellAnchor editAs="oneCell">
    <xdr:from>
      <xdr:col>9</xdr:col>
      <xdr:colOff>289560</xdr:colOff>
      <xdr:row>15</xdr:row>
      <xdr:rowOff>38099</xdr:rowOff>
    </xdr:from>
    <xdr:to>
      <xdr:col>23</xdr:col>
      <xdr:colOff>213360</xdr:colOff>
      <xdr:row>41</xdr:row>
      <xdr:rowOff>83819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67C9BE8-816A-4691-B1E2-D03616B6F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90460" y="3078479"/>
          <a:ext cx="8458200" cy="4800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222220</xdr:colOff>
      <xdr:row>11</xdr:row>
      <xdr:rowOff>23524</xdr:rowOff>
    </xdr:from>
    <xdr:to>
      <xdr:col>16</xdr:col>
      <xdr:colOff>325148</xdr:colOff>
      <xdr:row>26</xdr:row>
      <xdr:rowOff>101784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653DDA-5C80-4CE8-8676-3FA7C32DE2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226611</xdr:colOff>
      <xdr:row>27</xdr:row>
      <xdr:rowOff>135172</xdr:rowOff>
    </xdr:from>
    <xdr:to>
      <xdr:col>16</xdr:col>
      <xdr:colOff>329539</xdr:colOff>
      <xdr:row>43</xdr:row>
      <xdr:rowOff>14650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AE1EFC-5ADF-8557-2F39-50713D7C4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609600</xdr:colOff>
      <xdr:row>4</xdr:row>
      <xdr:rowOff>175260</xdr:rowOff>
    </xdr:from>
    <xdr:ext cx="2852319" cy="1124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6C85BAE-A0DF-4A64-A009-86CD699FD534}"/>
                </a:ext>
              </a:extLst>
            </xdr:cNvPr>
            <xdr:cNvSpPr txBox="1"/>
          </xdr:nvSpPr>
          <xdr:spPr>
            <a:xfrm>
              <a:off x="4122420" y="1036320"/>
              <a:ext cx="2852319" cy="1124475"/>
            </a:xfrm>
            <a:prstGeom prst="rect">
              <a:avLst/>
            </a:prstGeom>
            <a:ln w="12700"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l-GR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𝛥</m:t>
                        </m:r>
                      </m:e>
                      <m:sub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𝑐𝑎𝑙𝑙</m:t>
                        </m:r>
                      </m:sub>
                    </m:sSub>
                    <m:r>
                      <m:rPr>
                        <m:aln/>
                      </m:rPr>
                      <a:rPr lang="en-US" sz="12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𝑞𝑇</m:t>
                        </m:r>
                      </m:sup>
                    </m:sSup>
                    <m:r>
                      <a:rPr lang="en-US" sz="12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𝑁</m:t>
                    </m:r>
                    <m:d>
                      <m:dPr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US" sz="12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&gt;0 </m:t>
                    </m:r>
                  </m:oMath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l-GR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𝛥</m:t>
                        </m:r>
                      </m:e>
                      <m:sub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𝑝𝑢𝑡</m:t>
                        </m:r>
                      </m:sub>
                    </m:sSub>
                    <m:r>
                      <m:rPr>
                        <m:aln/>
                      </m:rPr>
                      <a:rPr lang="en-US" sz="12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2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𝑞𝑇</m:t>
                        </m:r>
                      </m:sup>
                    </m:sSup>
                    <m:r>
                      <a:rPr lang="en-US" sz="12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𝑁</m:t>
                    </m:r>
                    <m:d>
                      <m:dPr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US" sz="12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&lt;0</m:t>
                    </m:r>
                  </m:oMath>
                  <m:oMath xmlns:m="http://schemas.openxmlformats.org/officeDocument/2006/math">
                    <m:r>
                      <m:rPr>
                        <m:sty m:val="p"/>
                      </m:rPr>
                      <a:rPr lang="en-US" sz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n-US" sz="12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b>
                      <m:sSubPr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m:rPr>
                        <m:aln/>
                      </m:rPr>
                      <a:rPr lang="en-US" sz="12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US" sz="12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type m:val="lin"/>
                                    <m:ctrlPr>
                                      <a:rPr lang="en-US" sz="12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2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r>
                                      <a:rPr lang="en-US" sz="12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d>
                          <m:dPr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  <m: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  <m: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f>
                              <m:fPr>
                                <m:type m:val="lin"/>
                                <m:ctrlPr>
                                  <a:rPr lang="en-US" sz="12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US" sz="12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2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𝜎</m:t>
                                    </m:r>
                                  </m:e>
                                  <m:sup>
                                    <m:r>
                                      <a:rPr lang="en-US" sz="12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n-US" sz="12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num>
                      <m:den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  <m:rad>
                          <m:radPr>
                            <m:degHide m:val="on"/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rad>
                      </m:den>
                    </m:f>
                  </m:oMath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b>
                    </m:sSub>
                    <m:r>
                      <m:rPr>
                        <m:aln/>
                      </m:rPr>
                      <a:rPr lang="en-US" sz="12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US" sz="12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12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𝜎</m:t>
                    </m:r>
                    <m:rad>
                      <m:radPr>
                        <m:degHide m:val="on"/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rad>
                  </m:oMath>
                </m:oMathPara>
              </a14:m>
              <a:endParaRPr lang="en-US" sz="12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6C85BAE-A0DF-4A64-A009-86CD699FD534}"/>
                </a:ext>
              </a:extLst>
            </xdr:cNvPr>
            <xdr:cNvSpPr txBox="1"/>
          </xdr:nvSpPr>
          <xdr:spPr>
            <a:xfrm>
              <a:off x="4122420" y="1036320"/>
              <a:ext cx="2852319" cy="1124475"/>
            </a:xfrm>
            <a:prstGeom prst="rect">
              <a:avLst/>
            </a:prstGeom>
            <a:ln w="12700"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l-G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𝛥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_𝑐𝑎𝑙𝑙&amp;=𝑒^(−𝑞𝑇) 𝑁(𝑑_1 )&gt;0 </a:t>
              </a:r>
              <a:br>
                <a:rPr lang="en-US" sz="1200" i="1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l-G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𝛥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_𝑝𝑢𝑡&amp;=−𝑒^(−𝑞𝑇) 𝑁(−𝑑_1 )&lt;0</a:t>
              </a:r>
              <a:br>
                <a:rPr lang="en-US" sz="1200" i="1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where 𝑑_1&amp;=(ln⁡(𝑆∕𝐾)+(𝑟−𝑞+𝜎^2∕2)𝑇)/(𝜎√𝑇)</a:t>
              </a:r>
              <a:br>
                <a:rPr lang="en-US" sz="1200" i="1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𝑑_2&amp;=𝑑_1−𝜎√𝑇</a:t>
              </a:r>
              <a:endParaRPr lang="en-US" sz="12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205740</xdr:colOff>
      <xdr:row>2</xdr:row>
      <xdr:rowOff>68580</xdr:rowOff>
    </xdr:from>
    <xdr:ext cx="2977866" cy="13849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4428F19-90CC-40C3-98E1-7C308DCFD287}"/>
                </a:ext>
              </a:extLst>
            </xdr:cNvPr>
            <xdr:cNvSpPr txBox="1"/>
          </xdr:nvSpPr>
          <xdr:spPr>
            <a:xfrm>
              <a:off x="3688411" y="529756"/>
              <a:ext cx="2977866" cy="1384931"/>
            </a:xfrm>
            <a:prstGeom prst="rect">
              <a:avLst/>
            </a:prstGeom>
            <a:ln w="12700"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Δ</m:t>
                        </m:r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m:rPr>
                        <m:aln/>
                      </m:rPr>
                      <a:rPr lang="en-US" sz="12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func>
                      <m:funcPr>
                        <m:ctrlPr>
                          <a:rPr lang="en-US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200" b="0" i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exp</m:t>
                        </m:r>
                      </m:fName>
                      <m:e>
                        <m:d>
                          <m:d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d>
                              <m:d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f>
                                  <m:fPr>
                                    <m:type m:val="lin"/>
                                    <m:ctrlP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𝜎</m:t>
                                        </m:r>
                                      </m:e>
                                      <m:sup>
                                        <m: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num>
                                  <m:den>
                                    <m: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den>
                                </m:f>
                              </m:e>
                            </m:d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Δ</m:t>
                            </m:r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𝜎𝜀</m:t>
                            </m:r>
                            <m:rad>
                              <m:radPr>
                                <m:degHide m:val="on"/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n-US" sz="1100" b="0" i="0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Δ</m:t>
                                </m:r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</m:rad>
                          </m:e>
                        </m:d>
                      </m:e>
                    </m:func>
                  </m:oMath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𝐶𝑎𝑙𝑙</m:t>
                        </m:r>
                      </m:e>
                      <m:sub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m:rPr>
                        <m:aln/>
                      </m:rPr>
                      <a:rPr lang="en-US" sz="12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sSub>
                      <m:sSubPr>
                        <m:ctrlP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l-GR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𝛥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call</m:t>
                        </m:r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2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12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sSup>
                      <m:sSupPr>
                        <m:ctrlP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𝑟𝑡</m:t>
                        </m:r>
                      </m:sup>
                    </m:sSup>
                    <m:r>
                      <a:rPr lang="en-US" sz="12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𝑁</m:t>
                    </m:r>
                    <m:d>
                      <m:dPr>
                        <m:ctrlP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2,</m:t>
                            </m:r>
                            <m: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d>
                  </m:oMath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l-GR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𝛥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call</m:t>
                        </m:r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m:rPr>
                        <m:aln/>
                      </m:rPr>
                      <a:rPr lang="en-US" sz="12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𝑞𝑡</m:t>
                        </m:r>
                      </m:sup>
                    </m:sSup>
                    <m:r>
                      <a:rPr lang="en-US" sz="12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𝑁</m:t>
                    </m:r>
                    <m:d>
                      <m:dPr>
                        <m:ctrlP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1,</m:t>
                            </m:r>
                            <m: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en-US" sz="12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2,</m:t>
                        </m:r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m:rPr>
                        <m:aln/>
                      </m:rPr>
                      <a:rPr lang="en-US" sz="12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𝑙𝑛</m:t>
                            </m:r>
                          </m:fName>
                          <m:e>
                            <m:d>
                              <m:dPr>
                                <m:ctrlPr>
                                  <a:rPr lang="en-US" sz="12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type m:val="lin"/>
                                    <m:ctrlPr>
                                      <a:rPr lang="en-US" sz="12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2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2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𝑆</m:t>
                                        </m:r>
                                      </m:e>
                                      <m:sub>
                                        <m:r>
                                          <a:rPr lang="en-US" sz="12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𝑡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US" sz="12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d>
                          <m:dPr>
                            <m:ctrlP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  <m: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  <m: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type m:val="lin"/>
                                <m:ctrlPr>
                                  <a:rPr lang="en-US" sz="12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US" sz="12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2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𝜎</m:t>
                                    </m:r>
                                  </m:e>
                                  <m:sup>
                                    <m:r>
                                      <a:rPr lang="en-US" sz="12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n-US" sz="12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num>
                      <m:den>
                        <m:r>
                          <a:rPr lang="en-US" sz="12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  <m:rad>
                          <m:radPr>
                            <m:degHide m:val="on"/>
                            <m:ctrlP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en-US" sz="12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12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 </a:t>
              </a:r>
              <a:r>
                <a:rPr lang="en-US" sz="1200" i="1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t</a:t>
              </a:r>
              <a:r>
                <a:rPr lang="en-US" sz="1200" baseline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is time to maturity</a:t>
              </a:r>
              <a:r>
                <a:rPr lang="en-US" sz="12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.</a:t>
              </a:r>
              <a:endParaRPr lang="en-US" sz="12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4428F19-90CC-40C3-98E1-7C308DCFD287}"/>
                </a:ext>
              </a:extLst>
            </xdr:cNvPr>
            <xdr:cNvSpPr txBox="1"/>
          </xdr:nvSpPr>
          <xdr:spPr>
            <a:xfrm>
              <a:off x="3688411" y="529756"/>
              <a:ext cx="2977866" cy="1384931"/>
            </a:xfrm>
            <a:prstGeom prst="rect">
              <a:avLst/>
            </a:prstGeom>
            <a:ln w="12700"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𝑆_(𝑡−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en-US" sz="12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𝑡)&amp;=𝑆_𝑡</a:t>
              </a:r>
              <a:r>
                <a:rPr lang="en-US" sz="12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exp⁡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𝑟−𝑞−𝜎^2∕2)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𝑡+𝜎𝜀√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𝑡)</a:t>
              </a:r>
              <a:br>
                <a:rPr lang="en-US" sz="1100" i="1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n-US" sz="12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〖𝐶𝑎𝑙𝑙〗_𝑡&amp;=𝑆_𝑡 </a:t>
              </a:r>
              <a:r>
                <a:rPr lang="el-GR" sz="12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𝛥</a:t>
              </a:r>
              <a:r>
                <a:rPr lang="en-US" sz="12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2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"call</a:t>
              </a:r>
              <a:r>
                <a:rPr lang="en-US" sz="12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,𝑡)−𝐾𝑒^(−𝑟𝑡) 𝑁(𝑑_(2,𝑡) )</a:t>
              </a:r>
              <a:br>
                <a:rPr lang="en-US" sz="1200" i="1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l-GR" sz="12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𝛥</a:t>
              </a:r>
              <a:r>
                <a:rPr lang="en-US" sz="12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2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"call</a:t>
              </a:r>
              <a:r>
                <a:rPr lang="en-US" sz="12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,𝑡)&amp;=𝑒^(−𝑞𝑡) 𝑁(𝑑_(1,𝑡) )  </a:t>
              </a:r>
              <a:br>
                <a:rPr lang="en-US" sz="1200" i="1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n-US" sz="12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𝑑_(2,𝑡)&amp;=(𝑙𝑛⁡(</a:t>
              </a:r>
              <a:r>
                <a:rPr lang="en-US" sz="12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𝑆_𝑡∕</a:t>
              </a:r>
              <a:r>
                <a:rPr lang="en-US" sz="12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𝐾)+(𝑟−𝑞−𝜎^2∕2)𝑡)/(𝜎√𝑡)</a:t>
              </a:r>
              <a:endParaRPr lang="en-US" sz="12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 </a:t>
              </a:r>
              <a:r>
                <a:rPr lang="en-US" sz="1200" i="1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t</a:t>
              </a:r>
              <a:r>
                <a:rPr lang="en-US" sz="1200" baseline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is time to maturity</a:t>
              </a:r>
              <a:r>
                <a:rPr lang="en-US" sz="12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.</a:t>
              </a:r>
              <a:endParaRPr lang="en-US" sz="12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twoCellAnchor editAs="oneCell">
    <xdr:from>
      <xdr:col>9</xdr:col>
      <xdr:colOff>1028700</xdr:colOff>
      <xdr:row>32</xdr:row>
      <xdr:rowOff>295274</xdr:rowOff>
    </xdr:from>
    <xdr:to>
      <xdr:col>12</xdr:col>
      <xdr:colOff>310101</xdr:colOff>
      <xdr:row>39</xdr:row>
      <xdr:rowOff>147914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EA649CE-AD1F-16AB-D78D-22E164762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29862" y="6672220"/>
          <a:ext cx="2366507" cy="137929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53</xdr:row>
      <xdr:rowOff>0</xdr:rowOff>
    </xdr:from>
    <xdr:to>
      <xdr:col>8</xdr:col>
      <xdr:colOff>237631</xdr:colOff>
      <xdr:row>66</xdr:row>
      <xdr:rowOff>161595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7BA5F9C-B061-FC72-32C9-A296A8BD9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0553700"/>
          <a:ext cx="3952381" cy="263809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47625</xdr:rowOff>
    </xdr:from>
    <xdr:to>
      <xdr:col>8</xdr:col>
      <xdr:colOff>3264</xdr:colOff>
      <xdr:row>52</xdr:row>
      <xdr:rowOff>9292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8071CE2-083E-9C19-D775-EFDC3A2C2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8505825"/>
          <a:ext cx="3704762" cy="186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www.wsj.com/market-data/stocks/peyield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1"/>
  <sheetViews>
    <sheetView zoomScaleNormal="100" workbookViewId="0">
      <selection activeCell="H10" sqref="H10"/>
    </sheetView>
  </sheetViews>
  <sheetFormatPr defaultColWidth="8.6640625" defaultRowHeight="15.6"/>
  <cols>
    <col min="1" max="3" width="8.6640625" style="5"/>
    <col min="4" max="4" width="11.33203125" style="5" customWidth="1"/>
    <col min="5" max="5" width="11.109375" style="5" bestFit="1" customWidth="1"/>
    <col min="6" max="14" width="8.6640625" style="5"/>
    <col min="15" max="16" width="11.109375" style="5" bestFit="1" customWidth="1"/>
    <col min="17" max="16384" width="8.6640625" style="5"/>
  </cols>
  <sheetData>
    <row r="1" spans="1:21" ht="21">
      <c r="A1" s="1" t="s">
        <v>83</v>
      </c>
      <c r="B1" s="2"/>
      <c r="C1" s="2"/>
      <c r="D1" s="3"/>
      <c r="E1" s="4"/>
      <c r="F1" s="4"/>
      <c r="G1" s="4"/>
    </row>
    <row r="2" spans="1:21">
      <c r="A2" s="71" t="s">
        <v>26</v>
      </c>
      <c r="B2" s="9"/>
      <c r="C2" s="9"/>
      <c r="D2" s="10"/>
      <c r="E2" s="10"/>
      <c r="F2" s="10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</row>
    <row r="3" spans="1:21">
      <c r="A3" s="10"/>
      <c r="B3" s="11"/>
      <c r="C3" s="11"/>
      <c r="D3" s="11"/>
      <c r="E3" s="11"/>
      <c r="F3" s="11"/>
      <c r="G3" s="11"/>
      <c r="H3" s="11"/>
      <c r="I3" s="1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1:21">
      <c r="A4" s="12" t="s">
        <v>17</v>
      </c>
      <c r="B4" s="10"/>
      <c r="C4" s="10"/>
      <c r="D4" s="10"/>
      <c r="E4" s="10"/>
      <c r="F4" s="11"/>
      <c r="G4" s="11"/>
      <c r="H4" s="10"/>
      <c r="I4" s="11"/>
      <c r="J4" s="11"/>
      <c r="K4" s="11"/>
      <c r="L4" s="33" t="s">
        <v>33</v>
      </c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11" t="s">
        <v>25</v>
      </c>
      <c r="B5" s="11"/>
      <c r="C5" s="11"/>
      <c r="D5" s="14">
        <v>43832</v>
      </c>
      <c r="E5" s="10"/>
      <c r="F5" s="11"/>
      <c r="G5" s="11"/>
      <c r="H5" s="10"/>
      <c r="I5" s="11"/>
      <c r="J5" s="11"/>
      <c r="K5" s="11"/>
      <c r="L5" s="11" t="s">
        <v>25</v>
      </c>
      <c r="M5" s="11"/>
      <c r="N5" s="11"/>
      <c r="O5" s="14">
        <v>43832</v>
      </c>
      <c r="P5" s="10"/>
      <c r="Q5" s="11"/>
      <c r="R5" s="11"/>
      <c r="S5" s="11"/>
      <c r="T5" s="11"/>
      <c r="U5" s="11"/>
    </row>
    <row r="6" spans="1:21">
      <c r="A6" s="11" t="s">
        <v>24</v>
      </c>
      <c r="B6" s="11"/>
      <c r="C6" s="11"/>
      <c r="D6" s="14">
        <v>44001</v>
      </c>
      <c r="E6" s="15"/>
      <c r="F6" s="11"/>
      <c r="G6" s="11"/>
      <c r="H6" s="10"/>
      <c r="I6" s="11"/>
      <c r="J6" s="11"/>
      <c r="K6" s="11"/>
      <c r="L6" s="11" t="s">
        <v>24</v>
      </c>
      <c r="M6" s="11"/>
      <c r="N6" s="11"/>
      <c r="O6" s="14">
        <v>44001</v>
      </c>
      <c r="P6" s="15"/>
      <c r="Q6" s="11"/>
      <c r="R6" s="11"/>
      <c r="S6" s="11"/>
      <c r="T6" s="11"/>
      <c r="U6" s="11"/>
    </row>
    <row r="7" spans="1:21">
      <c r="A7" s="10" t="s">
        <v>0</v>
      </c>
      <c r="B7" s="10"/>
      <c r="C7" s="10"/>
      <c r="D7" s="16">
        <v>100</v>
      </c>
      <c r="E7" s="15"/>
      <c r="F7" s="11"/>
      <c r="G7" s="11"/>
      <c r="H7" s="10"/>
      <c r="I7" s="11"/>
      <c r="J7" s="11"/>
      <c r="K7" s="11"/>
      <c r="L7" s="10" t="s">
        <v>0</v>
      </c>
      <c r="M7" s="10"/>
      <c r="N7" s="10"/>
      <c r="O7" s="16">
        <v>100</v>
      </c>
      <c r="P7" s="15"/>
      <c r="Q7" s="11"/>
      <c r="R7" s="11"/>
      <c r="S7" s="11"/>
      <c r="T7" s="11"/>
      <c r="U7" s="11"/>
    </row>
    <row r="8" spans="1:21">
      <c r="A8" s="10" t="s">
        <v>7</v>
      </c>
      <c r="B8" s="10"/>
      <c r="C8" s="10"/>
      <c r="D8" s="17">
        <v>80</v>
      </c>
      <c r="E8" s="10"/>
      <c r="F8" s="11"/>
      <c r="G8" s="11"/>
      <c r="H8" s="10"/>
      <c r="I8" s="11"/>
      <c r="J8" s="11"/>
      <c r="K8" s="11"/>
      <c r="L8" s="10" t="s">
        <v>7</v>
      </c>
      <c r="M8" s="10"/>
      <c r="N8" s="10"/>
      <c r="O8" s="17">
        <v>80</v>
      </c>
      <c r="P8" s="10"/>
      <c r="Q8" s="11"/>
      <c r="R8" s="11"/>
      <c r="S8" s="11"/>
      <c r="T8" s="11"/>
      <c r="U8" s="11"/>
    </row>
    <row r="9" spans="1:21">
      <c r="A9" s="10" t="s">
        <v>87</v>
      </c>
      <c r="B9" s="10"/>
      <c r="C9" s="10"/>
      <c r="D9" s="18">
        <f>(D6-D5)/365</f>
        <v>0.46301369863013697</v>
      </c>
      <c r="E9" s="19" t="str" cm="1">
        <f t="array" aca="1" ref="E9" ca="1">getformula(D9)</f>
        <v>&lt;--  =(D6-D5)/365</v>
      </c>
      <c r="F9" s="11"/>
      <c r="G9" s="11"/>
      <c r="H9" s="10"/>
      <c r="I9" s="11"/>
      <c r="J9" s="11"/>
      <c r="K9" s="11"/>
      <c r="L9" s="10" t="s">
        <v>84</v>
      </c>
      <c r="M9" s="10"/>
      <c r="N9" s="10"/>
      <c r="O9" s="61">
        <f>O6-O5</f>
        <v>169</v>
      </c>
      <c r="P9" s="19" t="str" cm="1">
        <f t="array" aca="1" ref="P9" ca="1">getformula(O9)</f>
        <v>&lt;--  =O6-O5</v>
      </c>
      <c r="Q9" s="11"/>
      <c r="R9" s="11"/>
      <c r="S9" s="11"/>
      <c r="T9" s="11"/>
      <c r="U9" s="11"/>
    </row>
    <row r="10" spans="1:21">
      <c r="A10" s="10" t="s">
        <v>88</v>
      </c>
      <c r="B10" s="10"/>
      <c r="C10" s="10"/>
      <c r="D10" s="20">
        <v>0.03</v>
      </c>
      <c r="E10" s="10"/>
      <c r="F10" s="10"/>
      <c r="G10" s="11"/>
      <c r="H10" s="11"/>
      <c r="I10" s="11"/>
      <c r="J10" s="11"/>
      <c r="K10" s="11"/>
      <c r="L10" s="10" t="s">
        <v>85</v>
      </c>
      <c r="M10" s="10"/>
      <c r="N10" s="10"/>
      <c r="O10" s="62">
        <f>3% /365</f>
        <v>8.219178082191781E-5</v>
      </c>
      <c r="P10" s="19" t="str" cm="1">
        <f t="array" aca="1" ref="P10" ca="1">getformula(O10)</f>
        <v>&lt;--  =3% /365</v>
      </c>
      <c r="Q10" s="11"/>
      <c r="R10" s="11"/>
      <c r="S10" s="11"/>
      <c r="T10" s="11"/>
      <c r="U10" s="11"/>
    </row>
    <row r="11" spans="1:21">
      <c r="A11" s="10" t="s">
        <v>89</v>
      </c>
      <c r="B11" s="10"/>
      <c r="C11" s="10"/>
      <c r="D11" s="21">
        <v>0.25</v>
      </c>
      <c r="E11" s="10"/>
      <c r="F11" s="10"/>
      <c r="G11" s="11"/>
      <c r="H11" s="11"/>
      <c r="I11" s="11"/>
      <c r="J11" s="11"/>
      <c r="K11" s="11"/>
      <c r="L11" s="10" t="s">
        <v>86</v>
      </c>
      <c r="M11" s="10"/>
      <c r="N11" s="10"/>
      <c r="O11" s="63">
        <f>25%/SQRT(365)</f>
        <v>1.3085598064755344E-2</v>
      </c>
      <c r="P11" s="19" t="str" cm="1">
        <f t="array" aca="1" ref="P11" ca="1">getformula(O11)</f>
        <v>&lt;--  =25%/SQRT(365)</v>
      </c>
      <c r="Q11" s="11"/>
      <c r="R11" s="11"/>
      <c r="S11" s="11"/>
      <c r="T11" s="11"/>
      <c r="U11" s="11"/>
    </row>
    <row r="12" spans="1:21">
      <c r="A12" s="11"/>
      <c r="B12" s="11"/>
      <c r="C12" s="11"/>
      <c r="D12" s="11"/>
      <c r="E12" s="11"/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9"/>
      <c r="Q12" s="11"/>
      <c r="R12" s="11"/>
      <c r="S12" s="11"/>
      <c r="T12" s="11"/>
      <c r="U12" s="11"/>
    </row>
    <row r="13" spans="1:21">
      <c r="A13" s="12" t="s">
        <v>90</v>
      </c>
      <c r="B13" s="10"/>
      <c r="C13" s="10"/>
      <c r="D13" s="10"/>
      <c r="E13" s="10"/>
      <c r="F13" s="10"/>
      <c r="G13" s="11"/>
      <c r="H13" s="11"/>
      <c r="I13" s="11"/>
      <c r="J13" s="11"/>
      <c r="K13" s="11"/>
      <c r="L13" s="12" t="s">
        <v>10</v>
      </c>
      <c r="M13" s="10"/>
      <c r="N13" s="10"/>
      <c r="O13" s="10"/>
      <c r="P13" s="19"/>
      <c r="Q13" s="11"/>
      <c r="R13" s="11"/>
      <c r="S13" s="11"/>
      <c r="T13" s="11"/>
      <c r="U13" s="11"/>
    </row>
    <row r="14" spans="1:21">
      <c r="A14" s="10" t="s">
        <v>11</v>
      </c>
      <c r="B14" s="10"/>
      <c r="C14" s="10"/>
      <c r="D14" s="64">
        <f>(LN(S/K)+(rr+v^2/2)*T)/(v*SQRT(T))</f>
        <v>1.47844946147735</v>
      </c>
      <c r="E14" s="19" t="str" cm="1">
        <f t="array" aca="1" ref="E14" ca="1">getformula(D14)</f>
        <v>&lt;--  =(LN(S/K)+(rr+v^2/2)*T)/(v*SQRT(T))</v>
      </c>
      <c r="F14" s="10"/>
      <c r="G14" s="11"/>
      <c r="H14" s="11"/>
      <c r="I14" s="11"/>
      <c r="J14" s="11"/>
      <c r="K14" s="11"/>
      <c r="L14" s="10" t="s">
        <v>11</v>
      </c>
      <c r="M14" s="10"/>
      <c r="N14" s="10"/>
      <c r="O14" s="64">
        <f>(LN(O7/O8)+(O10+O11^2/2)*O9)/(O11*SQRT(O9))</f>
        <v>1.4784494614773496</v>
      </c>
      <c r="P14" s="19" t="str" cm="1">
        <f t="array" aca="1" ref="P14" ca="1">getformula(O14)</f>
        <v>&lt;--  =(LN(O7/O8)+(O10+O11^2/2)*O9)/(O11*SQRT(O9))</v>
      </c>
      <c r="Q14" s="11"/>
      <c r="R14" s="11"/>
      <c r="S14" s="11"/>
      <c r="T14" s="11"/>
      <c r="U14" s="11"/>
    </row>
    <row r="15" spans="1:21">
      <c r="A15" s="10" t="s">
        <v>12</v>
      </c>
      <c r="B15" s="10"/>
      <c r="C15" s="10"/>
      <c r="D15" s="65">
        <f>dOne-v*SQRT(T)</f>
        <v>1.3083366866355306</v>
      </c>
      <c r="E15" s="19" t="str" cm="1">
        <f t="array" aca="1" ref="E15" ca="1">getformula(D15)</f>
        <v>&lt;--  =dOne-v*SQRT(T)</v>
      </c>
      <c r="F15" s="10"/>
      <c r="G15" s="11"/>
      <c r="H15" s="11"/>
      <c r="I15" s="11"/>
      <c r="J15" s="11"/>
      <c r="K15" s="11"/>
      <c r="L15" s="10" t="s">
        <v>12</v>
      </c>
      <c r="M15" s="10"/>
      <c r="N15" s="10"/>
      <c r="O15" s="65">
        <f>O14-O11*SQRT(O9)</f>
        <v>1.3083366866355302</v>
      </c>
      <c r="P15" s="19" t="str" cm="1">
        <f t="array" aca="1" ref="P15" ca="1">getformula(O15)</f>
        <v>&lt;--  =O14-O11*SQRT(O9)</v>
      </c>
      <c r="Q15" s="11"/>
      <c r="R15" s="11"/>
      <c r="S15" s="11"/>
      <c r="T15" s="11"/>
      <c r="U15" s="11"/>
    </row>
    <row r="16" spans="1:21">
      <c r="A16" s="10" t="s">
        <v>13</v>
      </c>
      <c r="B16" s="10"/>
      <c r="C16" s="10"/>
      <c r="D16" s="66">
        <f>K*EXP(-rr*T)</f>
        <v>78.896449253502198</v>
      </c>
      <c r="E16" s="19" t="str" cm="1">
        <f t="array" aca="1" ref="E16" ca="1">getformula(D16)</f>
        <v>&lt;--  =K*EXP(-rr*T)</v>
      </c>
      <c r="F16" s="10"/>
      <c r="G16" s="11"/>
      <c r="H16" s="11"/>
      <c r="I16" s="11"/>
      <c r="J16" s="11"/>
      <c r="K16" s="11"/>
      <c r="L16" s="10" t="s">
        <v>13</v>
      </c>
      <c r="M16" s="10"/>
      <c r="N16" s="10"/>
      <c r="O16" s="66">
        <f>O8*EXP(-O10*O9)</f>
        <v>78.896449253502198</v>
      </c>
      <c r="P16" s="19" t="str" cm="1">
        <f t="array" aca="1" ref="P16" ca="1">getformula(O16)</f>
        <v>&lt;--  =O8*EXP(-O10*O9)</v>
      </c>
      <c r="Q16" s="11"/>
      <c r="R16" s="11"/>
      <c r="S16" s="11"/>
      <c r="T16" s="11"/>
      <c r="U16" s="11"/>
    </row>
    <row r="17" spans="1:21">
      <c r="A17" s="10"/>
      <c r="B17" s="10"/>
      <c r="C17" s="10"/>
      <c r="D17" s="37"/>
      <c r="E17" s="19"/>
      <c r="F17" s="10"/>
      <c r="G17" s="11"/>
      <c r="H17" s="11"/>
      <c r="I17" s="11"/>
      <c r="J17" s="11"/>
      <c r="K17" s="11"/>
      <c r="L17" s="10"/>
      <c r="M17" s="10"/>
      <c r="N17" s="10"/>
      <c r="O17" s="37"/>
      <c r="P17" s="19"/>
      <c r="Q17" s="11"/>
      <c r="R17" s="11"/>
      <c r="S17" s="11"/>
      <c r="T17" s="11"/>
      <c r="U17" s="11"/>
    </row>
    <row r="18" spans="1:21">
      <c r="A18" s="10" t="s">
        <v>14</v>
      </c>
      <c r="B18" s="10"/>
      <c r="C18" s="10"/>
      <c r="D18" s="67">
        <f>S*NORMSDIST(dOne)-D16*NORMSDIST(dTwo)</f>
        <v>21.664284289883867</v>
      </c>
      <c r="E18" s="19" t="str" cm="1">
        <f t="array" aca="1" ref="E18" ca="1">getformula(D18)</f>
        <v>&lt;--  =S*NORMSDIST(dOne)-D16*NORMSDIST(dTwo)</v>
      </c>
      <c r="F18" s="10"/>
      <c r="G18" s="11"/>
      <c r="H18" s="11"/>
      <c r="I18" s="11"/>
      <c r="J18" s="11"/>
      <c r="K18" s="11"/>
      <c r="L18" s="10" t="s">
        <v>14</v>
      </c>
      <c r="M18" s="10"/>
      <c r="N18" s="10"/>
      <c r="O18" s="67">
        <f>O7*NORMSDIST(O14)-O16*NORMSDIST(O15)</f>
        <v>21.664284289883867</v>
      </c>
      <c r="P18" s="19" t="str" cm="1">
        <f t="array" aca="1" ref="P18" ca="1">getformula(O18)</f>
        <v>&lt;--  =O7*NORMSDIST(O14)-O16*NORMSDIST(O15)</v>
      </c>
      <c r="Q18" s="11"/>
      <c r="R18" s="11"/>
      <c r="S18" s="11"/>
      <c r="T18" s="11"/>
      <c r="U18" s="11"/>
    </row>
    <row r="19" spans="1:21">
      <c r="A19" s="10" t="s">
        <v>15</v>
      </c>
      <c r="B19" s="10"/>
      <c r="C19" s="10"/>
      <c r="D19" s="68">
        <f>D16*NORMSDIST(-dTwo)-S*NORMSDIST(-dOne)</f>
        <v>0.56073354338606052</v>
      </c>
      <c r="E19" s="19" t="str" cm="1">
        <f t="array" aca="1" ref="E19" ca="1">getformula(D19)</f>
        <v>&lt;--  =D16*NORMSDIST(-dTwo)-S*NORMSDIST(-dOne)</v>
      </c>
      <c r="F19" s="10"/>
      <c r="G19" s="11"/>
      <c r="H19" s="11"/>
      <c r="I19" s="11"/>
      <c r="J19" s="11"/>
      <c r="K19" s="11"/>
      <c r="L19" s="10" t="s">
        <v>15</v>
      </c>
      <c r="M19" s="10"/>
      <c r="N19" s="10"/>
      <c r="O19" s="68">
        <f>O16*NORMSDIST(-O15)-O7*NORMSDIST(-O14)</f>
        <v>0.56073354338606229</v>
      </c>
      <c r="P19" s="19" t="str" cm="1">
        <f t="array" aca="1" ref="P19" ca="1">getformula(O19)</f>
        <v>&lt;--  =O16*NORMSDIST(-O15)-O7*NORMSDIST(-O14)</v>
      </c>
      <c r="Q19" s="11"/>
      <c r="R19" s="11"/>
      <c r="S19" s="11"/>
      <c r="T19" s="11"/>
      <c r="U19" s="11"/>
    </row>
    <row r="20" spans="1:21">
      <c r="A20" s="34" t="s">
        <v>16</v>
      </c>
      <c r="B20" s="34"/>
      <c r="C20" s="34"/>
      <c r="D20" s="69">
        <f>D18-S+D16</f>
        <v>0.56073354338606407</v>
      </c>
      <c r="E20" s="19" t="s">
        <v>34</v>
      </c>
      <c r="F20" s="10"/>
      <c r="G20" s="11"/>
      <c r="H20" s="11"/>
      <c r="I20" s="11"/>
      <c r="J20" s="11"/>
      <c r="K20" s="11"/>
      <c r="L20" s="34" t="s">
        <v>16</v>
      </c>
      <c r="M20" s="34"/>
      <c r="N20" s="34"/>
      <c r="O20" s="69">
        <f>O18-O7+O16</f>
        <v>0.56073354338606407</v>
      </c>
      <c r="P20" s="19" t="str" cm="1">
        <f t="array" aca="1" ref="P20" ca="1">getformula(O20)</f>
        <v>&lt;--  =O18-O7+O16</v>
      </c>
      <c r="Q20" s="11"/>
      <c r="R20" s="11"/>
      <c r="S20" s="11"/>
      <c r="T20" s="11"/>
      <c r="U20" s="11"/>
    </row>
    <row r="21" spans="1:21">
      <c r="A21" s="10"/>
      <c r="B21" s="10"/>
      <c r="C21" s="10"/>
      <c r="D21" s="26"/>
      <c r="E21" s="19" t="s">
        <v>35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</row>
    <row r="22" spans="1:21">
      <c r="A22" s="13"/>
      <c r="B22" s="10"/>
      <c r="C22" s="10"/>
      <c r="D22" s="70"/>
      <c r="E22" s="10"/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</row>
    <row r="23" spans="1:21">
      <c r="A23" s="12" t="s">
        <v>91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</row>
    <row r="24" spans="1:21">
      <c r="A24" s="11" t="s">
        <v>93</v>
      </c>
      <c r="B24" s="11"/>
      <c r="C24" s="11"/>
      <c r="D24" s="27" cm="1">
        <f t="array" ref="D24">BS("c", S,K,T,rr,0,v)</f>
        <v>21.664284289883874</v>
      </c>
      <c r="E24" s="19" t="str">
        <f t="shared" ref="E24:E25" ca="1" si="0">getformula(D24)</f>
        <v>&lt;--  =BS("c", S,K,T,rr,0,v)</v>
      </c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1">
      <c r="A25" s="11" t="s">
        <v>94</v>
      </c>
      <c r="B25" s="11"/>
      <c r="C25" s="11"/>
      <c r="D25" s="27" cm="1">
        <f t="array" ref="D25">BS("p", S,K,T,rr,0,v)</f>
        <v>0.56073354338605963</v>
      </c>
      <c r="E25" s="19" t="str">
        <f t="shared" ca="1" si="0"/>
        <v>&lt;--  =BS("p", S,K,T,rr,0,v)</v>
      </c>
      <c r="F25" s="10"/>
      <c r="G25" s="10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</row>
    <row r="26" spans="1:21">
      <c r="A26" s="28" t="s">
        <v>95</v>
      </c>
      <c r="B26" s="11"/>
      <c r="C26" s="11"/>
      <c r="D26" s="11"/>
      <c r="E26" s="11"/>
      <c r="F26" s="10"/>
      <c r="G26" s="10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</row>
    <row r="27" spans="1:21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</row>
    <row r="28" spans="1:21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</row>
    <row r="29" spans="1:21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</row>
    <row r="30" spans="1:21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</row>
    <row r="31" spans="1:21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</row>
  </sheetData>
  <phoneticPr fontId="2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19"/>
  <sheetViews>
    <sheetView workbookViewId="0">
      <selection activeCell="D11" sqref="D11"/>
    </sheetView>
  </sheetViews>
  <sheetFormatPr defaultColWidth="8.6640625" defaultRowHeight="15.6"/>
  <cols>
    <col min="1" max="2" width="8.6640625" style="5"/>
    <col min="3" max="3" width="12.109375" style="5" customWidth="1"/>
    <col min="4" max="4" width="11" style="5" customWidth="1"/>
    <col min="5" max="16384" width="8.6640625" style="5"/>
  </cols>
  <sheetData>
    <row r="1" spans="1:10" ht="21">
      <c r="A1" s="1" t="s">
        <v>56</v>
      </c>
      <c r="B1" s="6"/>
      <c r="C1" s="4"/>
      <c r="D1" s="4"/>
      <c r="E1" s="4"/>
      <c r="F1" s="4"/>
    </row>
    <row r="2" spans="1:10" s="11" customFormat="1" ht="14.4">
      <c r="A2" s="71" t="s">
        <v>97</v>
      </c>
      <c r="B2" s="9"/>
      <c r="C2" s="10"/>
      <c r="D2" s="10"/>
      <c r="E2" s="10"/>
      <c r="F2" s="10"/>
    </row>
    <row r="3" spans="1:10" s="11" customFormat="1" ht="14.4">
      <c r="A3" s="12" t="s">
        <v>17</v>
      </c>
      <c r="B3" s="9"/>
      <c r="C3" s="10"/>
      <c r="D3" s="10"/>
      <c r="E3" s="10"/>
      <c r="G3" s="13" t="s">
        <v>92</v>
      </c>
    </row>
    <row r="4" spans="1:10" s="11" customFormat="1" ht="14.4">
      <c r="A4" s="11" t="s">
        <v>25</v>
      </c>
      <c r="D4" s="14">
        <v>43832</v>
      </c>
      <c r="E4" s="10"/>
      <c r="F4" s="10"/>
    </row>
    <row r="5" spans="1:10" s="11" customFormat="1" ht="14.4">
      <c r="A5" s="11" t="s">
        <v>24</v>
      </c>
      <c r="D5" s="14">
        <v>44001</v>
      </c>
      <c r="E5" s="10"/>
      <c r="F5" s="10"/>
    </row>
    <row r="6" spans="1:10" s="11" customFormat="1" ht="14.4">
      <c r="A6" s="10" t="s">
        <v>0</v>
      </c>
      <c r="B6" s="10"/>
      <c r="C6" s="10"/>
      <c r="D6" s="30">
        <v>100</v>
      </c>
      <c r="E6" s="15"/>
      <c r="F6" s="10"/>
    </row>
    <row r="7" spans="1:10" s="11" customFormat="1" ht="14.4">
      <c r="A7" s="10" t="s">
        <v>7</v>
      </c>
      <c r="B7" s="10"/>
      <c r="C7" s="10"/>
      <c r="D7" s="31">
        <v>80</v>
      </c>
      <c r="E7" s="15"/>
      <c r="F7" s="10"/>
    </row>
    <row r="8" spans="1:10" s="11" customFormat="1" ht="14.4">
      <c r="A8" s="10" t="s">
        <v>1</v>
      </c>
      <c r="B8" s="10"/>
      <c r="C8" s="10"/>
      <c r="D8" s="18">
        <f>(D5-D4)/365</f>
        <v>0.46301369863013697</v>
      </c>
      <c r="E8" s="19" t="str">
        <f ca="1">getformula(D8)</f>
        <v>&lt;--  =(D5-D4)/365</v>
      </c>
      <c r="F8" s="10"/>
    </row>
    <row r="9" spans="1:10" s="11" customFormat="1" ht="14.4">
      <c r="A9" s="10" t="s">
        <v>96</v>
      </c>
      <c r="B9" s="10"/>
      <c r="C9" s="10"/>
      <c r="D9" s="32">
        <v>0.03</v>
      </c>
      <c r="E9" s="10"/>
      <c r="F9" s="10"/>
    </row>
    <row r="10" spans="1:10" s="11" customFormat="1" ht="14.4">
      <c r="A10" s="79" t="s">
        <v>23</v>
      </c>
      <c r="B10" s="10"/>
      <c r="C10" s="10"/>
      <c r="D10" s="32">
        <v>0.05</v>
      </c>
      <c r="E10" s="10"/>
      <c r="F10" s="10"/>
    </row>
    <row r="11" spans="1:10" s="11" customFormat="1" ht="14.4">
      <c r="A11" s="10" t="s">
        <v>2</v>
      </c>
      <c r="B11" s="10"/>
      <c r="C11" s="10"/>
      <c r="D11" s="22">
        <v>0.25</v>
      </c>
      <c r="E11" s="10"/>
      <c r="F11" s="10"/>
    </row>
    <row r="12" spans="1:10" s="11" customFormat="1" ht="14.4">
      <c r="A12" s="10"/>
      <c r="B12" s="10"/>
      <c r="C12" s="10"/>
      <c r="D12" s="22"/>
      <c r="E12" s="10"/>
      <c r="F12" s="10"/>
    </row>
    <row r="13" spans="1:10" s="11" customFormat="1" ht="14.4">
      <c r="A13" s="12" t="s">
        <v>91</v>
      </c>
      <c r="F13" s="10"/>
      <c r="G13" s="10"/>
      <c r="H13" s="10"/>
      <c r="I13" s="10"/>
      <c r="J13" s="10"/>
    </row>
    <row r="14" spans="1:10" s="11" customFormat="1" ht="14.4">
      <c r="A14" s="11" t="s">
        <v>93</v>
      </c>
      <c r="D14" s="27" cm="1">
        <f t="array" ref="D14">BS("c", S,K,T,rr,q,v)</f>
        <v>19.55735723364068</v>
      </c>
      <c r="E14" s="19" t="str">
        <f t="shared" ref="E14:E15" ca="1" si="0">getformula(D14)</f>
        <v>&lt;--  =BS("c", S,K,T,rr,q,v)</v>
      </c>
    </row>
    <row r="15" spans="1:10" s="11" customFormat="1" ht="14.4">
      <c r="A15" s="11" t="s">
        <v>94</v>
      </c>
      <c r="D15" s="27" cm="1">
        <f t="array" ref="D15">BS("p", S,K,T,rr,q,v)</f>
        <v>0.74228287343046961</v>
      </c>
      <c r="E15" s="19" t="str">
        <f t="shared" ca="1" si="0"/>
        <v>&lt;--  =BS("p", S,K,T,rr,q,v)</v>
      </c>
    </row>
    <row r="16" spans="1:10" s="11" customFormat="1" ht="14.4"/>
    <row r="17" s="11" customFormat="1" ht="14.4"/>
    <row r="18" s="11" customFormat="1" ht="14.4"/>
    <row r="19" s="11" customFormat="1" ht="14.4"/>
  </sheetData>
  <phoneticPr fontId="28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1A417-1A75-2248-87FC-203D2EA29F84}">
  <sheetPr codeName="Sheet3"/>
  <dimension ref="A1:K22"/>
  <sheetViews>
    <sheetView workbookViewId="0">
      <selection activeCell="B20" sqref="B20"/>
    </sheetView>
  </sheetViews>
  <sheetFormatPr defaultColWidth="8.6640625" defaultRowHeight="15.6"/>
  <cols>
    <col min="1" max="1" width="23" style="5" customWidth="1"/>
    <col min="2" max="2" width="20.33203125" style="5" customWidth="1"/>
    <col min="3" max="3" width="16" style="5" customWidth="1"/>
    <col min="4" max="4" width="10.6640625" style="5" bestFit="1" customWidth="1"/>
    <col min="5" max="16384" width="8.6640625" style="5"/>
  </cols>
  <sheetData>
    <row r="1" spans="1:11" ht="21">
      <c r="A1" s="1" t="s">
        <v>55</v>
      </c>
      <c r="B1" s="6"/>
      <c r="C1" s="4"/>
      <c r="D1" s="4"/>
      <c r="E1" s="4"/>
      <c r="F1" s="4"/>
    </row>
    <row r="2" spans="1:11">
      <c r="A2" s="9"/>
      <c r="B2" s="9"/>
      <c r="C2" s="10"/>
      <c r="D2" s="10"/>
      <c r="E2" s="10"/>
      <c r="F2" s="10"/>
      <c r="G2" s="11"/>
      <c r="H2" s="11"/>
      <c r="I2" s="11"/>
      <c r="J2" s="11"/>
      <c r="K2" s="11"/>
    </row>
    <row r="3" spans="1:11">
      <c r="A3" s="12" t="s">
        <v>17</v>
      </c>
      <c r="B3" s="10"/>
      <c r="C3" s="10"/>
      <c r="D3" s="10"/>
      <c r="E3" s="10"/>
      <c r="F3" s="13"/>
      <c r="G3" s="11"/>
      <c r="H3" s="11"/>
      <c r="I3" s="11"/>
      <c r="J3" s="11"/>
      <c r="K3" s="11"/>
    </row>
    <row r="4" spans="1:11">
      <c r="A4" s="11" t="s">
        <v>25</v>
      </c>
      <c r="B4" s="11"/>
      <c r="C4" s="14">
        <v>43832</v>
      </c>
      <c r="D4" s="10"/>
      <c r="E4" s="11"/>
      <c r="F4" s="10"/>
      <c r="G4" s="11"/>
      <c r="H4" s="11"/>
      <c r="I4" s="11"/>
      <c r="J4" s="11"/>
      <c r="K4" s="11"/>
    </row>
    <row r="5" spans="1:11">
      <c r="A5" s="11" t="s">
        <v>24</v>
      </c>
      <c r="B5" s="11"/>
      <c r="C5" s="14">
        <v>44001</v>
      </c>
      <c r="D5" s="15"/>
      <c r="E5" s="11"/>
      <c r="F5" s="10"/>
      <c r="G5" s="11"/>
      <c r="H5" s="11"/>
      <c r="I5" s="11"/>
      <c r="J5" s="11"/>
      <c r="K5" s="11"/>
    </row>
    <row r="6" spans="1:11">
      <c r="A6" s="10" t="s">
        <v>0</v>
      </c>
      <c r="B6" s="10"/>
      <c r="C6" s="16">
        <v>100</v>
      </c>
      <c r="D6" s="15"/>
      <c r="E6" s="11"/>
      <c r="F6" s="10"/>
      <c r="G6" s="11"/>
      <c r="H6" s="11"/>
      <c r="I6" s="11"/>
      <c r="J6" s="11"/>
      <c r="K6" s="11"/>
    </row>
    <row r="7" spans="1:11">
      <c r="A7" s="10" t="s">
        <v>7</v>
      </c>
      <c r="B7" s="10"/>
      <c r="C7" s="17">
        <v>80</v>
      </c>
      <c r="D7" s="10"/>
      <c r="E7" s="11"/>
      <c r="F7" s="10"/>
      <c r="G7" s="11"/>
      <c r="H7" s="11"/>
      <c r="I7" s="11"/>
      <c r="J7" s="11"/>
      <c r="K7" s="11"/>
    </row>
    <row r="8" spans="1:11">
      <c r="A8" s="10" t="s">
        <v>8</v>
      </c>
      <c r="B8" s="10"/>
      <c r="C8" s="18">
        <f>(C5-C4)/365</f>
        <v>0.46301369863013697</v>
      </c>
      <c r="D8" s="19" t="str">
        <f ca="1">getformula(C8)</f>
        <v>&lt;--  =(C5-C4)/365</v>
      </c>
      <c r="E8" s="11"/>
      <c r="F8" s="10"/>
      <c r="G8" s="11"/>
      <c r="H8" s="11"/>
      <c r="I8" s="11"/>
      <c r="J8" s="11"/>
      <c r="K8" s="11"/>
    </row>
    <row r="9" spans="1:11">
      <c r="A9" s="10" t="s">
        <v>19</v>
      </c>
      <c r="B9" s="10"/>
      <c r="C9" s="20">
        <v>0.03</v>
      </c>
      <c r="D9" s="10"/>
      <c r="E9" s="11"/>
      <c r="F9" s="10"/>
      <c r="G9" s="11"/>
      <c r="H9" s="11"/>
      <c r="I9" s="11"/>
      <c r="J9" s="11"/>
      <c r="K9" s="11"/>
    </row>
    <row r="10" spans="1:11">
      <c r="A10" s="10" t="s">
        <v>18</v>
      </c>
      <c r="B10" s="10"/>
      <c r="C10" s="21">
        <v>0.25</v>
      </c>
      <c r="D10" s="10"/>
      <c r="E10" s="11"/>
      <c r="F10" s="10"/>
      <c r="G10" s="11"/>
      <c r="H10" s="11"/>
      <c r="I10" s="11"/>
      <c r="J10" s="11"/>
      <c r="K10" s="11"/>
    </row>
    <row r="11" spans="1:11">
      <c r="A11" s="10"/>
      <c r="B11" s="10"/>
      <c r="C11" s="10"/>
      <c r="D11" s="22"/>
      <c r="E11" s="10"/>
      <c r="F11" s="10"/>
      <c r="G11" s="11"/>
      <c r="H11" s="11"/>
      <c r="I11" s="11"/>
      <c r="J11" s="11"/>
      <c r="K11" s="11"/>
    </row>
    <row r="12" spans="1:11">
      <c r="A12" s="13" t="s">
        <v>30</v>
      </c>
      <c r="B12" s="10"/>
      <c r="C12" s="10"/>
      <c r="D12" s="22"/>
      <c r="E12" s="10"/>
      <c r="F12" s="10"/>
      <c r="G12" s="11"/>
      <c r="H12" s="11"/>
      <c r="I12" s="11"/>
      <c r="J12" s="11"/>
      <c r="K12" s="11"/>
    </row>
    <row r="13" spans="1:11">
      <c r="A13" s="23" t="s">
        <v>29</v>
      </c>
      <c r="B13" s="10" t="s">
        <v>27</v>
      </c>
      <c r="C13" s="10" t="s">
        <v>28</v>
      </c>
      <c r="D13" s="22"/>
      <c r="E13" s="10"/>
      <c r="F13" s="10"/>
      <c r="G13" s="11"/>
      <c r="H13" s="11"/>
      <c r="I13" s="11"/>
      <c r="J13" s="11"/>
      <c r="K13" s="11"/>
    </row>
    <row r="14" spans="1:11">
      <c r="A14" s="14">
        <v>43903</v>
      </c>
      <c r="B14" s="10">
        <v>0.6</v>
      </c>
      <c r="C14" s="24">
        <f>B14*EXP(-$C$9*(A14-$C$4)/365)</f>
        <v>0.59650882661885696</v>
      </c>
      <c r="D14" s="19" t="str">
        <f ca="1">getformula(C14)</f>
        <v>&lt;--  =B14*EXP(-$C$9*(A14-$C$4)/365)</v>
      </c>
      <c r="E14" s="10"/>
      <c r="F14" s="10"/>
      <c r="G14" s="11"/>
      <c r="H14" s="11"/>
      <c r="I14" s="11"/>
      <c r="J14" s="11"/>
      <c r="K14" s="11"/>
    </row>
    <row r="15" spans="1:11">
      <c r="A15" s="14">
        <v>43994</v>
      </c>
      <c r="B15" s="10">
        <v>0.6</v>
      </c>
      <c r="C15" s="24">
        <f>B15*EXP(-$C$9*(A15-$C$4)/365)</f>
        <v>0.5920639109382716</v>
      </c>
      <c r="D15" s="19" t="str">
        <f ca="1">getformula(C15)</f>
        <v>&lt;--  =B15*EXP(-$C$9*(A15-$C$4)/365)</v>
      </c>
      <c r="E15" s="10"/>
      <c r="F15" s="10"/>
      <c r="G15" s="11"/>
      <c r="H15" s="11"/>
      <c r="I15" s="11"/>
      <c r="J15" s="11"/>
      <c r="K15" s="11"/>
    </row>
    <row r="16" spans="1:11">
      <c r="A16" s="10" t="s">
        <v>31</v>
      </c>
      <c r="B16" s="10"/>
      <c r="C16" s="72">
        <f>C6-SUM(C14:C15)</f>
        <v>98.811427262442876</v>
      </c>
      <c r="D16" s="19" t="str">
        <f ca="1">getformula(C16)</f>
        <v>&lt;--  =C6-SUM(C14:C15)</v>
      </c>
      <c r="E16" s="10"/>
      <c r="F16" s="10"/>
      <c r="G16" s="11"/>
      <c r="H16" s="11"/>
      <c r="I16" s="11"/>
      <c r="J16" s="11"/>
      <c r="K16" s="11"/>
    </row>
    <row r="17" spans="1:11">
      <c r="A17" s="10"/>
      <c r="B17" s="10"/>
      <c r="C17" s="25"/>
      <c r="D17" s="19"/>
      <c r="E17" s="10"/>
      <c r="F17" s="10"/>
      <c r="G17" s="11"/>
      <c r="H17" s="11"/>
      <c r="I17" s="11"/>
      <c r="J17" s="11"/>
      <c r="K17" s="11"/>
    </row>
    <row r="18" spans="1:11">
      <c r="A18" s="12" t="s">
        <v>91</v>
      </c>
      <c r="B18" s="10"/>
      <c r="C18" s="10"/>
      <c r="D18" s="10"/>
      <c r="E18" s="10"/>
      <c r="F18" s="10"/>
      <c r="G18" s="11"/>
      <c r="H18" s="11"/>
      <c r="I18" s="11"/>
      <c r="J18" s="11"/>
      <c r="K18" s="11"/>
    </row>
    <row r="19" spans="1:11">
      <c r="A19" s="10" t="s">
        <v>20</v>
      </c>
      <c r="B19" s="11"/>
      <c r="C19" s="27" cm="1">
        <f t="array" ref="C19">BS("c", C16,C7,C8,C9,0,C10)</f>
        <v>20.564259274045085</v>
      </c>
      <c r="D19" s="19" t="str">
        <f ca="1">getformula(C19)</f>
        <v>&lt;--  =BS("c", C16,C7,C8,C9,0,C10)</v>
      </c>
      <c r="E19" s="11"/>
      <c r="F19" s="10"/>
      <c r="G19" s="10"/>
      <c r="H19" s="10"/>
      <c r="I19" s="10"/>
      <c r="J19" s="10"/>
      <c r="K19" s="11"/>
    </row>
    <row r="20" spans="1:11">
      <c r="A20" s="10" t="s">
        <v>21</v>
      </c>
      <c r="B20" s="11"/>
      <c r="C20" s="27" cm="1">
        <f t="array" ref="C20">BS("p", C16,C7,C8,C9,0,C10)</f>
        <v>0.64928126510439699</v>
      </c>
      <c r="D20" s="19" t="str">
        <f ca="1">getformula(C20)</f>
        <v>&lt;--  =BS("p", C16,C7,C8,C9,0,C10)</v>
      </c>
      <c r="E20" s="11"/>
      <c r="F20" s="11"/>
      <c r="G20" s="11"/>
      <c r="H20" s="11"/>
      <c r="I20" s="11"/>
      <c r="J20" s="11"/>
      <c r="K20" s="11"/>
    </row>
    <row r="21" spans="1:11">
      <c r="A21" s="28" t="s">
        <v>95</v>
      </c>
      <c r="B21" s="11"/>
      <c r="C21" s="11"/>
      <c r="D21" s="27"/>
      <c r="E21" s="11"/>
      <c r="F21" s="11"/>
      <c r="G21" s="11"/>
      <c r="H21" s="11"/>
      <c r="I21" s="11"/>
      <c r="J21" s="11"/>
      <c r="K21" s="11"/>
    </row>
    <row r="22" spans="1:11">
      <c r="D22" s="8"/>
    </row>
  </sheetData>
  <phoneticPr fontId="2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F97A3-E508-49EC-9F87-3F1E3F5022F5}">
  <sheetPr codeName="Sheet4"/>
  <dimension ref="A1:G21"/>
  <sheetViews>
    <sheetView workbookViewId="0">
      <selection activeCell="A3" sqref="A3"/>
    </sheetView>
  </sheetViews>
  <sheetFormatPr defaultColWidth="8.77734375" defaultRowHeight="14.4"/>
  <cols>
    <col min="1" max="1" width="28.109375" style="11" customWidth="1"/>
    <col min="2" max="2" width="12.33203125" style="11" bestFit="1" customWidth="1"/>
    <col min="3" max="3" width="11.109375" style="11" bestFit="1" customWidth="1"/>
    <col min="4" max="16384" width="8.77734375" style="11"/>
  </cols>
  <sheetData>
    <row r="1" spans="1:7" ht="21">
      <c r="A1" s="1" t="s">
        <v>51</v>
      </c>
      <c r="B1" s="10"/>
      <c r="C1" s="10"/>
      <c r="D1" s="10"/>
      <c r="E1" s="10"/>
      <c r="F1" s="10"/>
      <c r="G1" s="10"/>
    </row>
    <row r="3" spans="1:7">
      <c r="A3" s="12" t="s">
        <v>54</v>
      </c>
    </row>
    <row r="4" spans="1:7">
      <c r="A4" s="11" t="s">
        <v>52</v>
      </c>
      <c r="B4" s="11" t="s">
        <v>53</v>
      </c>
    </row>
    <row r="5" spans="1:7">
      <c r="A5" s="11" t="s">
        <v>4</v>
      </c>
      <c r="B5" s="29" t="s">
        <v>5</v>
      </c>
    </row>
    <row r="6" spans="1:7">
      <c r="A6" s="11" t="s">
        <v>25</v>
      </c>
      <c r="B6" s="14">
        <v>44201</v>
      </c>
    </row>
    <row r="7" spans="1:7">
      <c r="A7" s="11" t="s">
        <v>24</v>
      </c>
      <c r="B7" s="14">
        <v>44216</v>
      </c>
    </row>
    <row r="8" spans="1:7">
      <c r="A8" s="10" t="s">
        <v>0</v>
      </c>
      <c r="B8" s="39">
        <v>12802.38</v>
      </c>
    </row>
    <row r="9" spans="1:7">
      <c r="A9" s="10" t="s">
        <v>7</v>
      </c>
      <c r="B9" s="39">
        <v>12600</v>
      </c>
    </row>
    <row r="10" spans="1:7">
      <c r="A10" s="10" t="s">
        <v>1</v>
      </c>
      <c r="B10" s="35">
        <f>(B7-B6)/365</f>
        <v>4.1095890410958902E-2</v>
      </c>
      <c r="C10" s="36" t="str" cm="1">
        <f t="array" aca="1" ref="C10" ca="1">getformula(B10)</f>
        <v>&lt;--  =(B7-B6)/365</v>
      </c>
    </row>
    <row r="11" spans="1:7">
      <c r="A11" s="10" t="s">
        <v>22</v>
      </c>
      <c r="B11" s="37">
        <f>DTB4WK!B27/100</f>
        <v>8.9999999999999998E-4</v>
      </c>
      <c r="C11" s="36" t="str" cm="1">
        <f t="array" aca="1" ref="C11" ca="1">getformula(B11)</f>
        <v>&lt;--  =DTB4WK!B27/100</v>
      </c>
    </row>
    <row r="12" spans="1:7">
      <c r="A12" s="10" t="s">
        <v>23</v>
      </c>
      <c r="B12" s="37">
        <v>7.1999999999999998E-3</v>
      </c>
      <c r="C12" s="36" t="s">
        <v>57</v>
      </c>
    </row>
    <row r="13" spans="1:7">
      <c r="A13" s="10" t="s">
        <v>2</v>
      </c>
      <c r="B13" s="38">
        <f>_xlfn.STDEV.S('^NDX'!H3:H38)*SQRT(12)</f>
        <v>0.20498722969204725</v>
      </c>
      <c r="C13" s="36" t="str" cm="1">
        <f t="array" aca="1" ref="C13" ca="1">getformula(B13)</f>
        <v>&lt;--  =STDEV.S('^NDX'!H3:H38)*SQRT(12)</v>
      </c>
    </row>
    <row r="15" spans="1:7">
      <c r="A15" s="33" t="s">
        <v>32</v>
      </c>
    </row>
    <row r="16" spans="1:7">
      <c r="A16" s="11" t="s">
        <v>6</v>
      </c>
      <c r="B16" s="80" cm="1">
        <f t="array" ref="B16">BS("c",B8,B9,B10,B11,B12,B13)</f>
        <v>324.8406482293388</v>
      </c>
      <c r="C16" s="36" t="str" cm="1">
        <f t="array" aca="1" ref="C16" ca="1">getformula(B16)</f>
        <v>&lt;--  =BS("c",B8,B9,B10,B11,B12,B13)</v>
      </c>
    </row>
    <row r="17" spans="1:3">
      <c r="B17" s="40"/>
    </row>
    <row r="18" spans="1:3">
      <c r="A18" s="33" t="s">
        <v>47</v>
      </c>
    </row>
    <row r="19" spans="1:3">
      <c r="A19" s="11" t="s">
        <v>48</v>
      </c>
      <c r="B19" s="41">
        <v>370</v>
      </c>
    </row>
    <row r="20" spans="1:3">
      <c r="A20" s="11" t="s">
        <v>49</v>
      </c>
      <c r="B20" s="41">
        <v>382</v>
      </c>
    </row>
    <row r="21" spans="1:3">
      <c r="A21" s="11" t="s">
        <v>50</v>
      </c>
      <c r="B21" s="73">
        <f>(B19+B20)/2</f>
        <v>376</v>
      </c>
      <c r="C21" s="36" t="str" cm="1">
        <f t="array" aca="1" ref="C21" ca="1">getformula(B21)</f>
        <v>&lt;--  =(B19+B20)/2</v>
      </c>
    </row>
  </sheetData>
  <phoneticPr fontId="28" type="noConversion"/>
  <hyperlinks>
    <hyperlink ref="C12" r:id="rId1" xr:uid="{E37BA513-99B9-446F-BD04-E8D6ABE66459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570D8-0997-4E0A-8CC4-68EBF4F0AD1F}">
  <sheetPr codeName="Sheet5"/>
  <dimension ref="A1:H247"/>
  <sheetViews>
    <sheetView workbookViewId="0">
      <selection activeCell="H2" sqref="H2"/>
    </sheetView>
  </sheetViews>
  <sheetFormatPr defaultColWidth="8.77734375" defaultRowHeight="14.4"/>
  <cols>
    <col min="1" max="1" width="10.109375" style="83" bestFit="1" customWidth="1"/>
    <col min="2" max="6" width="10.77734375" style="83" bestFit="1" customWidth="1"/>
    <col min="7" max="7" width="12.77734375" style="83" bestFit="1" customWidth="1"/>
    <col min="8" max="8" width="10.5546875" style="42" bestFit="1" customWidth="1"/>
    <col min="9" max="16384" width="8.77734375" style="42"/>
  </cols>
  <sheetData>
    <row r="1" spans="1:8">
      <c r="A1" s="83" t="s">
        <v>40</v>
      </c>
      <c r="B1" s="83" t="s">
        <v>41</v>
      </c>
      <c r="C1" s="83" t="s">
        <v>42</v>
      </c>
      <c r="D1" s="83" t="s">
        <v>43</v>
      </c>
      <c r="E1" s="83" t="s">
        <v>44</v>
      </c>
      <c r="F1" s="83" t="s">
        <v>45</v>
      </c>
      <c r="G1" s="83" t="s">
        <v>46</v>
      </c>
      <c r="H1" s="43" t="s">
        <v>118</v>
      </c>
    </row>
    <row r="2" spans="1:8">
      <c r="A2" s="84">
        <v>43070</v>
      </c>
      <c r="B2" s="83">
        <v>6325.60986328125</v>
      </c>
      <c r="C2" s="83">
        <v>6522.7001953125</v>
      </c>
      <c r="D2" s="83">
        <v>6234.22021484375</v>
      </c>
      <c r="E2" s="83">
        <v>6396.419921875</v>
      </c>
      <c r="F2" s="83">
        <v>6396.419921875</v>
      </c>
      <c r="G2" s="83">
        <v>38755950000</v>
      </c>
      <c r="H2" s="45"/>
    </row>
    <row r="3" spans="1:8">
      <c r="A3" s="84">
        <v>43101</v>
      </c>
      <c r="B3" s="83">
        <v>6431.58984375</v>
      </c>
      <c r="C3" s="83">
        <v>7022.97021484375</v>
      </c>
      <c r="D3" s="83">
        <v>6417.75</v>
      </c>
      <c r="E3" s="83">
        <v>6949.990234375</v>
      </c>
      <c r="F3" s="83">
        <v>6949.990234375</v>
      </c>
      <c r="G3" s="83">
        <v>44694030000</v>
      </c>
      <c r="H3" s="45">
        <f t="shared" ref="H3:H38" si="0">LN(F3/F2)</f>
        <v>8.3001807806614356E-2</v>
      </c>
    </row>
    <row r="4" spans="1:8">
      <c r="A4" s="84">
        <v>43132</v>
      </c>
      <c r="B4" s="83">
        <v>6910.56982421875</v>
      </c>
      <c r="C4" s="83">
        <v>7003.1298828125</v>
      </c>
      <c r="D4" s="83">
        <v>6164.43017578125</v>
      </c>
      <c r="E4" s="83">
        <v>6854.419921875</v>
      </c>
      <c r="F4" s="83">
        <v>6854.419921875</v>
      </c>
      <c r="G4" s="83">
        <v>44063140000</v>
      </c>
      <c r="H4" s="45">
        <f t="shared" si="0"/>
        <v>-1.3846566186788128E-2</v>
      </c>
    </row>
    <row r="5" spans="1:8">
      <c r="A5" s="84">
        <v>43160</v>
      </c>
      <c r="B5" s="83">
        <v>6862.93994140625</v>
      </c>
      <c r="C5" s="83">
        <v>7186.08984375</v>
      </c>
      <c r="D5" s="83">
        <v>6410.0400390625</v>
      </c>
      <c r="E5" s="83">
        <v>6581.1298828125</v>
      </c>
      <c r="F5" s="83">
        <v>6581.1298828125</v>
      </c>
      <c r="G5" s="83">
        <v>48760550000</v>
      </c>
      <c r="H5" s="45">
        <f t="shared" si="0"/>
        <v>-4.0687242953938267E-2</v>
      </c>
    </row>
    <row r="6" spans="1:8">
      <c r="A6" s="84">
        <v>43191</v>
      </c>
      <c r="B6" s="83">
        <v>6528.22998046875</v>
      </c>
      <c r="C6" s="83">
        <v>6856.9599609375</v>
      </c>
      <c r="D6" s="83">
        <v>6322.60009765625</v>
      </c>
      <c r="E6" s="83">
        <v>6605.56982421875</v>
      </c>
      <c r="F6" s="83">
        <v>6605.56982421875</v>
      </c>
      <c r="G6" s="83">
        <v>43233040000</v>
      </c>
      <c r="H6" s="45">
        <f t="shared" si="0"/>
        <v>3.7067605895500255E-3</v>
      </c>
    </row>
    <row r="7" spans="1:8">
      <c r="A7" s="84">
        <v>43221</v>
      </c>
      <c r="B7" s="83">
        <v>6592.93017578125</v>
      </c>
      <c r="C7" s="83">
        <v>7016.419921875</v>
      </c>
      <c r="D7" s="83">
        <v>6539.8701171875</v>
      </c>
      <c r="E7" s="83">
        <v>6967.72998046875</v>
      </c>
      <c r="F7" s="83">
        <v>6967.72998046875</v>
      </c>
      <c r="G7" s="83">
        <v>45761130000</v>
      </c>
      <c r="H7" s="45">
        <f t="shared" si="0"/>
        <v>5.3376281532849887E-2</v>
      </c>
    </row>
    <row r="8" spans="1:8">
      <c r="A8" s="84">
        <v>43252</v>
      </c>
      <c r="B8" s="83">
        <v>7010.080078125</v>
      </c>
      <c r="C8" s="83">
        <v>7309.990234375</v>
      </c>
      <c r="D8" s="83">
        <v>6950.22998046875</v>
      </c>
      <c r="E8" s="83">
        <v>7040.7998046875</v>
      </c>
      <c r="F8" s="83">
        <v>7040.7998046875</v>
      </c>
      <c r="G8" s="83">
        <v>48573740000</v>
      </c>
      <c r="H8" s="45">
        <f t="shared" si="0"/>
        <v>1.0432284905876221E-2</v>
      </c>
    </row>
    <row r="9" spans="1:8">
      <c r="A9" s="84">
        <v>43282</v>
      </c>
      <c r="B9" s="83">
        <v>6979.5400390625</v>
      </c>
      <c r="C9" s="83">
        <v>7511.39013671875</v>
      </c>
      <c r="D9" s="83">
        <v>6969.16015625</v>
      </c>
      <c r="E9" s="83">
        <v>7231.97998046875</v>
      </c>
      <c r="F9" s="83">
        <v>7231.97998046875</v>
      </c>
      <c r="G9" s="83">
        <v>38964090000</v>
      </c>
      <c r="H9" s="45">
        <f t="shared" si="0"/>
        <v>2.6791082561283604E-2</v>
      </c>
    </row>
    <row r="10" spans="1:8">
      <c r="A10" s="84">
        <v>43313</v>
      </c>
      <c r="B10" s="83">
        <v>7269.2001953125</v>
      </c>
      <c r="C10" s="83">
        <v>7691.10009765625</v>
      </c>
      <c r="D10" s="83">
        <v>7221.35009765625</v>
      </c>
      <c r="E10" s="83">
        <v>7654.5498046875</v>
      </c>
      <c r="F10" s="83">
        <v>7654.5498046875</v>
      </c>
      <c r="G10" s="83">
        <v>46197780000</v>
      </c>
      <c r="H10" s="45">
        <f t="shared" si="0"/>
        <v>5.6787361859444573E-2</v>
      </c>
    </row>
    <row r="11" spans="1:8">
      <c r="A11" s="84">
        <v>43344</v>
      </c>
      <c r="B11" s="83">
        <v>7629.33984375</v>
      </c>
      <c r="C11" s="83">
        <v>7657.7998046875</v>
      </c>
      <c r="D11" s="83">
        <v>7400.990234375</v>
      </c>
      <c r="E11" s="83">
        <v>7627.64990234375</v>
      </c>
      <c r="F11" s="83">
        <v>7627.64990234375</v>
      </c>
      <c r="G11" s="83">
        <v>44907360000</v>
      </c>
      <c r="H11" s="45">
        <f t="shared" si="0"/>
        <v>-3.5204264623167436E-3</v>
      </c>
    </row>
    <row r="12" spans="1:8">
      <c r="A12" s="84">
        <v>43374</v>
      </c>
      <c r="B12" s="83">
        <v>7673</v>
      </c>
      <c r="C12" s="83">
        <v>7700.56005859375</v>
      </c>
      <c r="D12" s="83">
        <v>6574.75</v>
      </c>
      <c r="E12" s="83">
        <v>6967.10009765625</v>
      </c>
      <c r="F12" s="83">
        <v>6967.10009765625</v>
      </c>
      <c r="G12" s="83">
        <v>61889960000</v>
      </c>
      <c r="H12" s="45">
        <f t="shared" si="0"/>
        <v>-9.0580706953809847E-2</v>
      </c>
    </row>
    <row r="13" spans="1:8">
      <c r="A13" s="84">
        <v>43405</v>
      </c>
      <c r="B13" s="83">
        <v>6980.7900390625</v>
      </c>
      <c r="C13" s="83">
        <v>7205.9599609375</v>
      </c>
      <c r="D13" s="83">
        <v>6442.35986328125</v>
      </c>
      <c r="E13" s="83">
        <v>6949.009765625</v>
      </c>
      <c r="F13" s="83">
        <v>6949.009765625</v>
      </c>
      <c r="G13" s="83">
        <v>48901700000</v>
      </c>
      <c r="H13" s="45">
        <f t="shared" si="0"/>
        <v>-2.5999136826581029E-3</v>
      </c>
    </row>
    <row r="14" spans="1:8">
      <c r="A14" s="84">
        <v>43435</v>
      </c>
      <c r="B14" s="83">
        <v>7106.83984375</v>
      </c>
      <c r="C14" s="83">
        <v>7107</v>
      </c>
      <c r="D14" s="83">
        <v>5895.1201171875</v>
      </c>
      <c r="E14" s="83">
        <v>6329.97021484375</v>
      </c>
      <c r="F14" s="83">
        <v>6329.97021484375</v>
      </c>
      <c r="G14" s="83">
        <v>49224830000</v>
      </c>
      <c r="H14" s="45">
        <f t="shared" si="0"/>
        <v>-9.3303638910225223E-2</v>
      </c>
    </row>
    <row r="15" spans="1:8">
      <c r="A15" s="84">
        <v>43466</v>
      </c>
      <c r="B15" s="83">
        <v>6198.68017578125</v>
      </c>
      <c r="C15" s="83">
        <v>6936.33984375</v>
      </c>
      <c r="D15" s="83">
        <v>6139.39990234375</v>
      </c>
      <c r="E15" s="83">
        <v>6906.83984375</v>
      </c>
      <c r="F15" s="83">
        <v>6906.83984375</v>
      </c>
      <c r="G15" s="83">
        <v>49542480000</v>
      </c>
      <c r="H15" s="45">
        <f t="shared" si="0"/>
        <v>8.7216671561772277E-2</v>
      </c>
    </row>
    <row r="16" spans="1:8">
      <c r="A16" s="84">
        <v>43497</v>
      </c>
      <c r="B16" s="83">
        <v>6872.72998046875</v>
      </c>
      <c r="C16" s="83">
        <v>7161.72998046875</v>
      </c>
      <c r="D16" s="83">
        <v>6836.7001953125</v>
      </c>
      <c r="E16" s="83">
        <v>7097.52978515625</v>
      </c>
      <c r="F16" s="83">
        <v>7097.52978515625</v>
      </c>
      <c r="G16" s="83">
        <v>42628810000</v>
      </c>
      <c r="H16" s="45">
        <f t="shared" si="0"/>
        <v>2.723460361542409E-2</v>
      </c>
    </row>
    <row r="17" spans="1:8">
      <c r="A17" s="84">
        <v>43525</v>
      </c>
      <c r="B17" s="83">
        <v>7152.080078125</v>
      </c>
      <c r="C17" s="83">
        <v>7505.41015625</v>
      </c>
      <c r="D17" s="83">
        <v>6940.72021484375</v>
      </c>
      <c r="E17" s="83">
        <v>7378.77001953125</v>
      </c>
      <c r="F17" s="83">
        <v>7378.77001953125</v>
      </c>
      <c r="G17" s="83">
        <v>49622660000</v>
      </c>
      <c r="H17" s="45">
        <f t="shared" si="0"/>
        <v>3.8860154775955509E-2</v>
      </c>
    </row>
    <row r="18" spans="1:8">
      <c r="A18" s="84">
        <v>43556</v>
      </c>
      <c r="B18" s="83">
        <v>7450.81005859375</v>
      </c>
      <c r="C18" s="83">
        <v>7851.97021484375</v>
      </c>
      <c r="D18" s="83">
        <v>7422.43994140625</v>
      </c>
      <c r="E18" s="83">
        <v>7781.4599609375</v>
      </c>
      <c r="F18" s="83">
        <v>7781.4599609375</v>
      </c>
      <c r="G18" s="83">
        <v>43553400000</v>
      </c>
      <c r="H18" s="45">
        <f t="shared" si="0"/>
        <v>5.3137015530441055E-2</v>
      </c>
    </row>
    <row r="19" spans="1:8">
      <c r="A19" s="84">
        <v>43586</v>
      </c>
      <c r="B19" s="83">
        <v>7828.14013671875</v>
      </c>
      <c r="C19" s="83">
        <v>7851.02978515625</v>
      </c>
      <c r="D19" s="83">
        <v>7125.97021484375</v>
      </c>
      <c r="E19" s="83">
        <v>7127.9599609375</v>
      </c>
      <c r="F19" s="83">
        <v>7127.9599609375</v>
      </c>
      <c r="G19" s="83">
        <v>47822630000</v>
      </c>
      <c r="H19" s="45">
        <f t="shared" si="0"/>
        <v>-8.7718903232370332E-2</v>
      </c>
    </row>
    <row r="20" spans="1:8">
      <c r="A20" s="84">
        <v>43617</v>
      </c>
      <c r="B20" s="83">
        <v>7110.33984375</v>
      </c>
      <c r="C20" s="83">
        <v>7772.52978515625</v>
      </c>
      <c r="D20" s="83">
        <v>6936.68017578125</v>
      </c>
      <c r="E20" s="83">
        <v>7671.080078125</v>
      </c>
      <c r="F20" s="83">
        <v>7671.080078125</v>
      </c>
      <c r="G20" s="83">
        <v>44821400000</v>
      </c>
      <c r="H20" s="45">
        <f t="shared" si="0"/>
        <v>7.3432350994848308E-2</v>
      </c>
    </row>
    <row r="21" spans="1:8">
      <c r="A21" s="84">
        <v>43647</v>
      </c>
      <c r="B21" s="83">
        <v>7816.56005859375</v>
      </c>
      <c r="C21" s="83">
        <v>8027.18017578125</v>
      </c>
      <c r="D21" s="83">
        <v>7735.669921875</v>
      </c>
      <c r="E21" s="83">
        <v>7848.77978515625</v>
      </c>
      <c r="F21" s="83">
        <v>7848.77978515625</v>
      </c>
      <c r="G21" s="83">
        <v>42846360000</v>
      </c>
      <c r="H21" s="45">
        <f t="shared" si="0"/>
        <v>2.2900654335530745E-2</v>
      </c>
    </row>
    <row r="22" spans="1:8">
      <c r="A22" s="84">
        <v>43678</v>
      </c>
      <c r="B22" s="83">
        <v>7866.60009765625</v>
      </c>
      <c r="C22" s="83">
        <v>8000.93994140625</v>
      </c>
      <c r="D22" s="83">
        <v>7356.27001953125</v>
      </c>
      <c r="E22" s="83">
        <v>7691</v>
      </c>
      <c r="F22" s="83">
        <v>7691</v>
      </c>
      <c r="G22" s="83">
        <v>46323300000</v>
      </c>
      <c r="H22" s="45">
        <f t="shared" si="0"/>
        <v>-2.0307264255767263E-2</v>
      </c>
    </row>
    <row r="23" spans="1:8">
      <c r="A23" s="84">
        <v>43709</v>
      </c>
      <c r="B23" s="83">
        <v>7634.02978515625</v>
      </c>
      <c r="C23" s="83">
        <v>7975.330078125</v>
      </c>
      <c r="D23" s="83">
        <v>7584.81982421875</v>
      </c>
      <c r="E23" s="83">
        <v>7749.4501953125</v>
      </c>
      <c r="F23" s="83">
        <v>7749.4501953125</v>
      </c>
      <c r="G23" s="83">
        <v>41720490000</v>
      </c>
      <c r="H23" s="45">
        <f t="shared" si="0"/>
        <v>7.571084233475283E-3</v>
      </c>
    </row>
    <row r="24" spans="1:8">
      <c r="A24" s="84">
        <v>43739</v>
      </c>
      <c r="B24" s="83">
        <v>7782.81982421875</v>
      </c>
      <c r="C24" s="83">
        <v>8119.72998046875</v>
      </c>
      <c r="D24" s="83">
        <v>7463.56982421875</v>
      </c>
      <c r="E24" s="83">
        <v>8083.830078125</v>
      </c>
      <c r="F24" s="83">
        <v>8083.830078125</v>
      </c>
      <c r="G24" s="83">
        <v>44203530000</v>
      </c>
      <c r="H24" s="45">
        <f t="shared" si="0"/>
        <v>4.2243881482751947E-2</v>
      </c>
    </row>
    <row r="25" spans="1:8">
      <c r="A25" s="84">
        <v>43770</v>
      </c>
      <c r="B25" s="83">
        <v>8121.9501953125</v>
      </c>
      <c r="C25" s="83">
        <v>8445.6103515625</v>
      </c>
      <c r="D25" s="83">
        <v>8111.72998046875</v>
      </c>
      <c r="E25" s="83">
        <v>8403.6796875</v>
      </c>
      <c r="F25" s="83">
        <v>8403.6796875</v>
      </c>
      <c r="G25" s="83">
        <v>41773310000</v>
      </c>
      <c r="H25" s="45">
        <f t="shared" si="0"/>
        <v>3.8803888174427946E-2</v>
      </c>
    </row>
    <row r="26" spans="1:8">
      <c r="A26" s="84">
        <v>43800</v>
      </c>
      <c r="B26" s="83">
        <v>8409.8701171875</v>
      </c>
      <c r="C26" s="83">
        <v>8811.099609375</v>
      </c>
      <c r="D26" s="83">
        <v>8167.35986328125</v>
      </c>
      <c r="E26" s="83">
        <v>8733.0703125</v>
      </c>
      <c r="F26" s="83">
        <v>8733.0703125</v>
      </c>
      <c r="G26" s="83">
        <v>46214040000</v>
      </c>
      <c r="H26" s="45">
        <f t="shared" si="0"/>
        <v>3.8447336790533922E-2</v>
      </c>
    </row>
    <row r="27" spans="1:8">
      <c r="A27" s="84">
        <v>43831</v>
      </c>
      <c r="B27" s="83">
        <v>8802.2197265625</v>
      </c>
      <c r="C27" s="83">
        <v>9272.3701171875</v>
      </c>
      <c r="D27" s="83">
        <v>8713.8896484375</v>
      </c>
      <c r="E27" s="83">
        <v>8991.509765625</v>
      </c>
      <c r="F27" s="83">
        <v>8991.509765625</v>
      </c>
      <c r="G27" s="83">
        <v>52694760000</v>
      </c>
      <c r="H27" s="45">
        <f t="shared" si="0"/>
        <v>2.9163767961619933E-2</v>
      </c>
    </row>
    <row r="28" spans="1:8">
      <c r="A28" s="84">
        <v>43862</v>
      </c>
      <c r="B28" s="83">
        <v>9033.51953125</v>
      </c>
      <c r="C28" s="83">
        <v>9736.5703125</v>
      </c>
      <c r="D28" s="83">
        <v>8133.85009765625</v>
      </c>
      <c r="E28" s="83">
        <v>8461.830078125</v>
      </c>
      <c r="F28" s="83">
        <v>8461.830078125</v>
      </c>
      <c r="G28" s="83">
        <v>53886320000</v>
      </c>
      <c r="H28" s="45">
        <f t="shared" si="0"/>
        <v>-6.0715301202299572E-2</v>
      </c>
    </row>
    <row r="29" spans="1:8">
      <c r="A29" s="84">
        <v>43891</v>
      </c>
      <c r="B29" s="83">
        <v>8569.91015625</v>
      </c>
      <c r="C29" s="83">
        <v>9000.4599609375</v>
      </c>
      <c r="D29" s="83">
        <v>6771.91015625</v>
      </c>
      <c r="E29" s="83">
        <v>7813.5</v>
      </c>
      <c r="F29" s="83">
        <v>7813.5</v>
      </c>
      <c r="G29" s="83">
        <v>97320230000</v>
      </c>
      <c r="H29" s="45">
        <f t="shared" si="0"/>
        <v>-7.9712464644207365E-2</v>
      </c>
    </row>
    <row r="30" spans="1:8">
      <c r="A30" s="84">
        <v>43922</v>
      </c>
      <c r="B30" s="83">
        <v>7582.77978515625</v>
      </c>
      <c r="C30" s="83">
        <v>9025.8203125</v>
      </c>
      <c r="D30" s="83">
        <v>7423.97021484375</v>
      </c>
      <c r="E30" s="83">
        <v>9000.509765625</v>
      </c>
      <c r="F30" s="83">
        <v>9000.509765625</v>
      </c>
      <c r="G30" s="83">
        <v>79171670000</v>
      </c>
      <c r="H30" s="45">
        <f t="shared" si="0"/>
        <v>0.14142820948598081</v>
      </c>
    </row>
    <row r="31" spans="1:8">
      <c r="A31" s="84">
        <v>43952</v>
      </c>
      <c r="B31" s="83">
        <v>8791.8798828125</v>
      </c>
      <c r="C31" s="83">
        <v>9573.5498046875</v>
      </c>
      <c r="D31" s="83">
        <v>8665.400390625</v>
      </c>
      <c r="E31" s="83">
        <v>9555.5302734375</v>
      </c>
      <c r="F31" s="83">
        <v>9555.5302734375</v>
      </c>
      <c r="G31" s="83">
        <v>81175640000</v>
      </c>
      <c r="H31" s="45">
        <f t="shared" si="0"/>
        <v>5.9838856753536201E-2</v>
      </c>
    </row>
    <row r="32" spans="1:8">
      <c r="A32" s="84">
        <v>43983</v>
      </c>
      <c r="B32" s="83">
        <v>9526.4296875</v>
      </c>
      <c r="C32" s="83">
        <v>10306.900390625</v>
      </c>
      <c r="D32" s="83">
        <v>9489.580078125</v>
      </c>
      <c r="E32" s="83">
        <v>10156.849609375</v>
      </c>
      <c r="F32" s="83">
        <v>10156.849609375</v>
      </c>
      <c r="G32" s="83">
        <v>112284350000</v>
      </c>
      <c r="H32" s="45">
        <f t="shared" si="0"/>
        <v>6.1028243138112059E-2</v>
      </c>
    </row>
    <row r="33" spans="1:8">
      <c r="A33" s="84">
        <v>44013</v>
      </c>
      <c r="B33" s="83">
        <v>10160.41015625</v>
      </c>
      <c r="C33" s="83">
        <v>11069.259765625</v>
      </c>
      <c r="D33" s="83">
        <v>10142.75</v>
      </c>
      <c r="E33" s="83">
        <v>10905.8798828125</v>
      </c>
      <c r="F33" s="83">
        <v>10905.8798828125</v>
      </c>
      <c r="G33" s="83">
        <v>95054280000</v>
      </c>
      <c r="H33" s="45">
        <f t="shared" si="0"/>
        <v>7.1153766331586918E-2</v>
      </c>
    </row>
    <row r="34" spans="1:8">
      <c r="A34" s="84">
        <v>44044</v>
      </c>
      <c r="B34" s="83">
        <v>11018.01953125</v>
      </c>
      <c r="C34" s="83">
        <v>12167.4599609375</v>
      </c>
      <c r="D34" s="83">
        <v>10855.0595703125</v>
      </c>
      <c r="E34" s="83">
        <v>12110.7001953125</v>
      </c>
      <c r="F34" s="83">
        <v>12110.7001953125</v>
      </c>
      <c r="G34" s="83">
        <v>78996130000</v>
      </c>
      <c r="H34" s="45">
        <f t="shared" si="0"/>
        <v>0.10478729290948549</v>
      </c>
    </row>
    <row r="35" spans="1:8">
      <c r="A35" s="84">
        <v>44075</v>
      </c>
      <c r="B35" s="83">
        <v>12203.3603515625</v>
      </c>
      <c r="C35" s="83">
        <v>12439.48046875</v>
      </c>
      <c r="D35" s="83">
        <v>10677.849609375</v>
      </c>
      <c r="E35" s="83">
        <v>11418.0595703125</v>
      </c>
      <c r="F35" s="83">
        <v>11418.0595703125</v>
      </c>
      <c r="G35" s="83">
        <v>82496920000</v>
      </c>
      <c r="H35" s="45">
        <f t="shared" si="0"/>
        <v>-5.8893100733182775E-2</v>
      </c>
    </row>
    <row r="36" spans="1:8">
      <c r="A36" s="84">
        <v>44105</v>
      </c>
      <c r="B36" s="83">
        <v>11554.9599609375</v>
      </c>
      <c r="C36" s="83">
        <v>12204.75</v>
      </c>
      <c r="D36" s="83">
        <v>10960.01953125</v>
      </c>
      <c r="E36" s="83">
        <v>11052.9501953125</v>
      </c>
      <c r="F36" s="83">
        <v>11052.9501953125</v>
      </c>
      <c r="G36" s="83">
        <v>78287400000</v>
      </c>
      <c r="H36" s="45">
        <f t="shared" si="0"/>
        <v>-3.2498896426264544E-2</v>
      </c>
    </row>
    <row r="37" spans="1:8">
      <c r="A37" s="84">
        <v>44136</v>
      </c>
      <c r="B37" s="83">
        <v>11152.48046875</v>
      </c>
      <c r="C37" s="83">
        <v>12306.7099609375</v>
      </c>
      <c r="D37" s="83">
        <v>10957.1103515625</v>
      </c>
      <c r="E37" s="83">
        <v>12268.3203125</v>
      </c>
      <c r="F37" s="83">
        <v>12268.3203125</v>
      </c>
      <c r="G37" s="83">
        <v>91282630000</v>
      </c>
      <c r="H37" s="45">
        <f t="shared" si="0"/>
        <v>0.1043229771747483</v>
      </c>
    </row>
    <row r="38" spans="1:8">
      <c r="A38" s="84">
        <v>44166</v>
      </c>
      <c r="B38" s="83">
        <v>12387.6201171875</v>
      </c>
      <c r="C38" s="83">
        <v>12925.5302734375</v>
      </c>
      <c r="D38" s="83">
        <v>12226.1298828125</v>
      </c>
      <c r="E38" s="83">
        <v>12888.2802734375</v>
      </c>
      <c r="F38" s="83">
        <v>12888.2802734375</v>
      </c>
      <c r="G38" s="83">
        <v>112635010000</v>
      </c>
      <c r="H38" s="45">
        <f t="shared" si="0"/>
        <v>4.9298036985684829E-2</v>
      </c>
    </row>
    <row r="39" spans="1:8">
      <c r="A39" s="84"/>
      <c r="H39" s="45"/>
    </row>
    <row r="40" spans="1:8">
      <c r="A40" s="84"/>
      <c r="H40" s="45"/>
    </row>
    <row r="41" spans="1:8">
      <c r="A41" s="84"/>
      <c r="H41" s="45"/>
    </row>
    <row r="42" spans="1:8">
      <c r="A42" s="84"/>
      <c r="H42" s="45"/>
    </row>
    <row r="43" spans="1:8">
      <c r="A43" s="84"/>
      <c r="H43" s="45"/>
    </row>
    <row r="44" spans="1:8">
      <c r="A44" s="84"/>
      <c r="H44" s="45"/>
    </row>
    <row r="45" spans="1:8">
      <c r="A45" s="84"/>
      <c r="H45" s="45"/>
    </row>
    <row r="46" spans="1:8">
      <c r="A46" s="84"/>
      <c r="H46" s="45"/>
    </row>
    <row r="47" spans="1:8">
      <c r="A47" s="84"/>
      <c r="H47" s="45"/>
    </row>
    <row r="48" spans="1:8">
      <c r="A48" s="84"/>
      <c r="H48" s="45"/>
    </row>
    <row r="49" spans="1:8">
      <c r="A49" s="84"/>
      <c r="H49" s="45"/>
    </row>
    <row r="50" spans="1:8">
      <c r="A50" s="84"/>
      <c r="H50" s="45"/>
    </row>
    <row r="51" spans="1:8">
      <c r="A51" s="84"/>
      <c r="H51" s="45"/>
    </row>
    <row r="52" spans="1:8">
      <c r="A52" s="84"/>
      <c r="H52" s="45"/>
    </row>
    <row r="53" spans="1:8">
      <c r="A53" s="84"/>
      <c r="H53" s="45"/>
    </row>
    <row r="54" spans="1:8">
      <c r="A54" s="84"/>
      <c r="H54" s="45"/>
    </row>
    <row r="55" spans="1:8">
      <c r="A55" s="84"/>
      <c r="H55" s="45"/>
    </row>
    <row r="56" spans="1:8">
      <c r="A56" s="84"/>
      <c r="H56" s="45"/>
    </row>
    <row r="57" spans="1:8">
      <c r="A57" s="84"/>
      <c r="H57" s="45"/>
    </row>
    <row r="58" spans="1:8">
      <c r="A58" s="84"/>
      <c r="H58" s="45"/>
    </row>
    <row r="59" spans="1:8">
      <c r="A59" s="84"/>
      <c r="H59" s="45"/>
    </row>
    <row r="60" spans="1:8">
      <c r="A60" s="84"/>
      <c r="H60" s="45"/>
    </row>
    <row r="61" spans="1:8">
      <c r="A61" s="84"/>
      <c r="H61" s="45"/>
    </row>
    <row r="62" spans="1:8">
      <c r="A62" s="84"/>
      <c r="H62" s="45"/>
    </row>
    <row r="63" spans="1:8">
      <c r="A63" s="84"/>
      <c r="H63" s="45"/>
    </row>
    <row r="64" spans="1:8">
      <c r="A64" s="84"/>
      <c r="H64" s="45"/>
    </row>
    <row r="65" spans="1:8">
      <c r="A65" s="84"/>
      <c r="H65" s="45"/>
    </row>
    <row r="66" spans="1:8">
      <c r="A66" s="84"/>
      <c r="H66" s="45"/>
    </row>
    <row r="67" spans="1:8">
      <c r="A67" s="84"/>
      <c r="H67" s="45"/>
    </row>
    <row r="68" spans="1:8">
      <c r="A68" s="84"/>
      <c r="H68" s="45"/>
    </row>
    <row r="69" spans="1:8">
      <c r="A69" s="84"/>
      <c r="H69" s="45"/>
    </row>
    <row r="70" spans="1:8">
      <c r="A70" s="84"/>
      <c r="H70" s="45"/>
    </row>
    <row r="71" spans="1:8">
      <c r="A71" s="84"/>
      <c r="H71" s="45"/>
    </row>
    <row r="72" spans="1:8">
      <c r="A72" s="84"/>
      <c r="H72" s="45"/>
    </row>
    <row r="73" spans="1:8">
      <c r="A73" s="84"/>
      <c r="H73" s="45"/>
    </row>
    <row r="74" spans="1:8">
      <c r="A74" s="84"/>
      <c r="H74" s="45"/>
    </row>
    <row r="75" spans="1:8">
      <c r="A75" s="84"/>
      <c r="H75" s="45"/>
    </row>
    <row r="76" spans="1:8">
      <c r="A76" s="84"/>
      <c r="H76" s="45"/>
    </row>
    <row r="77" spans="1:8">
      <c r="A77" s="84"/>
      <c r="H77" s="45"/>
    </row>
    <row r="78" spans="1:8">
      <c r="A78" s="84"/>
      <c r="H78" s="45"/>
    </row>
    <row r="79" spans="1:8">
      <c r="A79" s="84"/>
      <c r="H79" s="45"/>
    </row>
    <row r="80" spans="1:8">
      <c r="A80" s="84"/>
      <c r="H80" s="45"/>
    </row>
    <row r="81" spans="1:8">
      <c r="A81" s="84"/>
      <c r="H81" s="45"/>
    </row>
    <row r="82" spans="1:8">
      <c r="A82" s="84"/>
      <c r="H82" s="45"/>
    </row>
    <row r="83" spans="1:8">
      <c r="A83" s="84"/>
      <c r="H83" s="45"/>
    </row>
    <row r="84" spans="1:8">
      <c r="A84" s="84"/>
      <c r="H84" s="45"/>
    </row>
    <row r="85" spans="1:8">
      <c r="A85" s="84"/>
      <c r="H85" s="45"/>
    </row>
    <row r="86" spans="1:8">
      <c r="A86" s="84"/>
      <c r="H86" s="45"/>
    </row>
    <row r="87" spans="1:8">
      <c r="A87" s="84"/>
      <c r="H87" s="45"/>
    </row>
    <row r="88" spans="1:8">
      <c r="A88" s="84"/>
      <c r="H88" s="45"/>
    </row>
    <row r="89" spans="1:8">
      <c r="A89" s="84"/>
      <c r="H89" s="45"/>
    </row>
    <row r="90" spans="1:8">
      <c r="A90" s="84"/>
      <c r="H90" s="45"/>
    </row>
    <row r="91" spans="1:8">
      <c r="A91" s="84"/>
      <c r="H91" s="45"/>
    </row>
    <row r="92" spans="1:8">
      <c r="A92" s="84"/>
      <c r="H92" s="45"/>
    </row>
    <row r="93" spans="1:8">
      <c r="A93" s="84"/>
      <c r="H93" s="45"/>
    </row>
    <row r="94" spans="1:8">
      <c r="A94" s="84"/>
      <c r="H94" s="45"/>
    </row>
    <row r="95" spans="1:8">
      <c r="A95" s="84"/>
      <c r="H95" s="45"/>
    </row>
    <row r="96" spans="1:8">
      <c r="A96" s="84"/>
      <c r="H96" s="45"/>
    </row>
    <row r="97" spans="1:8">
      <c r="A97" s="84"/>
      <c r="H97" s="45"/>
    </row>
    <row r="98" spans="1:8">
      <c r="A98" s="84"/>
      <c r="H98" s="45"/>
    </row>
    <row r="99" spans="1:8">
      <c r="A99" s="84"/>
      <c r="H99" s="45"/>
    </row>
    <row r="100" spans="1:8">
      <c r="A100" s="84"/>
      <c r="H100" s="45"/>
    </row>
    <row r="101" spans="1:8">
      <c r="A101" s="84"/>
      <c r="H101" s="45"/>
    </row>
    <row r="102" spans="1:8">
      <c r="A102" s="84"/>
      <c r="H102" s="45"/>
    </row>
    <row r="103" spans="1:8">
      <c r="A103" s="84"/>
      <c r="H103" s="45"/>
    </row>
    <row r="104" spans="1:8">
      <c r="A104" s="84"/>
      <c r="H104" s="45"/>
    </row>
    <row r="105" spans="1:8">
      <c r="A105" s="84"/>
      <c r="H105" s="45"/>
    </row>
    <row r="106" spans="1:8">
      <c r="A106" s="84"/>
      <c r="H106" s="45"/>
    </row>
    <row r="107" spans="1:8">
      <c r="A107" s="84"/>
      <c r="H107" s="45"/>
    </row>
    <row r="108" spans="1:8">
      <c r="A108" s="84"/>
      <c r="H108" s="45"/>
    </row>
    <row r="109" spans="1:8">
      <c r="A109" s="84"/>
      <c r="H109" s="45"/>
    </row>
    <row r="110" spans="1:8">
      <c r="A110" s="84"/>
      <c r="H110" s="45"/>
    </row>
    <row r="111" spans="1:8">
      <c r="A111" s="84"/>
      <c r="H111" s="45"/>
    </row>
    <row r="112" spans="1:8">
      <c r="A112" s="84"/>
      <c r="H112" s="45"/>
    </row>
    <row r="113" spans="1:8">
      <c r="A113" s="84"/>
      <c r="H113" s="45"/>
    </row>
    <row r="114" spans="1:8">
      <c r="A114" s="84"/>
      <c r="H114" s="45"/>
    </row>
    <row r="115" spans="1:8">
      <c r="A115" s="84"/>
      <c r="H115" s="45"/>
    </row>
    <row r="116" spans="1:8">
      <c r="A116" s="84"/>
      <c r="H116" s="45"/>
    </row>
    <row r="117" spans="1:8">
      <c r="A117" s="84"/>
      <c r="H117" s="45"/>
    </row>
    <row r="118" spans="1:8">
      <c r="A118" s="84"/>
      <c r="H118" s="45"/>
    </row>
    <row r="119" spans="1:8">
      <c r="A119" s="84"/>
      <c r="H119" s="45"/>
    </row>
    <row r="120" spans="1:8">
      <c r="A120" s="84"/>
      <c r="H120" s="45"/>
    </row>
    <row r="121" spans="1:8">
      <c r="A121" s="84"/>
      <c r="H121" s="45"/>
    </row>
    <row r="122" spans="1:8">
      <c r="A122" s="84"/>
      <c r="H122" s="45"/>
    </row>
    <row r="123" spans="1:8">
      <c r="A123" s="84"/>
      <c r="H123" s="45"/>
    </row>
    <row r="124" spans="1:8">
      <c r="A124" s="84"/>
      <c r="H124" s="45"/>
    </row>
    <row r="125" spans="1:8">
      <c r="A125" s="84"/>
      <c r="H125" s="45"/>
    </row>
    <row r="126" spans="1:8">
      <c r="A126" s="84"/>
      <c r="H126" s="45"/>
    </row>
    <row r="127" spans="1:8">
      <c r="A127" s="84"/>
      <c r="H127" s="45"/>
    </row>
    <row r="128" spans="1:8">
      <c r="A128" s="84"/>
      <c r="H128" s="45"/>
    </row>
    <row r="129" spans="1:8">
      <c r="A129" s="84"/>
      <c r="H129" s="45"/>
    </row>
    <row r="130" spans="1:8">
      <c r="A130" s="84"/>
    </row>
    <row r="131" spans="1:8">
      <c r="A131" s="84"/>
    </row>
    <row r="132" spans="1:8">
      <c r="A132" s="84"/>
    </row>
    <row r="133" spans="1:8">
      <c r="A133" s="84"/>
    </row>
    <row r="134" spans="1:8">
      <c r="A134" s="84"/>
    </row>
    <row r="135" spans="1:8">
      <c r="A135" s="84"/>
    </row>
    <row r="136" spans="1:8">
      <c r="A136" s="84"/>
    </row>
    <row r="137" spans="1:8">
      <c r="A137" s="84"/>
    </row>
    <row r="138" spans="1:8">
      <c r="A138" s="84"/>
    </row>
    <row r="139" spans="1:8">
      <c r="A139" s="84"/>
    </row>
    <row r="140" spans="1:8">
      <c r="A140" s="84"/>
    </row>
    <row r="141" spans="1:8">
      <c r="A141" s="84"/>
    </row>
    <row r="142" spans="1:8">
      <c r="A142" s="84"/>
    </row>
    <row r="143" spans="1:8">
      <c r="A143" s="84"/>
    </row>
    <row r="144" spans="1:8">
      <c r="A144" s="84"/>
    </row>
    <row r="145" spans="1:1">
      <c r="A145" s="84"/>
    </row>
    <row r="146" spans="1:1">
      <c r="A146" s="84"/>
    </row>
    <row r="147" spans="1:1">
      <c r="A147" s="84"/>
    </row>
    <row r="148" spans="1:1">
      <c r="A148" s="84"/>
    </row>
    <row r="149" spans="1:1">
      <c r="A149" s="84"/>
    </row>
    <row r="150" spans="1:1">
      <c r="A150" s="84"/>
    </row>
    <row r="151" spans="1:1">
      <c r="A151" s="84"/>
    </row>
    <row r="152" spans="1:1">
      <c r="A152" s="84"/>
    </row>
    <row r="153" spans="1:1">
      <c r="A153" s="84"/>
    </row>
    <row r="154" spans="1:1">
      <c r="A154" s="84"/>
    </row>
    <row r="155" spans="1:1">
      <c r="A155" s="84"/>
    </row>
    <row r="156" spans="1:1">
      <c r="A156" s="84"/>
    </row>
    <row r="157" spans="1:1">
      <c r="A157" s="84"/>
    </row>
    <row r="158" spans="1:1">
      <c r="A158" s="84"/>
    </row>
    <row r="159" spans="1:1">
      <c r="A159" s="84"/>
    </row>
    <row r="160" spans="1:1">
      <c r="A160" s="84"/>
    </row>
    <row r="161" spans="1:1">
      <c r="A161" s="84"/>
    </row>
    <row r="162" spans="1:1">
      <c r="A162" s="84"/>
    </row>
    <row r="163" spans="1:1">
      <c r="A163" s="84"/>
    </row>
    <row r="164" spans="1:1">
      <c r="A164" s="84"/>
    </row>
    <row r="165" spans="1:1">
      <c r="A165" s="84"/>
    </row>
    <row r="166" spans="1:1">
      <c r="A166" s="84"/>
    </row>
    <row r="167" spans="1:1">
      <c r="A167" s="84"/>
    </row>
    <row r="168" spans="1:1">
      <c r="A168" s="84"/>
    </row>
    <row r="169" spans="1:1">
      <c r="A169" s="84"/>
    </row>
    <row r="170" spans="1:1">
      <c r="A170" s="84"/>
    </row>
    <row r="171" spans="1:1">
      <c r="A171" s="84"/>
    </row>
    <row r="172" spans="1:1">
      <c r="A172" s="84"/>
    </row>
    <row r="173" spans="1:1">
      <c r="A173" s="84"/>
    </row>
    <row r="174" spans="1:1">
      <c r="A174" s="84"/>
    </row>
    <row r="175" spans="1:1">
      <c r="A175" s="84"/>
    </row>
    <row r="176" spans="1:1">
      <c r="A176" s="84"/>
    </row>
    <row r="177" spans="1:1">
      <c r="A177" s="84"/>
    </row>
    <row r="178" spans="1:1">
      <c r="A178" s="84"/>
    </row>
    <row r="179" spans="1:1">
      <c r="A179" s="84"/>
    </row>
    <row r="180" spans="1:1">
      <c r="A180" s="84"/>
    </row>
    <row r="181" spans="1:1">
      <c r="A181" s="84"/>
    </row>
    <row r="182" spans="1:1">
      <c r="A182" s="84"/>
    </row>
    <row r="183" spans="1:1">
      <c r="A183" s="84"/>
    </row>
    <row r="184" spans="1:1">
      <c r="A184" s="84"/>
    </row>
    <row r="185" spans="1:1">
      <c r="A185" s="84"/>
    </row>
    <row r="186" spans="1:1">
      <c r="A186" s="84"/>
    </row>
    <row r="187" spans="1:1">
      <c r="A187" s="84"/>
    </row>
    <row r="188" spans="1:1">
      <c r="A188" s="84"/>
    </row>
    <row r="189" spans="1:1">
      <c r="A189" s="84"/>
    </row>
    <row r="190" spans="1:1">
      <c r="A190" s="84"/>
    </row>
    <row r="191" spans="1:1">
      <c r="A191" s="84"/>
    </row>
    <row r="192" spans="1:1">
      <c r="A192" s="84"/>
    </row>
    <row r="193" spans="1:1">
      <c r="A193" s="84"/>
    </row>
    <row r="194" spans="1:1">
      <c r="A194" s="84"/>
    </row>
    <row r="195" spans="1:1">
      <c r="A195" s="84"/>
    </row>
    <row r="196" spans="1:1">
      <c r="A196" s="84"/>
    </row>
    <row r="197" spans="1:1">
      <c r="A197" s="84"/>
    </row>
    <row r="198" spans="1:1">
      <c r="A198" s="84"/>
    </row>
    <row r="199" spans="1:1">
      <c r="A199" s="84"/>
    </row>
    <row r="200" spans="1:1">
      <c r="A200" s="84"/>
    </row>
    <row r="201" spans="1:1">
      <c r="A201" s="84"/>
    </row>
    <row r="202" spans="1:1">
      <c r="A202" s="84"/>
    </row>
    <row r="203" spans="1:1">
      <c r="A203" s="84"/>
    </row>
    <row r="204" spans="1:1">
      <c r="A204" s="84"/>
    </row>
    <row r="205" spans="1:1">
      <c r="A205" s="84"/>
    </row>
    <row r="206" spans="1:1">
      <c r="A206" s="84"/>
    </row>
    <row r="207" spans="1:1">
      <c r="A207" s="84"/>
    </row>
    <row r="208" spans="1:1">
      <c r="A208" s="84"/>
    </row>
    <row r="209" spans="1:1">
      <c r="A209" s="84"/>
    </row>
    <row r="210" spans="1:1">
      <c r="A210" s="84"/>
    </row>
    <row r="211" spans="1:1">
      <c r="A211" s="84"/>
    </row>
    <row r="212" spans="1:1">
      <c r="A212" s="84"/>
    </row>
    <row r="213" spans="1:1">
      <c r="A213" s="84"/>
    </row>
    <row r="214" spans="1:1">
      <c r="A214" s="84"/>
    </row>
    <row r="215" spans="1:1">
      <c r="A215" s="84"/>
    </row>
    <row r="216" spans="1:1">
      <c r="A216" s="84"/>
    </row>
    <row r="217" spans="1:1">
      <c r="A217" s="84"/>
    </row>
    <row r="218" spans="1:1">
      <c r="A218" s="84"/>
    </row>
    <row r="219" spans="1:1">
      <c r="A219" s="84"/>
    </row>
    <row r="220" spans="1:1">
      <c r="A220" s="84"/>
    </row>
    <row r="221" spans="1:1">
      <c r="A221" s="84"/>
    </row>
    <row r="222" spans="1:1">
      <c r="A222" s="84"/>
    </row>
    <row r="223" spans="1:1">
      <c r="A223" s="84"/>
    </row>
    <row r="224" spans="1:1">
      <c r="A224" s="84"/>
    </row>
    <row r="225" spans="1:1">
      <c r="A225" s="84"/>
    </row>
    <row r="226" spans="1:1">
      <c r="A226" s="84"/>
    </row>
    <row r="227" spans="1:1">
      <c r="A227" s="84"/>
    </row>
    <row r="228" spans="1:1">
      <c r="A228" s="84"/>
    </row>
    <row r="229" spans="1:1">
      <c r="A229" s="84"/>
    </row>
    <row r="230" spans="1:1">
      <c r="A230" s="84"/>
    </row>
    <row r="231" spans="1:1">
      <c r="A231" s="84"/>
    </row>
    <row r="232" spans="1:1">
      <c r="A232" s="84"/>
    </row>
    <row r="233" spans="1:1">
      <c r="A233" s="84"/>
    </row>
    <row r="234" spans="1:1">
      <c r="A234" s="84"/>
    </row>
    <row r="235" spans="1:1">
      <c r="A235" s="84"/>
    </row>
    <row r="236" spans="1:1">
      <c r="A236" s="84"/>
    </row>
    <row r="237" spans="1:1">
      <c r="A237" s="84"/>
    </row>
    <row r="238" spans="1:1">
      <c r="A238" s="84"/>
    </row>
    <row r="239" spans="1:1">
      <c r="A239" s="84"/>
    </row>
    <row r="240" spans="1:1">
      <c r="A240" s="84"/>
    </row>
    <row r="241" spans="1:1">
      <c r="A241" s="84"/>
    </row>
    <row r="242" spans="1:1">
      <c r="A242" s="84"/>
    </row>
    <row r="243" spans="1:1">
      <c r="A243" s="84"/>
    </row>
    <row r="244" spans="1:1">
      <c r="A244" s="84"/>
    </row>
    <row r="245" spans="1:1">
      <c r="A245" s="84"/>
    </row>
    <row r="246" spans="1:1">
      <c r="A246" s="84"/>
    </row>
    <row r="247" spans="1:1">
      <c r="A247" s="84"/>
    </row>
  </sheetData>
  <phoneticPr fontId="2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DF4C-FB0F-4725-852D-EA14683DAB63}">
  <sheetPr codeName="Sheet6"/>
  <dimension ref="A1:B27"/>
  <sheetViews>
    <sheetView workbookViewId="0">
      <selection activeCell="A17" sqref="A17"/>
    </sheetView>
  </sheetViews>
  <sheetFormatPr defaultColWidth="8.77734375" defaultRowHeight="14.4"/>
  <cols>
    <col min="1" max="1" width="10.44140625" style="42" bestFit="1" customWidth="1"/>
    <col min="2" max="16384" width="8.77734375" style="42"/>
  </cols>
  <sheetData>
    <row r="1" spans="1:2" ht="17.55" customHeight="1">
      <c r="A1" s="46" t="s">
        <v>39</v>
      </c>
    </row>
    <row r="2" spans="1:2">
      <c r="A2" s="42" t="s">
        <v>36</v>
      </c>
      <c r="B2" s="42" t="s">
        <v>37</v>
      </c>
    </row>
    <row r="3" spans="1:2">
      <c r="A3" s="44">
        <v>44166</v>
      </c>
      <c r="B3" s="42">
        <v>7.0000000000000007E-2</v>
      </c>
    </row>
    <row r="4" spans="1:2">
      <c r="A4" s="44">
        <v>44167</v>
      </c>
      <c r="B4" s="42">
        <v>7.0000000000000007E-2</v>
      </c>
    </row>
    <row r="5" spans="1:2">
      <c r="A5" s="44">
        <v>44168</v>
      </c>
      <c r="B5" s="42">
        <v>0.08</v>
      </c>
    </row>
    <row r="6" spans="1:2">
      <c r="A6" s="44">
        <v>44169</v>
      </c>
      <c r="B6" s="42">
        <v>7.0000000000000007E-2</v>
      </c>
    </row>
    <row r="7" spans="1:2">
      <c r="A7" s="44">
        <v>44172</v>
      </c>
      <c r="B7" s="42">
        <v>0.09</v>
      </c>
    </row>
    <row r="8" spans="1:2">
      <c r="A8" s="44">
        <v>44173</v>
      </c>
      <c r="B8" s="42">
        <v>0.08</v>
      </c>
    </row>
    <row r="9" spans="1:2">
      <c r="A9" s="44">
        <v>44174</v>
      </c>
      <c r="B9" s="42">
        <v>7.0000000000000007E-2</v>
      </c>
    </row>
    <row r="10" spans="1:2">
      <c r="A10" s="44">
        <v>44175</v>
      </c>
      <c r="B10" s="42">
        <v>7.0000000000000007E-2</v>
      </c>
    </row>
    <row r="11" spans="1:2">
      <c r="A11" s="44">
        <v>44176</v>
      </c>
      <c r="B11" s="42">
        <v>0.08</v>
      </c>
    </row>
    <row r="12" spans="1:2">
      <c r="A12" s="44">
        <v>44179</v>
      </c>
      <c r="B12" s="42">
        <v>7.0000000000000007E-2</v>
      </c>
    </row>
    <row r="13" spans="1:2">
      <c r="A13" s="44">
        <v>44180</v>
      </c>
      <c r="B13" s="42">
        <v>7.0000000000000007E-2</v>
      </c>
    </row>
    <row r="14" spans="1:2">
      <c r="A14" s="44">
        <v>44181</v>
      </c>
      <c r="B14" s="42">
        <v>0.08</v>
      </c>
    </row>
    <row r="15" spans="1:2">
      <c r="A15" s="44">
        <v>44182</v>
      </c>
      <c r="B15" s="42">
        <v>0.08</v>
      </c>
    </row>
    <row r="16" spans="1:2">
      <c r="A16" s="44">
        <v>44183</v>
      </c>
      <c r="B16" s="42">
        <v>0.08</v>
      </c>
    </row>
    <row r="17" spans="1:2">
      <c r="A17" s="44">
        <v>44186</v>
      </c>
      <c r="B17" s="42">
        <v>0.08</v>
      </c>
    </row>
    <row r="18" spans="1:2">
      <c r="A18" s="44">
        <v>44187</v>
      </c>
      <c r="B18" s="42">
        <v>0.06</v>
      </c>
    </row>
    <row r="19" spans="1:2">
      <c r="A19" s="44">
        <v>44188</v>
      </c>
      <c r="B19" s="42">
        <v>7.0000000000000007E-2</v>
      </c>
    </row>
    <row r="20" spans="1:2">
      <c r="A20" s="44">
        <v>44189</v>
      </c>
      <c r="B20" s="42">
        <v>0.09</v>
      </c>
    </row>
    <row r="21" spans="1:2">
      <c r="A21" s="44">
        <v>44190</v>
      </c>
      <c r="B21" s="42" t="s">
        <v>38</v>
      </c>
    </row>
    <row r="22" spans="1:2">
      <c r="A22" s="44">
        <v>44193</v>
      </c>
      <c r="B22" s="42">
        <v>0.09</v>
      </c>
    </row>
    <row r="23" spans="1:2">
      <c r="A23" s="44">
        <v>44194</v>
      </c>
      <c r="B23" s="42">
        <v>0.08</v>
      </c>
    </row>
    <row r="24" spans="1:2">
      <c r="A24" s="44">
        <v>44195</v>
      </c>
      <c r="B24" s="42">
        <v>0.06</v>
      </c>
    </row>
    <row r="25" spans="1:2">
      <c r="A25" s="44">
        <v>44196</v>
      </c>
      <c r="B25" s="42">
        <v>0.08</v>
      </c>
    </row>
    <row r="26" spans="1:2">
      <c r="A26" s="44">
        <v>44197</v>
      </c>
      <c r="B26" s="42" t="s">
        <v>38</v>
      </c>
    </row>
    <row r="27" spans="1:2">
      <c r="A27" s="44">
        <v>44200</v>
      </c>
      <c r="B27" s="43">
        <v>0.09</v>
      </c>
    </row>
  </sheetData>
  <phoneticPr fontId="2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62C75-5C30-43A9-9A3A-2A3114B97DFE}">
  <sheetPr codeName="Sheet7"/>
  <dimension ref="A1:I70"/>
  <sheetViews>
    <sheetView topLeftCell="A3" workbookViewId="0">
      <selection activeCell="I19" sqref="I19"/>
    </sheetView>
  </sheetViews>
  <sheetFormatPr defaultColWidth="8.77734375" defaultRowHeight="15.6"/>
  <cols>
    <col min="1" max="1" width="8.77734375" style="5"/>
    <col min="2" max="2" width="10.109375" style="5" bestFit="1" customWidth="1"/>
    <col min="3" max="4" width="9.44140625" style="5" customWidth="1"/>
    <col min="5" max="5" width="8.109375" style="5" customWidth="1"/>
    <col min="6" max="6" width="10.21875" style="5" customWidth="1"/>
    <col min="7" max="8" width="9.44140625" style="5" customWidth="1"/>
    <col min="9" max="16384" width="8.77734375" style="5"/>
  </cols>
  <sheetData>
    <row r="1" spans="1:9" ht="21">
      <c r="A1" s="1" t="s">
        <v>76</v>
      </c>
      <c r="B1" s="1"/>
      <c r="C1" s="1"/>
      <c r="D1" s="1"/>
      <c r="E1" s="1"/>
      <c r="F1" s="1"/>
      <c r="G1" s="4"/>
      <c r="H1" s="4"/>
      <c r="I1" s="4"/>
    </row>
    <row r="2" spans="1:9">
      <c r="A2" s="7"/>
      <c r="B2" s="7"/>
      <c r="C2" s="7"/>
      <c r="D2" s="4"/>
      <c r="E2" s="4"/>
      <c r="F2" s="4"/>
      <c r="G2" s="4"/>
      <c r="H2" s="4"/>
      <c r="I2" s="4"/>
    </row>
    <row r="3" spans="1:9">
      <c r="A3" s="12" t="s">
        <v>54</v>
      </c>
      <c r="C3" s="11"/>
      <c r="D3" s="11"/>
      <c r="E3" s="11"/>
      <c r="F3" s="6"/>
      <c r="G3" s="6"/>
      <c r="H3" s="6"/>
      <c r="I3" s="6"/>
    </row>
    <row r="4" spans="1:9">
      <c r="A4" s="11" t="s">
        <v>4</v>
      </c>
      <c r="C4" s="16"/>
      <c r="D4" s="11"/>
      <c r="E4" s="11"/>
      <c r="F4" s="6"/>
      <c r="G4" s="6"/>
      <c r="H4" s="6"/>
      <c r="I4" s="6"/>
    </row>
    <row r="5" spans="1:9">
      <c r="A5" s="49" t="s">
        <v>0</v>
      </c>
      <c r="C5" s="30">
        <v>100</v>
      </c>
      <c r="D5" s="11"/>
      <c r="E5" s="11"/>
      <c r="F5" s="6"/>
      <c r="G5" s="6"/>
      <c r="H5" s="6"/>
      <c r="I5" s="6"/>
    </row>
    <row r="6" spans="1:9">
      <c r="A6" s="49" t="s">
        <v>7</v>
      </c>
      <c r="C6" s="31">
        <v>100</v>
      </c>
      <c r="D6" s="11"/>
      <c r="E6" s="11"/>
      <c r="F6" s="6"/>
      <c r="G6" s="6"/>
      <c r="H6" s="6"/>
      <c r="I6" s="6"/>
    </row>
    <row r="7" spans="1:9">
      <c r="A7" s="50" t="s">
        <v>58</v>
      </c>
      <c r="C7" s="51">
        <v>1</v>
      </c>
      <c r="D7" s="11"/>
      <c r="E7" s="11"/>
      <c r="F7" s="6"/>
      <c r="G7" s="6"/>
      <c r="H7" s="6"/>
      <c r="I7" s="6"/>
    </row>
    <row r="8" spans="1:9">
      <c r="A8" s="50" t="s">
        <v>59</v>
      </c>
      <c r="C8" s="32">
        <v>0.03</v>
      </c>
      <c r="D8" s="11"/>
      <c r="E8" s="11"/>
      <c r="F8" s="6"/>
      <c r="G8" s="6"/>
      <c r="H8" s="6"/>
      <c r="I8" s="6"/>
    </row>
    <row r="9" spans="1:9">
      <c r="A9" s="50" t="s">
        <v>23</v>
      </c>
      <c r="C9" s="22">
        <v>0.05</v>
      </c>
      <c r="D9" s="11"/>
      <c r="E9" s="11"/>
      <c r="F9" s="6"/>
      <c r="G9" s="6"/>
      <c r="H9" s="6"/>
      <c r="I9" s="6"/>
    </row>
    <row r="10" spans="1:9">
      <c r="A10" s="49" t="s">
        <v>2</v>
      </c>
      <c r="C10" s="32">
        <v>0.25</v>
      </c>
      <c r="D10" s="11"/>
      <c r="E10" s="11"/>
      <c r="F10" s="6"/>
      <c r="G10" s="6"/>
      <c r="H10" s="6"/>
      <c r="I10" s="6"/>
    </row>
    <row r="11" spans="1:9">
      <c r="A11" s="6"/>
      <c r="B11" s="11"/>
      <c r="C11" s="11"/>
      <c r="D11" s="11"/>
      <c r="E11" s="11"/>
      <c r="F11" s="6"/>
      <c r="G11" s="6"/>
      <c r="H11" s="6"/>
      <c r="I11" s="6"/>
    </row>
    <row r="12" spans="1:9">
      <c r="A12" s="33" t="s">
        <v>60</v>
      </c>
      <c r="C12" s="11"/>
      <c r="D12" s="11"/>
      <c r="E12" s="11"/>
      <c r="F12" s="6"/>
      <c r="G12" s="6"/>
      <c r="H12" s="6"/>
      <c r="I12" s="6"/>
    </row>
    <row r="13" spans="1:9">
      <c r="A13" s="11" t="s">
        <v>6</v>
      </c>
      <c r="C13" s="74" cm="1">
        <f t="array" ref="C13">BS("c",C5,C6,C7,C8,C9,C10)</f>
        <v>8.6276740295600174</v>
      </c>
      <c r="D13" s="19" t="str" cm="1">
        <f t="array" aca="1" ref="D13" ca="1">getformula(C13)</f>
        <v>&lt;--  =BS("c",C5,C6,C7,C8,C9,C10)</v>
      </c>
      <c r="E13" s="19"/>
    </row>
    <row r="14" spans="1:9">
      <c r="A14" s="11" t="s">
        <v>3</v>
      </c>
      <c r="C14" s="74" cm="1">
        <f t="array" ref="C14">BS("p",C5,C6,C7,C8,C9,C10)</f>
        <v>10.549284934339425</v>
      </c>
      <c r="D14" s="19" t="str" cm="1">
        <f t="array" aca="1" ref="D14" ca="1">getformula(C14)</f>
        <v>&lt;--  =BS("p",C5,C6,C7,C8,C9,C10)</v>
      </c>
      <c r="E14" s="19"/>
      <c r="F14" s="6"/>
      <c r="H14" s="6"/>
      <c r="I14" s="6"/>
    </row>
    <row r="15" spans="1:9">
      <c r="A15" s="6"/>
      <c r="B15" s="11"/>
      <c r="C15" s="11"/>
      <c r="D15" s="11"/>
      <c r="E15" s="11"/>
      <c r="G15" s="47"/>
      <c r="I15" s="6"/>
    </row>
    <row r="16" spans="1:9">
      <c r="A16" s="6" t="s">
        <v>9</v>
      </c>
      <c r="B16" s="77" t="s">
        <v>61</v>
      </c>
      <c r="C16" s="12" t="s">
        <v>93</v>
      </c>
      <c r="D16" s="12" t="s">
        <v>94</v>
      </c>
      <c r="E16" s="10"/>
      <c r="F16" s="77" t="s">
        <v>119</v>
      </c>
      <c r="G16" s="12" t="s">
        <v>93</v>
      </c>
      <c r="H16" s="12" t="s">
        <v>94</v>
      </c>
      <c r="I16" s="6"/>
    </row>
    <row r="17" spans="1:9">
      <c r="A17" s="6"/>
      <c r="B17" s="75">
        <v>5</v>
      </c>
      <c r="C17" s="76" cm="1">
        <f t="array" ref="C17">BS("c",B17,$C$6,$C$7,$C$8,$C$9,$C$10)</f>
        <v>3.6136175925280898E-34</v>
      </c>
      <c r="D17" s="76" cm="1">
        <f t="array" ref="D17">BS("p",B17,$C$6,$C$7,$C$8,$C$9,$C$10)</f>
        <v>92.288406232347242</v>
      </c>
      <c r="E17" s="10"/>
      <c r="F17" s="85">
        <v>2.5000000000000001E-2</v>
      </c>
      <c r="G17" s="76" cm="1">
        <f t="array" ref="G17">BS("c",$C$5,$C$6,$C$7,$C$8,$C$9,F17)</f>
        <v>0.28872129408005576</v>
      </c>
      <c r="H17" s="76" cm="1">
        <f t="array" ref="H17">BS("p",$C$5,$C$6,$C$7,$C$8,$C$9,F17)</f>
        <v>2.2103321988594642</v>
      </c>
      <c r="I17" s="6"/>
    </row>
    <row r="18" spans="1:9">
      <c r="A18" s="6"/>
      <c r="B18" s="75">
        <v>10</v>
      </c>
      <c r="C18" s="76" cm="1">
        <f t="array" ref="C18">BS("c",B18,$C$6,$C$7,$C$8,$C$9,$C$10)</f>
        <v>6.1023780589586383E-21</v>
      </c>
      <c r="D18" s="76" cm="1">
        <f t="array" ref="D18">BS("p",B18,$C$6,$C$7,$C$8,$C$9,$C$10)</f>
        <v>87.532259109843679</v>
      </c>
      <c r="E18" s="10"/>
      <c r="F18" s="85">
        <v>0.05</v>
      </c>
      <c r="G18" s="76" cm="1">
        <f t="array" ref="G18">BS("c",$C$5,$C$6,$C$7,$C$8,$C$9,F18)</f>
        <v>1.1068501847710632</v>
      </c>
      <c r="H18" s="76" cm="1">
        <f t="array" ref="H18">BS("p",$C$5,$C$6,$C$7,$C$8,$C$9,F18)</f>
        <v>3.0284610895504773</v>
      </c>
      <c r="I18" s="6"/>
    </row>
    <row r="19" spans="1:9">
      <c r="B19" s="75">
        <v>15</v>
      </c>
      <c r="C19" s="76" cm="1">
        <f t="array" ref="C19">BS("c",B19,$C$6,$C$7,$C$8,$C$9,$C$10)</f>
        <v>1.0147998850123889E-14</v>
      </c>
      <c r="D19" s="76" cm="1">
        <f t="array" ref="D19">BS("p",B19,$C$6,$C$7,$C$8,$C$9,$C$10)</f>
        <v>82.776111987340116</v>
      </c>
      <c r="E19" s="10"/>
      <c r="F19" s="85">
        <v>7.4999999999999997E-2</v>
      </c>
      <c r="G19" s="76" cm="1">
        <f t="array" ref="G19">BS("c",$C$5,$C$6,$C$7,$C$8,$C$9,F19)</f>
        <v>2.0149523082699337</v>
      </c>
      <c r="H19" s="76" cm="1">
        <f t="array" ref="H19">BS("p",$C$5,$C$6,$C$7,$C$8,$C$9,F19)</f>
        <v>3.9365632130493422</v>
      </c>
    </row>
    <row r="20" spans="1:9">
      <c r="B20" s="75">
        <v>20</v>
      </c>
      <c r="C20" s="76" cm="1">
        <f t="array" ref="C20">BS("c",B20,$C$6,$C$7,$C$8,$C$9,$C$10)</f>
        <v>5.5901751114973224E-11</v>
      </c>
      <c r="D20" s="76" cm="1">
        <f t="array" ref="D20">BS("p",B20,$C$6,$C$7,$C$8,$C$9,$C$10)</f>
        <v>78.019964864892444</v>
      </c>
      <c r="E20" s="10"/>
      <c r="F20" s="85">
        <v>0.1</v>
      </c>
      <c r="G20" s="76" cm="1">
        <f t="array" ref="G20">BS("c",$C$5,$C$6,$C$7,$C$8,$C$9,F20)</f>
        <v>2.9470955164674195</v>
      </c>
      <c r="H20" s="76" cm="1">
        <f t="array" ref="H20">BS("p",$C$5,$C$6,$C$7,$C$8,$C$9,F20)</f>
        <v>4.8687064212468387</v>
      </c>
    </row>
    <row r="21" spans="1:9">
      <c r="B21" s="75">
        <v>25</v>
      </c>
      <c r="C21" s="76" cm="1">
        <f t="array" ref="C21">BS("c",B21,$C$6,$C$7,$C$8,$C$9,$C$10)</f>
        <v>1.8556241694470887E-8</v>
      </c>
      <c r="D21" s="76" cm="1">
        <f t="array" ref="D21">BS("p",B21,$C$6,$C$7,$C$8,$C$9,$C$10)</f>
        <v>73.263817760889211</v>
      </c>
      <c r="E21" s="10"/>
      <c r="F21" s="85">
        <v>0.125</v>
      </c>
      <c r="G21" s="76" cm="1">
        <f t="array" ref="G21">BS("c",$C$5,$C$6,$C$7,$C$8,$C$9,F21)</f>
        <v>3.8886391323551992</v>
      </c>
      <c r="H21" s="76" cm="1">
        <f t="array" ref="H21">BS("p",$C$5,$C$6,$C$7,$C$8,$C$9,F21)</f>
        <v>5.8102500371346135</v>
      </c>
    </row>
    <row r="22" spans="1:9">
      <c r="B22" s="75">
        <v>30</v>
      </c>
      <c r="C22" s="76" cm="1">
        <f t="array" ref="C22">BS("c",B22,$C$6,$C$7,$C$8,$C$9,$C$10)</f>
        <v>1.2140019481117184E-6</v>
      </c>
      <c r="D22" s="76" cm="1">
        <f t="array" ref="D22">BS("p",B22,$C$6,$C$7,$C$8,$C$9,$C$10)</f>
        <v>68.507671833831338</v>
      </c>
      <c r="E22" s="10"/>
      <c r="F22" s="85">
        <v>0.15</v>
      </c>
      <c r="G22" s="76" cm="1">
        <f t="array" ref="G22">BS("c",$C$5,$C$6,$C$7,$C$8,$C$9,F22)</f>
        <v>4.8344772244501621</v>
      </c>
      <c r="H22" s="76" cm="1">
        <f t="array" ref="H22">BS("p",$C$5,$C$6,$C$7,$C$8,$C$9,F22)</f>
        <v>6.7560881292295765</v>
      </c>
    </row>
    <row r="23" spans="1:9">
      <c r="B23" s="75">
        <v>35</v>
      </c>
      <c r="C23" s="76" cm="1">
        <f t="array" ref="C23">BS("c",B23,$C$6,$C$7,$C$8,$C$9,$C$10)</f>
        <v>2.8203083899672543E-5</v>
      </c>
      <c r="D23" s="76" cm="1">
        <f t="array" ref="D23">BS("p",B23,$C$6,$C$7,$C$8,$C$9,$C$10)</f>
        <v>63.751551700409735</v>
      </c>
      <c r="E23" s="10"/>
      <c r="F23" s="85">
        <v>0.17499999999999999</v>
      </c>
      <c r="G23" s="76" cm="1">
        <f t="array" ref="G23">BS("c",$C$5,$C$6,$C$7,$C$8,$C$9,F23)</f>
        <v>5.7823129607562951</v>
      </c>
      <c r="H23" s="76" cm="1">
        <f t="array" ref="H23">BS("p",$C$5,$C$6,$C$7,$C$8,$C$9,F23)</f>
        <v>7.7039238655357094</v>
      </c>
    </row>
    <row r="24" spans="1:9">
      <c r="B24" s="75">
        <v>40</v>
      </c>
      <c r="C24" s="76" cm="1">
        <f t="array" ref="C24">BS("c",B24,$C$6,$C$7,$C$8,$C$9,$C$10)</f>
        <v>3.2376209213091418E-4</v>
      </c>
      <c r="D24" s="76" cm="1">
        <f t="array" ref="D24">BS("p",B24,$C$6,$C$7,$C$8,$C$9,$C$10)</f>
        <v>58.995700136914387</v>
      </c>
      <c r="E24" s="10"/>
      <c r="F24" s="85">
        <v>0.2</v>
      </c>
      <c r="G24" s="76" cm="1">
        <f t="array" ref="G24">BS("c",$C$5,$C$6,$C$7,$C$8,$C$9,F24)</f>
        <v>6.7309176491633007</v>
      </c>
      <c r="H24" s="76" cm="1">
        <f t="array" ref="H24">BS("p",$C$5,$C$6,$C$7,$C$8,$C$9,F24)</f>
        <v>8.6525285539427088</v>
      </c>
    </row>
    <row r="25" spans="1:9">
      <c r="B25" s="75">
        <v>45</v>
      </c>
      <c r="C25" s="76" cm="1">
        <f t="array" ref="C25">BS("c",B25,$C$6,$C$7,$C$8,$C$9,$C$10)</f>
        <v>2.2470892906286928E-3</v>
      </c>
      <c r="D25" s="76" cm="1">
        <f t="array" ref="D25">BS("p",B25,$C$6,$C$7,$C$8,$C$9,$C$10)</f>
        <v>54.241476341609307</v>
      </c>
      <c r="E25" s="10"/>
      <c r="F25" s="85">
        <v>0.22500000000000001</v>
      </c>
      <c r="G25" s="76" cm="1">
        <f t="array" ref="G25">BS("c",$C$5,$C$6,$C$7,$C$8,$C$9,F25)</f>
        <v>7.6795411572750529</v>
      </c>
      <c r="H25" s="76" cm="1">
        <f t="array" ref="H25">BS("p",$C$5,$C$6,$C$7,$C$8,$C$9,F25)</f>
        <v>9.6011520620544619</v>
      </c>
    </row>
    <row r="26" spans="1:9">
      <c r="B26" s="75">
        <v>50</v>
      </c>
      <c r="C26" s="76" cm="1">
        <f t="array" ref="C26">BS("c",B26,$C$6,$C$7,$C$8,$C$9,$C$10)</f>
        <v>1.0749339663773144E-2</v>
      </c>
      <c r="D26" s="76" cm="1">
        <f t="array" ref="D26">BS("p",B26,$C$6,$C$7,$C$8,$C$9,$C$10)</f>
        <v>49.493831469478884</v>
      </c>
      <c r="E26" s="10"/>
      <c r="F26" s="85">
        <v>0.25</v>
      </c>
      <c r="G26" s="76" cm="1">
        <f t="array" ref="G26">BS("c",$C$5,$C$6,$C$7,$C$8,$C$9,F26)</f>
        <v>8.6276740295600174</v>
      </c>
      <c r="H26" s="76" cm="1">
        <f t="array" ref="H26">BS("p",$C$5,$C$6,$C$7,$C$8,$C$9,F26)</f>
        <v>10.549284934339425</v>
      </c>
    </row>
    <row r="27" spans="1:9">
      <c r="B27" s="75">
        <v>55</v>
      </c>
      <c r="C27" s="76" cm="1">
        <f t="array" ref="C27">BS("c",B27,$C$6,$C$7,$C$8,$C$9,$C$10)</f>
        <v>3.8749373027242948E-2</v>
      </c>
      <c r="D27" s="76" cm="1">
        <f t="array" ref="D27">BS("p",B27,$C$6,$C$7,$C$8,$C$9,$C$10)</f>
        <v>44.765684380338783</v>
      </c>
      <c r="E27" s="10"/>
      <c r="F27" s="85">
        <v>0.27500000000000002</v>
      </c>
      <c r="G27" s="76" cm="1">
        <f t="array" ref="G27">BS("c",$C$5,$C$6,$C$7,$C$8,$C$9,F27)</f>
        <v>9.5749388014805916</v>
      </c>
      <c r="H27" s="76" cm="1">
        <f t="array" ref="H27">BS("p",$C$5,$C$6,$C$7,$C$8,$C$9,F27)</f>
        <v>11.496549706260005</v>
      </c>
    </row>
    <row r="28" spans="1:9">
      <c r="B28" s="75">
        <v>60</v>
      </c>
      <c r="C28" s="76" cm="1">
        <f t="array" ref="C28">BS("c",B28,$C$6,$C$7,$C$8,$C$9,$C$10)</f>
        <v>0.11211831743027338</v>
      </c>
      <c r="D28" s="76" cm="1">
        <f t="array" ref="D28">BS("p",B28,$C$6,$C$7,$C$8,$C$9,$C$10)</f>
        <v>40.082906202238249</v>
      </c>
      <c r="E28" s="10"/>
      <c r="F28" s="85">
        <v>0.3</v>
      </c>
      <c r="G28" s="76" cm="1">
        <f t="array" ref="G28">BS("c",$C$5,$C$6,$C$7,$C$8,$C$9,F28)</f>
        <v>10.521035490786623</v>
      </c>
      <c r="H28" s="76" cm="1">
        <f t="array" ref="H28">BS("p",$C$5,$C$6,$C$7,$C$8,$C$9,F28)</f>
        <v>12.442646395566042</v>
      </c>
    </row>
    <row r="29" spans="1:9">
      <c r="B29" s="75">
        <v>65</v>
      </c>
      <c r="C29" s="76" cm="1">
        <f t="array" ref="C29">BS("c",B29,$C$6,$C$7,$C$8,$C$9,$C$10)</f>
        <v>0.27264816669792352</v>
      </c>
      <c r="D29" s="76" cm="1">
        <f t="array" ref="D29">BS("p",B29,$C$6,$C$7,$C$8,$C$9,$C$10)</f>
        <v>35.487288929002325</v>
      </c>
      <c r="E29" s="10"/>
      <c r="F29" s="85">
        <v>0.32500000000000001</v>
      </c>
      <c r="G29" s="76" cm="1">
        <f t="array" ref="G29">BS("c",$C$5,$C$6,$C$7,$C$8,$C$9,F29)</f>
        <v>11.465712201570762</v>
      </c>
      <c r="H29" s="76" cm="1">
        <f t="array" ref="H29">BS("p",$C$5,$C$6,$C$7,$C$8,$C$9,F29)</f>
        <v>13.387323106350181</v>
      </c>
    </row>
    <row r="30" spans="1:9">
      <c r="B30" s="75">
        <v>70</v>
      </c>
      <c r="C30" s="76" cm="1">
        <f t="array" ref="C30">BS("c",B30,$C$6,$C$7,$C$8,$C$9,$C$10)</f>
        <v>0.57675150747803738</v>
      </c>
      <c r="D30" s="76" cm="1">
        <f t="array" ref="D30">BS("p",B30,$C$6,$C$7,$C$8,$C$9,$C$10)</f>
        <v>31.035245147278875</v>
      </c>
      <c r="E30" s="10"/>
      <c r="F30" s="85">
        <v>0.35</v>
      </c>
      <c r="G30" s="76" cm="1">
        <f t="array" ref="G30">BS("c",$C$5,$C$6,$C$7,$C$8,$C$9,F30)</f>
        <v>12.408748322978774</v>
      </c>
      <c r="H30" s="76" cm="1">
        <f t="array" ref="H30">BS("p",$C$5,$C$6,$C$7,$C$8,$C$9,F30)</f>
        <v>14.330359227758189</v>
      </c>
    </row>
    <row r="31" spans="1:9">
      <c r="B31" s="75">
        <v>75</v>
      </c>
      <c r="C31" s="76" cm="1">
        <f t="array" ref="C31">BS("c",B31,$C$6,$C$7,$C$8,$C$9,$C$10)</f>
        <v>1.0895613283033265</v>
      </c>
      <c r="D31" s="76" cm="1">
        <f t="array" ref="D31">BS("p",B31,$C$6,$C$7,$C$8,$C$9,$C$10)</f>
        <v>26.791907845600583</v>
      </c>
      <c r="E31" s="10"/>
      <c r="F31" s="85">
        <v>0.375</v>
      </c>
      <c r="G31" s="76" cm="1">
        <f t="array" ref="G31">BS("c",$C$5,$C$6,$C$7,$C$8,$C$9,F31)</f>
        <v>13.34994445998321</v>
      </c>
      <c r="H31" s="76" cm="1">
        <f t="array" ref="H31">BS("p",$C$5,$C$6,$C$7,$C$8,$C$9,F31)</f>
        <v>15.271555364762623</v>
      </c>
    </row>
    <row r="32" spans="1:9">
      <c r="B32" s="75">
        <v>80</v>
      </c>
      <c r="C32" s="76" cm="1">
        <f t="array" ref="C32">BS("c",B32,$C$6,$C$7,$C$8,$C$9,$C$10)</f>
        <v>1.8761574489659338</v>
      </c>
      <c r="D32" s="76" cm="1">
        <f t="array" ref="D32">BS("p",B32,$C$6,$C$7,$C$8,$C$9,$C$10)</f>
        <v>22.822356843759628</v>
      </c>
      <c r="E32" s="10"/>
      <c r="F32" s="85">
        <v>0.4</v>
      </c>
      <c r="G32" s="76" cm="1">
        <f t="array" ref="G32">BS("c",$C$5,$C$6,$C$7,$C$8,$C$9,F32)</f>
        <v>14.289116157148703</v>
      </c>
      <c r="H32" s="76" cm="1">
        <f t="array" ref="H32">BS("p",$C$5,$C$6,$C$7,$C$8,$C$9,F32)</f>
        <v>16.210727061928122</v>
      </c>
    </row>
    <row r="33" spans="2:8">
      <c r="B33" s="75">
        <v>85</v>
      </c>
      <c r="C33" s="76" cm="1">
        <f t="array" ref="C33">BS("c",B33,$C$6,$C$7,$C$8,$C$9,$C$10)</f>
        <v>2.9926125075124865</v>
      </c>
      <c r="D33" s="76" cm="1">
        <f t="array" ref="D33">BS("p",B33,$C$6,$C$7,$C$8,$C$9,$C$10)</f>
        <v>19.182664779802614</v>
      </c>
      <c r="E33" s="10"/>
      <c r="F33" s="85">
        <v>0.42499999999999999</v>
      </c>
      <c r="G33" s="76" cm="1">
        <f t="array" ref="G33">BS("c",$C$5,$C$6,$C$7,$C$8,$C$9,F33)</f>
        <v>15.226089856238533</v>
      </c>
      <c r="H33" s="76" cm="1">
        <f t="array" ref="H33">BS("p",$C$5,$C$6,$C$7,$C$8,$C$9,F33)</f>
        <v>17.147700761017951</v>
      </c>
    </row>
    <row r="34" spans="2:8">
      <c r="B34" s="75">
        <v>90</v>
      </c>
      <c r="C34" s="76" cm="1">
        <f t="array" ref="C34">BS("c",B34,$C$6,$C$7,$C$8,$C$9,$C$10)</f>
        <v>4.4791970390383069</v>
      </c>
      <c r="D34" s="76" cm="1">
        <f t="array" ref="D34">BS("p",B34,$C$6,$C$7,$C$8,$C$9,$C$10)</f>
        <v>15.913102188824855</v>
      </c>
      <c r="E34" s="10"/>
      <c r="F34" s="85">
        <v>0.45</v>
      </c>
      <c r="G34" s="76" cm="1">
        <f t="array" ref="G34">BS("c",$C$5,$C$6,$C$7,$C$8,$C$9,F34)</f>
        <v>16.1607002200717</v>
      </c>
      <c r="H34" s="76" cm="1">
        <f t="array" ref="H34">BS("p",$C$5,$C$6,$C$7,$C$8,$C$9,F34)</f>
        <v>18.08231112485112</v>
      </c>
    </row>
    <row r="35" spans="2:8">
      <c r="B35" s="75">
        <v>95</v>
      </c>
      <c r="C35" s="76" cm="1">
        <f t="array" ref="C35">BS("c",B35,$C$6,$C$7,$C$8,$C$9,$C$10)</f>
        <v>6.3569559958987902</v>
      </c>
      <c r="D35" s="76" cm="1">
        <f t="array" ref="D35">BS("p",B35,$C$6,$C$7,$C$8,$C$9,$C$10)</f>
        <v>13.034714023181769</v>
      </c>
      <c r="E35" s="10"/>
      <c r="F35" s="85">
        <v>0.47499999999999998</v>
      </c>
      <c r="G35" s="76" cm="1">
        <f t="array" ref="G35">BS("c",$C$5,$C$6,$C$7,$C$8,$C$9,F35)</f>
        <v>17.092788319685042</v>
      </c>
      <c r="H35" s="76" cm="1">
        <f t="array" ref="H35">BS("p",$C$5,$C$6,$C$7,$C$8,$C$9,F35)</f>
        <v>19.014399224464462</v>
      </c>
    </row>
    <row r="36" spans="2:8">
      <c r="B36" s="75">
        <v>100</v>
      </c>
      <c r="C36" s="76" cm="1">
        <f t="array" ref="C36">BS("c",B36,$C$6,$C$7,$C$8,$C$9,$C$10)</f>
        <v>8.6276740295600174</v>
      </c>
      <c r="D36" s="76" cm="1">
        <f t="array" ref="D36">BS("p",B36,$C$6,$C$7,$C$8,$C$9,$C$10)</f>
        <v>10.549284934339425</v>
      </c>
      <c r="E36" s="10"/>
      <c r="F36" s="85">
        <v>0.5</v>
      </c>
      <c r="G36" s="76" cm="1">
        <f t="array" ref="G36">BS("c",$C$5,$C$6,$C$7,$C$8,$C$9,F36)</f>
        <v>18.022200382703637</v>
      </c>
      <c r="H36" s="76" cm="1">
        <f t="array" ref="H36">BS("p",$C$5,$C$6,$C$7,$C$8,$C$9,F36)</f>
        <v>19.943811287483054</v>
      </c>
    </row>
    <row r="37" spans="2:8">
      <c r="B37" s="75">
        <v>105</v>
      </c>
      <c r="C37" s="76" cm="1">
        <f t="array" ref="C37">BS("c",B37,$C$6,$C$7,$C$8,$C$9,$C$10)</f>
        <v>11.27643418039974</v>
      </c>
      <c r="D37" s="76" cm="1">
        <f t="array" ref="D37">BS("p",B37,$C$6,$C$7,$C$8,$C$9,$C$10)</f>
        <v>8.4418979626755881</v>
      </c>
      <c r="E37" s="10"/>
      <c r="F37" s="85">
        <v>0.52500000000000002</v>
      </c>
      <c r="G37" s="76" cm="1">
        <f t="array" ref="G37">BS("c",$C$5,$C$6,$C$7,$C$8,$C$9,F37)</f>
        <v>18.94878691573113</v>
      </c>
      <c r="H37" s="76" cm="1">
        <f t="array" ref="H37">BS("p",$C$5,$C$6,$C$7,$C$8,$C$9,F37)</f>
        <v>20.87039782051054</v>
      </c>
    </row>
    <row r="38" spans="2:8">
      <c r="B38" s="75">
        <v>110</v>
      </c>
      <c r="C38" s="76" cm="1">
        <f t="array" ref="C38">BS("c",B38,$C$6,$C$7,$C$8,$C$9,$C$10)</f>
        <v>14.275657776434203</v>
      </c>
      <c r="D38" s="76" cm="1">
        <f t="array" ref="D38">BS("p",B38,$C$6,$C$7,$C$8,$C$9,$C$10)</f>
        <v>6.6849744362064758</v>
      </c>
      <c r="E38" s="10"/>
      <c r="F38" s="85">
        <v>0.55000000000000004</v>
      </c>
      <c r="G38" s="76" cm="1">
        <f t="array" ref="G38">BS("c",$C$5,$C$6,$C$7,$C$8,$C$9,F38)</f>
        <v>19.872402081540319</v>
      </c>
      <c r="H38" s="76" cm="1">
        <f t="array" ref="H38">BS("p",$C$5,$C$6,$C$7,$C$8,$C$9,F38)</f>
        <v>21.794012986319736</v>
      </c>
    </row>
    <row r="39" spans="2:8">
      <c r="B39" s="75">
        <v>115</v>
      </c>
      <c r="C39" s="76" cm="1">
        <f t="array" ref="C39">BS("c",B39,$C$6,$C$7,$C$8,$C$9,$C$10)</f>
        <v>17.589584214422604</v>
      </c>
      <c r="D39" s="76" cm="1">
        <f t="array" ref="D39">BS("p",B39,$C$6,$C$7,$C$8,$C$9,$C$10)</f>
        <v>5.2427537516913088</v>
      </c>
      <c r="E39" s="10"/>
      <c r="F39" s="85">
        <v>0.57499999999999996</v>
      </c>
      <c r="G39" s="76" cm="1">
        <f t="array" ref="G39">BS("c",$C$5,$C$6,$C$7,$C$8,$C$9,F39)</f>
        <v>20.792903253250707</v>
      </c>
      <c r="H39" s="76" cm="1">
        <f t="array" ref="H39">BS("p",$C$5,$C$6,$C$7,$C$8,$C$9,F39)</f>
        <v>22.714514158030109</v>
      </c>
    </row>
    <row r="40" spans="2:8">
      <c r="B40" s="75">
        <v>120</v>
      </c>
      <c r="C40" s="76" cm="1">
        <f t="array" ref="C40">BS("c",B40,$C$6,$C$7,$C$8,$C$9,$C$10)</f>
        <v>21.17842628782768</v>
      </c>
      <c r="D40" s="76" cm="1">
        <f t="array" ref="D40">BS("p",B40,$C$6,$C$7,$C$8,$C$9,$C$10)</f>
        <v>4.0754487025928192</v>
      </c>
      <c r="E40" s="10"/>
      <c r="F40" s="85">
        <v>0.6</v>
      </c>
      <c r="G40" s="76" cm="1">
        <f t="array" ref="G40">BS("c",$C$5,$C$6,$C$7,$C$8,$C$9,F40)</f>
        <v>21.710150693577496</v>
      </c>
      <c r="H40" s="76" cm="1">
        <f t="array" ref="H40">BS("p",$C$5,$C$6,$C$7,$C$8,$C$9,F40)</f>
        <v>23.631761598356913</v>
      </c>
    </row>
    <row r="41" spans="2:8">
      <c r="B41" s="75">
        <v>125</v>
      </c>
      <c r="C41" s="76" cm="1">
        <f t="array" ref="C41">BS("c",B41,$C$6,$C$7,$C$8,$C$9,$C$10)</f>
        <v>25.001762618479628</v>
      </c>
      <c r="D41" s="76" cm="1">
        <f t="array" ref="D41">BS("p",B41,$C$6,$C$7,$C$8,$C$9,$C$10)</f>
        <v>3.1426379107411826</v>
      </c>
      <c r="E41" s="10"/>
      <c r="F41" s="85">
        <v>0.625</v>
      </c>
      <c r="G41" s="76" cm="1">
        <f t="array" ref="G41">BS("c",$C$5,$C$6,$C$7,$C$8,$C$9,F41)</f>
        <v>22.624007323821658</v>
      </c>
      <c r="H41" s="76" cm="1">
        <f t="array" ref="H41">BS("p",$C$5,$C$6,$C$7,$C$8,$C$9,F41)</f>
        <v>24.545618228601075</v>
      </c>
    </row>
    <row r="42" spans="2:8">
      <c r="B42" s="75">
        <v>130</v>
      </c>
      <c r="C42" s="76" cm="1">
        <f t="array" ref="C42">BS("c",B42,$C$6,$C$7,$C$8,$C$9,$C$10)</f>
        <v>29.021007382687202</v>
      </c>
      <c r="D42" s="76" cm="1">
        <f t="array" ref="D42">BS("p",B42,$C$6,$C$7,$C$8,$C$9,$C$10)</f>
        <v>2.405735552445194</v>
      </c>
      <c r="E42" s="10"/>
      <c r="F42" s="85">
        <v>0.65</v>
      </c>
      <c r="G42" s="76" cm="1">
        <f t="array" ref="G42">BS("c",$C$5,$C$6,$C$7,$C$8,$C$9,F42)</f>
        <v>23.534338558120442</v>
      </c>
      <c r="H42" s="76" cm="1">
        <f t="array" ref="H42">BS("p",$C$5,$C$6,$C$7,$C$8,$C$9,F42)</f>
        <v>25.455949462899856</v>
      </c>
    </row>
    <row r="43" spans="2:8">
      <c r="B43" s="75">
        <v>135</v>
      </c>
      <c r="C43" s="76" cm="1">
        <f t="array" ref="C43">BS("c",B43,$C$6,$C$7,$C$8,$C$9,$C$10)</f>
        <v>33.200990483632822</v>
      </c>
      <c r="D43" s="76" cm="1">
        <f t="array" ref="D43">BS("p",B43,$C$6,$C$7,$C$8,$C$9,$C$10)</f>
        <v>1.8295715308872422</v>
      </c>
      <c r="E43" s="10"/>
      <c r="F43" s="85">
        <v>0.67500000000000004</v>
      </c>
      <c r="G43" s="76" cm="1">
        <f t="array" ref="G43">BS("c",$C$5,$C$6,$C$7,$C$8,$C$9,F43)</f>
        <v>24.4410121857149</v>
      </c>
      <c r="H43" s="76" cm="1">
        <f t="array" ref="H43">BS("p",$C$5,$C$6,$C$7,$C$8,$C$9,F43)</f>
        <v>26.362623090494317</v>
      </c>
    </row>
    <row r="44" spans="2:8">
      <c r="B44" s="75">
        <v>140</v>
      </c>
      <c r="C44" s="76" cm="1">
        <f t="array" ref="C44">BS("c",B44,$C$6,$C$7,$C$8,$C$9,$C$10)</f>
        <v>37.510788677600623</v>
      </c>
      <c r="D44" s="76" cm="1">
        <f t="array" ref="D44">BS("p",B44,$C$6,$C$7,$C$8,$C$9,$C$10)</f>
        <v>1.3832226023514784</v>
      </c>
      <c r="E44" s="10"/>
      <c r="F44" s="85">
        <v>0.7</v>
      </c>
      <c r="G44" s="76" cm="1">
        <f t="array" ref="G44">BS("c",$C$5,$C$6,$C$7,$C$8,$C$9,F44)</f>
        <v>25.343898288904121</v>
      </c>
      <c r="H44" s="76" cm="1">
        <f t="array" ref="H44">BS("p",$C$5,$C$6,$C$7,$C$8,$C$9,F44)</f>
        <v>27.265509193683538</v>
      </c>
    </row>
    <row r="45" spans="2:8">
      <c r="B45" s="75">
        <v>145</v>
      </c>
      <c r="C45" s="76" cm="1">
        <f t="array" ref="C45">BS("c",B45,$C$6,$C$7,$C$8,$C$9,$C$10)</f>
        <v>41.923988633947324</v>
      </c>
      <c r="D45" s="76" cm="1">
        <f t="array" ref="D45">BS("p",B45,$C$6,$C$7,$C$8,$C$9,$C$10)</f>
        <v>1.0402754361946167</v>
      </c>
      <c r="E45" s="10"/>
      <c r="F45" s="85">
        <v>0.72499999999999998</v>
      </c>
      <c r="G45" s="76" cm="1">
        <f t="array" ref="G45">BS("c",$C$5,$C$6,$C$7,$C$8,$C$9,F45)</f>
        <v>26.24286918774586</v>
      </c>
      <c r="H45" s="76" cm="1">
        <f t="array" ref="H45">BS("p",$C$5,$C$6,$C$7,$C$8,$C$9,F45)</f>
        <v>28.164480092525274</v>
      </c>
    </row>
    <row r="46" spans="2:8">
      <c r="B46" s="75">
        <v>150</v>
      </c>
      <c r="C46" s="76" cm="1">
        <f t="array" ref="C46">BS("c",B46,$C$6,$C$7,$C$8,$C$9,$C$10)</f>
        <v>46.418559828555573</v>
      </c>
      <c r="D46" s="76" cm="1">
        <f t="array" ref="D46">BS("p",B46,$C$6,$C$7,$C$8,$C$9,$C$10)</f>
        <v>0.77869950829928425</v>
      </c>
      <c r="E46" s="10"/>
      <c r="F46" s="85">
        <v>0.75</v>
      </c>
      <c r="G46" s="76" cm="1">
        <f t="array" ref="G46">BS("c",$C$5,$C$6,$C$7,$C$8,$C$9,F46)</f>
        <v>27.137799404937351</v>
      </c>
      <c r="H46" s="76" cm="1">
        <f t="array" ref="H46">BS("p",$C$5,$C$6,$C$7,$C$8,$C$9,F46)</f>
        <v>29.05941030971676</v>
      </c>
    </row>
    <row r="47" spans="2:8">
      <c r="B47" s="75">
        <v>155</v>
      </c>
      <c r="C47" s="76" cm="1">
        <f t="array" ref="C47">BS("c",B47,$C$6,$C$7,$C$8,$C$9,$C$10)</f>
        <v>50.976488913511261</v>
      </c>
      <c r="D47" s="76" cm="1">
        <f t="array" ref="D47">BS("p",B47,$C$6,$C$7,$C$8,$C$9,$C$10)</f>
        <v>0.58048147075139744</v>
      </c>
      <c r="E47" s="10"/>
      <c r="F47" s="85">
        <v>0.77500000000000002</v>
      </c>
      <c r="G47" s="76" cm="1">
        <f t="array" ref="G47">BS("c",$C$5,$C$6,$C$7,$C$8,$C$9,F47)</f>
        <v>28.02856564599584</v>
      </c>
      <c r="H47" s="76" cm="1">
        <f t="array" ref="H47">BS("p",$C$5,$C$6,$C$7,$C$8,$C$9,F47)</f>
        <v>29.950176550775254</v>
      </c>
    </row>
    <row r="48" spans="2:8">
      <c r="B48" s="75">
        <v>160</v>
      </c>
      <c r="C48" s="76" cm="1">
        <f t="array" ref="C48">BS("c",B48,$C$6,$C$7,$C$8,$C$9,$C$10)</f>
        <v>55.583292445049153</v>
      </c>
      <c r="D48" s="76" cm="1">
        <f t="array" ref="D48">BS("p",B48,$C$6,$C$7,$C$8,$C$9,$C$10)</f>
        <v>0.43113787978572621</v>
      </c>
      <c r="E48" s="10"/>
      <c r="F48" s="85">
        <v>0.8</v>
      </c>
      <c r="G48" s="76" cm="1">
        <f t="array" ref="G48">BS("c",$C$5,$C$6,$C$7,$C$8,$C$9,F48)</f>
        <v>28.915046791070811</v>
      </c>
      <c r="H48" s="76" cm="1">
        <f t="array" ref="H48">BS("p",$C$5,$C$6,$C$7,$C$8,$C$9,F48)</f>
        <v>30.836657695850217</v>
      </c>
    </row>
    <row r="49" spans="2:8">
      <c r="B49" s="75">
        <v>165</v>
      </c>
      <c r="C49" s="76" cm="1">
        <f t="array" ref="C49">BS("c",B49,$C$6,$C$7,$C$8,$C$9,$C$10)</f>
        <v>60.227490585501883</v>
      </c>
      <c r="D49" s="76" cm="1">
        <f t="array" ref="D49">BS("p",B49,$C$6,$C$7,$C$8,$C$9,$C$10)</f>
        <v>0.31918889773489606</v>
      </c>
      <c r="E49" s="10"/>
      <c r="F49" s="85">
        <v>0.82499999999999996</v>
      </c>
      <c r="G49" s="76" cm="1">
        <f t="array" ref="G49">BS("c",$C$5,$C$6,$C$7,$C$8,$C$9,F49)</f>
        <v>29.797123895601914</v>
      </c>
      <c r="H49" s="76" cm="1">
        <f t="array" ref="H49">BS("p",$C$5,$C$6,$C$7,$C$8,$C$9,F49)</f>
        <v>31.718734800381327</v>
      </c>
    </row>
    <row r="50" spans="2:8">
      <c r="B50" s="75">
        <v>170</v>
      </c>
      <c r="C50" s="76" cm="1">
        <f t="array" ref="C50">BS("c",B50,$C$6,$C$7,$C$8,$C$9,$C$10)</f>
        <v>64.90009517029101</v>
      </c>
      <c r="D50" s="76" cm="1">
        <f t="array" ref="D50">BS("p",B50,$C$6,$C$7,$C$8,$C$9,$C$10)</f>
        <v>0.23564636002044459</v>
      </c>
      <c r="E50" s="10"/>
      <c r="F50" s="85">
        <v>0.85</v>
      </c>
      <c r="G50" s="76" cm="1">
        <f t="array" ref="G50">BS("c",$C$5,$C$6,$C$7,$C$8,$C$9,F50)</f>
        <v>30.674680197686243</v>
      </c>
      <c r="H50" s="76" cm="1">
        <f t="array" ref="H50">BS("p",$C$5,$C$6,$C$7,$C$8,$C$9,F50)</f>
        <v>32.596291102465663</v>
      </c>
    </row>
    <row r="51" spans="2:8">
      <c r="B51" s="75">
        <v>175</v>
      </c>
      <c r="C51" s="76" cm="1">
        <f t="array" ref="C51">BS("c",B51,$C$6,$C$7,$C$8,$C$9,$C$10)</f>
        <v>69.594142911424711</v>
      </c>
      <c r="D51" s="76" cm="1">
        <f t="array" ref="D51">BS("p",B51,$C$6,$C$7,$C$8,$C$9,$C$10)</f>
        <v>0.17354697865058274</v>
      </c>
      <c r="E51" s="10"/>
      <c r="F51" s="85">
        <v>0.875</v>
      </c>
      <c r="G51" s="76" cm="1">
        <f t="array" ref="G51">BS("c",$C$5,$C$6,$C$7,$C$8,$C$9,F51)</f>
        <v>31.547601130501029</v>
      </c>
      <c r="H51" s="76" cm="1">
        <f t="array" ref="H51">BS("p",$C$5,$C$6,$C$7,$C$8,$C$9,F51)</f>
        <v>33.469212035280435</v>
      </c>
    </row>
    <row r="52" spans="2:8">
      <c r="B52" s="75">
        <v>180</v>
      </c>
      <c r="C52" s="76" cm="1">
        <f t="array" ref="C52">BS("c",B52,$C$6,$C$7,$C$8,$C$9,$C$10)</f>
        <v>74.304288330243907</v>
      </c>
      <c r="D52" s="76" cm="1">
        <f t="array" ref="D52">BS("p",B52,$C$6,$C$7,$C$8,$C$9,$C$10)</f>
        <v>0.12754527496620865</v>
      </c>
      <c r="E52" s="10"/>
      <c r="F52" s="85">
        <v>0.9</v>
      </c>
      <c r="G52" s="76" cm="1">
        <f t="array" ref="G52">BS("c",$C$5,$C$6,$C$7,$C$8,$C$9,F52)</f>
        <v>32.415774338490593</v>
      </c>
      <c r="H52" s="76" cm="1">
        <f t="array" ref="H52">BS("p",$C$5,$C$6,$C$7,$C$8,$C$9,F52)</f>
        <v>34.337385243269999</v>
      </c>
    </row>
    <row r="53" spans="2:8">
      <c r="B53" s="75">
        <v>185</v>
      </c>
      <c r="C53" s="76" cm="1">
        <f t="array" ref="C53">BS("c",B53,$C$6,$C$7,$C$8,$C$9,$C$10)</f>
        <v>79.026460285669543</v>
      </c>
      <c r="D53" s="76" cm="1">
        <f t="array" ref="D53">BS("p",B53,$C$6,$C$7,$C$8,$C$9,$C$10)</f>
        <v>9.3570107888269222E-2</v>
      </c>
      <c r="E53" s="10"/>
      <c r="F53" s="85">
        <v>0.92500000000000004</v>
      </c>
      <c r="G53" s="76" cm="1">
        <f t="array" ref="G53">BS("c",$C$5,$C$6,$C$7,$C$8,$C$9,F53)</f>
        <v>33.279089696301241</v>
      </c>
      <c r="H53" s="76" cm="1">
        <f t="array" ref="H53">BS("p",$C$5,$C$6,$C$7,$C$8,$C$9,F53)</f>
        <v>35.200700601080662</v>
      </c>
    </row>
    <row r="54" spans="2:8">
      <c r="B54" s="75">
        <v>190</v>
      </c>
      <c r="C54" s="76" cm="1">
        <f t="array" ref="C54">BS("c",B54,$C$6,$C$7,$C$8,$C$9,$C$10)</f>
        <v>83.757579445673542</v>
      </c>
      <c r="D54" s="76" cm="1">
        <f t="array" ref="D54">BS("p",B54,$C$6,$C$7,$C$8,$C$9,$C$10)</f>
        <v>6.8542145388697587E-2</v>
      </c>
      <c r="E54" s="10"/>
      <c r="F54" s="85">
        <v>0.95</v>
      </c>
      <c r="G54" s="76" cm="1">
        <f t="array" ref="G54">BS("c",$C$5,$C$6,$C$7,$C$8,$C$9,F54)</f>
        <v>34.137439329657681</v>
      </c>
      <c r="H54" s="76" cm="1">
        <f t="array" ref="H54">BS("p",$C$5,$C$6,$C$7,$C$8,$C$9,F54)</f>
        <v>36.059050234437095</v>
      </c>
    </row>
    <row r="55" spans="2:8">
      <c r="B55" s="75">
        <v>195</v>
      </c>
      <c r="C55" s="76" cm="1">
        <f t="array" ref="C55">BS("c",B55,$C$6,$C$7,$C$8,$C$9,$C$10)</f>
        <v>88.495330550780508</v>
      </c>
      <c r="D55" s="76" cm="1">
        <f t="array" ref="D55">BS("p",B55,$C$6,$C$7,$C$8,$C$9,$C$10)</f>
        <v>5.0146127992102309E-2</v>
      </c>
      <c r="E55" s="10"/>
      <c r="F55" s="85">
        <v>0.97499999999999998</v>
      </c>
      <c r="G55" s="76" cm="1">
        <f t="array" ref="G55">BS("c",$C$5,$C$6,$C$7,$C$8,$C$9,F55)</f>
        <v>34.990717637536626</v>
      </c>
      <c r="H55" s="76" cm="1">
        <f t="array" ref="H55">BS("p",$C$5,$C$6,$C$7,$C$8,$C$9,F55)</f>
        <v>36.912328542316047</v>
      </c>
    </row>
    <row r="56" spans="2:8">
      <c r="B56" s="75">
        <v>200</v>
      </c>
      <c r="C56" s="76" cm="1">
        <f t="array" ref="C56">BS("c",B56,$C$6,$C$7,$C$8,$C$9,$C$10)</f>
        <v>93.237981846030692</v>
      </c>
      <c r="D56" s="76" cm="1">
        <f t="array" ref="D56">BS("p",B56,$C$6,$C$7,$C$8,$C$9,$C$10)</f>
        <v>3.6650300738706558E-2</v>
      </c>
      <c r="E56" s="10"/>
      <c r="F56" s="85">
        <v>1</v>
      </c>
      <c r="G56" s="76" cm="1">
        <f t="array" ref="G56">BS("c",$C$5,$C$6,$C$7,$C$8,$C$9,F56)</f>
        <v>35.838821315119354</v>
      </c>
      <c r="H56" s="76" cm="1">
        <f t="array" ref="H56">BS("p",$C$5,$C$6,$C$7,$C$8,$C$9,F56)</f>
        <v>37.760432219898775</v>
      </c>
    </row>
    <row r="57" spans="2:8">
      <c r="B57" s="10"/>
      <c r="C57" s="10"/>
      <c r="D57" s="10"/>
      <c r="E57" s="10"/>
      <c r="F57" s="48"/>
    </row>
    <row r="58" spans="2:8">
      <c r="B58" s="10"/>
      <c r="C58" s="10"/>
      <c r="D58" s="10"/>
      <c r="E58" s="10"/>
      <c r="F58" s="48"/>
    </row>
    <row r="59" spans="2:8">
      <c r="B59" s="10"/>
      <c r="C59" s="10"/>
      <c r="D59" s="10"/>
      <c r="E59" s="10"/>
      <c r="F59" s="48"/>
    </row>
    <row r="60" spans="2:8">
      <c r="B60" s="10"/>
      <c r="C60" s="10"/>
      <c r="D60" s="10"/>
      <c r="E60" s="10"/>
      <c r="F60" s="48"/>
    </row>
    <row r="61" spans="2:8">
      <c r="B61" s="10"/>
      <c r="C61" s="10"/>
      <c r="D61" s="10"/>
      <c r="E61" s="10"/>
      <c r="F61" s="48"/>
    </row>
    <row r="62" spans="2:8">
      <c r="B62" s="10"/>
      <c r="C62" s="10"/>
      <c r="D62" s="10"/>
      <c r="E62" s="10"/>
      <c r="F62" s="48"/>
    </row>
    <row r="63" spans="2:8">
      <c r="B63" s="10"/>
      <c r="C63" s="10"/>
      <c r="D63" s="10"/>
      <c r="E63" s="10"/>
      <c r="F63" s="48"/>
    </row>
    <row r="64" spans="2:8">
      <c r="B64" s="10"/>
      <c r="C64" s="10"/>
      <c r="D64" s="10"/>
      <c r="E64" s="10"/>
      <c r="F64" s="48"/>
    </row>
    <row r="65" spans="2:6">
      <c r="B65" s="10"/>
      <c r="C65" s="10"/>
      <c r="D65" s="10"/>
      <c r="E65" s="10"/>
      <c r="F65" s="48"/>
    </row>
    <row r="66" spans="2:6">
      <c r="B66" s="11"/>
      <c r="C66" s="11"/>
      <c r="D66" s="11"/>
      <c r="E66" s="11"/>
    </row>
    <row r="67" spans="2:6">
      <c r="B67" s="11"/>
      <c r="C67" s="11"/>
      <c r="D67" s="11"/>
      <c r="E67" s="11"/>
    </row>
    <row r="68" spans="2:6">
      <c r="B68" s="11"/>
      <c r="C68" s="11"/>
      <c r="D68" s="11"/>
      <c r="E68" s="11"/>
    </row>
    <row r="69" spans="2:6">
      <c r="B69" s="11"/>
      <c r="C69" s="11"/>
      <c r="D69" s="11"/>
      <c r="E69" s="11"/>
    </row>
    <row r="70" spans="2:6">
      <c r="B70" s="11"/>
      <c r="C70" s="11"/>
      <c r="D70" s="11"/>
      <c r="E70" s="11"/>
    </row>
  </sheetData>
  <phoneticPr fontId="28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16971-3B2C-4E85-9BE2-F62D11CD4076}">
  <sheetPr codeName="Sheet8"/>
  <dimension ref="A1:C14"/>
  <sheetViews>
    <sheetView workbookViewId="0">
      <selection activeCell="J8" sqref="J8"/>
    </sheetView>
  </sheetViews>
  <sheetFormatPr defaultColWidth="8.77734375" defaultRowHeight="14.4"/>
  <cols>
    <col min="1" max="1" width="32.6640625" style="11" customWidth="1"/>
    <col min="2" max="4" width="11" style="11" customWidth="1"/>
    <col min="5" max="5" width="8.77734375" style="11"/>
    <col min="6" max="6" width="12.109375" style="11" customWidth="1"/>
    <col min="7" max="9" width="8.77734375" style="11"/>
    <col min="10" max="10" width="25.6640625" style="11" customWidth="1"/>
    <col min="11" max="16384" width="8.77734375" style="11"/>
  </cols>
  <sheetData>
    <row r="1" spans="1:3" s="5" customFormat="1" ht="21">
      <c r="A1" s="1" t="s">
        <v>98</v>
      </c>
      <c r="B1" s="1"/>
      <c r="C1" s="1"/>
    </row>
    <row r="3" spans="1:3">
      <c r="A3" s="12" t="s">
        <v>54</v>
      </c>
    </row>
    <row r="4" spans="1:3">
      <c r="A4" s="11" t="s">
        <v>4</v>
      </c>
      <c r="B4" s="16" t="s">
        <v>5</v>
      </c>
      <c r="C4" s="11" t="s">
        <v>62</v>
      </c>
    </row>
    <row r="5" spans="1:3">
      <c r="A5" s="49" t="s">
        <v>0</v>
      </c>
      <c r="B5" s="30">
        <v>100</v>
      </c>
    </row>
    <row r="6" spans="1:3">
      <c r="A6" s="49" t="s">
        <v>7</v>
      </c>
      <c r="B6" s="31">
        <v>100</v>
      </c>
    </row>
    <row r="7" spans="1:3">
      <c r="A7" s="50" t="s">
        <v>58</v>
      </c>
      <c r="B7" s="51">
        <v>1</v>
      </c>
    </row>
    <row r="8" spans="1:3">
      <c r="A8" s="50" t="s">
        <v>59</v>
      </c>
      <c r="B8" s="32">
        <v>0.03</v>
      </c>
    </row>
    <row r="9" spans="1:3">
      <c r="A9" s="50" t="s">
        <v>23</v>
      </c>
      <c r="B9" s="22">
        <v>0.05</v>
      </c>
    </row>
    <row r="10" spans="1:3">
      <c r="A10" s="49" t="s">
        <v>2</v>
      </c>
      <c r="B10" s="32">
        <v>0.25</v>
      </c>
    </row>
    <row r="11" spans="1:3">
      <c r="A11" s="49"/>
      <c r="B11" s="32"/>
    </row>
    <row r="12" spans="1:3">
      <c r="A12" s="33" t="s">
        <v>77</v>
      </c>
    </row>
    <row r="13" spans="1:3">
      <c r="A13" s="11" t="s">
        <v>63</v>
      </c>
      <c r="B13" s="52" cm="1">
        <f t="array" ref="B13">bsdelta("c",B5,B6,B7,B8,B9,B10)</f>
        <v>0.4926858041732724</v>
      </c>
      <c r="C13" s="36" t="str" cm="1">
        <f t="array" aca="1" ref="C13" ca="1">getformula(B13)</f>
        <v>&lt;--  =bsdelta("c",B5,B6,B7,B8,B9,B10)</v>
      </c>
    </row>
    <row r="14" spans="1:3">
      <c r="A14" s="11" t="s">
        <v>64</v>
      </c>
      <c r="B14" s="52" cm="1">
        <f t="array" ref="B14">bsdelta("p",B5,B6,B7,B8,B9,B10)</f>
        <v>-0.45854362032744167</v>
      </c>
      <c r="C14" s="36" t="str" cm="1">
        <f t="array" aca="1" ref="C14" ca="1">getformula(B14)</f>
        <v>&lt;--  =bsdelta("p",B5,B6,B7,B8,B9,B10)</v>
      </c>
    </row>
  </sheetData>
  <phoneticPr fontId="28" type="noConversion"/>
  <pageMargins left="0.7" right="0.7" top="0.75" bottom="0.75" header="0.3" footer="0.3"/>
  <pageSetup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0824F-8EBB-4F0E-B2B3-E146E871D322}">
  <sheetPr codeName="Sheet10"/>
  <dimension ref="A1:K133"/>
  <sheetViews>
    <sheetView tabSelected="1" zoomScale="115" zoomScaleNormal="115" workbookViewId="0">
      <selection activeCell="E23" sqref="E23"/>
    </sheetView>
  </sheetViews>
  <sheetFormatPr defaultColWidth="10.109375" defaultRowHeight="14.4"/>
  <cols>
    <col min="1" max="1" width="22" style="53" customWidth="1"/>
    <col min="2" max="2" width="12" style="53" customWidth="1"/>
    <col min="3" max="4" width="11" style="53" customWidth="1"/>
    <col min="5" max="5" width="13.77734375" style="53" customWidth="1"/>
    <col min="6" max="6" width="10.6640625" style="53" bestFit="1" customWidth="1"/>
    <col min="7" max="7" width="12.6640625" style="53" customWidth="1"/>
    <col min="8" max="9" width="11.44140625" style="53" bestFit="1" customWidth="1"/>
    <col min="10" max="10" width="14.6640625" style="53" bestFit="1" customWidth="1"/>
    <col min="11" max="11" width="18.33203125" style="53" bestFit="1" customWidth="1"/>
    <col min="12" max="16384" width="10.109375" style="53"/>
  </cols>
  <sheetData>
    <row r="1" spans="1:11" ht="21">
      <c r="A1" s="1" t="s">
        <v>67</v>
      </c>
      <c r="B1" s="13"/>
      <c r="C1" s="13"/>
      <c r="D1" s="11"/>
    </row>
    <row r="2" spans="1:11">
      <c r="A2" s="71" t="s">
        <v>106</v>
      </c>
      <c r="B2" s="16"/>
      <c r="C2" s="11"/>
    </row>
    <row r="3" spans="1:11">
      <c r="A3" s="12" t="s">
        <v>78</v>
      </c>
      <c r="B3" s="11"/>
      <c r="C3" s="11"/>
    </row>
    <row r="4" spans="1:11">
      <c r="A4" s="11" t="s">
        <v>100</v>
      </c>
      <c r="B4" s="16" t="s">
        <v>5</v>
      </c>
    </row>
    <row r="5" spans="1:11">
      <c r="A5" s="11" t="s">
        <v>117</v>
      </c>
      <c r="B5" s="16">
        <v>50</v>
      </c>
      <c r="C5" s="11"/>
    </row>
    <row r="6" spans="1:11">
      <c r="A6" s="49" t="s">
        <v>101</v>
      </c>
      <c r="B6" s="30">
        <v>50</v>
      </c>
      <c r="C6" s="11"/>
    </row>
    <row r="7" spans="1:11">
      <c r="A7" s="49" t="s">
        <v>66</v>
      </c>
      <c r="B7" s="54">
        <f>12/52</f>
        <v>0.23076923076923078</v>
      </c>
      <c r="C7" s="36" t="str">
        <f ca="1">getformula(B7)</f>
        <v>&lt;--  =12/52</v>
      </c>
    </row>
    <row r="8" spans="1:11">
      <c r="A8" s="50" t="s">
        <v>102</v>
      </c>
      <c r="B8" s="22">
        <v>0.04</v>
      </c>
      <c r="C8" s="11"/>
    </row>
    <row r="9" spans="1:11">
      <c r="A9" s="50" t="s">
        <v>103</v>
      </c>
      <c r="B9" s="32">
        <v>0</v>
      </c>
      <c r="C9" s="11"/>
    </row>
    <row r="10" spans="1:11">
      <c r="A10" s="50" t="s">
        <v>104</v>
      </c>
      <c r="B10" s="22">
        <v>0.4</v>
      </c>
      <c r="C10" s="11"/>
    </row>
    <row r="11" spans="1:11">
      <c r="A11" s="49" t="s">
        <v>105</v>
      </c>
      <c r="B11" s="52">
        <f>1/52</f>
        <v>1.9230769230769232E-2</v>
      </c>
      <c r="C11" s="36" t="str">
        <f ca="1">getformula(B11)</f>
        <v>&lt;--  =1/52</v>
      </c>
    </row>
    <row r="12" spans="1:11">
      <c r="I12" s="55"/>
    </row>
    <row r="13" spans="1:11">
      <c r="A13" s="56" t="s">
        <v>68</v>
      </c>
      <c r="F13" s="86" t="s">
        <v>69</v>
      </c>
      <c r="G13" s="86"/>
      <c r="H13" s="86"/>
      <c r="I13" s="86"/>
      <c r="J13" s="86"/>
    </row>
    <row r="14" spans="1:11" ht="28.8">
      <c r="A14" s="57" t="s">
        <v>70</v>
      </c>
      <c r="B14" s="57" t="s">
        <v>99</v>
      </c>
      <c r="C14" s="57" t="s">
        <v>65</v>
      </c>
      <c r="D14" s="57" t="s">
        <v>71</v>
      </c>
      <c r="E14" s="57" t="s">
        <v>72</v>
      </c>
      <c r="F14" s="57" t="s">
        <v>79</v>
      </c>
      <c r="G14" s="57" t="s">
        <v>80</v>
      </c>
      <c r="H14" s="57" t="s">
        <v>82</v>
      </c>
      <c r="I14" s="56" t="s">
        <v>73</v>
      </c>
      <c r="J14" s="56" t="s">
        <v>81</v>
      </c>
    </row>
    <row r="15" spans="1:11">
      <c r="A15" s="53">
        <v>12</v>
      </c>
      <c r="B15" s="58">
        <f>A15/52</f>
        <v>0.23076923076923078</v>
      </c>
      <c r="C15" s="55">
        <f>S0</f>
        <v>50</v>
      </c>
      <c r="D15" s="58">
        <f t="shared" ref="D15:D26" si="0">_xlfn.NORM.S.DIST((LN(C15/K)+(rr-q -v^2/2)*B15)/(v*SQRT(B15)),TRUE)</f>
        <v>0.48084280118596739</v>
      </c>
      <c r="E15" s="58" cm="1">
        <f t="array" ref="E15">bsdelta(optType,C15,K,B15,rr,q,v)</f>
        <v>0.55729530357554546</v>
      </c>
      <c r="F15" s="58">
        <f>E15</f>
        <v>0.55729530357554546</v>
      </c>
      <c r="G15" s="59">
        <f>E15*C15</f>
        <v>27.864765178777272</v>
      </c>
      <c r="H15" s="55">
        <f t="shared" ref="H15:H26" si="1">C15*E15</f>
        <v>27.864765178777272</v>
      </c>
      <c r="I15" s="55">
        <f t="shared" ref="I15" si="2">-K*EXP(-rr*B15)*D15</f>
        <v>-23.821233748747602</v>
      </c>
      <c r="J15" s="60">
        <f>H15+I15</f>
        <v>4.0435314300296703</v>
      </c>
      <c r="K15" s="36" t="str">
        <f ca="1">getformula(J15)</f>
        <v>&lt;--  =H15+I15</v>
      </c>
    </row>
    <row r="16" spans="1:11">
      <c r="A16" s="53">
        <v>11</v>
      </c>
      <c r="B16" s="58">
        <f t="shared" ref="B16:B27" si="3">A16/52</f>
        <v>0.21153846153846154</v>
      </c>
      <c r="C16" s="55" cm="1">
        <f t="array" aca="1" ref="C16" ca="1">simgbm(C15,dt,rr-q-0.5*v^2,v)</f>
        <v>51.662922897049732</v>
      </c>
      <c r="D16" s="58">
        <f t="shared" ca="1" si="0"/>
        <v>0.55244627341440489</v>
      </c>
      <c r="E16" s="58" cm="1">
        <f t="array" aca="1" ref="E16" ca="1">bsdelta(optType,C16,K,B16,rr,q,v)</f>
        <v>0.62392858109916416</v>
      </c>
      <c r="F16" s="58">
        <f ca="1">E16-E15</f>
        <v>6.6633277523618695E-2</v>
      </c>
      <c r="G16" s="59">
        <f t="shared" ref="G16:G26" ca="1" si="4">F16*C16</f>
        <v>3.4424698790804293</v>
      </c>
      <c r="H16" s="55">
        <f t="shared" ca="1" si="1"/>
        <v>32.233974178591758</v>
      </c>
      <c r="I16" s="55">
        <f t="shared" ref="I16:I26" ca="1" si="5">I15*EXP(rr*dt)-G16</f>
        <v>-27.282034703298351</v>
      </c>
      <c r="J16" s="60">
        <f t="shared" ref="J16:J26" ca="1" si="6">H16+I16</f>
        <v>4.9519394752934076</v>
      </c>
      <c r="K16" s="36"/>
    </row>
    <row r="17" spans="1:11">
      <c r="A17" s="53">
        <v>10</v>
      </c>
      <c r="B17" s="58">
        <f t="shared" si="3"/>
        <v>0.19230769230769232</v>
      </c>
      <c r="C17" s="55" cm="1">
        <f t="array" aca="1" ref="C17" ca="1">simgbm(C16,dt,rr-q-0.5*v^2,v)</f>
        <v>51.057402709210272</v>
      </c>
      <c r="D17" s="58">
        <f t="shared" ca="1" si="0"/>
        <v>0.53007262346764006</v>
      </c>
      <c r="E17" s="58" cm="1">
        <f t="array" aca="1" ref="E17" ca="1">bsdelta(optType,C17,K,B17,rr,q,v)</f>
        <v>0.5990402630222208</v>
      </c>
      <c r="F17" s="58">
        <f t="shared" ref="F17:F26" ca="1" si="7">E17-E16</f>
        <v>-2.4888318076943361E-2</v>
      </c>
      <c r="G17" s="59">
        <f t="shared" ca="1" si="4"/>
        <v>-1.270732878809415</v>
      </c>
      <c r="H17" s="55">
        <f t="shared" ca="1" si="1"/>
        <v>30.585439948156772</v>
      </c>
      <c r="I17" s="55">
        <f t="shared" ca="1" si="5"/>
        <v>-26.032296078707873</v>
      </c>
      <c r="J17" s="60">
        <f t="shared" ca="1" si="6"/>
        <v>4.553143869448899</v>
      </c>
    </row>
    <row r="18" spans="1:11">
      <c r="A18" s="53">
        <v>9</v>
      </c>
      <c r="B18" s="58">
        <f t="shared" si="3"/>
        <v>0.17307692307692307</v>
      </c>
      <c r="C18" s="55" cm="1">
        <f t="array" aca="1" ref="C18" ca="1">simgbm(C17,dt,rr-q-0.5*v^2,v)</f>
        <v>49.852054030989002</v>
      </c>
      <c r="D18" s="58">
        <f t="shared" ca="1" si="0"/>
        <v>0.47631286756224794</v>
      </c>
      <c r="E18" s="58" cm="1">
        <f t="array" aca="1" ref="E18" ca="1">bsdelta(optType,C18,K,B18,rr,q,v)</f>
        <v>0.5426078245172391</v>
      </c>
      <c r="F18" s="58">
        <f t="shared" ca="1" si="7"/>
        <v>-5.6432438504981697E-2</v>
      </c>
      <c r="G18" s="59">
        <f t="shared" ca="1" si="4"/>
        <v>-2.813272973450812</v>
      </c>
      <c r="H18" s="55">
        <f t="shared" ca="1" si="1"/>
        <v>27.050114585470801</v>
      </c>
      <c r="I18" s="55">
        <f t="shared" ca="1" si="5"/>
        <v>-23.239055652232491</v>
      </c>
      <c r="J18" s="60">
        <f t="shared" ca="1" si="6"/>
        <v>3.8110589332383107</v>
      </c>
    </row>
    <row r="19" spans="1:11">
      <c r="A19" s="53">
        <v>8</v>
      </c>
      <c r="B19" s="58">
        <f t="shared" si="3"/>
        <v>0.15384615384615385</v>
      </c>
      <c r="C19" s="55" cm="1">
        <f t="array" aca="1" ref="C19" ca="1">simgbm(C18,dt,rr-q-0.5*v^2,v)</f>
        <v>46.646404431806459</v>
      </c>
      <c r="D19" s="58">
        <f t="shared" ca="1" si="0"/>
        <v>0.31499665729733389</v>
      </c>
      <c r="E19" s="58" cm="1">
        <f t="array" aca="1" ref="E19" ca="1">bsdelta(optType,C19,K,B19,rr,q,v)</f>
        <v>0.37264958717434382</v>
      </c>
      <c r="F19" s="58">
        <f t="shared" ca="1" si="7"/>
        <v>-0.16995823734289528</v>
      </c>
      <c r="G19" s="59">
        <f t="shared" ca="1" si="4"/>
        <v>-7.9279406756136446</v>
      </c>
      <c r="H19" s="55">
        <f t="shared" ca="1" si="1"/>
        <v>17.382763354680158</v>
      </c>
      <c r="I19" s="55">
        <f t="shared" ca="1" si="5"/>
        <v>-15.328998050497937</v>
      </c>
      <c r="J19" s="60">
        <f t="shared" ca="1" si="6"/>
        <v>2.053765304182221</v>
      </c>
    </row>
    <row r="20" spans="1:11">
      <c r="A20" s="53">
        <v>7</v>
      </c>
      <c r="B20" s="58">
        <f t="shared" si="3"/>
        <v>0.13461538461538461</v>
      </c>
      <c r="C20" s="55" cm="1">
        <f t="array" aca="1" ref="C20" ca="1">simgbm(C19,dt,rr-q-0.5*v^2,v)</f>
        <v>46.697134024382969</v>
      </c>
      <c r="D20" s="58">
        <f t="shared" ca="1" si="0"/>
        <v>0.30771066306263573</v>
      </c>
      <c r="E20" s="58" cm="1">
        <f t="array" aca="1" ref="E20" ca="1">bsdelta(optType,C20,K,B20,rr,q,v)</f>
        <v>0.36107190217581003</v>
      </c>
      <c r="F20" s="58">
        <f t="shared" ca="1" si="7"/>
        <v>-1.1577684998533788E-2</v>
      </c>
      <c r="G20" s="59">
        <f t="shared" ca="1" si="4"/>
        <v>-0.54064470806862042</v>
      </c>
      <c r="H20" s="55">
        <f t="shared" ca="1" si="1"/>
        <v>16.861023008342698</v>
      </c>
      <c r="I20" s="55">
        <f t="shared" ca="1" si="5"/>
        <v>-14.800149415760858</v>
      </c>
      <c r="J20" s="60">
        <f t="shared" ca="1" si="6"/>
        <v>2.0608735925818404</v>
      </c>
    </row>
    <row r="21" spans="1:11">
      <c r="A21" s="53">
        <v>6</v>
      </c>
      <c r="B21" s="58">
        <f t="shared" si="3"/>
        <v>0.11538461538461539</v>
      </c>
      <c r="C21" s="55" cm="1">
        <f t="array" aca="1" ref="C21" ca="1">simgbm(C20,dt,rr-q-0.5*v^2,v)</f>
        <v>45.520425860720032</v>
      </c>
      <c r="D21" s="58">
        <f t="shared" ca="1" si="0"/>
        <v>0.23429568265714912</v>
      </c>
      <c r="E21" s="58" cm="1">
        <f t="array" aca="1" ref="E21" ca="1">bsdelta(optType,C21,K,B21,rr,q,v)</f>
        <v>0.27796289266797869</v>
      </c>
      <c r="F21" s="58">
        <f t="shared" ca="1" si="7"/>
        <v>-8.3109009507831344E-2</v>
      </c>
      <c r="G21" s="59">
        <f t="shared" ca="1" si="4"/>
        <v>-3.7831575056591129</v>
      </c>
      <c r="H21" s="55">
        <f t="shared" ca="1" si="1"/>
        <v>12.652989247724003</v>
      </c>
      <c r="I21" s="55">
        <f t="shared" ca="1" si="5"/>
        <v>-11.028381020286961</v>
      </c>
      <c r="J21" s="60">
        <f t="shared" ca="1" si="6"/>
        <v>1.6246082274370419</v>
      </c>
    </row>
    <row r="22" spans="1:11">
      <c r="A22" s="53">
        <v>5</v>
      </c>
      <c r="B22" s="58">
        <f t="shared" si="3"/>
        <v>9.6153846153846159E-2</v>
      </c>
      <c r="C22" s="55" cm="1">
        <f t="array" aca="1" ref="C22" ca="1">simgbm(C21,dt,rr-q-0.5*v^2,v)</f>
        <v>42.946011966145441</v>
      </c>
      <c r="D22" s="58">
        <f t="shared" ca="1" si="0"/>
        <v>0.10435681149073577</v>
      </c>
      <c r="E22" s="58" cm="1">
        <f t="array" aca="1" ref="E22" ca="1">bsdelta(optType,C22,K,B22,rr,q,v)</f>
        <v>0.12859074562558159</v>
      </c>
      <c r="F22" s="58">
        <f t="shared" ca="1" si="7"/>
        <v>-0.1493721470423971</v>
      </c>
      <c r="G22" s="59">
        <f t="shared" ca="1" si="4"/>
        <v>-6.4149380142916224</v>
      </c>
      <c r="H22" s="55">
        <f t="shared" ca="1" si="1"/>
        <v>5.5224597003717912</v>
      </c>
      <c r="I22" s="55">
        <f t="shared" ca="1" si="5"/>
        <v>-4.6219296396823504</v>
      </c>
      <c r="J22" s="60">
        <f t="shared" ca="1" si="6"/>
        <v>0.90053006068944086</v>
      </c>
    </row>
    <row r="23" spans="1:11">
      <c r="A23" s="53">
        <v>4</v>
      </c>
      <c r="B23" s="58">
        <f t="shared" si="3"/>
        <v>7.6923076923076927E-2</v>
      </c>
      <c r="C23" s="55" cm="1">
        <f t="array" aca="1" ref="C23" ca="1">simgbm(C22,dt,rr-q-0.5*v^2,v)</f>
        <v>42.418300186347366</v>
      </c>
      <c r="D23" s="58">
        <f t="shared" ca="1" si="0"/>
        <v>6.552103133372339E-2</v>
      </c>
      <c r="E23" s="58" cm="1">
        <f t="array" aca="1" ref="E23" ca="1">bsdelta(optType,C23,K,B23,rr,q,v)</f>
        <v>8.0896695662250093E-2</v>
      </c>
      <c r="F23" s="58">
        <f t="shared" ca="1" si="7"/>
        <v>-4.76940499633315E-2</v>
      </c>
      <c r="G23" s="59">
        <f t="shared" ca="1" si="4"/>
        <v>-2.023100528447245</v>
      </c>
      <c r="H23" s="55">
        <f t="shared" ca="1" si="1"/>
        <v>3.4315003206849091</v>
      </c>
      <c r="I23" s="55">
        <f t="shared" ca="1" si="5"/>
        <v>-2.6023858095126653</v>
      </c>
      <c r="J23" s="60">
        <f t="shared" ca="1" si="6"/>
        <v>0.82911451117224377</v>
      </c>
    </row>
    <row r="24" spans="1:11">
      <c r="A24" s="53">
        <v>3</v>
      </c>
      <c r="B24" s="58">
        <f t="shared" si="3"/>
        <v>5.7692307692307696E-2</v>
      </c>
      <c r="C24" s="55" cm="1">
        <f t="array" aca="1" ref="C24" ca="1">simgbm(C23,dt,rr-q-0.5*v^2,v)</f>
        <v>43.085680687995506</v>
      </c>
      <c r="D24" s="58">
        <f t="shared" ca="1" si="0"/>
        <v>5.7846108135612508E-2</v>
      </c>
      <c r="E24" s="58" cm="1">
        <f t="array" aca="1" ref="E24" ca="1">bsdelta(optType,C24,K,B24,rr,q,v)</f>
        <v>6.9833350398430666E-2</v>
      </c>
      <c r="F24" s="58">
        <f t="shared" ca="1" si="7"/>
        <v>-1.1063345263819427E-2</v>
      </c>
      <c r="G24" s="59">
        <f t="shared" ca="1" si="4"/>
        <v>-0.47667176137797124</v>
      </c>
      <c r="H24" s="55">
        <f t="shared" ca="1" si="1"/>
        <v>3.0088174366396876</v>
      </c>
      <c r="I24" s="55">
        <f t="shared" ca="1" si="5"/>
        <v>-2.1277166535068681</v>
      </c>
      <c r="J24" s="60">
        <f t="shared" ca="1" si="6"/>
        <v>0.88110078313281948</v>
      </c>
    </row>
    <row r="25" spans="1:11">
      <c r="A25" s="53">
        <v>2</v>
      </c>
      <c r="B25" s="58">
        <f t="shared" si="3"/>
        <v>3.8461538461538464E-2</v>
      </c>
      <c r="C25" s="55" cm="1">
        <f t="array" aca="1" ref="C25" ca="1">simgbm(C24,dt,rr-q-0.5*v^2,v)</f>
        <v>41.717105322088159</v>
      </c>
      <c r="D25" s="58">
        <f t="shared" ca="1" si="0"/>
        <v>9.9469588317785424E-3</v>
      </c>
      <c r="E25" s="58" cm="1">
        <f t="array" aca="1" ref="E25" ca="1">bsdelta(optType,C25,K,B25,rr,q,v)</f>
        <v>1.2227716931602661E-2</v>
      </c>
      <c r="F25" s="58">
        <f t="shared" ca="1" si="7"/>
        <v>-5.7605633466828003E-2</v>
      </c>
      <c r="G25" s="59">
        <f t="shared" ca="1" si="4"/>
        <v>-2.4031402784812701</v>
      </c>
      <c r="H25" s="55">
        <f t="shared" ca="1" si="1"/>
        <v>0.51010495508434883</v>
      </c>
      <c r="I25" s="55">
        <f t="shared" ca="1" si="5"/>
        <v>0.27378629019290956</v>
      </c>
      <c r="J25" s="60">
        <f t="shared" ca="1" si="6"/>
        <v>0.7838912452772584</v>
      </c>
    </row>
    <row r="26" spans="1:11">
      <c r="A26" s="53">
        <v>1</v>
      </c>
      <c r="B26" s="58">
        <f t="shared" si="3"/>
        <v>1.9230769230769232E-2</v>
      </c>
      <c r="C26" s="55" cm="1">
        <f t="array" aca="1" ref="C26" ca="1">simgbm(C25,dt,rr-q-0.5*v^2,v)</f>
        <v>40.347958173115934</v>
      </c>
      <c r="D26" s="58">
        <f t="shared" ca="1" si="0"/>
        <v>5.2120839147058415E-5</v>
      </c>
      <c r="E26" s="58" cm="1">
        <f t="array" aca="1" ref="E26" ca="1">bsdelta(optType,C26,K,B26,rr,q,v)</f>
        <v>6.5382881262384293E-5</v>
      </c>
      <c r="F26" s="58">
        <f t="shared" ca="1" si="7"/>
        <v>-1.2162334050340277E-2</v>
      </c>
      <c r="G26" s="59">
        <f t="shared" ca="1" si="4"/>
        <v>-0.49072534555059322</v>
      </c>
      <c r="H26" s="55">
        <f t="shared" ca="1" si="1"/>
        <v>2.6380657584124871E-3</v>
      </c>
      <c r="I26" s="55">
        <f t="shared" ca="1" si="5"/>
        <v>0.7647223216047474</v>
      </c>
      <c r="J26" s="60">
        <f t="shared" ca="1" si="6"/>
        <v>0.76736038736315992</v>
      </c>
    </row>
    <row r="27" spans="1:11">
      <c r="A27" s="53">
        <v>0</v>
      </c>
      <c r="B27" s="58">
        <f t="shared" si="3"/>
        <v>0</v>
      </c>
      <c r="C27" s="55" cm="1">
        <f t="array" aca="1" ref="C27" ca="1">simgbm(C26,dt,rr-q-0.5*v^2,v)</f>
        <v>36.399650333370666</v>
      </c>
      <c r="E27" s="58"/>
      <c r="F27" s="58"/>
      <c r="G27" s="58"/>
      <c r="J27" s="60">
        <f ca="1">C27*E26+I26*EXP(rr*dt)</f>
        <v>0.76769070986741383</v>
      </c>
      <c r="K27" s="36" t="str">
        <f ca="1">getformula(J27)</f>
        <v>&lt;--  =C27*E26+I26*EXP(rr*dt)</v>
      </c>
    </row>
    <row r="28" spans="1:11">
      <c r="I28" s="55"/>
    </row>
    <row r="29" spans="1:11">
      <c r="A29" s="53" t="s">
        <v>74</v>
      </c>
      <c r="B29" s="81">
        <f ca="1">J27</f>
        <v>0.76769070986741383</v>
      </c>
      <c r="C29" s="36" t="str">
        <f ca="1">getformula(B29)</f>
        <v>&lt;--  =J27</v>
      </c>
    </row>
    <row r="30" spans="1:11">
      <c r="A30" s="53" t="s">
        <v>75</v>
      </c>
      <c r="B30" s="81">
        <f ca="1">MAX(C27-B6,0)</f>
        <v>0</v>
      </c>
      <c r="C30" s="36" t="str">
        <f ca="1">getformula(B30)</f>
        <v>&lt;--  =MAX(C27-B6,0)</v>
      </c>
    </row>
    <row r="32" spans="1:11">
      <c r="A32" s="56" t="s">
        <v>120</v>
      </c>
    </row>
    <row r="33" spans="1:7" ht="28.8">
      <c r="A33" s="53" t="s">
        <v>115</v>
      </c>
      <c r="B33" s="78" t="s">
        <v>107</v>
      </c>
      <c r="C33" s="53" t="s">
        <v>108</v>
      </c>
      <c r="E33" s="56" t="s">
        <v>116</v>
      </c>
    </row>
    <row r="34" spans="1:7">
      <c r="A34" s="82">
        <v>1</v>
      </c>
      <c r="B34" s="81">
        <f ca="1">B29</f>
        <v>0.76769070986741383</v>
      </c>
      <c r="C34" s="81">
        <f ca="1">B30</f>
        <v>0</v>
      </c>
      <c r="D34" s="59"/>
      <c r="F34" s="58" cm="1">
        <f t="array" aca="1" ref="F34" ca="1">AVERAGE(B34:B63-C34:C63)</f>
        <v>0.31848186600798928</v>
      </c>
      <c r="G34" s="36" t="str">
        <f ca="1">getformula(F34)</f>
        <v>&lt;--  =AVERAGE(B34:B63-C34:C63)</v>
      </c>
    </row>
    <row r="35" spans="1:7">
      <c r="A35" s="82">
        <v>2</v>
      </c>
      <c r="B35" s="59">
        <f t="dataTable" ref="B35:C63" dt2D="0" dtr="0" r1="A1" ca="1"/>
        <v>7.1671848739817179</v>
      </c>
      <c r="C35" s="59">
        <v>5.8447056603643972</v>
      </c>
      <c r="D35" s="59"/>
      <c r="E35" s="56" t="s">
        <v>109</v>
      </c>
    </row>
    <row r="36" spans="1:7">
      <c r="A36" s="82">
        <v>3</v>
      </c>
      <c r="B36" s="59">
        <v>11.345398040435342</v>
      </c>
      <c r="C36" s="59">
        <v>10.976171765657604</v>
      </c>
      <c r="D36" s="59"/>
      <c r="F36" s="58" cm="1">
        <f t="array" aca="1" ref="F36" ca="1">_xlfn.STDEV.S(B34:B63-C34:C63)/SQRT(30)</f>
        <v>0.16281869924283018</v>
      </c>
      <c r="G36" s="36" t="str">
        <f ca="1">getformula(F36)</f>
        <v>&lt;--  =STDEV.S(B34:B63-C34:C63)/SQRT(30)</v>
      </c>
    </row>
    <row r="37" spans="1:7">
      <c r="A37" s="82">
        <v>4</v>
      </c>
      <c r="B37" s="59">
        <v>5.6090378968927084</v>
      </c>
      <c r="C37" s="59">
        <v>4.3075844298439208</v>
      </c>
      <c r="D37" s="59"/>
      <c r="E37" s="56" t="s">
        <v>113</v>
      </c>
    </row>
    <row r="38" spans="1:7">
      <c r="A38" s="82">
        <v>5</v>
      </c>
      <c r="B38" s="59">
        <v>7.3422041257736055</v>
      </c>
      <c r="C38" s="59">
        <v>7.5267640756433778</v>
      </c>
      <c r="D38" s="59"/>
      <c r="E38" s="53" t="s">
        <v>114</v>
      </c>
    </row>
    <row r="39" spans="1:7">
      <c r="A39" s="82">
        <v>6</v>
      </c>
      <c r="B39" s="59">
        <v>0.17630783880845158</v>
      </c>
      <c r="C39" s="59">
        <v>0</v>
      </c>
      <c r="D39" s="59"/>
      <c r="E39" s="56" t="s">
        <v>110</v>
      </c>
      <c r="F39" s="59">
        <f ca="1">F34/F36</f>
        <v>1.9560521456629547</v>
      </c>
      <c r="G39" s="36" t="str">
        <f t="shared" ref="G39:G40" ca="1" si="8">getformula(F39)</f>
        <v>&lt;--  =F34/F36</v>
      </c>
    </row>
    <row r="40" spans="1:7">
      <c r="A40" s="82">
        <v>7</v>
      </c>
      <c r="B40" s="59">
        <v>-0.94658970540859499</v>
      </c>
      <c r="C40" s="59">
        <v>0</v>
      </c>
      <c r="D40" s="59"/>
      <c r="E40" s="56" t="s">
        <v>111</v>
      </c>
      <c r="F40" s="59">
        <f ca="1">_xlfn.T.DIST.2T(ABS(F39),30-1)</f>
        <v>6.0152747052697637E-2</v>
      </c>
      <c r="G40" s="36" t="str">
        <f t="shared" ca="1" si="8"/>
        <v>&lt;--  =T.DIST.2T(ABS(F39),30-1)</v>
      </c>
    </row>
    <row r="41" spans="1:7">
      <c r="A41" s="82">
        <v>8</v>
      </c>
      <c r="B41" s="59">
        <v>-4.65189880854604E-2</v>
      </c>
      <c r="C41" s="59">
        <v>0</v>
      </c>
      <c r="D41" s="59"/>
    </row>
    <row r="42" spans="1:7">
      <c r="A42" s="82">
        <v>9</v>
      </c>
      <c r="B42" s="59">
        <v>-0.34578888591701862</v>
      </c>
      <c r="C42" s="59">
        <v>0</v>
      </c>
      <c r="D42" s="59"/>
      <c r="E42" s="56" t="s">
        <v>112</v>
      </c>
    </row>
    <row r="43" spans="1:7">
      <c r="A43" s="82">
        <v>10</v>
      </c>
      <c r="B43" s="59">
        <v>0.43020427337117934</v>
      </c>
      <c r="C43" s="59">
        <v>0</v>
      </c>
      <c r="D43" s="59"/>
    </row>
    <row r="44" spans="1:7">
      <c r="A44" s="82">
        <v>11</v>
      </c>
      <c r="B44" s="59">
        <v>2.098444807427633</v>
      </c>
      <c r="C44" s="59">
        <v>1.2819081521540596</v>
      </c>
      <c r="D44" s="59"/>
    </row>
    <row r="45" spans="1:7">
      <c r="A45" s="82">
        <v>12</v>
      </c>
      <c r="B45" s="59">
        <v>3.2270043131603146</v>
      </c>
      <c r="C45" s="59">
        <v>1.2891303279568618</v>
      </c>
      <c r="D45" s="59"/>
    </row>
    <row r="46" spans="1:7">
      <c r="A46" s="82">
        <v>13</v>
      </c>
      <c r="B46" s="59">
        <v>5.7491668257458741</v>
      </c>
      <c r="C46" s="59">
        <v>4.573535178814403</v>
      </c>
      <c r="D46" s="59"/>
    </row>
    <row r="47" spans="1:7">
      <c r="A47" s="82">
        <v>14</v>
      </c>
      <c r="B47" s="59">
        <v>1.8134965133260952</v>
      </c>
      <c r="C47" s="59">
        <v>0</v>
      </c>
      <c r="D47" s="59"/>
    </row>
    <row r="48" spans="1:7">
      <c r="A48" s="82">
        <v>15</v>
      </c>
      <c r="B48" s="59">
        <v>-0.79115313460432291</v>
      </c>
      <c r="C48" s="59">
        <v>0</v>
      </c>
      <c r="D48" s="59"/>
    </row>
    <row r="49" spans="1:4">
      <c r="A49" s="82">
        <v>16</v>
      </c>
      <c r="B49" s="59">
        <v>1.4235094345784169</v>
      </c>
      <c r="C49" s="59">
        <v>0</v>
      </c>
      <c r="D49" s="59"/>
    </row>
    <row r="50" spans="1:4">
      <c r="A50" s="82">
        <v>17</v>
      </c>
      <c r="B50" s="59">
        <v>1.679450013923141</v>
      </c>
      <c r="C50" s="59">
        <v>0</v>
      </c>
      <c r="D50" s="59"/>
    </row>
    <row r="51" spans="1:4">
      <c r="A51" s="82">
        <v>18</v>
      </c>
      <c r="B51" s="59">
        <v>2.991020202217257</v>
      </c>
      <c r="C51" s="59">
        <v>3.3762322628286014</v>
      </c>
      <c r="D51" s="59"/>
    </row>
    <row r="52" spans="1:4">
      <c r="A52" s="82">
        <v>19</v>
      </c>
      <c r="B52" s="59">
        <v>-0.74667060935258789</v>
      </c>
      <c r="C52" s="59">
        <v>0</v>
      </c>
      <c r="D52" s="59"/>
    </row>
    <row r="53" spans="1:4">
      <c r="A53" s="82">
        <v>20</v>
      </c>
      <c r="B53" s="59">
        <v>-0.19451794368491271</v>
      </c>
      <c r="C53" s="59">
        <v>0</v>
      </c>
      <c r="D53" s="59"/>
    </row>
    <row r="54" spans="1:4">
      <c r="A54" s="82">
        <v>21</v>
      </c>
      <c r="B54" s="59">
        <v>0.32380540389554657</v>
      </c>
      <c r="C54" s="59">
        <v>0</v>
      </c>
      <c r="D54" s="59"/>
    </row>
    <row r="55" spans="1:4">
      <c r="A55" s="82">
        <v>22</v>
      </c>
      <c r="B55" s="59">
        <v>8.6445965818070505</v>
      </c>
      <c r="C55" s="59">
        <v>9.3695858652066306</v>
      </c>
      <c r="D55" s="59"/>
    </row>
    <row r="56" spans="1:4">
      <c r="A56" s="82">
        <v>23</v>
      </c>
      <c r="B56" s="59">
        <v>17.25842468357618</v>
      </c>
      <c r="C56" s="59">
        <v>16.339448279036773</v>
      </c>
      <c r="D56" s="59"/>
    </row>
    <row r="57" spans="1:4">
      <c r="A57" s="82">
        <v>24</v>
      </c>
      <c r="B57" s="59">
        <v>6.2528013847542852</v>
      </c>
      <c r="C57" s="59">
        <v>7.7747156139926972</v>
      </c>
      <c r="D57" s="59"/>
    </row>
    <row r="58" spans="1:4">
      <c r="A58" s="82">
        <v>25</v>
      </c>
      <c r="B58" s="59">
        <v>14.146769656408111</v>
      </c>
      <c r="C58" s="59">
        <v>14.30942696702725</v>
      </c>
      <c r="D58" s="59"/>
    </row>
    <row r="59" spans="1:4">
      <c r="A59" s="82">
        <v>26</v>
      </c>
      <c r="B59" s="59">
        <v>8.516331842260854</v>
      </c>
      <c r="C59" s="59">
        <v>8.8872200193747375</v>
      </c>
      <c r="D59" s="59"/>
    </row>
    <row r="60" spans="1:4">
      <c r="A60" s="82">
        <v>27</v>
      </c>
      <c r="B60" s="59">
        <v>2.8321299114449943</v>
      </c>
      <c r="C60" s="59">
        <v>2.6239357124948128</v>
      </c>
      <c r="D60" s="59"/>
    </row>
    <row r="61" spans="1:4">
      <c r="A61" s="82">
        <v>28</v>
      </c>
      <c r="B61" s="59">
        <v>0.14357079344639609</v>
      </c>
      <c r="C61" s="59">
        <v>0</v>
      </c>
      <c r="D61" s="59"/>
    </row>
    <row r="62" spans="1:4">
      <c r="A62" s="82">
        <v>29</v>
      </c>
      <c r="B62" s="59">
        <v>0.76762115330419789</v>
      </c>
      <c r="C62" s="59">
        <v>0.75827252210948615</v>
      </c>
      <c r="D62" s="59"/>
    </row>
    <row r="63" spans="1:4">
      <c r="A63" s="82">
        <v>30</v>
      </c>
      <c r="B63" s="59">
        <v>6.1071544066958339</v>
      </c>
      <c r="C63" s="59">
        <v>4.9489936073044092</v>
      </c>
      <c r="D63" s="59"/>
    </row>
    <row r="64" spans="1:4">
      <c r="C64" s="59"/>
      <c r="D64" s="59"/>
    </row>
    <row r="65" spans="3:4">
      <c r="C65" s="59"/>
      <c r="D65" s="59"/>
    </row>
    <row r="66" spans="3:4">
      <c r="C66" s="59"/>
      <c r="D66" s="59"/>
    </row>
    <row r="67" spans="3:4">
      <c r="C67" s="59"/>
      <c r="D67" s="59"/>
    </row>
    <row r="68" spans="3:4">
      <c r="C68" s="59"/>
      <c r="D68" s="59"/>
    </row>
    <row r="69" spans="3:4">
      <c r="C69" s="59"/>
      <c r="D69" s="59"/>
    </row>
    <row r="70" spans="3:4">
      <c r="C70" s="59"/>
      <c r="D70" s="59"/>
    </row>
    <row r="71" spans="3:4">
      <c r="C71" s="59"/>
      <c r="D71" s="59"/>
    </row>
    <row r="72" spans="3:4">
      <c r="C72" s="59"/>
      <c r="D72" s="59"/>
    </row>
    <row r="73" spans="3:4">
      <c r="C73" s="59"/>
      <c r="D73" s="59"/>
    </row>
    <row r="74" spans="3:4">
      <c r="C74" s="59"/>
      <c r="D74" s="59"/>
    </row>
    <row r="75" spans="3:4">
      <c r="C75" s="59"/>
      <c r="D75" s="59"/>
    </row>
    <row r="76" spans="3:4">
      <c r="C76" s="59"/>
      <c r="D76" s="59"/>
    </row>
    <row r="77" spans="3:4">
      <c r="C77" s="59"/>
      <c r="D77" s="59"/>
    </row>
    <row r="78" spans="3:4">
      <c r="C78" s="59"/>
      <c r="D78" s="59"/>
    </row>
    <row r="79" spans="3:4">
      <c r="C79" s="59"/>
      <c r="D79" s="59"/>
    </row>
    <row r="80" spans="3:4">
      <c r="C80" s="59"/>
      <c r="D80" s="59"/>
    </row>
    <row r="81" spans="3:4">
      <c r="C81" s="59"/>
      <c r="D81" s="59"/>
    </row>
    <row r="82" spans="3:4">
      <c r="C82" s="59"/>
      <c r="D82" s="59"/>
    </row>
    <row r="83" spans="3:4">
      <c r="C83" s="59"/>
      <c r="D83" s="59"/>
    </row>
    <row r="84" spans="3:4">
      <c r="C84" s="55"/>
      <c r="D84" s="55"/>
    </row>
    <row r="85" spans="3:4">
      <c r="C85" s="55"/>
      <c r="D85" s="55"/>
    </row>
    <row r="86" spans="3:4">
      <c r="C86" s="55"/>
      <c r="D86" s="55"/>
    </row>
    <row r="87" spans="3:4">
      <c r="C87" s="55"/>
      <c r="D87" s="55"/>
    </row>
    <row r="88" spans="3:4">
      <c r="C88" s="55"/>
      <c r="D88" s="55"/>
    </row>
    <row r="89" spans="3:4">
      <c r="C89" s="55"/>
      <c r="D89" s="55"/>
    </row>
    <row r="90" spans="3:4">
      <c r="C90" s="55"/>
      <c r="D90" s="55"/>
    </row>
    <row r="91" spans="3:4">
      <c r="C91" s="55"/>
      <c r="D91" s="55"/>
    </row>
    <row r="92" spans="3:4">
      <c r="C92" s="55"/>
      <c r="D92" s="55"/>
    </row>
    <row r="93" spans="3:4">
      <c r="C93" s="55"/>
      <c r="D93" s="55"/>
    </row>
    <row r="94" spans="3:4">
      <c r="C94" s="55"/>
      <c r="D94" s="55"/>
    </row>
    <row r="95" spans="3:4">
      <c r="C95" s="55"/>
      <c r="D95" s="55"/>
    </row>
    <row r="96" spans="3:4">
      <c r="C96" s="55"/>
      <c r="D96" s="55"/>
    </row>
    <row r="97" spans="3:4">
      <c r="C97" s="55"/>
      <c r="D97" s="55"/>
    </row>
    <row r="98" spans="3:4">
      <c r="C98" s="55"/>
      <c r="D98" s="55"/>
    </row>
    <row r="99" spans="3:4">
      <c r="C99" s="55"/>
      <c r="D99" s="55"/>
    </row>
    <row r="100" spans="3:4">
      <c r="C100" s="55"/>
      <c r="D100" s="55"/>
    </row>
    <row r="101" spans="3:4">
      <c r="C101" s="55"/>
      <c r="D101" s="55"/>
    </row>
    <row r="102" spans="3:4">
      <c r="C102" s="55"/>
      <c r="D102" s="55"/>
    </row>
    <row r="103" spans="3:4">
      <c r="C103" s="55"/>
      <c r="D103" s="55"/>
    </row>
    <row r="104" spans="3:4">
      <c r="C104" s="55"/>
      <c r="D104" s="55"/>
    </row>
    <row r="105" spans="3:4">
      <c r="C105" s="55"/>
      <c r="D105" s="55"/>
    </row>
    <row r="106" spans="3:4">
      <c r="C106" s="55"/>
      <c r="D106" s="55"/>
    </row>
    <row r="107" spans="3:4">
      <c r="C107" s="55"/>
      <c r="D107" s="55"/>
    </row>
    <row r="108" spans="3:4">
      <c r="C108" s="55"/>
      <c r="D108" s="55"/>
    </row>
    <row r="109" spans="3:4">
      <c r="C109" s="55"/>
      <c r="D109" s="55"/>
    </row>
    <row r="110" spans="3:4">
      <c r="C110" s="55"/>
      <c r="D110" s="55"/>
    </row>
    <row r="111" spans="3:4">
      <c r="C111" s="55"/>
      <c r="D111" s="55"/>
    </row>
    <row r="112" spans="3:4">
      <c r="C112" s="55"/>
      <c r="D112" s="55"/>
    </row>
    <row r="113" spans="3:4">
      <c r="C113" s="55"/>
      <c r="D113" s="55"/>
    </row>
    <row r="114" spans="3:4">
      <c r="C114" s="55"/>
      <c r="D114" s="55"/>
    </row>
    <row r="115" spans="3:4">
      <c r="C115" s="55"/>
      <c r="D115" s="55"/>
    </row>
    <row r="116" spans="3:4">
      <c r="C116" s="55"/>
      <c r="D116" s="55"/>
    </row>
    <row r="117" spans="3:4">
      <c r="C117" s="55"/>
      <c r="D117" s="55"/>
    </row>
    <row r="118" spans="3:4">
      <c r="C118" s="55"/>
      <c r="D118" s="55"/>
    </row>
    <row r="119" spans="3:4">
      <c r="C119" s="55"/>
      <c r="D119" s="55"/>
    </row>
    <row r="120" spans="3:4">
      <c r="C120" s="55"/>
      <c r="D120" s="55"/>
    </row>
    <row r="121" spans="3:4">
      <c r="C121" s="55"/>
      <c r="D121" s="55"/>
    </row>
    <row r="122" spans="3:4">
      <c r="C122" s="55"/>
      <c r="D122" s="55"/>
    </row>
    <row r="123" spans="3:4">
      <c r="C123" s="55"/>
      <c r="D123" s="55"/>
    </row>
    <row r="124" spans="3:4">
      <c r="C124" s="55"/>
      <c r="D124" s="55"/>
    </row>
    <row r="125" spans="3:4">
      <c r="C125" s="55"/>
      <c r="D125" s="55"/>
    </row>
    <row r="126" spans="3:4">
      <c r="C126" s="55"/>
      <c r="D126" s="55"/>
    </row>
    <row r="127" spans="3:4">
      <c r="C127" s="55"/>
      <c r="D127" s="55"/>
    </row>
    <row r="128" spans="3:4">
      <c r="C128" s="55"/>
      <c r="D128" s="55"/>
    </row>
    <row r="129" spans="3:4">
      <c r="C129" s="55"/>
      <c r="D129" s="55"/>
    </row>
    <row r="130" spans="3:4">
      <c r="C130" s="55"/>
      <c r="D130" s="55"/>
    </row>
    <row r="131" spans="3:4">
      <c r="C131" s="55"/>
      <c r="D131" s="55"/>
    </row>
    <row r="132" spans="3:4">
      <c r="C132" s="55"/>
      <c r="D132" s="55"/>
    </row>
    <row r="133" spans="3:4">
      <c r="C133" s="55"/>
      <c r="D133" s="55"/>
    </row>
  </sheetData>
  <mergeCells count="1">
    <mergeCell ref="F13:J13"/>
  </mergeCells>
  <phoneticPr fontId="2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20</vt:i4>
      </vt:variant>
    </vt:vector>
  </HeadingPairs>
  <TitlesOfParts>
    <vt:vector size="29" baseType="lpstr">
      <vt:lpstr>BS</vt:lpstr>
      <vt:lpstr>BS_div1</vt:lpstr>
      <vt:lpstr>BS_div2</vt:lpstr>
      <vt:lpstr>NDXOption</vt:lpstr>
      <vt:lpstr>^NDX</vt:lpstr>
      <vt:lpstr>DTB4WK</vt:lpstr>
      <vt:lpstr>BS chart</vt:lpstr>
      <vt:lpstr>BS Delta</vt:lpstr>
      <vt:lpstr>Delta Hedging</vt:lpstr>
      <vt:lpstr>BS!dOne</vt:lpstr>
      <vt:lpstr>'Delta Hedging'!dt</vt:lpstr>
      <vt:lpstr>BS!dTwo</vt:lpstr>
      <vt:lpstr>BS!K</vt:lpstr>
      <vt:lpstr>BS_div1!K</vt:lpstr>
      <vt:lpstr>'Delta Hedging'!K</vt:lpstr>
      <vt:lpstr>'Delta Hedging'!optType</vt:lpstr>
      <vt:lpstr>BS_div1!q</vt:lpstr>
      <vt:lpstr>'Delta Hedging'!q</vt:lpstr>
      <vt:lpstr>BS!rr</vt:lpstr>
      <vt:lpstr>BS_div1!rr</vt:lpstr>
      <vt:lpstr>'Delta Hedging'!rr</vt:lpstr>
      <vt:lpstr>BS!S</vt:lpstr>
      <vt:lpstr>BS_div1!S</vt:lpstr>
      <vt:lpstr>S0</vt:lpstr>
      <vt:lpstr>BS!T</vt:lpstr>
      <vt:lpstr>BS_div1!T</vt:lpstr>
      <vt:lpstr>BS!v</vt:lpstr>
      <vt:lpstr>BS_div1!v</vt:lpstr>
      <vt:lpstr>'Delta Hedging'!v</vt:lpstr>
    </vt:vector>
  </TitlesOfParts>
  <Company>yan's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W.Y. Cheng</dc:creator>
  <cp:lastModifiedBy>TeacherPC</cp:lastModifiedBy>
  <dcterms:created xsi:type="dcterms:W3CDTF">2004-09-12T06:05:24Z</dcterms:created>
  <dcterms:modified xsi:type="dcterms:W3CDTF">2025-04-22T07:23:58Z</dcterms:modified>
</cp:coreProperties>
</file>