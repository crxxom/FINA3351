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kuhk-my.sharepoint.com/personal/cfhoad_hku_hk/Documents/HKU TA/Spring 2024-2025/FINA3351/Tutorials/"/>
    </mc:Choice>
  </mc:AlternateContent>
  <xr:revisionPtr revIDLastSave="1" documentId="8_{8262DC90-DD20-45AB-863B-31936DF6C141}" xr6:coauthVersionLast="47" xr6:coauthVersionMax="47" xr10:uidLastSave="{D843B15F-4DAC-463D-BC19-65F2892EE00B}"/>
  <bookViews>
    <workbookView xWindow="-120" yWindow="-120" windowWidth="29040" windowHeight="15720" tabRatio="595" xr2:uid="{00000000-000D-0000-FFFF-FFFF00000000}"/>
  </bookViews>
  <sheets>
    <sheet name="Instructions" sheetId="42" r:id="rId1"/>
    <sheet name="Q1_1" sheetId="39" r:id="rId2"/>
    <sheet name="Q1_2" sheetId="40" r:id="rId3"/>
    <sheet name="Q2" sheetId="35" r:id="rId4"/>
    <sheet name="Q3" sheetId="41" r:id="rId5"/>
  </sheets>
  <externalReferences>
    <externalReference r:id="rId6"/>
  </externalReferences>
  <definedNames>
    <definedName name="_AtRisk_FitDataRange_FIT_7DBF1_A59C" hidden="1">#REF!</definedName>
    <definedName name="_AtRisk_FitDataRange_FIT_BE17E_5FC86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BigNum">9.99999999999999E+307</definedName>
    <definedName name="BigStr">REPT("z",255)</definedName>
    <definedName name="chemicallist">#REF!</definedName>
    <definedName name="chemicalstart">#REF!</definedName>
    <definedName name="ChemList">OFFSET(#REF!,0,0,#REF!,1)</definedName>
    <definedName name="Chems">OFFSET(#REF!,0,0,#REF!,12)</definedName>
    <definedName name="ConvTbl">OFFSET(#REF!,0,0,#REF!,2)</definedName>
    <definedName name="CropData">OFFSET(#REF!,0,0,#REF!,#REF!)</definedName>
    <definedName name="CropDataAll">OFFSET(#REF!,0,0,#REF!,#REF!)</definedName>
    <definedName name="croplist3">#REF!</definedName>
    <definedName name="croplistlong">#REF!</definedName>
    <definedName name="croplonglist">#REF!</definedName>
    <definedName name="croplongnames">#REF!</definedName>
    <definedName name="CropPrice">#REF!</definedName>
    <definedName name="cropshortnames">#REF!</definedName>
    <definedName name="fertcalcs">#REF!</definedName>
    <definedName name="FertCoef">#REF!</definedName>
    <definedName name="ff">#REF!</definedName>
    <definedName name="finbody">#REF!</definedName>
    <definedName name="fincol1">#REF!</definedName>
    <definedName name="finformulas">#REF!</definedName>
    <definedName name="finstart">#REF!</definedName>
    <definedName name="GovtPay">OFFSET(#REF!,0,0,#REF!,14)</definedName>
    <definedName name="harvlist">OFFSET(#REF!,0,0,#REF!,1)</definedName>
    <definedName name="harvlist2">OFFSET(#REF!,0,0,#REF!,2)</definedName>
    <definedName name="HerbBegin">OFFSET(#REF!,VLOOKUP(#REF!,HerbVal,3,FALSE),0,VLOOKUP(#REF!,HerbVal,2,FALSE),1)</definedName>
    <definedName name="HerbList">OFFSET(#REF!,1,1,#REF!,1)</definedName>
    <definedName name="HerbLookup">OFFSET(#REF!,0,0,#REF!,#REF!)</definedName>
    <definedName name="HerbStart">#REF!</definedName>
    <definedName name="HerbVal">OFFSET(#REF!,0,0,#REF!,3)</definedName>
    <definedName name="line_nos">#REF!</definedName>
    <definedName name="MachData">OFFSET(#REF!,0,0,#REF!,51)</definedName>
    <definedName name="machdata_erase">#REF!</definedName>
    <definedName name="macherrors">#REF!</definedName>
    <definedName name="MachList">OFFSET(#REF!,0,0,#REF!,1)</definedName>
    <definedName name="MachOps">OFFSET(#REF!,0,0,#REF!,31)</definedName>
    <definedName name="MiscPrices">#REF!</definedName>
    <definedName name="NitType">#REF!</definedName>
    <definedName name="Pal_Workbook_GUID" hidden="1">"SVINZ77TQCL25X7XRSLW4S7T"</definedName>
    <definedName name="Pfert">#REF!</definedName>
    <definedName name="Prices">#REF!</definedName>
    <definedName name="PrimeCrops">OFFSET(#REF!,0,0,#REF!,2)</definedName>
    <definedName name="Rate">[1]Black_Scholes!$B$4</definedName>
    <definedName name="RiskAfterRecalcMacro" hidden="1">""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TRUE</definedName>
    <definedName name="RiskStandardRecalc" hidden="1">2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">[1]Black_Scholes!$B$2</definedName>
    <definedName name="SecUnits">OFFSET(#REF!,0,0,#REF!,2)</definedName>
    <definedName name="seednames">#REF!</definedName>
    <definedName name="Seeds">#REF!</definedName>
    <definedName name="Sigma">[1]Black_Scholes!$B$5</definedName>
    <definedName name="SoilTest">#REF!</definedName>
    <definedName name="sort_crop">#REF!</definedName>
    <definedName name="sort_region">#REF!</definedName>
    <definedName name="sort_stage">#REF!</definedName>
    <definedName name="sort_state">#REF!</definedName>
    <definedName name="StageList">OFFSET(#REF!,0,0,#REF!,1)</definedName>
    <definedName name="StageLookup">OFFSET(#REF!,0,0,#REF!,2)</definedName>
    <definedName name="T">[1]Black_Scholes!$B$7</definedName>
    <definedName name="T_five">[1]Black_Scholes!$B$17</definedName>
    <definedName name="Timing">OFFSET(#REF!,0,0,#REF!,1)</definedName>
    <definedName name="transchgcell">#REF!</definedName>
    <definedName name="transchk">#REF!</definedName>
    <definedName name="transcopy">#REF!</definedName>
    <definedName name="transcopyfrom">#REF!</definedName>
    <definedName name="transcopyto">#REF!</definedName>
    <definedName name="transport_calc">#REF!</definedName>
    <definedName name="transtablehdrs">#REF!</definedName>
    <definedName name="transtablenoh">#REF!</definedName>
    <definedName name="TransType">#REF!</definedName>
    <definedName name="treeList" hidden="1">"00000000000000000000000000000000000000000000000000000000000000000000000000000000000000000000000000000000000000000000000000000000000000000000000000000000000000000000000000000000000000000000000000000000"</definedName>
    <definedName name="wrn.all." hidden="1">{"detail",#N/A,FALSE,"Trac_Table";"tractable",#N/A,FALSE,"Trac_Table";"sensitivity",#N/A,FALSE,"Trac_Table"}</definedName>
    <definedName name="X">[1]Black_Scholes!$B$3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35" l="1"/>
  <c r="B3" i="39" l="1"/>
  <c r="A3" i="39"/>
</calcChain>
</file>

<file path=xl/sharedStrings.xml><?xml version="1.0" encoding="utf-8"?>
<sst xmlns="http://schemas.openxmlformats.org/spreadsheetml/2006/main" count="45" uniqueCount="43">
  <si>
    <t>Main calculation</t>
  </si>
  <si>
    <t>Defaults1</t>
  </si>
  <si>
    <t>Defaults2</t>
  </si>
  <si>
    <t>Rand1</t>
  </si>
  <si>
    <t>Rand2</t>
  </si>
  <si>
    <t>Ala Mohanmod</t>
  </si>
  <si>
    <t>Black Smith</t>
  </si>
  <si>
    <t>John Taylor</t>
  </si>
  <si>
    <t>Anderson COle</t>
  </si>
  <si>
    <t>Thomas Jack</t>
  </si>
  <si>
    <t>William Jackson</t>
  </si>
  <si>
    <t>Marke White</t>
  </si>
  <si>
    <t>Harris Alice</t>
  </si>
  <si>
    <t>MARTIN Evan</t>
  </si>
  <si>
    <t>Charley Thompson</t>
  </si>
  <si>
    <t>John Miller</t>
  </si>
  <si>
    <t>Tom Wilson</t>
  </si>
  <si>
    <t>Moore CLARK</t>
  </si>
  <si>
    <t>Ada Wang</t>
    <phoneticPr fontId="4" type="noConversion"/>
  </si>
  <si>
    <t>Bruce Lee</t>
    <phoneticPr fontId="4" type="noConversion"/>
  </si>
  <si>
    <t>Clark Wilson</t>
    <phoneticPr fontId="4" type="noConversion"/>
  </si>
  <si>
    <t>Name</t>
  </si>
  <si>
    <t>Birthday</t>
  </si>
  <si>
    <t>Age</t>
  </si>
  <si>
    <t>How many days left until next birthday</t>
  </si>
  <si>
    <t>Q1 (Range Operations)</t>
  </si>
  <si>
    <t xml:space="preserve">As you can see in the “Q1_1” sheet, there are two random numbers in A3:B3. </t>
  </si>
  <si>
    <t>This time, please try to copy these two numbers to the first and second column in the “Q1_2” sheet 100 times.</t>
  </si>
  <si>
    <t xml:space="preserve"> You are recommended to use Macro Recording to solve this question. </t>
  </si>
  <si>
    <t>Q2 (Macro Recording &amp; Combo Box)</t>
  </si>
  <si>
    <t xml:space="preserve">This question asks us to use Marco Recording to get some codes. </t>
  </si>
  <si>
    <t xml:space="preserve">Then, based on the codes, we need to make some modifications to make our program adjusted to our goal. </t>
  </si>
  <si>
    <t>Q3 (For Loop)</t>
  </si>
  <si>
    <t xml:space="preserve">It is a very classical question in almost every programming language. This time we will do it in VBA. </t>
  </si>
  <si>
    <t xml:space="preserve">As you can see in the Sheet Q3, we need to calculate the age of each person and how many days are left until his or her next birthday. </t>
  </si>
  <si>
    <t>The “base date” is the date you are writing the code. Your result should be like the following:</t>
  </si>
  <si>
    <t xml:space="preserve">Hint: You can take advantages of two VBA functions: datediff and dateadd. </t>
  </si>
  <si>
    <t>Requirement for this question is shown as follows:</t>
  </si>
  <si>
    <t>Please create a combo box in the "Q2" sheet, with two options, "Defaults1" and "Defaults2".</t>
  </si>
  <si>
    <t>When "Defaults1" is chosen by user, range C2:C4 is copied to main calculation in A2:A4.</t>
  </si>
  <si>
    <t>When "Defaults2" is chosen by user, range D2:D4 is copied to main calculation in A2:A4.</t>
  </si>
  <si>
    <t xml:space="preserve">Range A5 shows the main calculation results, no need to modify this cell. </t>
  </si>
  <si>
    <t>Tutorial 5 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</si>
</sst>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General_)"/>
    <numFmt numFmtId="165" formatCode="_(\$* #,##0.00_);_(\$* \(#,##0.00\);_(\$* \-??_);_(@_)"/>
    <numFmt numFmtId="166" formatCode="_(* #,##0.00_);_(* \(#,##0.00\);_(* \-??_);_(@_)"/>
    <numFmt numFmtId="167" formatCode="0_);[Red]\(0\)"/>
    <numFmt numFmtId="168" formatCode="0.0"/>
  </numFmts>
  <fonts count="11" x14ac:knownFonts="1">
    <font>
      <sz val="11"/>
      <color theme="1"/>
      <name val="DengXian"/>
      <family val="2"/>
      <scheme val="minor"/>
    </font>
    <font>
      <sz val="11"/>
      <color theme="1"/>
      <name val="DengXian"/>
      <family val="2"/>
      <charset val="134"/>
      <scheme val="minor"/>
    </font>
    <font>
      <sz val="10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  <font>
      <sz val="9"/>
      <name val="DengXian"/>
      <family val="2"/>
      <scheme val="minor"/>
    </font>
    <font>
      <sz val="11"/>
      <color rgb="FF000000"/>
      <name val="DengXian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u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65" fontId="2" fillId="0" borderId="0" applyFill="0" applyBorder="0" applyAlignment="0" applyProtection="0"/>
    <xf numFmtId="166" fontId="2" fillId="0" borderId="0" applyFill="0" applyBorder="0" applyAlignment="0" applyProtection="0"/>
    <xf numFmtId="164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7" fillId="0" borderId="0" xfId="0" applyFont="1"/>
    <xf numFmtId="0" fontId="8" fillId="0" borderId="0" xfId="0" applyFont="1"/>
    <xf numFmtId="0" fontId="9" fillId="0" borderId="0" xfId="0" applyFont="1"/>
    <xf numFmtId="0" fontId="8" fillId="0" borderId="1" xfId="0" applyFont="1" applyBorder="1" applyAlignment="1">
      <alignment horizontal="center" vertical="center"/>
    </xf>
    <xf numFmtId="0" fontId="7" fillId="0" borderId="1" xfId="13" applyFont="1" applyBorder="1" applyAlignment="1">
      <alignment horizontal="left" vertical="top"/>
    </xf>
    <xf numFmtId="14" fontId="7" fillId="0" borderId="1" xfId="0" applyNumberFormat="1" applyFont="1" applyBorder="1" applyAlignment="1">
      <alignment vertical="center"/>
    </xf>
    <xf numFmtId="167" fontId="7" fillId="0" borderId="1" xfId="0" applyNumberFormat="1" applyFont="1" applyBorder="1" applyAlignment="1">
      <alignment vertical="center"/>
    </xf>
    <xf numFmtId="0" fontId="10" fillId="0" borderId="0" xfId="0" applyFont="1"/>
    <xf numFmtId="168" fontId="7" fillId="0" borderId="1" xfId="0" applyNumberFormat="1" applyFont="1" applyBorder="1" applyAlignment="1">
      <alignment vertical="center"/>
    </xf>
  </cellXfs>
  <cellStyles count="14">
    <cellStyle name="Comma 2" xfId="1" xr:uid="{00000000-0005-0000-0000-000001000000}"/>
    <cellStyle name="Comma 3" xfId="5" xr:uid="{00000000-0005-0000-0000-000002000000}"/>
    <cellStyle name="Currency [0] 6" xfId="9" xr:uid="{00000000-0005-0000-0000-000004000000}"/>
    <cellStyle name="Currency 2" xfId="4" xr:uid="{00000000-0005-0000-0000-000005000000}"/>
    <cellStyle name="Currency 3" xfId="7" xr:uid="{00000000-0005-0000-0000-000006000000}"/>
    <cellStyle name="Normal" xfId="0" builtinId="0"/>
    <cellStyle name="Normal 2" xfId="3" xr:uid="{00000000-0005-0000-0000-000008000000}"/>
    <cellStyle name="Normal 3" xfId="6" xr:uid="{00000000-0005-0000-0000-000009000000}"/>
    <cellStyle name="Normal 3 2" xfId="12" xr:uid="{00000000-0005-0000-0000-00000A000000}"/>
    <cellStyle name="Normal 4" xfId="10" xr:uid="{00000000-0005-0000-0000-00000B000000}"/>
    <cellStyle name="Normal 6" xfId="11" xr:uid="{00000000-0005-0000-0000-00000C000000}"/>
    <cellStyle name="Percent 2" xfId="2" xr:uid="{00000000-0005-0000-0000-00000E000000}"/>
    <cellStyle name="Percent 3" xfId="8" xr:uid="{00000000-0005-0000-0000-00000F000000}"/>
    <cellStyle name="常规 2" xfId="13" xr:uid="{187B5293-119E-4D4C-9284-B033CF917B41}"/>
  </cellStyles>
  <dxfs count="0"/>
  <tableStyles count="0" defaultTableStyle="TableStyleMedium9" defaultPivotStyle="PivotStyleLight16"/>
  <colors>
    <mruColors>
      <color rgb="FF993300"/>
      <color rgb="FFCC6600"/>
      <color rgb="FF996633"/>
      <color rgb="FF0000FF"/>
      <color rgb="FFFF6600"/>
      <color rgb="FFFF5050"/>
      <color rgb="FF4A452A"/>
      <color rgb="FF336600"/>
      <color rgb="FFDDDDDD"/>
      <color rgb="FFDA8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0</xdr:col>
      <xdr:colOff>6743700</xdr:colOff>
      <xdr:row>31</xdr:row>
      <xdr:rowOff>209550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62350"/>
          <a:ext cx="6743700" cy="2495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2</xdr:row>
          <xdr:rowOff>161925</xdr:rowOff>
        </xdr:from>
        <xdr:to>
          <xdr:col>7</xdr:col>
          <xdr:colOff>457200</xdr:colOff>
          <xdr:row>7</xdr:row>
          <xdr:rowOff>142875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2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CopyPaste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6</xdr:row>
          <xdr:rowOff>66675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4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_xls\FinAppsCourse\2016xls\Options\Hwk7realopt16comple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ack_Scholes"/>
      <sheetName val="Deterministic"/>
      <sheetName val="Stochastic"/>
      <sheetName val="Suspend"/>
      <sheetName val="Binomial"/>
      <sheetName val="rsklibSimData"/>
      <sheetName val="RiskSerializationData"/>
    </sheetNames>
    <sheetDataSet>
      <sheetData sheetId="0">
        <row r="2">
          <cell r="B2">
            <v>90512.44</v>
          </cell>
        </row>
        <row r="3">
          <cell r="B3">
            <v>100000</v>
          </cell>
        </row>
        <row r="4">
          <cell r="B4">
            <v>0.39031644114757991</v>
          </cell>
        </row>
        <row r="5">
          <cell r="B5">
            <v>0.85706086367796508</v>
          </cell>
        </row>
        <row r="7">
          <cell r="B7">
            <v>1</v>
          </cell>
        </row>
        <row r="17">
          <cell r="B17">
            <v>2</v>
          </cell>
        </row>
      </sheetData>
      <sheetData sheetId="1"/>
      <sheetData sheetId="2">
        <row r="32">
          <cell r="B32">
            <v>90512.44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6158F-0576-4A71-BE28-6A403AF1E7EC}">
  <sheetPr codeName="Sheet3"/>
  <dimension ref="A1:A35"/>
  <sheetViews>
    <sheetView tabSelected="1" zoomScaleNormal="100" workbookViewId="0">
      <selection activeCell="A10" sqref="A10"/>
    </sheetView>
  </sheetViews>
  <sheetFormatPr defaultRowHeight="18" customHeight="1" x14ac:dyDescent="0.25"/>
  <cols>
    <col min="1" max="1" width="110.5" style="1" customWidth="1"/>
    <col min="2" max="16384" width="9" style="1"/>
  </cols>
  <sheetData>
    <row r="1" spans="1:1" ht="18" customHeight="1" x14ac:dyDescent="0.3">
      <c r="A1" s="3" t="s">
        <v>42</v>
      </c>
    </row>
    <row r="3" spans="1:1" ht="18" customHeight="1" x14ac:dyDescent="0.25">
      <c r="A3" s="2" t="s">
        <v>25</v>
      </c>
    </row>
    <row r="4" spans="1:1" ht="18" customHeight="1" x14ac:dyDescent="0.25">
      <c r="A4" s="1" t="s">
        <v>26</v>
      </c>
    </row>
    <row r="5" spans="1:1" ht="18" customHeight="1" x14ac:dyDescent="0.25">
      <c r="A5" s="1" t="s">
        <v>27</v>
      </c>
    </row>
    <row r="6" spans="1:1" ht="18" customHeight="1" x14ac:dyDescent="0.25">
      <c r="A6" s="1" t="s">
        <v>28</v>
      </c>
    </row>
    <row r="8" spans="1:1" ht="18" customHeight="1" x14ac:dyDescent="0.25">
      <c r="A8" s="2" t="s">
        <v>29</v>
      </c>
    </row>
    <row r="9" spans="1:1" ht="18" customHeight="1" x14ac:dyDescent="0.25">
      <c r="A9" s="1" t="s">
        <v>30</v>
      </c>
    </row>
    <row r="10" spans="1:1" ht="18" customHeight="1" x14ac:dyDescent="0.25">
      <c r="A10" s="1" t="s">
        <v>31</v>
      </c>
    </row>
    <row r="11" spans="1:1" ht="18" customHeight="1" x14ac:dyDescent="0.25">
      <c r="A11" s="1" t="s">
        <v>37</v>
      </c>
    </row>
    <row r="12" spans="1:1" ht="18" customHeight="1" x14ac:dyDescent="0.25">
      <c r="A12" s="1" t="s">
        <v>38</v>
      </c>
    </row>
    <row r="13" spans="1:1" ht="18" customHeight="1" x14ac:dyDescent="0.25">
      <c r="A13" s="1" t="s">
        <v>39</v>
      </c>
    </row>
    <row r="14" spans="1:1" ht="18" customHeight="1" x14ac:dyDescent="0.25">
      <c r="A14" s="1" t="s">
        <v>40</v>
      </c>
    </row>
    <row r="15" spans="1:1" ht="18" customHeight="1" x14ac:dyDescent="0.25">
      <c r="A15" s="1" t="s">
        <v>41</v>
      </c>
    </row>
    <row r="17" spans="1:1" ht="18" customHeight="1" x14ac:dyDescent="0.25">
      <c r="A17" s="2" t="s">
        <v>32</v>
      </c>
    </row>
    <row r="18" spans="1:1" ht="18" customHeight="1" x14ac:dyDescent="0.25">
      <c r="A18" s="1" t="s">
        <v>33</v>
      </c>
    </row>
    <row r="19" spans="1:1" ht="18" customHeight="1" x14ac:dyDescent="0.25">
      <c r="A19" s="1" t="s">
        <v>34</v>
      </c>
    </row>
    <row r="20" spans="1:1" ht="18" customHeight="1" x14ac:dyDescent="0.25">
      <c r="A20" s="1" t="s">
        <v>35</v>
      </c>
    </row>
    <row r="35" spans="1:1" ht="18" customHeight="1" x14ac:dyDescent="0.25">
      <c r="A35" s="1" t="s">
        <v>36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8800C-36FA-448F-B00F-BE2D7F611651}">
  <sheetPr codeName="Sheet1"/>
  <dimension ref="A3:B3"/>
  <sheetViews>
    <sheetView workbookViewId="0">
      <selection activeCell="A3" sqref="A3:B3"/>
    </sheetView>
  </sheetViews>
  <sheetFormatPr defaultRowHeight="15" x14ac:dyDescent="0.25"/>
  <cols>
    <col min="1" max="16384" width="9" style="1"/>
  </cols>
  <sheetData>
    <row r="3" spans="1:2" x14ac:dyDescent="0.25">
      <c r="A3" s="1">
        <f ca="1">RAND()*5</f>
        <v>0.85400093485653916</v>
      </c>
      <c r="B3" s="1">
        <f ca="1">RAND()*8</f>
        <v>4.0224671344686715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8A56B-8E2A-4224-BDE8-B18638B1DF18}">
  <sheetPr codeName="Sheet4"/>
  <dimension ref="A1:B1"/>
  <sheetViews>
    <sheetView workbookViewId="0"/>
  </sheetViews>
  <sheetFormatPr defaultRowHeight="15" x14ac:dyDescent="0.25"/>
  <cols>
    <col min="1" max="16384" width="9" style="1"/>
  </cols>
  <sheetData>
    <row r="1" spans="1:2" x14ac:dyDescent="0.25">
      <c r="A1" s="1" t="s">
        <v>3</v>
      </c>
      <c r="B1" s="1" t="s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CopyPaste">
                <anchor moveWithCells="1" sizeWithCells="1">
                  <from>
                    <xdr:col>5</xdr:col>
                    <xdr:colOff>276225</xdr:colOff>
                    <xdr:row>2</xdr:row>
                    <xdr:rowOff>161925</xdr:rowOff>
                  </from>
                  <to>
                    <xdr:col>7</xdr:col>
                    <xdr:colOff>457200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5"/>
  <sheetViews>
    <sheetView workbookViewId="0"/>
  </sheetViews>
  <sheetFormatPr defaultColWidth="8.875" defaultRowHeight="15" x14ac:dyDescent="0.25"/>
  <cols>
    <col min="1" max="1" width="19.875" style="1" customWidth="1"/>
    <col min="2" max="3" width="8.875" style="1"/>
    <col min="4" max="22" width="9.125" style="1" customWidth="1"/>
    <col min="23" max="255" width="8.875" style="1"/>
    <col min="256" max="256" width="19.875" style="1" customWidth="1"/>
    <col min="257" max="511" width="8.875" style="1"/>
    <col min="512" max="512" width="19.875" style="1" customWidth="1"/>
    <col min="513" max="767" width="8.875" style="1"/>
    <col min="768" max="768" width="19.875" style="1" customWidth="1"/>
    <col min="769" max="1023" width="8.875" style="1"/>
    <col min="1024" max="1024" width="19.875" style="1" customWidth="1"/>
    <col min="1025" max="1279" width="8.875" style="1"/>
    <col min="1280" max="1280" width="19.875" style="1" customWidth="1"/>
    <col min="1281" max="1535" width="8.875" style="1"/>
    <col min="1536" max="1536" width="19.875" style="1" customWidth="1"/>
    <col min="1537" max="1791" width="8.875" style="1"/>
    <col min="1792" max="1792" width="19.875" style="1" customWidth="1"/>
    <col min="1793" max="2047" width="8.875" style="1"/>
    <col min="2048" max="2048" width="19.875" style="1" customWidth="1"/>
    <col min="2049" max="2303" width="8.875" style="1"/>
    <col min="2304" max="2304" width="19.875" style="1" customWidth="1"/>
    <col min="2305" max="2559" width="8.875" style="1"/>
    <col min="2560" max="2560" width="19.875" style="1" customWidth="1"/>
    <col min="2561" max="2815" width="8.875" style="1"/>
    <col min="2816" max="2816" width="19.875" style="1" customWidth="1"/>
    <col min="2817" max="3071" width="8.875" style="1"/>
    <col min="3072" max="3072" width="19.875" style="1" customWidth="1"/>
    <col min="3073" max="3327" width="8.875" style="1"/>
    <col min="3328" max="3328" width="19.875" style="1" customWidth="1"/>
    <col min="3329" max="3583" width="8.875" style="1"/>
    <col min="3584" max="3584" width="19.875" style="1" customWidth="1"/>
    <col min="3585" max="3839" width="8.875" style="1"/>
    <col min="3840" max="3840" width="19.875" style="1" customWidth="1"/>
    <col min="3841" max="4095" width="8.875" style="1"/>
    <col min="4096" max="4096" width="19.875" style="1" customWidth="1"/>
    <col min="4097" max="4351" width="8.875" style="1"/>
    <col min="4352" max="4352" width="19.875" style="1" customWidth="1"/>
    <col min="4353" max="4607" width="8.875" style="1"/>
    <col min="4608" max="4608" width="19.875" style="1" customWidth="1"/>
    <col min="4609" max="4863" width="8.875" style="1"/>
    <col min="4864" max="4864" width="19.875" style="1" customWidth="1"/>
    <col min="4865" max="5119" width="8.875" style="1"/>
    <col min="5120" max="5120" width="19.875" style="1" customWidth="1"/>
    <col min="5121" max="5375" width="8.875" style="1"/>
    <col min="5376" max="5376" width="19.875" style="1" customWidth="1"/>
    <col min="5377" max="5631" width="8.875" style="1"/>
    <col min="5632" max="5632" width="19.875" style="1" customWidth="1"/>
    <col min="5633" max="5887" width="8.875" style="1"/>
    <col min="5888" max="5888" width="19.875" style="1" customWidth="1"/>
    <col min="5889" max="6143" width="8.875" style="1"/>
    <col min="6144" max="6144" width="19.875" style="1" customWidth="1"/>
    <col min="6145" max="6399" width="8.875" style="1"/>
    <col min="6400" max="6400" width="19.875" style="1" customWidth="1"/>
    <col min="6401" max="6655" width="8.875" style="1"/>
    <col min="6656" max="6656" width="19.875" style="1" customWidth="1"/>
    <col min="6657" max="6911" width="8.875" style="1"/>
    <col min="6912" max="6912" width="19.875" style="1" customWidth="1"/>
    <col min="6913" max="7167" width="8.875" style="1"/>
    <col min="7168" max="7168" width="19.875" style="1" customWidth="1"/>
    <col min="7169" max="7423" width="8.875" style="1"/>
    <col min="7424" max="7424" width="19.875" style="1" customWidth="1"/>
    <col min="7425" max="7679" width="8.875" style="1"/>
    <col min="7680" max="7680" width="19.875" style="1" customWidth="1"/>
    <col min="7681" max="7935" width="8.875" style="1"/>
    <col min="7936" max="7936" width="19.875" style="1" customWidth="1"/>
    <col min="7937" max="8191" width="8.875" style="1"/>
    <col min="8192" max="8192" width="19.875" style="1" customWidth="1"/>
    <col min="8193" max="8447" width="8.875" style="1"/>
    <col min="8448" max="8448" width="19.875" style="1" customWidth="1"/>
    <col min="8449" max="8703" width="8.875" style="1"/>
    <col min="8704" max="8704" width="19.875" style="1" customWidth="1"/>
    <col min="8705" max="8959" width="8.875" style="1"/>
    <col min="8960" max="8960" width="19.875" style="1" customWidth="1"/>
    <col min="8961" max="9215" width="8.875" style="1"/>
    <col min="9216" max="9216" width="19.875" style="1" customWidth="1"/>
    <col min="9217" max="9471" width="8.875" style="1"/>
    <col min="9472" max="9472" width="19.875" style="1" customWidth="1"/>
    <col min="9473" max="9727" width="8.875" style="1"/>
    <col min="9728" max="9728" width="19.875" style="1" customWidth="1"/>
    <col min="9729" max="9983" width="8.875" style="1"/>
    <col min="9984" max="9984" width="19.875" style="1" customWidth="1"/>
    <col min="9985" max="10239" width="8.875" style="1"/>
    <col min="10240" max="10240" width="19.875" style="1" customWidth="1"/>
    <col min="10241" max="10495" width="8.875" style="1"/>
    <col min="10496" max="10496" width="19.875" style="1" customWidth="1"/>
    <col min="10497" max="10751" width="8.875" style="1"/>
    <col min="10752" max="10752" width="19.875" style="1" customWidth="1"/>
    <col min="10753" max="11007" width="8.875" style="1"/>
    <col min="11008" max="11008" width="19.875" style="1" customWidth="1"/>
    <col min="11009" max="11263" width="8.875" style="1"/>
    <col min="11264" max="11264" width="19.875" style="1" customWidth="1"/>
    <col min="11265" max="11519" width="8.875" style="1"/>
    <col min="11520" max="11520" width="19.875" style="1" customWidth="1"/>
    <col min="11521" max="11775" width="8.875" style="1"/>
    <col min="11776" max="11776" width="19.875" style="1" customWidth="1"/>
    <col min="11777" max="12031" width="8.875" style="1"/>
    <col min="12032" max="12032" width="19.875" style="1" customWidth="1"/>
    <col min="12033" max="12287" width="8.875" style="1"/>
    <col min="12288" max="12288" width="19.875" style="1" customWidth="1"/>
    <col min="12289" max="12543" width="8.875" style="1"/>
    <col min="12544" max="12544" width="19.875" style="1" customWidth="1"/>
    <col min="12545" max="12799" width="8.875" style="1"/>
    <col min="12800" max="12800" width="19.875" style="1" customWidth="1"/>
    <col min="12801" max="13055" width="8.875" style="1"/>
    <col min="13056" max="13056" width="19.875" style="1" customWidth="1"/>
    <col min="13057" max="13311" width="8.875" style="1"/>
    <col min="13312" max="13312" width="19.875" style="1" customWidth="1"/>
    <col min="13313" max="13567" width="8.875" style="1"/>
    <col min="13568" max="13568" width="19.875" style="1" customWidth="1"/>
    <col min="13569" max="13823" width="8.875" style="1"/>
    <col min="13824" max="13824" width="19.875" style="1" customWidth="1"/>
    <col min="13825" max="14079" width="8.875" style="1"/>
    <col min="14080" max="14080" width="19.875" style="1" customWidth="1"/>
    <col min="14081" max="14335" width="8.875" style="1"/>
    <col min="14336" max="14336" width="19.875" style="1" customWidth="1"/>
    <col min="14337" max="14591" width="8.875" style="1"/>
    <col min="14592" max="14592" width="19.875" style="1" customWidth="1"/>
    <col min="14593" max="14847" width="8.875" style="1"/>
    <col min="14848" max="14848" width="19.875" style="1" customWidth="1"/>
    <col min="14849" max="15103" width="8.875" style="1"/>
    <col min="15104" max="15104" width="19.875" style="1" customWidth="1"/>
    <col min="15105" max="15359" width="8.875" style="1"/>
    <col min="15360" max="15360" width="19.875" style="1" customWidth="1"/>
    <col min="15361" max="15615" width="8.875" style="1"/>
    <col min="15616" max="15616" width="19.875" style="1" customWidth="1"/>
    <col min="15617" max="15871" width="8.875" style="1"/>
    <col min="15872" max="15872" width="19.875" style="1" customWidth="1"/>
    <col min="15873" max="16127" width="8.875" style="1"/>
    <col min="16128" max="16128" width="19.875" style="1" customWidth="1"/>
    <col min="16129" max="16384" width="8.875" style="1"/>
  </cols>
  <sheetData>
    <row r="1" spans="1:6" x14ac:dyDescent="0.25">
      <c r="A1" s="1" t="s">
        <v>0</v>
      </c>
      <c r="C1" s="1" t="s">
        <v>1</v>
      </c>
      <c r="D1" s="1" t="s">
        <v>2</v>
      </c>
    </row>
    <row r="2" spans="1:6" x14ac:dyDescent="0.25">
      <c r="C2" s="1">
        <v>11</v>
      </c>
      <c r="D2" s="1">
        <v>15</v>
      </c>
      <c r="F2" s="1" t="s">
        <v>1</v>
      </c>
    </row>
    <row r="3" spans="1:6" x14ac:dyDescent="0.25">
      <c r="C3" s="1">
        <v>12</v>
      </c>
      <c r="D3" s="1">
        <v>26</v>
      </c>
      <c r="F3" s="1" t="s">
        <v>2</v>
      </c>
    </row>
    <row r="4" spans="1:6" x14ac:dyDescent="0.25">
      <c r="C4" s="1">
        <v>13</v>
      </c>
      <c r="D4" s="1">
        <v>27</v>
      </c>
    </row>
    <row r="5" spans="1:6" x14ac:dyDescent="0.25">
      <c r="A5" s="1">
        <f>A2+A3-A4</f>
        <v>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4DA4D-5230-4130-8DC8-EF8CFFF7A190}">
  <sheetPr codeName="Sheet6"/>
  <dimension ref="C2:K18"/>
  <sheetViews>
    <sheetView workbookViewId="0"/>
  </sheetViews>
  <sheetFormatPr defaultRowHeight="15" x14ac:dyDescent="0.25"/>
  <cols>
    <col min="1" max="2" width="9" style="1"/>
    <col min="3" max="3" width="21" style="1" customWidth="1"/>
    <col min="4" max="4" width="20.625" style="1" customWidth="1"/>
    <col min="5" max="5" width="9" style="1"/>
    <col min="6" max="6" width="34.625" style="1" customWidth="1"/>
    <col min="7" max="16384" width="9" style="1"/>
  </cols>
  <sheetData>
    <row r="2" spans="3:11" x14ac:dyDescent="0.25">
      <c r="C2" s="4" t="s">
        <v>21</v>
      </c>
      <c r="D2" s="4" t="s">
        <v>22</v>
      </c>
      <c r="E2" s="4" t="s">
        <v>23</v>
      </c>
      <c r="F2" s="4" t="s">
        <v>24</v>
      </c>
    </row>
    <row r="3" spans="3:11" x14ac:dyDescent="0.25">
      <c r="C3" s="5" t="s">
        <v>5</v>
      </c>
      <c r="D3" s="6">
        <v>26951</v>
      </c>
      <c r="E3" s="7"/>
      <c r="F3" s="9"/>
    </row>
    <row r="4" spans="3:11" x14ac:dyDescent="0.25">
      <c r="C4" s="5" t="s">
        <v>6</v>
      </c>
      <c r="D4" s="6">
        <v>35103</v>
      </c>
      <c r="E4" s="7"/>
      <c r="F4" s="9"/>
    </row>
    <row r="5" spans="3:11" x14ac:dyDescent="0.25">
      <c r="C5" s="5" t="s">
        <v>7</v>
      </c>
      <c r="D5" s="6">
        <v>26170</v>
      </c>
      <c r="E5" s="7"/>
      <c r="F5" s="9"/>
    </row>
    <row r="6" spans="3:11" x14ac:dyDescent="0.25">
      <c r="C6" s="5" t="s">
        <v>8</v>
      </c>
      <c r="D6" s="6">
        <v>32025</v>
      </c>
      <c r="E6" s="7"/>
      <c r="F6" s="9"/>
    </row>
    <row r="7" spans="3:11" x14ac:dyDescent="0.25">
      <c r="C7" s="5" t="s">
        <v>9</v>
      </c>
      <c r="D7" s="6">
        <v>30417</v>
      </c>
      <c r="E7" s="7"/>
      <c r="F7" s="9"/>
    </row>
    <row r="8" spans="3:11" x14ac:dyDescent="0.25">
      <c r="C8" s="5" t="s">
        <v>10</v>
      </c>
      <c r="D8" s="6">
        <v>27994</v>
      </c>
      <c r="E8" s="7"/>
      <c r="F8" s="9"/>
    </row>
    <row r="9" spans="3:11" x14ac:dyDescent="0.25">
      <c r="C9" s="5" t="s">
        <v>11</v>
      </c>
      <c r="D9" s="6">
        <v>35130</v>
      </c>
      <c r="E9" s="7"/>
      <c r="F9" s="9"/>
    </row>
    <row r="10" spans="3:11" x14ac:dyDescent="0.25">
      <c r="C10" s="5" t="s">
        <v>12</v>
      </c>
      <c r="D10" s="6">
        <v>29741</v>
      </c>
      <c r="E10" s="7"/>
      <c r="F10" s="9"/>
    </row>
    <row r="11" spans="3:11" x14ac:dyDescent="0.25">
      <c r="C11" s="5" t="s">
        <v>13</v>
      </c>
      <c r="D11" s="6">
        <v>30978</v>
      </c>
      <c r="E11" s="7"/>
      <c r="F11" s="9"/>
      <c r="K11" s="8"/>
    </row>
    <row r="12" spans="3:11" x14ac:dyDescent="0.25">
      <c r="C12" s="5" t="s">
        <v>14</v>
      </c>
      <c r="D12" s="6">
        <v>32684</v>
      </c>
      <c r="E12" s="7"/>
      <c r="F12" s="9"/>
    </row>
    <row r="13" spans="3:11" x14ac:dyDescent="0.25">
      <c r="C13" s="5" t="s">
        <v>15</v>
      </c>
      <c r="D13" s="6">
        <v>29439</v>
      </c>
      <c r="E13" s="7"/>
      <c r="F13" s="9"/>
      <c r="I13" s="8"/>
    </row>
    <row r="14" spans="3:11" x14ac:dyDescent="0.25">
      <c r="C14" s="5" t="s">
        <v>16</v>
      </c>
      <c r="D14" s="6">
        <v>29187</v>
      </c>
      <c r="E14" s="7"/>
      <c r="F14" s="9"/>
    </row>
    <row r="15" spans="3:11" x14ac:dyDescent="0.25">
      <c r="C15" s="5" t="s">
        <v>17</v>
      </c>
      <c r="D15" s="6">
        <v>33028</v>
      </c>
      <c r="E15" s="7"/>
      <c r="F15" s="9"/>
    </row>
    <row r="16" spans="3:11" x14ac:dyDescent="0.25">
      <c r="C16" s="5" t="s">
        <v>18</v>
      </c>
      <c r="D16" s="6">
        <v>32872</v>
      </c>
      <c r="E16" s="7"/>
      <c r="F16" s="9"/>
    </row>
    <row r="17" spans="3:6" x14ac:dyDescent="0.25">
      <c r="C17" s="5" t="s">
        <v>19</v>
      </c>
      <c r="D17" s="6">
        <v>27367</v>
      </c>
      <c r="E17" s="7"/>
      <c r="F17" s="9"/>
    </row>
    <row r="18" spans="3:6" x14ac:dyDescent="0.25">
      <c r="C18" s="5" t="s">
        <v>20</v>
      </c>
      <c r="D18" s="6">
        <v>27419</v>
      </c>
      <c r="E18" s="7"/>
      <c r="F18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3" name="Button 1">
              <controlPr defaultSize="0" print="0" autoFill="0" autoPict="0" macro="[0]!birthday">
                <anchor moveWithCells="1" sizeWithCells="1">
                  <from>
                    <xdr:col>7</xdr:col>
                    <xdr:colOff>180975</xdr:colOff>
                    <xdr:row>6</xdr:row>
                    <xdr:rowOff>66675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09B5D021B36C45A90FD68FF5FA580F" ma:contentTypeVersion="18" ma:contentTypeDescription="Create a new document." ma:contentTypeScope="" ma:versionID="6bf73aa9722f15232f9ca772ae63f833">
  <xsd:schema xmlns:xsd="http://www.w3.org/2001/XMLSchema" xmlns:xs="http://www.w3.org/2001/XMLSchema" xmlns:p="http://schemas.microsoft.com/office/2006/metadata/properties" xmlns:ns3="a2144aef-1027-4d2a-a2df-31c7d14b7b82" xmlns:ns4="eb906773-87b2-48fa-aed4-96ab51a1020d" targetNamespace="http://schemas.microsoft.com/office/2006/metadata/properties" ma:root="true" ma:fieldsID="8c0cf21f0db27ad6a5989b3559ac3e4f" ns3:_="" ns4:_="">
    <xsd:import namespace="a2144aef-1027-4d2a-a2df-31c7d14b7b82"/>
    <xsd:import namespace="eb906773-87b2-48fa-aed4-96ab51a1020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44aef-1027-4d2a-a2df-31c7d14b7b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906773-87b2-48fa-aed4-96ab51a1020d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44aef-1027-4d2a-a2df-31c7d14b7b8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4C27C87-2318-4B8E-BC0E-F18B9DC62A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44aef-1027-4d2a-a2df-31c7d14b7b82"/>
    <ds:schemaRef ds:uri="eb906773-87b2-48fa-aed4-96ab51a102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A31E2E-4D4F-45A3-B3F0-3E49872991FB}">
  <ds:schemaRefs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eb906773-87b2-48fa-aed4-96ab51a1020d"/>
    <ds:schemaRef ds:uri="http://schemas.microsoft.com/office/2006/documentManagement/types"/>
    <ds:schemaRef ds:uri="http://schemas.microsoft.com/office/infopath/2007/PartnerControls"/>
    <ds:schemaRef ds:uri="a2144aef-1027-4d2a-a2df-31c7d14b7b82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8B7A49A-FD21-4949-ADD0-836C141E42A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Q1_1</vt:lpstr>
      <vt:lpstr>Q1_2</vt:lpstr>
      <vt:lpstr>Q2</vt:lpstr>
      <vt:lpstr>Q3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Lazarus &amp; Andrew Goodkind</dc:creator>
  <cp:lastModifiedBy>Frankie HO</cp:lastModifiedBy>
  <cp:lastPrinted>2011-12-12T17:54:10Z</cp:lastPrinted>
  <dcterms:created xsi:type="dcterms:W3CDTF">2009-07-13T21:56:17Z</dcterms:created>
  <dcterms:modified xsi:type="dcterms:W3CDTF">2025-03-16T14:33:10Z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0x0101008109B5D021B36C45A90FD68FF5FA580F</vt:lpwstr>
  </property>
</Properties>
</file>