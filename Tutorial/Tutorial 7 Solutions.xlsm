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kuhk-my.sharepoint.com/personal/cfhoad_hku_hk/Documents/HKU TA/Spring 2024-2025/FINA3351/Tutorials/"/>
    </mc:Choice>
  </mc:AlternateContent>
  <xr:revisionPtr revIDLastSave="2" documentId="13_ncr:1_{2810E96B-FDF4-4E62-ACCE-6CD2808573FB}" xr6:coauthVersionLast="47" xr6:coauthVersionMax="47" xr10:uidLastSave="{55DB1C65-84C2-4801-A5EB-718F77F9C2D9}"/>
  <bookViews>
    <workbookView xWindow="-120" yWindow="-120" windowWidth="29040" windowHeight="15720" activeTab="2" xr2:uid="{AD4503FF-E279-4EA4-849F-D3A961C7F482}"/>
  </bookViews>
  <sheets>
    <sheet name="Historical_Data" sheetId="1" r:id="rId1"/>
    <sheet name="Log_Return" sheetId="3" r:id="rId2"/>
    <sheet name="Simulation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" i="2" l="1"/>
  <c r="O16" i="2"/>
  <c r="O17" i="2" s="1"/>
  <c r="O18" i="2" s="1"/>
  <c r="O19" i="2" s="1"/>
  <c r="O20" i="2" s="1"/>
  <c r="O21" i="2" s="1"/>
  <c r="O14" i="2"/>
  <c r="B13" i="2"/>
  <c r="C9" i="2"/>
  <c r="D8" i="2"/>
  <c r="D7" i="2"/>
  <c r="C7" i="2"/>
  <c r="C13" i="2" s="1"/>
  <c r="B7" i="2"/>
  <c r="D4" i="3"/>
  <c r="D9" i="2" s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3" i="3"/>
  <c r="C4" i="3"/>
  <c r="C5" i="3"/>
  <c r="C6" i="3"/>
  <c r="C7" i="3"/>
  <c r="C8" i="3"/>
  <c r="C9" i="3"/>
  <c r="C10" i="3"/>
  <c r="C8" i="2" s="1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3" i="3"/>
  <c r="B8" i="2" s="1"/>
  <c r="D12" i="2"/>
  <c r="D13" i="2" s="1"/>
  <c r="B17" i="2" a="1"/>
  <c r="B9" i="2" l="1"/>
  <c r="B18" i="2"/>
  <c r="C19" i="2"/>
  <c r="D19" i="2"/>
  <c r="B17" i="2"/>
  <c r="C17" i="2"/>
  <c r="D17" i="2"/>
  <c r="C18" i="2"/>
  <c r="D18" i="2"/>
  <c r="B19" i="2"/>
  <c r="G12" i="2" a="1"/>
  <c r="G87" i="2" a="1"/>
  <c r="G66" i="2" a="1"/>
  <c r="G65" i="2" a="1"/>
  <c r="G17" i="2" a="1"/>
  <c r="G55" i="2" a="1"/>
  <c r="G74" i="2" a="1"/>
  <c r="G94" i="2" a="1"/>
  <c r="G49" i="2" a="1"/>
  <c r="G46" i="2" a="1"/>
  <c r="G79" i="2" a="1"/>
  <c r="G41" i="2" a="1"/>
  <c r="G95" i="2" a="1"/>
  <c r="G84" i="2" a="1"/>
  <c r="G22" i="2" a="1"/>
  <c r="G19" i="2" a="1"/>
  <c r="G29" i="2" a="1"/>
  <c r="G54" i="2" a="1"/>
  <c r="G88" i="2" a="1"/>
  <c r="G83" i="2" a="1"/>
  <c r="G72" i="2" a="1"/>
  <c r="G93" i="2" a="1"/>
  <c r="G69" i="2" a="1"/>
  <c r="G60" i="2" a="1"/>
  <c r="G59" i="2" a="1"/>
  <c r="G14" i="2" a="1"/>
  <c r="G56" i="2" a="1"/>
  <c r="G31" i="2" a="1"/>
  <c r="G81" i="2" a="1"/>
  <c r="G38" i="2" a="1"/>
  <c r="G77" i="2" a="1"/>
  <c r="G35" i="2" a="1"/>
  <c r="G104" i="2" a="1"/>
  <c r="G107" i="2" a="1"/>
  <c r="G26" i="2" a="1"/>
  <c r="G51" i="2" a="1"/>
  <c r="G62" i="2" a="1"/>
  <c r="G61" i="2" a="1"/>
  <c r="G75" i="2" a="1"/>
  <c r="G33" i="2" a="1"/>
  <c r="G24" i="2" a="1"/>
  <c r="G50" i="2" a="1"/>
  <c r="G80" i="2" a="1"/>
  <c r="G43" i="2" a="1"/>
  <c r="G103" i="2" a="1"/>
  <c r="G58" i="2" a="1"/>
  <c r="G70" i="2" a="1"/>
  <c r="G57" i="2" a="1"/>
  <c r="G63" i="2" a="1"/>
  <c r="G53" i="2" a="1"/>
  <c r="G16" i="2" a="1"/>
  <c r="G73" i="2" a="1"/>
  <c r="G15" i="2" a="1"/>
  <c r="G71" i="2" a="1"/>
  <c r="G45" i="2" a="1"/>
  <c r="G108" i="2" a="1"/>
  <c r="G30" i="2" a="1"/>
  <c r="G47" i="2" a="1"/>
  <c r="G32" i="2" a="1"/>
  <c r="G40" i="2" a="1"/>
  <c r="G91" i="2" a="1"/>
  <c r="G28" i="2" a="1"/>
  <c r="G68" i="2" a="1"/>
  <c r="G106" i="2" a="1"/>
  <c r="G21" i="2" a="1"/>
  <c r="G27" i="2" a="1"/>
  <c r="G36" i="2" a="1"/>
  <c r="G86" i="2" a="1"/>
  <c r="G67" i="2" a="1"/>
  <c r="G20" i="2" a="1"/>
  <c r="G64" i="2" a="1"/>
  <c r="G42" i="2" a="1"/>
  <c r="G105" i="2" a="1"/>
  <c r="G99" i="2" a="1"/>
  <c r="G44" i="2" a="1"/>
  <c r="G101" i="2" a="1"/>
  <c r="G37" i="2" a="1"/>
  <c r="G82" i="2" a="1"/>
  <c r="G110" i="2" a="1"/>
  <c r="G18" i="2" a="1"/>
  <c r="G102" i="2" a="1"/>
  <c r="G34" i="2" a="1"/>
  <c r="G96" i="2" a="1"/>
  <c r="G52" i="2" a="1"/>
  <c r="G25" i="2" a="1"/>
  <c r="G85" i="2" a="1"/>
  <c r="G100" i="2" a="1"/>
  <c r="G92" i="2" a="1"/>
  <c r="G13" i="2" a="1"/>
  <c r="G23" i="2" a="1"/>
  <c r="G39" i="2" a="1"/>
  <c r="G97" i="2" a="1"/>
  <c r="G48" i="2" a="1"/>
  <c r="G98" i="2" a="1"/>
  <c r="G89" i="2" a="1"/>
  <c r="G90" i="2" a="1"/>
  <c r="G11" i="2" a="1"/>
  <c r="G76" i="2" a="1"/>
  <c r="G109" i="2" a="1"/>
  <c r="G78" i="2" a="1"/>
  <c r="G31" i="2" l="1"/>
  <c r="J31" i="2" s="1"/>
  <c r="H31" i="2"/>
  <c r="K31" i="2" s="1"/>
  <c r="I31" i="2"/>
  <c r="L31" i="2" s="1"/>
  <c r="G49" i="2"/>
  <c r="J49" i="2" s="1"/>
  <c r="H49" i="2"/>
  <c r="K49" i="2" s="1"/>
  <c r="I49" i="2"/>
  <c r="L49" i="2" s="1"/>
  <c r="I64" i="2"/>
  <c r="L64" i="2" s="1"/>
  <c r="H64" i="2"/>
  <c r="K64" i="2" s="1"/>
  <c r="G64" i="2"/>
  <c r="J64" i="2" s="1"/>
  <c r="M64" i="2" s="1"/>
  <c r="G76" i="2"/>
  <c r="J76" i="2" s="1"/>
  <c r="H76" i="2"/>
  <c r="K76" i="2" s="1"/>
  <c r="I76" i="2"/>
  <c r="L76" i="2" s="1"/>
  <c r="G88" i="2"/>
  <c r="J88" i="2" s="1"/>
  <c r="H88" i="2"/>
  <c r="K88" i="2" s="1"/>
  <c r="I88" i="2"/>
  <c r="L88" i="2" s="1"/>
  <c r="G100" i="2"/>
  <c r="J100" i="2" s="1"/>
  <c r="H100" i="2"/>
  <c r="K100" i="2" s="1"/>
  <c r="I100" i="2"/>
  <c r="L100" i="2" s="1"/>
  <c r="G53" i="2"/>
  <c r="J53" i="2" s="1"/>
  <c r="H53" i="2"/>
  <c r="K53" i="2" s="1"/>
  <c r="I53" i="2"/>
  <c r="L53" i="2" s="1"/>
  <c r="G77" i="2"/>
  <c r="J77" i="2" s="1"/>
  <c r="H77" i="2"/>
  <c r="K77" i="2" s="1"/>
  <c r="I77" i="2"/>
  <c r="L77" i="2" s="1"/>
  <c r="G95" i="2"/>
  <c r="J95" i="2" s="1"/>
  <c r="H95" i="2"/>
  <c r="K95" i="2" s="1"/>
  <c r="I95" i="2"/>
  <c r="L95" i="2" s="1"/>
  <c r="G110" i="2"/>
  <c r="J110" i="2" s="1"/>
  <c r="H110" i="2"/>
  <c r="K110" i="2" s="1"/>
  <c r="I110" i="2"/>
  <c r="L110" i="2" s="1"/>
  <c r="H28" i="2"/>
  <c r="K28" i="2" s="1"/>
  <c r="G28" i="2"/>
  <c r="J28" i="2" s="1"/>
  <c r="I28" i="2"/>
  <c r="L28" i="2" s="1"/>
  <c r="G58" i="2"/>
  <c r="J58" i="2" s="1"/>
  <c r="H58" i="2"/>
  <c r="K58" i="2" s="1"/>
  <c r="I58" i="2"/>
  <c r="L58" i="2" s="1"/>
  <c r="G79" i="2"/>
  <c r="J79" i="2" s="1"/>
  <c r="H79" i="2"/>
  <c r="K79" i="2" s="1"/>
  <c r="I79" i="2"/>
  <c r="L79" i="2" s="1"/>
  <c r="G94" i="2"/>
  <c r="J94" i="2" s="1"/>
  <c r="H94" i="2"/>
  <c r="K94" i="2" s="1"/>
  <c r="I94" i="2"/>
  <c r="L94" i="2" s="1"/>
  <c r="I109" i="2"/>
  <c r="L109" i="2" s="1"/>
  <c r="G109" i="2"/>
  <c r="J109" i="2" s="1"/>
  <c r="H109" i="2"/>
  <c r="K109" i="2" s="1"/>
  <c r="G62" i="2"/>
  <c r="J62" i="2" s="1"/>
  <c r="H62" i="2"/>
  <c r="K62" i="2" s="1"/>
  <c r="I62" i="2"/>
  <c r="L62" i="2" s="1"/>
  <c r="G86" i="2"/>
  <c r="J86" i="2" s="1"/>
  <c r="H86" i="2"/>
  <c r="K86" i="2" s="1"/>
  <c r="I86" i="2"/>
  <c r="L86" i="2" s="1"/>
  <c r="G107" i="2"/>
  <c r="J107" i="2" s="1"/>
  <c r="H107" i="2"/>
  <c r="K107" i="2" s="1"/>
  <c r="I107" i="2"/>
  <c r="L107" i="2" s="1"/>
  <c r="H25" i="2"/>
  <c r="K25" i="2" s="1"/>
  <c r="G25" i="2"/>
  <c r="J25" i="2" s="1"/>
  <c r="I25" i="2"/>
  <c r="L25" i="2" s="1"/>
  <c r="G52" i="2"/>
  <c r="J52" i="2" s="1"/>
  <c r="H52" i="2"/>
  <c r="K52" i="2" s="1"/>
  <c r="I52" i="2"/>
  <c r="L52" i="2" s="1"/>
  <c r="G70" i="2"/>
  <c r="J70" i="2" s="1"/>
  <c r="H70" i="2"/>
  <c r="K70" i="2" s="1"/>
  <c r="I70" i="2"/>
  <c r="L70" i="2" s="1"/>
  <c r="G82" i="2"/>
  <c r="J82" i="2" s="1"/>
  <c r="H82" i="2"/>
  <c r="K82" i="2" s="1"/>
  <c r="I82" i="2"/>
  <c r="L82" i="2" s="1"/>
  <c r="I91" i="2"/>
  <c r="L91" i="2" s="1"/>
  <c r="G91" i="2"/>
  <c r="J91" i="2" s="1"/>
  <c r="H91" i="2"/>
  <c r="K91" i="2" s="1"/>
  <c r="G103" i="2"/>
  <c r="J103" i="2" s="1"/>
  <c r="H103" i="2"/>
  <c r="K103" i="2" s="1"/>
  <c r="I103" i="2"/>
  <c r="L103" i="2" s="1"/>
  <c r="G56" i="2"/>
  <c r="J56" i="2" s="1"/>
  <c r="H56" i="2"/>
  <c r="K56" i="2" s="1"/>
  <c r="I56" i="2"/>
  <c r="L56" i="2" s="1"/>
  <c r="G74" i="2"/>
  <c r="J74" i="2" s="1"/>
  <c r="H74" i="2"/>
  <c r="K74" i="2" s="1"/>
  <c r="I74" i="2"/>
  <c r="L74" i="2" s="1"/>
  <c r="I89" i="2"/>
  <c r="L89" i="2" s="1"/>
  <c r="H89" i="2"/>
  <c r="K89" i="2" s="1"/>
  <c r="G89" i="2"/>
  <c r="J89" i="2" s="1"/>
  <c r="M89" i="2" s="1"/>
  <c r="G98" i="2"/>
  <c r="J98" i="2" s="1"/>
  <c r="H98" i="2"/>
  <c r="K98" i="2" s="1"/>
  <c r="I98" i="2"/>
  <c r="L98" i="2" s="1"/>
  <c r="G13" i="2"/>
  <c r="J13" i="2" s="1"/>
  <c r="H13" i="2"/>
  <c r="K13" i="2" s="1"/>
  <c r="I13" i="2"/>
  <c r="L13" i="2" s="1"/>
  <c r="G16" i="2"/>
  <c r="J16" i="2" s="1"/>
  <c r="H16" i="2"/>
  <c r="K16" i="2" s="1"/>
  <c r="I16" i="2"/>
  <c r="L16" i="2" s="1"/>
  <c r="I19" i="2"/>
  <c r="L19" i="2" s="1"/>
  <c r="G19" i="2"/>
  <c r="J19" i="2" s="1"/>
  <c r="H19" i="2"/>
  <c r="K19" i="2" s="1"/>
  <c r="G22" i="2"/>
  <c r="J22" i="2" s="1"/>
  <c r="H22" i="2"/>
  <c r="K22" i="2" s="1"/>
  <c r="I22" i="2"/>
  <c r="L22" i="2" s="1"/>
  <c r="G34" i="2"/>
  <c r="J34" i="2" s="1"/>
  <c r="H34" i="2"/>
  <c r="K34" i="2" s="1"/>
  <c r="I34" i="2"/>
  <c r="L34" i="2" s="1"/>
  <c r="G37" i="2"/>
  <c r="J37" i="2" s="1"/>
  <c r="H37" i="2"/>
  <c r="K37" i="2" s="1"/>
  <c r="I37" i="2"/>
  <c r="L37" i="2" s="1"/>
  <c r="I40" i="2"/>
  <c r="L40" i="2" s="1"/>
  <c r="H40" i="2"/>
  <c r="K40" i="2" s="1"/>
  <c r="G40" i="2"/>
  <c r="J40" i="2" s="1"/>
  <c r="M40" i="2" s="1"/>
  <c r="G43" i="2"/>
  <c r="J43" i="2" s="1"/>
  <c r="H43" i="2"/>
  <c r="K43" i="2" s="1"/>
  <c r="I43" i="2"/>
  <c r="L43" i="2" s="1"/>
  <c r="G46" i="2"/>
  <c r="J46" i="2" s="1"/>
  <c r="H46" i="2"/>
  <c r="K46" i="2" s="1"/>
  <c r="I46" i="2"/>
  <c r="L46" i="2" s="1"/>
  <c r="G55" i="2"/>
  <c r="J55" i="2" s="1"/>
  <c r="H55" i="2"/>
  <c r="K55" i="2" s="1"/>
  <c r="I55" i="2"/>
  <c r="L55" i="2" s="1"/>
  <c r="G61" i="2"/>
  <c r="J61" i="2" s="1"/>
  <c r="H61" i="2"/>
  <c r="K61" i="2" s="1"/>
  <c r="I61" i="2"/>
  <c r="L61" i="2" s="1"/>
  <c r="G67" i="2"/>
  <c r="J67" i="2" s="1"/>
  <c r="H67" i="2"/>
  <c r="K67" i="2" s="1"/>
  <c r="I67" i="2"/>
  <c r="L67" i="2" s="1"/>
  <c r="G73" i="2"/>
  <c r="J73" i="2" s="1"/>
  <c r="H73" i="2"/>
  <c r="K73" i="2" s="1"/>
  <c r="I73" i="2"/>
  <c r="L73" i="2" s="1"/>
  <c r="G85" i="2"/>
  <c r="J85" i="2" s="1"/>
  <c r="H85" i="2"/>
  <c r="K85" i="2" s="1"/>
  <c r="I85" i="2"/>
  <c r="L85" i="2" s="1"/>
  <c r="I97" i="2"/>
  <c r="L97" i="2" s="1"/>
  <c r="H97" i="2"/>
  <c r="K97" i="2" s="1"/>
  <c r="G97" i="2"/>
  <c r="J97" i="2" s="1"/>
  <c r="M97" i="2" s="1"/>
  <c r="G106" i="2"/>
  <c r="J106" i="2" s="1"/>
  <c r="H106" i="2"/>
  <c r="K106" i="2" s="1"/>
  <c r="I106" i="2"/>
  <c r="L106" i="2" s="1"/>
  <c r="G68" i="2"/>
  <c r="J68" i="2" s="1"/>
  <c r="H68" i="2"/>
  <c r="K68" i="2" s="1"/>
  <c r="I68" i="2"/>
  <c r="L68" i="2" s="1"/>
  <c r="G101" i="2"/>
  <c r="J101" i="2" s="1"/>
  <c r="H101" i="2"/>
  <c r="K101" i="2" s="1"/>
  <c r="I101" i="2"/>
  <c r="L101" i="2" s="1"/>
  <c r="I32" i="2"/>
  <c r="L32" i="2" s="1"/>
  <c r="G32" i="2"/>
  <c r="J32" i="2" s="1"/>
  <c r="H32" i="2"/>
  <c r="K32" i="2" s="1"/>
  <c r="G80" i="2"/>
  <c r="J80" i="2" s="1"/>
  <c r="H80" i="2"/>
  <c r="K80" i="2" s="1"/>
  <c r="I80" i="2"/>
  <c r="L80" i="2" s="1"/>
  <c r="G14" i="2"/>
  <c r="J14" i="2" s="1"/>
  <c r="H14" i="2"/>
  <c r="K14" i="2" s="1"/>
  <c r="I14" i="2"/>
  <c r="L14" i="2" s="1"/>
  <c r="G17" i="2"/>
  <c r="J17" i="2" s="1"/>
  <c r="H17" i="2"/>
  <c r="K17" i="2" s="1"/>
  <c r="I17" i="2"/>
  <c r="L17" i="2" s="1"/>
  <c r="I20" i="2"/>
  <c r="L20" i="2" s="1"/>
  <c r="H20" i="2"/>
  <c r="K20" i="2" s="1"/>
  <c r="G20" i="2"/>
  <c r="J20" i="2" s="1"/>
  <c r="M20" i="2" s="1"/>
  <c r="G23" i="2"/>
  <c r="J23" i="2" s="1"/>
  <c r="H23" i="2"/>
  <c r="K23" i="2" s="1"/>
  <c r="I23" i="2"/>
  <c r="L23" i="2" s="1"/>
  <c r="G26" i="2"/>
  <c r="J26" i="2" s="1"/>
  <c r="H26" i="2"/>
  <c r="K26" i="2" s="1"/>
  <c r="I26" i="2"/>
  <c r="L26" i="2" s="1"/>
  <c r="G29" i="2"/>
  <c r="J29" i="2" s="1"/>
  <c r="H29" i="2"/>
  <c r="K29" i="2" s="1"/>
  <c r="I29" i="2"/>
  <c r="L29" i="2" s="1"/>
  <c r="G35" i="2"/>
  <c r="J35" i="2" s="1"/>
  <c r="H35" i="2"/>
  <c r="K35" i="2" s="1"/>
  <c r="I35" i="2"/>
  <c r="L35" i="2" s="1"/>
  <c r="G38" i="2"/>
  <c r="J38" i="2" s="1"/>
  <c r="H38" i="2"/>
  <c r="K38" i="2" s="1"/>
  <c r="I38" i="2"/>
  <c r="L38" i="2" s="1"/>
  <c r="G41" i="2"/>
  <c r="J41" i="2" s="1"/>
  <c r="H41" i="2"/>
  <c r="K41" i="2" s="1"/>
  <c r="I41" i="2"/>
  <c r="L41" i="2" s="1"/>
  <c r="G44" i="2"/>
  <c r="J44" i="2" s="1"/>
  <c r="H44" i="2"/>
  <c r="K44" i="2" s="1"/>
  <c r="I44" i="2"/>
  <c r="L44" i="2" s="1"/>
  <c r="I47" i="2"/>
  <c r="L47" i="2" s="1"/>
  <c r="H47" i="2"/>
  <c r="K47" i="2" s="1"/>
  <c r="G47" i="2"/>
  <c r="J47" i="2" s="1"/>
  <c r="M47" i="2" s="1"/>
  <c r="G50" i="2"/>
  <c r="J50" i="2" s="1"/>
  <c r="H50" i="2"/>
  <c r="K50" i="2" s="1"/>
  <c r="I50" i="2"/>
  <c r="L50" i="2" s="1"/>
  <c r="G59" i="2"/>
  <c r="J59" i="2" s="1"/>
  <c r="H59" i="2"/>
  <c r="K59" i="2" s="1"/>
  <c r="I59" i="2"/>
  <c r="L59" i="2" s="1"/>
  <c r="G65" i="2"/>
  <c r="J65" i="2" s="1"/>
  <c r="H65" i="2"/>
  <c r="K65" i="2" s="1"/>
  <c r="I65" i="2"/>
  <c r="L65" i="2" s="1"/>
  <c r="I71" i="2"/>
  <c r="L71" i="2" s="1"/>
  <c r="G71" i="2"/>
  <c r="J71" i="2" s="1"/>
  <c r="H71" i="2"/>
  <c r="K71" i="2" s="1"/>
  <c r="G83" i="2"/>
  <c r="J83" i="2" s="1"/>
  <c r="H83" i="2"/>
  <c r="K83" i="2" s="1"/>
  <c r="I83" i="2"/>
  <c r="L83" i="2" s="1"/>
  <c r="G92" i="2"/>
  <c r="J92" i="2" s="1"/>
  <c r="H92" i="2"/>
  <c r="K92" i="2" s="1"/>
  <c r="I92" i="2"/>
  <c r="L92" i="2" s="1"/>
  <c r="G104" i="2"/>
  <c r="J104" i="2" s="1"/>
  <c r="H104" i="2"/>
  <c r="K104" i="2" s="1"/>
  <c r="I104" i="2"/>
  <c r="L104" i="2" s="1"/>
  <c r="I21" i="2"/>
  <c r="L21" i="2" s="1"/>
  <c r="H21" i="2"/>
  <c r="K21" i="2" s="1"/>
  <c r="G21" i="2"/>
  <c r="J21" i="2" s="1"/>
  <c r="M21" i="2" s="1"/>
  <c r="G57" i="2"/>
  <c r="J57" i="2" s="1"/>
  <c r="H57" i="2"/>
  <c r="K57" i="2" s="1"/>
  <c r="I57" i="2"/>
  <c r="L57" i="2" s="1"/>
  <c r="G81" i="2"/>
  <c r="J81" i="2" s="1"/>
  <c r="H81" i="2"/>
  <c r="K81" i="2" s="1"/>
  <c r="I81" i="2"/>
  <c r="L81" i="2" s="1"/>
  <c r="G99" i="2"/>
  <c r="J99" i="2" s="1"/>
  <c r="H99" i="2"/>
  <c r="K99" i="2" s="1"/>
  <c r="I99" i="2"/>
  <c r="L99" i="2" s="1"/>
  <c r="I30" i="2"/>
  <c r="L30" i="2" s="1"/>
  <c r="G30" i="2"/>
  <c r="J30" i="2" s="1"/>
  <c r="H30" i="2"/>
  <c r="K30" i="2" s="1"/>
  <c r="G24" i="2"/>
  <c r="J24" i="2" s="1"/>
  <c r="H24" i="2"/>
  <c r="K24" i="2" s="1"/>
  <c r="I24" i="2"/>
  <c r="L24" i="2" s="1"/>
  <c r="G60" i="2"/>
  <c r="J60" i="2" s="1"/>
  <c r="H60" i="2"/>
  <c r="K60" i="2" s="1"/>
  <c r="I60" i="2"/>
  <c r="L60" i="2" s="1"/>
  <c r="G66" i="2"/>
  <c r="J66" i="2" s="1"/>
  <c r="H66" i="2"/>
  <c r="K66" i="2" s="1"/>
  <c r="I66" i="2"/>
  <c r="L66" i="2" s="1"/>
  <c r="I72" i="2"/>
  <c r="L72" i="2" s="1"/>
  <c r="G72" i="2"/>
  <c r="J72" i="2" s="1"/>
  <c r="H72" i="2"/>
  <c r="K72" i="2" s="1"/>
  <c r="G15" i="2"/>
  <c r="J15" i="2" s="1"/>
  <c r="H15" i="2"/>
  <c r="K15" i="2" s="1"/>
  <c r="I15" i="2"/>
  <c r="L15" i="2" s="1"/>
  <c r="G54" i="2"/>
  <c r="J54" i="2" s="1"/>
  <c r="H54" i="2"/>
  <c r="K54" i="2" s="1"/>
  <c r="I54" i="2"/>
  <c r="L54" i="2" s="1"/>
  <c r="G27" i="2"/>
  <c r="J27" i="2" s="1"/>
  <c r="H27" i="2"/>
  <c r="K27" i="2" s="1"/>
  <c r="I27" i="2"/>
  <c r="L27" i="2" s="1"/>
  <c r="H63" i="2"/>
  <c r="K63" i="2" s="1"/>
  <c r="G63" i="2"/>
  <c r="J63" i="2" s="1"/>
  <c r="I63" i="2"/>
  <c r="L63" i="2" s="1"/>
  <c r="G84" i="2"/>
  <c r="J84" i="2" s="1"/>
  <c r="H84" i="2"/>
  <c r="K84" i="2" s="1"/>
  <c r="I84" i="2"/>
  <c r="L84" i="2" s="1"/>
  <c r="G102" i="2"/>
  <c r="J102" i="2" s="1"/>
  <c r="H102" i="2"/>
  <c r="K102" i="2" s="1"/>
  <c r="I102" i="2"/>
  <c r="L102" i="2" s="1"/>
  <c r="G105" i="2"/>
  <c r="J105" i="2" s="1"/>
  <c r="H105" i="2"/>
  <c r="K105" i="2" s="1"/>
  <c r="I105" i="2"/>
  <c r="L105" i="2" s="1"/>
  <c r="I108" i="2"/>
  <c r="L108" i="2" s="1"/>
  <c r="G108" i="2"/>
  <c r="J108" i="2" s="1"/>
  <c r="H108" i="2"/>
  <c r="K108" i="2" s="1"/>
  <c r="G33" i="2"/>
  <c r="J33" i="2" s="1"/>
  <c r="H33" i="2"/>
  <c r="K33" i="2" s="1"/>
  <c r="I33" i="2"/>
  <c r="L33" i="2" s="1"/>
  <c r="G69" i="2"/>
  <c r="J69" i="2" s="1"/>
  <c r="H69" i="2"/>
  <c r="K69" i="2" s="1"/>
  <c r="I69" i="2"/>
  <c r="L69" i="2" s="1"/>
  <c r="G87" i="2"/>
  <c r="J87" i="2" s="1"/>
  <c r="H87" i="2"/>
  <c r="K87" i="2" s="1"/>
  <c r="I87" i="2"/>
  <c r="L87" i="2" s="1"/>
  <c r="H39" i="2"/>
  <c r="K39" i="2" s="1"/>
  <c r="I39" i="2"/>
  <c r="L39" i="2" s="1"/>
  <c r="G39" i="2"/>
  <c r="J39" i="2" s="1"/>
  <c r="M39" i="2" s="1"/>
  <c r="G51" i="2"/>
  <c r="J51" i="2" s="1"/>
  <c r="H51" i="2"/>
  <c r="K51" i="2" s="1"/>
  <c r="I51" i="2"/>
  <c r="L51" i="2" s="1"/>
  <c r="G36" i="2"/>
  <c r="J36" i="2" s="1"/>
  <c r="H36" i="2"/>
  <c r="K36" i="2" s="1"/>
  <c r="I36" i="2"/>
  <c r="L36" i="2" s="1"/>
  <c r="G90" i="2"/>
  <c r="J90" i="2" s="1"/>
  <c r="H90" i="2"/>
  <c r="K90" i="2" s="1"/>
  <c r="I90" i="2"/>
  <c r="L90" i="2" s="1"/>
  <c r="H48" i="2"/>
  <c r="K48" i="2" s="1"/>
  <c r="I48" i="2"/>
  <c r="L48" i="2" s="1"/>
  <c r="G48" i="2"/>
  <c r="J48" i="2" s="1"/>
  <c r="M48" i="2" s="1"/>
  <c r="G96" i="2"/>
  <c r="J96" i="2" s="1"/>
  <c r="H96" i="2"/>
  <c r="K96" i="2" s="1"/>
  <c r="I96" i="2"/>
  <c r="L96" i="2" s="1"/>
  <c r="G18" i="2"/>
  <c r="J18" i="2" s="1"/>
  <c r="H18" i="2"/>
  <c r="K18" i="2" s="1"/>
  <c r="I18" i="2"/>
  <c r="L18" i="2" s="1"/>
  <c r="G42" i="2"/>
  <c r="J42" i="2" s="1"/>
  <c r="H42" i="2"/>
  <c r="K42" i="2" s="1"/>
  <c r="I42" i="2"/>
  <c r="L42" i="2" s="1"/>
  <c r="I45" i="2"/>
  <c r="L45" i="2" s="1"/>
  <c r="H45" i="2"/>
  <c r="K45" i="2" s="1"/>
  <c r="G45" i="2"/>
  <c r="J45" i="2" s="1"/>
  <c r="M45" i="2" s="1"/>
  <c r="G75" i="2"/>
  <c r="J75" i="2" s="1"/>
  <c r="H75" i="2"/>
  <c r="K75" i="2" s="1"/>
  <c r="I75" i="2"/>
  <c r="L75" i="2" s="1"/>
  <c r="G93" i="2"/>
  <c r="J93" i="2" s="1"/>
  <c r="H93" i="2"/>
  <c r="K93" i="2" s="1"/>
  <c r="I93" i="2"/>
  <c r="L93" i="2" s="1"/>
  <c r="G12" i="2"/>
  <c r="J12" i="2" s="1"/>
  <c r="H12" i="2"/>
  <c r="K12" i="2" s="1"/>
  <c r="I12" i="2"/>
  <c r="L12" i="2" s="1"/>
  <c r="G78" i="2"/>
  <c r="J78" i="2" s="1"/>
  <c r="H78" i="2"/>
  <c r="K78" i="2" s="1"/>
  <c r="I78" i="2"/>
  <c r="L78" i="2" s="1"/>
  <c r="G11" i="2"/>
  <c r="J11" i="2" s="1"/>
  <c r="I11" i="2"/>
  <c r="L11" i="2" s="1"/>
  <c r="H11" i="2"/>
  <c r="K11" i="2" s="1"/>
  <c r="M11" i="2" l="1"/>
  <c r="M75" i="2"/>
  <c r="M96" i="2"/>
  <c r="M51" i="2"/>
  <c r="M33" i="2"/>
  <c r="M84" i="2"/>
  <c r="M15" i="2"/>
  <c r="M24" i="2"/>
  <c r="M57" i="2"/>
  <c r="M83" i="2"/>
  <c r="M50" i="2"/>
  <c r="M38" i="2"/>
  <c r="M23" i="2"/>
  <c r="M80" i="2"/>
  <c r="M106" i="2"/>
  <c r="M67" i="2"/>
  <c r="M43" i="2"/>
  <c r="M22" i="2"/>
  <c r="M98" i="2"/>
  <c r="M103" i="2"/>
  <c r="M52" i="2"/>
  <c r="M62" i="2"/>
  <c r="M58" i="2"/>
  <c r="M77" i="2"/>
  <c r="M76" i="2"/>
  <c r="M108" i="2"/>
  <c r="M63" i="2"/>
  <c r="M72" i="2"/>
  <c r="M30" i="2"/>
  <c r="M71" i="2"/>
  <c r="M32" i="2"/>
  <c r="M19" i="2"/>
  <c r="M91" i="2"/>
  <c r="M25" i="2"/>
  <c r="M109" i="2"/>
  <c r="M28" i="2"/>
  <c r="M78" i="2"/>
  <c r="M35" i="2"/>
  <c r="M61" i="2"/>
  <c r="M53" i="2"/>
  <c r="M12" i="2"/>
  <c r="M42" i="2"/>
  <c r="M90" i="2"/>
  <c r="M87" i="2"/>
  <c r="M105" i="2"/>
  <c r="M27" i="2"/>
  <c r="M66" i="2"/>
  <c r="M99" i="2"/>
  <c r="M104" i="2"/>
  <c r="M65" i="2"/>
  <c r="M44" i="2"/>
  <c r="M29" i="2"/>
  <c r="M17" i="2"/>
  <c r="M101" i="2"/>
  <c r="M85" i="2"/>
  <c r="M55" i="2"/>
  <c r="M37" i="2"/>
  <c r="M16" i="2"/>
  <c r="M74" i="2"/>
  <c r="M82" i="2"/>
  <c r="M107" i="2"/>
  <c r="M94" i="2"/>
  <c r="M110" i="2"/>
  <c r="M100" i="2"/>
  <c r="M49" i="2"/>
  <c r="M93" i="2"/>
  <c r="M18" i="2"/>
  <c r="M36" i="2"/>
  <c r="M69" i="2"/>
  <c r="M102" i="2"/>
  <c r="M54" i="2"/>
  <c r="M60" i="2"/>
  <c r="M81" i="2"/>
  <c r="M92" i="2"/>
  <c r="M59" i="2"/>
  <c r="M41" i="2"/>
  <c r="M26" i="2"/>
  <c r="M14" i="2"/>
  <c r="M68" i="2"/>
  <c r="M73" i="2"/>
  <c r="M46" i="2"/>
  <c r="M34" i="2"/>
  <c r="M13" i="2"/>
  <c r="M56" i="2"/>
  <c r="M70" i="2"/>
  <c r="M86" i="2"/>
  <c r="M79" i="2"/>
  <c r="M95" i="2"/>
  <c r="M88" i="2"/>
  <c r="M31" i="2"/>
  <c r="P13" i="2" l="1" a="1"/>
  <c r="P9" i="2"/>
  <c r="P6" i="2"/>
  <c r="P8" i="2"/>
  <c r="P7" i="2"/>
  <c r="P5" i="2"/>
  <c r="P4" i="2"/>
  <c r="P16" i="2" l="1"/>
  <c r="P15" i="2"/>
  <c r="P13" i="2"/>
  <c r="P22" i="2"/>
  <c r="P14" i="2"/>
  <c r="P21" i="2"/>
  <c r="P17" i="2"/>
  <c r="P20" i="2"/>
  <c r="P19" i="2"/>
  <c r="P18" i="2"/>
</calcChain>
</file>

<file path=xl/sharedStrings.xml><?xml version="1.0" encoding="utf-8"?>
<sst xmlns="http://schemas.openxmlformats.org/spreadsheetml/2006/main" count="265" uniqueCount="39">
  <si>
    <t>Tutorial 7 In-class Practice</t>
  </si>
  <si>
    <t>Simulating 3 Stocks in a Portfolio: Cross-Sectional, 1 Year Later</t>
    <phoneticPr fontId="0" type="noConversion"/>
  </si>
  <si>
    <t>Input Table:</t>
  </si>
  <si>
    <t>Initial price</t>
  </si>
  <si>
    <r>
      <t xml:space="preserve">Generate correlated errors using VBA Fn. </t>
    </r>
    <r>
      <rPr>
        <b/>
        <sz val="11"/>
        <color rgb="FFFF0000"/>
        <rFont val="Courier New"/>
        <family val="3"/>
      </rPr>
      <t>simCorr</t>
    </r>
  </si>
  <si>
    <t>Drift</t>
  </si>
  <si>
    <t>Volatility</t>
  </si>
  <si>
    <t>Simulation#</t>
    <phoneticPr fontId="0" type="noConversion"/>
  </si>
  <si>
    <t>Correlated errors</t>
  </si>
  <si>
    <t>Simulated stock prices</t>
  </si>
  <si>
    <t>Portfolio Value</t>
    <phoneticPr fontId="0" type="noConversion"/>
  </si>
  <si>
    <t>Time step</t>
  </si>
  <si>
    <t>e1</t>
  </si>
  <si>
    <t>e2</t>
  </si>
  <si>
    <t>e3</t>
  </si>
  <si>
    <t>Initial investment</t>
  </si>
  <si>
    <t>Weights</t>
  </si>
  <si>
    <t>Stock shares</t>
  </si>
  <si>
    <t>Note: shares of stocks are fixed over the simulation time period</t>
  </si>
  <si>
    <t>Correlation Matrix</t>
  </si>
  <si>
    <t>ADBE</t>
  </si>
  <si>
    <t>AMD</t>
  </si>
  <si>
    <t>SBUX</t>
  </si>
  <si>
    <t>Date</t>
  </si>
  <si>
    <t>Open</t>
  </si>
  <si>
    <t>High</t>
  </si>
  <si>
    <t>Low</t>
  </si>
  <si>
    <t>Close</t>
  </si>
  <si>
    <t>Adj Close</t>
  </si>
  <si>
    <t>Volume</t>
  </si>
  <si>
    <t>Ticker</t>
  </si>
  <si>
    <t>min</t>
  </si>
  <si>
    <t>max</t>
  </si>
  <si>
    <t>mean</t>
  </si>
  <si>
    <t>SD</t>
  </si>
  <si>
    <t>95% CI (lower bound)</t>
  </si>
  <si>
    <t>95% CI (upper bound)</t>
  </si>
  <si>
    <t>Bins</t>
  </si>
  <si>
    <t>more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</si>
</sst>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0"/>
      <name val="Arial"/>
      <family val="2"/>
    </font>
    <font>
      <b/>
      <sz val="11"/>
      <color rgb="FF0070C0"/>
      <name val="Calibri"/>
      <family val="2"/>
    </font>
    <font>
      <b/>
      <sz val="11"/>
      <color rgb="FFFF0000"/>
      <name val="Calibri"/>
      <family val="2"/>
    </font>
    <font>
      <b/>
      <sz val="11"/>
      <color rgb="FFFF0000"/>
      <name val="Courier New"/>
      <family val="3"/>
    </font>
    <font>
      <i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8" fillId="0" borderId="0"/>
  </cellStyleXfs>
  <cellXfs count="41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4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10" fillId="0" borderId="0" xfId="0" applyFont="1"/>
    <xf numFmtId="0" fontId="7" fillId="2" borderId="0" xfId="0" applyFont="1" applyFill="1" applyAlignment="1">
      <alignment horizontal="left"/>
    </xf>
    <xf numFmtId="0" fontId="10" fillId="2" borderId="0" xfId="2" applyFont="1" applyFill="1" applyAlignment="1">
      <alignment horizontal="right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9" fillId="2" borderId="0" xfId="2" applyFont="1" applyFill="1"/>
    <xf numFmtId="0" fontId="4" fillId="0" borderId="1" xfId="0" applyFont="1" applyBorder="1" applyAlignment="1">
      <alignment horizontal="center"/>
    </xf>
    <xf numFmtId="164" fontId="4" fillId="0" borderId="8" xfId="0" applyNumberFormat="1" applyFont="1" applyBorder="1"/>
    <xf numFmtId="164" fontId="4" fillId="0" borderId="9" xfId="0" applyNumberFormat="1" applyFont="1" applyBorder="1"/>
    <xf numFmtId="164" fontId="4" fillId="0" borderId="5" xfId="0" applyNumberFormat="1" applyFont="1" applyBorder="1"/>
    <xf numFmtId="2" fontId="4" fillId="0" borderId="8" xfId="0" applyNumberFormat="1" applyFont="1" applyBorder="1"/>
    <xf numFmtId="2" fontId="4" fillId="0" borderId="5" xfId="0" applyNumberFormat="1" applyFont="1" applyBorder="1"/>
    <xf numFmtId="0" fontId="4" fillId="0" borderId="10" xfId="0" applyFont="1" applyBorder="1" applyAlignment="1">
      <alignment horizontal="center"/>
    </xf>
    <xf numFmtId="2" fontId="4" fillId="0" borderId="0" xfId="0" applyNumberFormat="1" applyFont="1"/>
    <xf numFmtId="0" fontId="7" fillId="2" borderId="0" xfId="2" applyFont="1" applyFill="1"/>
    <xf numFmtId="0" fontId="12" fillId="0" borderId="0" xfId="2" applyFont="1"/>
    <xf numFmtId="0" fontId="7" fillId="0" borderId="0" xfId="0" applyFont="1"/>
    <xf numFmtId="2" fontId="9" fillId="0" borderId="0" xfId="0" applyNumberFormat="1" applyFont="1"/>
    <xf numFmtId="0" fontId="4" fillId="0" borderId="6" xfId="0" applyFont="1" applyBorder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2" fontId="9" fillId="2" borderId="0" xfId="2" applyNumberFormat="1" applyFont="1" applyFill="1" applyAlignment="1">
      <alignment horizontal="right"/>
    </xf>
    <xf numFmtId="10" fontId="9" fillId="2" borderId="0" xfId="0" applyNumberFormat="1" applyFont="1" applyFill="1"/>
    <xf numFmtId="165" fontId="9" fillId="2" borderId="0" xfId="1" applyNumberFormat="1" applyFont="1" applyFill="1" applyBorder="1"/>
    <xf numFmtId="0" fontId="5" fillId="0" borderId="0" xfId="0" applyFont="1"/>
    <xf numFmtId="2" fontId="5" fillId="0" borderId="1" xfId="0" applyNumberFormat="1" applyFont="1" applyBorder="1" applyAlignment="1">
      <alignment horizontal="center"/>
    </xf>
    <xf numFmtId="2" fontId="5" fillId="0" borderId="6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2" fontId="5" fillId="0" borderId="5" xfId="0" applyNumberFormat="1" applyFont="1" applyBorder="1" applyAlignment="1">
      <alignment horizontal="center"/>
    </xf>
    <xf numFmtId="2" fontId="5" fillId="0" borderId="7" xfId="0" applyNumberFormat="1" applyFont="1" applyBorder="1" applyAlignment="1">
      <alignment horizontal="center"/>
    </xf>
  </cellXfs>
  <cellStyles count="3">
    <cellStyle name="Normal" xfId="0" builtinId="0"/>
    <cellStyle name="Normal 2" xfId="2" xr:uid="{3767F973-077D-4AD0-94FD-59A8AE097A39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HK"/>
              <a:t>Portfolio</a:t>
            </a:r>
            <a:r>
              <a:rPr lang="en-HK" baseline="0"/>
              <a:t> simulation results</a:t>
            </a:r>
            <a:endParaRPr lang="en-H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H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Simulation!$O$13:$O$22</c:f>
              <c:strCache>
                <c:ptCount val="10"/>
                <c:pt idx="0">
                  <c:v>5000</c:v>
                </c:pt>
                <c:pt idx="1">
                  <c:v>7000</c:v>
                </c:pt>
                <c:pt idx="2">
                  <c:v>9000</c:v>
                </c:pt>
                <c:pt idx="3">
                  <c:v>11000</c:v>
                </c:pt>
                <c:pt idx="4">
                  <c:v>13000</c:v>
                </c:pt>
                <c:pt idx="5">
                  <c:v>15000</c:v>
                </c:pt>
                <c:pt idx="6">
                  <c:v>17000</c:v>
                </c:pt>
                <c:pt idx="7">
                  <c:v>19000</c:v>
                </c:pt>
                <c:pt idx="8">
                  <c:v>21000</c:v>
                </c:pt>
                <c:pt idx="9">
                  <c:v>more</c:v>
                </c:pt>
              </c:strCache>
            </c:strRef>
          </c:cat>
          <c:val>
            <c:numRef>
              <c:f>Simulation!$P$13:$P$22</c:f>
              <c:numCache>
                <c:formatCode>General</c:formatCode>
                <c:ptCount val="10"/>
                <c:pt idx="0">
                  <c:v>0</c:v>
                </c:pt>
                <c:pt idx="1">
                  <c:v>6</c:v>
                </c:pt>
                <c:pt idx="2">
                  <c:v>19</c:v>
                </c:pt>
                <c:pt idx="3">
                  <c:v>17</c:v>
                </c:pt>
                <c:pt idx="4">
                  <c:v>31</c:v>
                </c:pt>
                <c:pt idx="5">
                  <c:v>11</c:v>
                </c:pt>
                <c:pt idx="6">
                  <c:v>7</c:v>
                </c:pt>
                <c:pt idx="7">
                  <c:v>6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1E-42B7-9F7C-F4D201D28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31680863"/>
        <c:axId val="844351167"/>
      </c:barChart>
      <c:catAx>
        <c:axId val="83168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351167"/>
        <c:crosses val="autoZero"/>
        <c:auto val="1"/>
        <c:lblAlgn val="ctr"/>
        <c:lblOffset val="100"/>
        <c:noMultiLvlLbl val="0"/>
      </c:catAx>
      <c:valAx>
        <c:axId val="84435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68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Portfolio simulation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4546A">
                <a:lumMod val="20000"/>
                <a:lumOff val="80000"/>
              </a:srgbClr>
            </a:solidFill>
            <a:ln w="9525" cap="flat" cmpd="sng" algn="ctr">
              <a:solidFill>
                <a:srgbClr val="44546A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Simulation!$O$14:$O$22</c:f>
              <c:strCache>
                <c:ptCount val="9"/>
                <c:pt idx="0">
                  <c:v>7000</c:v>
                </c:pt>
                <c:pt idx="1">
                  <c:v>9000</c:v>
                </c:pt>
                <c:pt idx="2">
                  <c:v>11000</c:v>
                </c:pt>
                <c:pt idx="3">
                  <c:v>13000</c:v>
                </c:pt>
                <c:pt idx="4">
                  <c:v>15000</c:v>
                </c:pt>
                <c:pt idx="5">
                  <c:v>17000</c:v>
                </c:pt>
                <c:pt idx="6">
                  <c:v>19000</c:v>
                </c:pt>
                <c:pt idx="7">
                  <c:v>21000</c:v>
                </c:pt>
                <c:pt idx="8">
                  <c:v>more</c:v>
                </c:pt>
              </c:strCache>
            </c:strRef>
          </c:cat>
          <c:val>
            <c:numRef>
              <c:f>Simulation!$P$14:$P$22</c:f>
              <c:numCache>
                <c:formatCode>General</c:formatCode>
                <c:ptCount val="9"/>
                <c:pt idx="0">
                  <c:v>6</c:v>
                </c:pt>
                <c:pt idx="1">
                  <c:v>19</c:v>
                </c:pt>
                <c:pt idx="2">
                  <c:v>17</c:v>
                </c:pt>
                <c:pt idx="3">
                  <c:v>31</c:v>
                </c:pt>
                <c:pt idx="4">
                  <c:v>11</c:v>
                </c:pt>
                <c:pt idx="5">
                  <c:v>7</c:v>
                </c:pt>
                <c:pt idx="6">
                  <c:v>6</c:v>
                </c:pt>
                <c:pt idx="7">
                  <c:v>1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7D-4BFD-B859-0432B0096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44137231"/>
        <c:axId val="844139151"/>
      </c:barChart>
      <c:catAx>
        <c:axId val="84413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139151"/>
        <c:crosses val="autoZero"/>
        <c:auto val="1"/>
        <c:lblAlgn val="ctr"/>
        <c:lblOffset val="100"/>
        <c:noMultiLvlLbl val="0"/>
      </c:catAx>
      <c:valAx>
        <c:axId val="84413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13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412750</xdr:colOff>
      <xdr:row>22</xdr:row>
      <xdr:rowOff>180180</xdr:rowOff>
    </xdr:from>
    <xdr:to>
      <xdr:col>19</xdr:col>
      <xdr:colOff>452437</xdr:colOff>
      <xdr:row>37</xdr:row>
      <xdr:rowOff>65880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542BA1-7B6C-43D7-8327-E38951599B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338138</xdr:colOff>
      <xdr:row>39</xdr:row>
      <xdr:rowOff>98425</xdr:rowOff>
    </xdr:from>
    <xdr:to>
      <xdr:col>19</xdr:col>
      <xdr:colOff>310588</xdr:colOff>
      <xdr:row>53</xdr:row>
      <xdr:rowOff>131425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56ED7B-A9EC-5357-AD34-868BB44EE6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5726A-312C-45BA-AC7D-ED2C957FF73B}">
  <sheetPr codeName="Sheet1"/>
  <dimension ref="A1:H217"/>
  <sheetViews>
    <sheetView workbookViewId="0">
      <selection sqref="A1:A73"/>
    </sheetView>
  </sheetViews>
  <sheetFormatPr defaultRowHeight="15" x14ac:dyDescent="0.25"/>
  <cols>
    <col min="1" max="1" width="10.140625" customWidth="1"/>
    <col min="7" max="7" width="13.42578125" customWidth="1"/>
  </cols>
  <sheetData>
    <row r="1" spans="1:8" x14ac:dyDescent="0.25">
      <c r="A1" s="28" t="s">
        <v>23</v>
      </c>
      <c r="B1" s="28" t="s">
        <v>24</v>
      </c>
      <c r="C1" s="28" t="s">
        <v>25</v>
      </c>
      <c r="D1" s="28" t="s">
        <v>26</v>
      </c>
      <c r="E1" s="28" t="s">
        <v>27</v>
      </c>
      <c r="F1" s="28" t="s">
        <v>28</v>
      </c>
      <c r="G1" s="28" t="s">
        <v>29</v>
      </c>
      <c r="H1" s="28" t="s">
        <v>30</v>
      </c>
    </row>
    <row r="2" spans="1:8" x14ac:dyDescent="0.25">
      <c r="A2" s="29">
        <v>43525</v>
      </c>
      <c r="B2" s="28">
        <v>265.75</v>
      </c>
      <c r="C2" s="28">
        <v>269.79998779296875</v>
      </c>
      <c r="D2" s="28">
        <v>249.10000610351563</v>
      </c>
      <c r="E2" s="28">
        <v>266.489990234375</v>
      </c>
      <c r="F2" s="28">
        <v>266.489990234375</v>
      </c>
      <c r="G2" s="28">
        <v>71777300</v>
      </c>
      <c r="H2" s="28" t="s">
        <v>20</v>
      </c>
    </row>
    <row r="3" spans="1:8" x14ac:dyDescent="0.25">
      <c r="A3" s="29">
        <v>43556</v>
      </c>
      <c r="B3" s="28">
        <v>269.85000610351563</v>
      </c>
      <c r="C3" s="28">
        <v>291.70999145507813</v>
      </c>
      <c r="D3" s="28">
        <v>263.72000122070313</v>
      </c>
      <c r="E3" s="28">
        <v>289.25</v>
      </c>
      <c r="F3" s="28">
        <v>289.25</v>
      </c>
      <c r="G3" s="28">
        <v>46806300</v>
      </c>
      <c r="H3" s="28" t="s">
        <v>20</v>
      </c>
    </row>
    <row r="4" spans="1:8" x14ac:dyDescent="0.25">
      <c r="A4" s="29">
        <v>43586</v>
      </c>
      <c r="B4" s="28">
        <v>291</v>
      </c>
      <c r="C4" s="28">
        <v>291</v>
      </c>
      <c r="D4" s="28">
        <v>267.22000122070313</v>
      </c>
      <c r="E4" s="28">
        <v>270.89999389648438</v>
      </c>
      <c r="F4" s="28">
        <v>270.89999389648438</v>
      </c>
      <c r="G4" s="28">
        <v>49495900</v>
      </c>
      <c r="H4" s="28" t="s">
        <v>20</v>
      </c>
    </row>
    <row r="5" spans="1:8" x14ac:dyDescent="0.25">
      <c r="A5" s="29">
        <v>43617</v>
      </c>
      <c r="B5" s="28">
        <v>270.510009765625</v>
      </c>
      <c r="C5" s="28">
        <v>304</v>
      </c>
      <c r="D5" s="28">
        <v>257.45999145507813</v>
      </c>
      <c r="E5" s="28">
        <v>294.64999389648438</v>
      </c>
      <c r="F5" s="28">
        <v>294.64999389648438</v>
      </c>
      <c r="G5" s="28">
        <v>67824600</v>
      </c>
      <c r="H5" s="28" t="s">
        <v>20</v>
      </c>
    </row>
    <row r="6" spans="1:8" x14ac:dyDescent="0.25">
      <c r="A6" s="29">
        <v>43647</v>
      </c>
      <c r="B6" s="28">
        <v>299.54998779296875</v>
      </c>
      <c r="C6" s="28">
        <v>313.1099853515625</v>
      </c>
      <c r="D6" s="28">
        <v>295.1099853515625</v>
      </c>
      <c r="E6" s="28">
        <v>298.8599853515625</v>
      </c>
      <c r="F6" s="28">
        <v>298.8599853515625</v>
      </c>
      <c r="G6" s="28">
        <v>42485400</v>
      </c>
      <c r="H6" s="28" t="s">
        <v>20</v>
      </c>
    </row>
    <row r="7" spans="1:8" x14ac:dyDescent="0.25">
      <c r="A7" s="29">
        <v>43678</v>
      </c>
      <c r="B7" s="28">
        <v>299.14999389648438</v>
      </c>
      <c r="C7" s="28">
        <v>304.989990234375</v>
      </c>
      <c r="D7" s="28">
        <v>276.77999877929688</v>
      </c>
      <c r="E7" s="28">
        <v>284.510009765625</v>
      </c>
      <c r="F7" s="28">
        <v>284.510009765625</v>
      </c>
      <c r="G7" s="28">
        <v>50861900</v>
      </c>
      <c r="H7" s="28" t="s">
        <v>20</v>
      </c>
    </row>
    <row r="8" spans="1:8" x14ac:dyDescent="0.25">
      <c r="A8" s="29">
        <v>43709</v>
      </c>
      <c r="B8" s="28">
        <v>284.25</v>
      </c>
      <c r="C8" s="28">
        <v>289.58999633789063</v>
      </c>
      <c r="D8" s="28">
        <v>267.73001098632813</v>
      </c>
      <c r="E8" s="28">
        <v>276.25</v>
      </c>
      <c r="F8" s="28">
        <v>276.25</v>
      </c>
      <c r="G8" s="28">
        <v>65687900</v>
      </c>
      <c r="H8" s="28" t="s">
        <v>20</v>
      </c>
    </row>
    <row r="9" spans="1:8" x14ac:dyDescent="0.25">
      <c r="A9" s="29">
        <v>43739</v>
      </c>
      <c r="B9" s="28">
        <v>278.989990234375</v>
      </c>
      <c r="C9" s="28">
        <v>281.510009765625</v>
      </c>
      <c r="D9" s="28">
        <v>259.57000732421875</v>
      </c>
      <c r="E9" s="28">
        <v>277.92999267578125</v>
      </c>
      <c r="F9" s="28">
        <v>277.92999267578125</v>
      </c>
      <c r="G9" s="28">
        <v>60801100</v>
      </c>
      <c r="H9" s="28" t="s">
        <v>20</v>
      </c>
    </row>
    <row r="10" spans="1:8" x14ac:dyDescent="0.25">
      <c r="A10" s="29">
        <v>43770</v>
      </c>
      <c r="B10" s="28">
        <v>279.1400146484375</v>
      </c>
      <c r="C10" s="28">
        <v>310</v>
      </c>
      <c r="D10" s="28">
        <v>276.04998779296875</v>
      </c>
      <c r="E10" s="28">
        <v>309.52999877929688</v>
      </c>
      <c r="F10" s="28">
        <v>309.52999877929688</v>
      </c>
      <c r="G10" s="28">
        <v>44658300</v>
      </c>
      <c r="H10" s="28" t="s">
        <v>20</v>
      </c>
    </row>
    <row r="11" spans="1:8" x14ac:dyDescent="0.25">
      <c r="A11" s="29">
        <v>43800</v>
      </c>
      <c r="B11" s="28">
        <v>309.22000122070313</v>
      </c>
      <c r="C11" s="28">
        <v>332.8800048828125</v>
      </c>
      <c r="D11" s="28">
        <v>297.32000732421875</v>
      </c>
      <c r="E11" s="28">
        <v>329.80999755859375</v>
      </c>
      <c r="F11" s="28">
        <v>329.80999755859375</v>
      </c>
      <c r="G11" s="28">
        <v>51088000</v>
      </c>
      <c r="H11" s="28" t="s">
        <v>20</v>
      </c>
    </row>
    <row r="12" spans="1:8" x14ac:dyDescent="0.25">
      <c r="A12" s="29">
        <v>43831</v>
      </c>
      <c r="B12" s="28">
        <v>330</v>
      </c>
      <c r="C12" s="28">
        <v>356.82000732421875</v>
      </c>
      <c r="D12" s="28">
        <v>328.19000244140625</v>
      </c>
      <c r="E12" s="28">
        <v>351.1400146484375</v>
      </c>
      <c r="F12" s="28">
        <v>351.1400146484375</v>
      </c>
      <c r="G12" s="28">
        <v>44249000</v>
      </c>
      <c r="H12" s="28" t="s">
        <v>20</v>
      </c>
    </row>
    <row r="13" spans="1:8" x14ac:dyDescent="0.25">
      <c r="A13" s="29">
        <v>43862</v>
      </c>
      <c r="B13" s="28">
        <v>353.41000366210938</v>
      </c>
      <c r="C13" s="28">
        <v>386.75</v>
      </c>
      <c r="D13" s="28">
        <v>324</v>
      </c>
      <c r="E13" s="28">
        <v>345.1199951171875</v>
      </c>
      <c r="F13" s="28">
        <v>345.1199951171875</v>
      </c>
      <c r="G13" s="28">
        <v>56911700</v>
      </c>
      <c r="H13" s="28" t="s">
        <v>20</v>
      </c>
    </row>
    <row r="14" spans="1:8" x14ac:dyDescent="0.25">
      <c r="A14" s="29">
        <v>43891</v>
      </c>
      <c r="B14" s="28">
        <v>349.80999755859375</v>
      </c>
      <c r="C14" s="28">
        <v>364.95001220703125</v>
      </c>
      <c r="D14" s="28">
        <v>255.1300048828125</v>
      </c>
      <c r="E14" s="28">
        <v>318.239990234375</v>
      </c>
      <c r="F14" s="28">
        <v>318.239990234375</v>
      </c>
      <c r="G14" s="28">
        <v>126565500</v>
      </c>
      <c r="H14" s="28" t="s">
        <v>20</v>
      </c>
    </row>
    <row r="15" spans="1:8" x14ac:dyDescent="0.25">
      <c r="A15" s="29">
        <v>43922</v>
      </c>
      <c r="B15" s="28">
        <v>307</v>
      </c>
      <c r="C15" s="28">
        <v>356.23001098632813</v>
      </c>
      <c r="D15" s="28">
        <v>289.70999145507813</v>
      </c>
      <c r="E15" s="28">
        <v>353.6400146484375</v>
      </c>
      <c r="F15" s="28">
        <v>353.6400146484375</v>
      </c>
      <c r="G15" s="28">
        <v>73060300</v>
      </c>
      <c r="H15" s="28" t="s">
        <v>20</v>
      </c>
    </row>
    <row r="16" spans="1:8" x14ac:dyDescent="0.25">
      <c r="A16" s="29">
        <v>43952</v>
      </c>
      <c r="B16" s="28">
        <v>347.239990234375</v>
      </c>
      <c r="C16" s="28">
        <v>391.26998901367188</v>
      </c>
      <c r="D16" s="28">
        <v>340</v>
      </c>
      <c r="E16" s="28">
        <v>386.60000610351563</v>
      </c>
      <c r="F16" s="28">
        <v>386.60000610351563</v>
      </c>
      <c r="G16" s="28">
        <v>55496700</v>
      </c>
      <c r="H16" s="28" t="s">
        <v>20</v>
      </c>
    </row>
    <row r="17" spans="1:8" x14ac:dyDescent="0.25">
      <c r="A17" s="29">
        <v>43983</v>
      </c>
      <c r="B17" s="28">
        <v>387.07998657226563</v>
      </c>
      <c r="C17" s="28">
        <v>446.14999389648438</v>
      </c>
      <c r="D17" s="28">
        <v>382</v>
      </c>
      <c r="E17" s="28">
        <v>435.30999755859375</v>
      </c>
      <c r="F17" s="28">
        <v>435.30999755859375</v>
      </c>
      <c r="G17" s="28">
        <v>70630600</v>
      </c>
      <c r="H17" s="28" t="s">
        <v>20</v>
      </c>
    </row>
    <row r="18" spans="1:8" x14ac:dyDescent="0.25">
      <c r="A18" s="29">
        <v>44013</v>
      </c>
      <c r="B18" s="28">
        <v>434.79998779296875</v>
      </c>
      <c r="C18" s="28">
        <v>470.6099853515625</v>
      </c>
      <c r="D18" s="28">
        <v>416.29000854492188</v>
      </c>
      <c r="E18" s="28">
        <v>444.32000732421875</v>
      </c>
      <c r="F18" s="28">
        <v>444.32000732421875</v>
      </c>
      <c r="G18" s="28">
        <v>54648000</v>
      </c>
      <c r="H18" s="28" t="s">
        <v>20</v>
      </c>
    </row>
    <row r="19" spans="1:8" x14ac:dyDescent="0.25">
      <c r="A19" s="29">
        <v>44044</v>
      </c>
      <c r="B19" s="28">
        <v>449.83999633789063</v>
      </c>
      <c r="C19" s="28">
        <v>533.70001220703125</v>
      </c>
      <c r="D19" s="28">
        <v>431.58999633789063</v>
      </c>
      <c r="E19" s="28">
        <v>513.3900146484375</v>
      </c>
      <c r="F19" s="28">
        <v>513.3900146484375</v>
      </c>
      <c r="G19" s="28">
        <v>54518500</v>
      </c>
      <c r="H19" s="28" t="s">
        <v>20</v>
      </c>
    </row>
    <row r="20" spans="1:8" x14ac:dyDescent="0.25">
      <c r="A20" s="29">
        <v>44075</v>
      </c>
      <c r="B20" s="28">
        <v>515</v>
      </c>
      <c r="C20" s="28">
        <v>536.8800048828125</v>
      </c>
      <c r="D20" s="28">
        <v>452.51998901367188</v>
      </c>
      <c r="E20" s="28">
        <v>490.42999267578125</v>
      </c>
      <c r="F20" s="28">
        <v>490.42999267578125</v>
      </c>
      <c r="G20" s="28">
        <v>84762100</v>
      </c>
      <c r="H20" s="28" t="s">
        <v>20</v>
      </c>
    </row>
    <row r="21" spans="1:8" x14ac:dyDescent="0.25">
      <c r="A21" s="29">
        <v>44105</v>
      </c>
      <c r="B21" s="28">
        <v>497.42999267578125</v>
      </c>
      <c r="C21" s="28">
        <v>519.5999755859375</v>
      </c>
      <c r="D21" s="28">
        <v>442.510009765625</v>
      </c>
      <c r="E21" s="28">
        <v>447.10000610351563</v>
      </c>
      <c r="F21" s="28">
        <v>447.10000610351563</v>
      </c>
      <c r="G21" s="28">
        <v>48077600</v>
      </c>
      <c r="H21" s="28" t="s">
        <v>20</v>
      </c>
    </row>
    <row r="22" spans="1:8" x14ac:dyDescent="0.25">
      <c r="A22" s="29">
        <v>44136</v>
      </c>
      <c r="B22" s="28">
        <v>451</v>
      </c>
      <c r="C22" s="28">
        <v>502.52999877929688</v>
      </c>
      <c r="D22" s="28">
        <v>438.94000244140625</v>
      </c>
      <c r="E22" s="28">
        <v>478.47000122070313</v>
      </c>
      <c r="F22" s="28">
        <v>478.47000122070313</v>
      </c>
      <c r="G22" s="28">
        <v>53547100</v>
      </c>
      <c r="H22" s="28" t="s">
        <v>20</v>
      </c>
    </row>
    <row r="23" spans="1:8" x14ac:dyDescent="0.25">
      <c r="A23" s="29">
        <v>44166</v>
      </c>
      <c r="B23" s="28">
        <v>482.010009765625</v>
      </c>
      <c r="C23" s="28">
        <v>506.92001342773438</v>
      </c>
      <c r="D23" s="28">
        <v>468.82000732421875</v>
      </c>
      <c r="E23" s="28">
        <v>500.1199951171875</v>
      </c>
      <c r="F23" s="28">
        <v>500.1199951171875</v>
      </c>
      <c r="G23" s="28">
        <v>54979100</v>
      </c>
      <c r="H23" s="28" t="s">
        <v>20</v>
      </c>
    </row>
    <row r="24" spans="1:8" x14ac:dyDescent="0.25">
      <c r="A24" s="29">
        <v>44197</v>
      </c>
      <c r="B24" s="28">
        <v>500.29998779296875</v>
      </c>
      <c r="C24" s="28">
        <v>500.79000854492188</v>
      </c>
      <c r="D24" s="28">
        <v>453.33999633789063</v>
      </c>
      <c r="E24" s="28">
        <v>458.76998901367188</v>
      </c>
      <c r="F24" s="28">
        <v>458.76998901367188</v>
      </c>
      <c r="G24" s="28">
        <v>57398700</v>
      </c>
      <c r="H24" s="28" t="s">
        <v>20</v>
      </c>
    </row>
    <row r="25" spans="1:8" x14ac:dyDescent="0.25">
      <c r="A25" s="29">
        <v>44228</v>
      </c>
      <c r="B25" s="28">
        <v>462.27999877929688</v>
      </c>
      <c r="C25" s="28">
        <v>506.510009765625</v>
      </c>
      <c r="D25" s="28">
        <v>450.1199951171875</v>
      </c>
      <c r="E25" s="28">
        <v>459.67001342773438</v>
      </c>
      <c r="F25" s="28">
        <v>459.67001342773438</v>
      </c>
      <c r="G25" s="28">
        <v>44481400</v>
      </c>
      <c r="H25" s="28" t="s">
        <v>20</v>
      </c>
    </row>
    <row r="26" spans="1:8" x14ac:dyDescent="0.25">
      <c r="A26" s="29">
        <v>44256</v>
      </c>
      <c r="B26" s="28">
        <v>465.67999267578125</v>
      </c>
      <c r="C26" s="28">
        <v>482.41000366210938</v>
      </c>
      <c r="D26" s="28">
        <v>420.77999877929688</v>
      </c>
      <c r="E26" s="28">
        <v>475.3699951171875</v>
      </c>
      <c r="F26" s="28">
        <v>475.3699951171875</v>
      </c>
      <c r="G26" s="28">
        <v>75495000</v>
      </c>
      <c r="H26" s="28" t="s">
        <v>20</v>
      </c>
    </row>
    <row r="27" spans="1:8" x14ac:dyDescent="0.25">
      <c r="A27" s="29">
        <v>44287</v>
      </c>
      <c r="B27" s="28">
        <v>483.1199951171875</v>
      </c>
      <c r="C27" s="28">
        <v>525.44000244140625</v>
      </c>
      <c r="D27" s="28">
        <v>480.5</v>
      </c>
      <c r="E27" s="28">
        <v>508.33999633789063</v>
      </c>
      <c r="F27" s="28">
        <v>508.33999633789063</v>
      </c>
      <c r="G27" s="28">
        <v>40867600</v>
      </c>
      <c r="H27" s="28" t="s">
        <v>20</v>
      </c>
    </row>
    <row r="28" spans="1:8" x14ac:dyDescent="0.25">
      <c r="A28" s="29">
        <v>44317</v>
      </c>
      <c r="B28" s="28">
        <v>510.97000122070313</v>
      </c>
      <c r="C28" s="28">
        <v>511.739990234375</v>
      </c>
      <c r="D28" s="28">
        <v>468.5</v>
      </c>
      <c r="E28" s="28">
        <v>504.57998657226563</v>
      </c>
      <c r="F28" s="28">
        <v>504.57998657226563</v>
      </c>
      <c r="G28" s="28">
        <v>39879500</v>
      </c>
      <c r="H28" s="28" t="s">
        <v>20</v>
      </c>
    </row>
    <row r="29" spans="1:8" x14ac:dyDescent="0.25">
      <c r="A29" s="29">
        <v>44348</v>
      </c>
      <c r="B29" s="28">
        <v>504.54000854492188</v>
      </c>
      <c r="C29" s="28">
        <v>592.239990234375</v>
      </c>
      <c r="D29" s="28">
        <v>487.33999633789063</v>
      </c>
      <c r="E29" s="28">
        <v>585.6400146484375</v>
      </c>
      <c r="F29" s="28">
        <v>585.6400146484375</v>
      </c>
      <c r="G29" s="28">
        <v>52698300</v>
      </c>
      <c r="H29" s="28" t="s">
        <v>20</v>
      </c>
    </row>
    <row r="30" spans="1:8" x14ac:dyDescent="0.25">
      <c r="A30" s="29">
        <v>44378</v>
      </c>
      <c r="B30" s="28">
        <v>583.33001708984375</v>
      </c>
      <c r="C30" s="28">
        <v>631.6400146484375</v>
      </c>
      <c r="D30" s="28">
        <v>581.3499755859375</v>
      </c>
      <c r="E30" s="28">
        <v>621.6300048828125</v>
      </c>
      <c r="F30" s="28">
        <v>621.6300048828125</v>
      </c>
      <c r="G30" s="28">
        <v>33921000</v>
      </c>
      <c r="H30" s="28" t="s">
        <v>20</v>
      </c>
    </row>
    <row r="31" spans="1:8" x14ac:dyDescent="0.25">
      <c r="A31" s="29">
        <v>44409</v>
      </c>
      <c r="B31" s="28">
        <v>625.8699951171875</v>
      </c>
      <c r="C31" s="28">
        <v>667.9000244140625</v>
      </c>
      <c r="D31" s="28">
        <v>612.92999267578125</v>
      </c>
      <c r="E31" s="28">
        <v>663.70001220703125</v>
      </c>
      <c r="F31" s="28">
        <v>663.70001220703125</v>
      </c>
      <c r="G31" s="28">
        <v>28723500</v>
      </c>
      <c r="H31" s="28" t="s">
        <v>20</v>
      </c>
    </row>
    <row r="32" spans="1:8" x14ac:dyDescent="0.25">
      <c r="A32" s="29">
        <v>44440</v>
      </c>
      <c r="B32" s="28">
        <v>664.510009765625</v>
      </c>
      <c r="C32" s="28">
        <v>673.8800048828125</v>
      </c>
      <c r="D32" s="28">
        <v>573.239990234375</v>
      </c>
      <c r="E32" s="28">
        <v>575.719970703125</v>
      </c>
      <c r="F32" s="28">
        <v>575.719970703125</v>
      </c>
      <c r="G32" s="28">
        <v>52671900</v>
      </c>
      <c r="H32" s="28" t="s">
        <v>20</v>
      </c>
    </row>
    <row r="33" spans="1:8" x14ac:dyDescent="0.25">
      <c r="A33" s="29">
        <v>44470</v>
      </c>
      <c r="B33" s="28">
        <v>577.52001953125</v>
      </c>
      <c r="C33" s="28">
        <v>659.19000244140625</v>
      </c>
      <c r="D33" s="28">
        <v>552.1400146484375</v>
      </c>
      <c r="E33" s="28">
        <v>650.3599853515625</v>
      </c>
      <c r="F33" s="28">
        <v>650.3599853515625</v>
      </c>
      <c r="G33" s="28">
        <v>44398000</v>
      </c>
      <c r="H33" s="28" t="s">
        <v>20</v>
      </c>
    </row>
    <row r="34" spans="1:8" x14ac:dyDescent="0.25">
      <c r="A34" s="29">
        <v>44501</v>
      </c>
      <c r="B34" s="28">
        <v>651.04998779296875</v>
      </c>
      <c r="C34" s="28">
        <v>699.53997802734375</v>
      </c>
      <c r="D34" s="28">
        <v>634.780029296875</v>
      </c>
      <c r="E34" s="28">
        <v>669.8499755859375</v>
      </c>
      <c r="F34" s="28">
        <v>669.8499755859375</v>
      </c>
      <c r="G34" s="28">
        <v>43332600</v>
      </c>
      <c r="H34" s="28" t="s">
        <v>20</v>
      </c>
    </row>
    <row r="35" spans="1:8" x14ac:dyDescent="0.25">
      <c r="A35" s="29">
        <v>44531</v>
      </c>
      <c r="B35" s="28">
        <v>676</v>
      </c>
      <c r="C35" s="28">
        <v>678.780029296875</v>
      </c>
      <c r="D35" s="28">
        <v>538.04998779296875</v>
      </c>
      <c r="E35" s="28">
        <v>567.05999755859375</v>
      </c>
      <c r="F35" s="28">
        <v>567.05999755859375</v>
      </c>
      <c r="G35" s="28">
        <v>84153000</v>
      </c>
      <c r="H35" s="28" t="s">
        <v>20</v>
      </c>
    </row>
    <row r="36" spans="1:8" x14ac:dyDescent="0.25">
      <c r="A36" s="29">
        <v>44562</v>
      </c>
      <c r="B36" s="28">
        <v>566.6500244140625</v>
      </c>
      <c r="C36" s="28">
        <v>575</v>
      </c>
      <c r="D36" s="28">
        <v>480.6199951171875</v>
      </c>
      <c r="E36" s="28">
        <v>534.29998779296875</v>
      </c>
      <c r="F36" s="28">
        <v>534.29998779296875</v>
      </c>
      <c r="G36" s="28">
        <v>84110900</v>
      </c>
      <c r="H36" s="28" t="s">
        <v>20</v>
      </c>
    </row>
    <row r="37" spans="1:8" x14ac:dyDescent="0.25">
      <c r="A37" s="29">
        <v>44593</v>
      </c>
      <c r="B37" s="28">
        <v>536</v>
      </c>
      <c r="C37" s="28">
        <v>540.46002197265625</v>
      </c>
      <c r="D37" s="28">
        <v>416.80999755859375</v>
      </c>
      <c r="E37" s="28">
        <v>467.67999267578125</v>
      </c>
      <c r="F37" s="28">
        <v>467.67999267578125</v>
      </c>
      <c r="G37" s="28">
        <v>70327300</v>
      </c>
      <c r="H37" s="28" t="s">
        <v>20</v>
      </c>
    </row>
    <row r="38" spans="1:8" x14ac:dyDescent="0.25">
      <c r="A38" s="29">
        <v>44621</v>
      </c>
      <c r="B38" s="28">
        <v>468</v>
      </c>
      <c r="C38" s="28">
        <v>479.20999145507813</v>
      </c>
      <c r="D38" s="28">
        <v>407.94000244140625</v>
      </c>
      <c r="E38" s="28">
        <v>455.6199951171875</v>
      </c>
      <c r="F38" s="28">
        <v>455.6199951171875</v>
      </c>
      <c r="G38" s="28">
        <v>98677500</v>
      </c>
      <c r="H38" s="28" t="s">
        <v>20</v>
      </c>
    </row>
    <row r="39" spans="1:8" x14ac:dyDescent="0.25">
      <c r="A39" s="29">
        <v>44652</v>
      </c>
      <c r="B39" s="28">
        <v>455</v>
      </c>
      <c r="C39" s="28">
        <v>473.489990234375</v>
      </c>
      <c r="D39" s="28">
        <v>394.6400146484375</v>
      </c>
      <c r="E39" s="28">
        <v>395.95001220703125</v>
      </c>
      <c r="F39" s="28">
        <v>395.95001220703125</v>
      </c>
      <c r="G39" s="28">
        <v>54962600</v>
      </c>
      <c r="H39" s="28" t="s">
        <v>20</v>
      </c>
    </row>
    <row r="40" spans="1:8" x14ac:dyDescent="0.25">
      <c r="A40" s="29">
        <v>44682</v>
      </c>
      <c r="B40" s="28">
        <v>397.1300048828125</v>
      </c>
      <c r="C40" s="28">
        <v>428.54998779296875</v>
      </c>
      <c r="D40" s="28">
        <v>370.26998901367188</v>
      </c>
      <c r="E40" s="28">
        <v>416.48001098632813</v>
      </c>
      <c r="F40" s="28">
        <v>416.48001098632813</v>
      </c>
      <c r="G40" s="28">
        <v>72499700</v>
      </c>
      <c r="H40" s="28" t="s">
        <v>20</v>
      </c>
    </row>
    <row r="41" spans="1:8" x14ac:dyDescent="0.25">
      <c r="A41" s="29">
        <v>44713</v>
      </c>
      <c r="B41" s="28">
        <v>428</v>
      </c>
      <c r="C41" s="28">
        <v>441.89999389648438</v>
      </c>
      <c r="D41" s="28">
        <v>338</v>
      </c>
      <c r="E41" s="28">
        <v>366.05999755859375</v>
      </c>
      <c r="F41" s="28">
        <v>366.05999755859375</v>
      </c>
      <c r="G41" s="28">
        <v>71835200</v>
      </c>
      <c r="H41" s="28" t="s">
        <v>20</v>
      </c>
    </row>
    <row r="42" spans="1:8" x14ac:dyDescent="0.25">
      <c r="A42" s="29">
        <v>44743</v>
      </c>
      <c r="B42" s="28">
        <v>364.17999267578125</v>
      </c>
      <c r="C42" s="28">
        <v>414.6199951171875</v>
      </c>
      <c r="D42" s="28">
        <v>359.07000732421875</v>
      </c>
      <c r="E42" s="28">
        <v>410.1199951171875</v>
      </c>
      <c r="F42" s="28">
        <v>410.1199951171875</v>
      </c>
      <c r="G42" s="28">
        <v>46401300</v>
      </c>
      <c r="H42" s="28" t="s">
        <v>20</v>
      </c>
    </row>
    <row r="43" spans="1:8" x14ac:dyDescent="0.25">
      <c r="A43" s="29">
        <v>44774</v>
      </c>
      <c r="B43" s="28">
        <v>406.510009765625</v>
      </c>
      <c r="C43" s="28">
        <v>451.14999389648438</v>
      </c>
      <c r="D43" s="28">
        <v>371.05999755859375</v>
      </c>
      <c r="E43" s="28">
        <v>373.44000244140625</v>
      </c>
      <c r="F43" s="28">
        <v>373.44000244140625</v>
      </c>
      <c r="G43" s="28">
        <v>51826400</v>
      </c>
      <c r="H43" s="28" t="s">
        <v>20</v>
      </c>
    </row>
    <row r="44" spans="1:8" x14ac:dyDescent="0.25">
      <c r="A44" s="29">
        <v>44805</v>
      </c>
      <c r="B44" s="28">
        <v>371</v>
      </c>
      <c r="C44" s="28">
        <v>396.3900146484375</v>
      </c>
      <c r="D44" s="28">
        <v>274.73001098632813</v>
      </c>
      <c r="E44" s="28">
        <v>275.20001220703125</v>
      </c>
      <c r="F44" s="28">
        <v>275.20001220703125</v>
      </c>
      <c r="G44" s="28">
        <v>124381600</v>
      </c>
      <c r="H44" s="28" t="s">
        <v>20</v>
      </c>
    </row>
    <row r="45" spans="1:8" x14ac:dyDescent="0.25">
      <c r="A45" s="29">
        <v>44835</v>
      </c>
      <c r="B45" s="28">
        <v>278.26998901367188</v>
      </c>
      <c r="C45" s="28">
        <v>330.57998657226563</v>
      </c>
      <c r="D45" s="28">
        <v>276.60000610351563</v>
      </c>
      <c r="E45" s="28">
        <v>318.5</v>
      </c>
      <c r="F45" s="28">
        <v>318.5</v>
      </c>
      <c r="G45" s="28">
        <v>82411600</v>
      </c>
      <c r="H45" s="28" t="s">
        <v>20</v>
      </c>
    </row>
    <row r="46" spans="1:8" x14ac:dyDescent="0.25">
      <c r="A46" s="29">
        <v>44866</v>
      </c>
      <c r="B46" s="28">
        <v>321.010009765625</v>
      </c>
      <c r="C46" s="28">
        <v>350.97000122070313</v>
      </c>
      <c r="D46" s="28">
        <v>278.23001098632813</v>
      </c>
      <c r="E46" s="28">
        <v>344.92999267578125</v>
      </c>
      <c r="F46" s="28">
        <v>344.92999267578125</v>
      </c>
      <c r="G46" s="28">
        <v>70803500</v>
      </c>
      <c r="H46" s="28" t="s">
        <v>20</v>
      </c>
    </row>
    <row r="47" spans="1:8" x14ac:dyDescent="0.25">
      <c r="A47" s="29">
        <v>44896</v>
      </c>
      <c r="B47" s="28">
        <v>348.02999877929688</v>
      </c>
      <c r="C47" s="28">
        <v>355.67001342773438</v>
      </c>
      <c r="D47" s="28">
        <v>324.35000610351563</v>
      </c>
      <c r="E47" s="28">
        <v>336.52999877929688</v>
      </c>
      <c r="F47" s="28">
        <v>336.52999877929688</v>
      </c>
      <c r="G47" s="28">
        <v>65103400</v>
      </c>
      <c r="H47" s="28" t="s">
        <v>20</v>
      </c>
    </row>
    <row r="48" spans="1:8" x14ac:dyDescent="0.25">
      <c r="A48" s="29">
        <v>44927</v>
      </c>
      <c r="B48" s="28">
        <v>340.16000366210938</v>
      </c>
      <c r="C48" s="28">
        <v>373.42001342773438</v>
      </c>
      <c r="D48" s="28">
        <v>322.44000244140625</v>
      </c>
      <c r="E48" s="28">
        <v>370.33999633789063</v>
      </c>
      <c r="F48" s="28">
        <v>370.33999633789063</v>
      </c>
      <c r="G48" s="28">
        <v>48869800</v>
      </c>
      <c r="H48" s="28" t="s">
        <v>20</v>
      </c>
    </row>
    <row r="49" spans="1:8" x14ac:dyDescent="0.25">
      <c r="A49" s="29">
        <v>44958</v>
      </c>
      <c r="B49" s="28">
        <v>370.010009765625</v>
      </c>
      <c r="C49" s="28">
        <v>402.489990234375</v>
      </c>
      <c r="D49" s="28">
        <v>318.60000610351563</v>
      </c>
      <c r="E49" s="28">
        <v>323.95001220703125</v>
      </c>
      <c r="F49" s="28">
        <v>323.95001220703125</v>
      </c>
      <c r="G49" s="28">
        <v>57466500</v>
      </c>
      <c r="H49" s="28" t="s">
        <v>20</v>
      </c>
    </row>
    <row r="50" spans="1:8" x14ac:dyDescent="0.25">
      <c r="A50" s="29">
        <v>44986</v>
      </c>
      <c r="B50" s="28">
        <v>323.79998779296875</v>
      </c>
      <c r="C50" s="28">
        <v>385.73001098632813</v>
      </c>
      <c r="D50" s="28">
        <v>321</v>
      </c>
      <c r="E50" s="28">
        <v>385.3699951171875</v>
      </c>
      <c r="F50" s="28">
        <v>385.3699951171875</v>
      </c>
      <c r="G50" s="28">
        <v>82830400</v>
      </c>
      <c r="H50" s="28" t="s">
        <v>20</v>
      </c>
    </row>
    <row r="51" spans="1:8" x14ac:dyDescent="0.25">
      <c r="A51" s="29">
        <v>45017</v>
      </c>
      <c r="B51" s="28">
        <v>380.8800048828125</v>
      </c>
      <c r="C51" s="28">
        <v>386</v>
      </c>
      <c r="D51" s="28">
        <v>357.25</v>
      </c>
      <c r="E51" s="28">
        <v>377.55999755859375</v>
      </c>
      <c r="F51" s="28">
        <v>377.55999755859375</v>
      </c>
      <c r="G51" s="28">
        <v>39097900</v>
      </c>
      <c r="H51" s="28" t="s">
        <v>20</v>
      </c>
    </row>
    <row r="52" spans="1:8" x14ac:dyDescent="0.25">
      <c r="A52" s="29">
        <v>45047</v>
      </c>
      <c r="B52" s="28">
        <v>376.510009765625</v>
      </c>
      <c r="C52" s="28">
        <v>432.989990234375</v>
      </c>
      <c r="D52" s="28">
        <v>331.8900146484375</v>
      </c>
      <c r="E52" s="28">
        <v>417.79000854492188</v>
      </c>
      <c r="F52" s="28">
        <v>417.79000854492188</v>
      </c>
      <c r="G52" s="28">
        <v>86411900</v>
      </c>
      <c r="H52" s="28" t="s">
        <v>20</v>
      </c>
    </row>
    <row r="53" spans="1:8" x14ac:dyDescent="0.25">
      <c r="A53" s="29">
        <v>45078</v>
      </c>
      <c r="B53" s="28">
        <v>412.29000854492188</v>
      </c>
      <c r="C53" s="28">
        <v>518.739990234375</v>
      </c>
      <c r="D53" s="28">
        <v>412.29000854492188</v>
      </c>
      <c r="E53" s="28">
        <v>488.989990234375</v>
      </c>
      <c r="F53" s="28">
        <v>488.989990234375</v>
      </c>
      <c r="G53" s="28">
        <v>108556300</v>
      </c>
      <c r="H53" s="28" t="s">
        <v>20</v>
      </c>
    </row>
    <row r="54" spans="1:8" x14ac:dyDescent="0.25">
      <c r="A54" s="29">
        <v>45108</v>
      </c>
      <c r="B54" s="28">
        <v>486.3900146484375</v>
      </c>
      <c r="C54" s="28">
        <v>552.94000244140625</v>
      </c>
      <c r="D54" s="28">
        <v>475</v>
      </c>
      <c r="E54" s="28">
        <v>546.16998291015625</v>
      </c>
      <c r="F54" s="28">
        <v>546.16998291015625</v>
      </c>
      <c r="G54" s="28">
        <v>61164600</v>
      </c>
      <c r="H54" s="28" t="s">
        <v>20</v>
      </c>
    </row>
    <row r="55" spans="1:8" x14ac:dyDescent="0.25">
      <c r="A55" s="29">
        <v>45139</v>
      </c>
      <c r="B55" s="28">
        <v>545.780029296875</v>
      </c>
      <c r="C55" s="28">
        <v>562.0999755859375</v>
      </c>
      <c r="D55" s="28">
        <v>503.89999389648438</v>
      </c>
      <c r="E55" s="28">
        <v>559.34002685546875</v>
      </c>
      <c r="F55" s="28">
        <v>559.34002685546875</v>
      </c>
      <c r="G55" s="28">
        <v>51203700</v>
      </c>
      <c r="H55" s="28" t="s">
        <v>20</v>
      </c>
    </row>
    <row r="56" spans="1:8" x14ac:dyDescent="0.25">
      <c r="A56" s="29">
        <v>45170</v>
      </c>
      <c r="B56" s="28">
        <v>564.79998779296875</v>
      </c>
      <c r="C56" s="28">
        <v>570.239990234375</v>
      </c>
      <c r="D56" s="28">
        <v>498.70001220703125</v>
      </c>
      <c r="E56" s="28">
        <v>509.89999389648438</v>
      </c>
      <c r="F56" s="28">
        <v>509.89999389648438</v>
      </c>
      <c r="G56" s="28">
        <v>62930100</v>
      </c>
      <c r="H56" s="28" t="s">
        <v>20</v>
      </c>
    </row>
    <row r="57" spans="1:8" x14ac:dyDescent="0.25">
      <c r="A57" s="29">
        <v>45200</v>
      </c>
      <c r="B57" s="28">
        <v>508.239990234375</v>
      </c>
      <c r="C57" s="28">
        <v>574.4000244140625</v>
      </c>
      <c r="D57" s="28">
        <v>504.54998779296875</v>
      </c>
      <c r="E57" s="28">
        <v>532.05999755859375</v>
      </c>
      <c r="F57" s="28">
        <v>532.05999755859375</v>
      </c>
      <c r="G57" s="28">
        <v>55818500</v>
      </c>
      <c r="H57" s="28" t="s">
        <v>20</v>
      </c>
    </row>
    <row r="58" spans="1:8" x14ac:dyDescent="0.25">
      <c r="A58" s="29">
        <v>45231</v>
      </c>
      <c r="B58" s="28">
        <v>535</v>
      </c>
      <c r="C58" s="28">
        <v>628.5999755859375</v>
      </c>
      <c r="D58" s="28">
        <v>534</v>
      </c>
      <c r="E58" s="28">
        <v>611.010009765625</v>
      </c>
      <c r="F58" s="28">
        <v>611.010009765625</v>
      </c>
      <c r="G58" s="28">
        <v>52919300</v>
      </c>
      <c r="H58" s="28" t="s">
        <v>20</v>
      </c>
    </row>
    <row r="59" spans="1:8" x14ac:dyDescent="0.25">
      <c r="A59" s="29">
        <v>45261</v>
      </c>
      <c r="B59" s="28">
        <v>609.239990234375</v>
      </c>
      <c r="C59" s="28">
        <v>633.8900146484375</v>
      </c>
      <c r="D59" s="28">
        <v>578.20001220703125</v>
      </c>
      <c r="E59" s="28">
        <v>596.5999755859375</v>
      </c>
      <c r="F59" s="28">
        <v>596.5999755859375</v>
      </c>
      <c r="G59" s="28">
        <v>70829700</v>
      </c>
      <c r="H59" s="28" t="s">
        <v>20</v>
      </c>
    </row>
    <row r="60" spans="1:8" x14ac:dyDescent="0.25">
      <c r="A60" s="29">
        <v>45292</v>
      </c>
      <c r="B60" s="28">
        <v>589.510009765625</v>
      </c>
      <c r="C60" s="28">
        <v>636.25</v>
      </c>
      <c r="D60" s="28">
        <v>563.34002685546875</v>
      </c>
      <c r="E60" s="28">
        <v>617.780029296875</v>
      </c>
      <c r="F60" s="28">
        <v>617.780029296875</v>
      </c>
      <c r="G60" s="28">
        <v>55343600</v>
      </c>
      <c r="H60" s="28" t="s">
        <v>20</v>
      </c>
    </row>
    <row r="61" spans="1:8" x14ac:dyDescent="0.25">
      <c r="A61" s="29">
        <v>45323</v>
      </c>
      <c r="B61" s="28">
        <v>619</v>
      </c>
      <c r="C61" s="28">
        <v>638.25</v>
      </c>
      <c r="D61" s="28">
        <v>528.010009765625</v>
      </c>
      <c r="E61" s="28">
        <v>560.280029296875</v>
      </c>
      <c r="F61" s="28">
        <v>560.280029296875</v>
      </c>
      <c r="G61" s="28">
        <v>71223400</v>
      </c>
      <c r="H61" s="28" t="s">
        <v>20</v>
      </c>
    </row>
    <row r="62" spans="1:8" x14ac:dyDescent="0.25">
      <c r="A62" s="29">
        <v>45352</v>
      </c>
      <c r="B62" s="28">
        <v>561.1099853515625</v>
      </c>
      <c r="C62" s="28">
        <v>585.3499755859375</v>
      </c>
      <c r="D62" s="28">
        <v>485</v>
      </c>
      <c r="E62" s="28">
        <v>504.60000610351563</v>
      </c>
      <c r="F62" s="28">
        <v>504.60000610351563</v>
      </c>
      <c r="G62" s="28">
        <v>97926600</v>
      </c>
      <c r="H62" s="28" t="s">
        <v>20</v>
      </c>
    </row>
    <row r="63" spans="1:8" x14ac:dyDescent="0.25">
      <c r="A63" s="29">
        <v>45383</v>
      </c>
      <c r="B63" s="28">
        <v>504.989990234375</v>
      </c>
      <c r="C63" s="28">
        <v>506.92001342773438</v>
      </c>
      <c r="D63" s="28">
        <v>462.27999877929688</v>
      </c>
      <c r="E63" s="28">
        <v>462.82998657226563</v>
      </c>
      <c r="F63" s="28">
        <v>462.82998657226563</v>
      </c>
      <c r="G63" s="28">
        <v>64948000</v>
      </c>
      <c r="H63" s="28" t="s">
        <v>20</v>
      </c>
    </row>
    <row r="64" spans="1:8" x14ac:dyDescent="0.25">
      <c r="A64" s="29">
        <v>45413</v>
      </c>
      <c r="B64" s="28">
        <v>461.1199951171875</v>
      </c>
      <c r="C64" s="28">
        <v>496.760009765625</v>
      </c>
      <c r="D64" s="28">
        <v>433.97000122070313</v>
      </c>
      <c r="E64" s="28">
        <v>444.760009765625</v>
      </c>
      <c r="F64" s="28">
        <v>444.760009765625</v>
      </c>
      <c r="G64" s="28">
        <v>63592000</v>
      </c>
      <c r="H64" s="28" t="s">
        <v>20</v>
      </c>
    </row>
    <row r="65" spans="1:8" x14ac:dyDescent="0.25">
      <c r="A65" s="29">
        <v>45444</v>
      </c>
      <c r="B65" s="28">
        <v>447.57998657226563</v>
      </c>
      <c r="C65" s="28">
        <v>558.47998046875</v>
      </c>
      <c r="D65" s="28">
        <v>436.57998657226563</v>
      </c>
      <c r="E65" s="28">
        <v>555.53997802734375</v>
      </c>
      <c r="F65" s="28">
        <v>555.53997802734375</v>
      </c>
      <c r="G65" s="28">
        <v>92072100</v>
      </c>
      <c r="H65" s="28" t="s">
        <v>20</v>
      </c>
    </row>
    <row r="66" spans="1:8" x14ac:dyDescent="0.25">
      <c r="A66" s="29">
        <v>45474</v>
      </c>
      <c r="B66" s="28">
        <v>551.3699951171875</v>
      </c>
      <c r="C66" s="28">
        <v>580.54998779296875</v>
      </c>
      <c r="D66" s="28">
        <v>527.59002685546875</v>
      </c>
      <c r="E66" s="28">
        <v>551.6500244140625</v>
      </c>
      <c r="F66" s="28">
        <v>551.6500244140625</v>
      </c>
      <c r="G66" s="28">
        <v>51420600</v>
      </c>
      <c r="H66" s="28" t="s">
        <v>20</v>
      </c>
    </row>
    <row r="67" spans="1:8" x14ac:dyDescent="0.25">
      <c r="A67" s="29">
        <v>45505</v>
      </c>
      <c r="B67" s="28">
        <v>549.989990234375</v>
      </c>
      <c r="C67" s="28">
        <v>578.4000244140625</v>
      </c>
      <c r="D67" s="28">
        <v>500</v>
      </c>
      <c r="E67" s="28">
        <v>574.40997314453125</v>
      </c>
      <c r="F67" s="28">
        <v>574.40997314453125</v>
      </c>
      <c r="G67" s="28">
        <v>41274200</v>
      </c>
      <c r="H67" s="28" t="s">
        <v>20</v>
      </c>
    </row>
    <row r="68" spans="1:8" x14ac:dyDescent="0.25">
      <c r="A68" s="29">
        <v>45536</v>
      </c>
      <c r="B68" s="28">
        <v>576.29998779296875</v>
      </c>
      <c r="C68" s="28">
        <v>587.75</v>
      </c>
      <c r="D68" s="28">
        <v>506.489990234375</v>
      </c>
      <c r="E68" s="28">
        <v>517.780029296875</v>
      </c>
      <c r="F68" s="28">
        <v>517.780029296875</v>
      </c>
      <c r="G68" s="28">
        <v>71622300</v>
      </c>
      <c r="H68" s="28" t="s">
        <v>20</v>
      </c>
    </row>
    <row r="69" spans="1:8" x14ac:dyDescent="0.25">
      <c r="A69" s="29">
        <v>45566</v>
      </c>
      <c r="B69" s="28">
        <v>517.45001220703125</v>
      </c>
      <c r="C69" s="28">
        <v>519</v>
      </c>
      <c r="D69" s="28">
        <v>477.3800048828125</v>
      </c>
      <c r="E69" s="28">
        <v>478.07998657226563</v>
      </c>
      <c r="F69" s="28">
        <v>478.07998657226563</v>
      </c>
      <c r="G69" s="28">
        <v>61014000</v>
      </c>
      <c r="H69" s="28" t="s">
        <v>20</v>
      </c>
    </row>
    <row r="70" spans="1:8" x14ac:dyDescent="0.25">
      <c r="A70" s="29">
        <v>45597</v>
      </c>
      <c r="B70" s="28">
        <v>475.41000366210938</v>
      </c>
      <c r="C70" s="28">
        <v>539.91998291015625</v>
      </c>
      <c r="D70" s="28">
        <v>475.04998779296875</v>
      </c>
      <c r="E70" s="28">
        <v>515.92999267578125</v>
      </c>
      <c r="F70" s="28">
        <v>515.92999267578125</v>
      </c>
      <c r="G70" s="28">
        <v>53600700</v>
      </c>
      <c r="H70" s="28" t="s">
        <v>20</v>
      </c>
    </row>
    <row r="71" spans="1:8" x14ac:dyDescent="0.25">
      <c r="A71" s="29">
        <v>45627</v>
      </c>
      <c r="B71" s="28">
        <v>512.8499755859375</v>
      </c>
      <c r="C71" s="28">
        <v>557.9000244140625</v>
      </c>
      <c r="D71" s="28">
        <v>432.47000122070313</v>
      </c>
      <c r="E71" s="28">
        <v>444.67999267578125</v>
      </c>
      <c r="F71" s="28">
        <v>444.67999267578125</v>
      </c>
      <c r="G71" s="28">
        <v>105644000</v>
      </c>
      <c r="H71" s="28" t="s">
        <v>20</v>
      </c>
    </row>
    <row r="72" spans="1:8" x14ac:dyDescent="0.25">
      <c r="A72" s="29">
        <v>45658</v>
      </c>
      <c r="B72" s="28">
        <v>447.760009765625</v>
      </c>
      <c r="C72" s="28">
        <v>450.1199951171875</v>
      </c>
      <c r="D72" s="28">
        <v>403.75</v>
      </c>
      <c r="E72" s="28">
        <v>437.45001220703125</v>
      </c>
      <c r="F72" s="28">
        <v>437.45001220703125</v>
      </c>
      <c r="G72" s="28">
        <v>80063500</v>
      </c>
      <c r="H72" s="28" t="s">
        <v>20</v>
      </c>
    </row>
    <row r="73" spans="1:8" x14ac:dyDescent="0.25">
      <c r="A73" s="29">
        <v>45689</v>
      </c>
      <c r="B73" s="28">
        <v>437.79998779296875</v>
      </c>
      <c r="C73" s="28">
        <v>465.70001220703125</v>
      </c>
      <c r="D73" s="28">
        <v>430.8800048828125</v>
      </c>
      <c r="E73" s="28">
        <v>438.55999755859375</v>
      </c>
      <c r="F73" s="28">
        <v>438.55999755859375</v>
      </c>
      <c r="G73" s="28">
        <v>55423600</v>
      </c>
      <c r="H73" s="28" t="s">
        <v>20</v>
      </c>
    </row>
    <row r="74" spans="1:8" x14ac:dyDescent="0.25">
      <c r="A74" s="29">
        <v>43525</v>
      </c>
      <c r="B74" s="28">
        <v>23.969999313354492</v>
      </c>
      <c r="C74" s="28">
        <v>28.110000610351563</v>
      </c>
      <c r="D74" s="28">
        <v>21.040000915527344</v>
      </c>
      <c r="E74" s="28">
        <v>25.520000457763672</v>
      </c>
      <c r="F74" s="28">
        <v>25.520000457763672</v>
      </c>
      <c r="G74" s="28">
        <v>1499160400</v>
      </c>
      <c r="H74" s="28" t="s">
        <v>21</v>
      </c>
    </row>
    <row r="75" spans="1:8" x14ac:dyDescent="0.25">
      <c r="A75" s="29">
        <v>43556</v>
      </c>
      <c r="B75" s="28">
        <v>26.420000076293945</v>
      </c>
      <c r="C75" s="28">
        <v>29.950000762939453</v>
      </c>
      <c r="D75" s="28">
        <v>25.829999923706055</v>
      </c>
      <c r="E75" s="28">
        <v>27.629999160766602</v>
      </c>
      <c r="F75" s="28">
        <v>27.629999160766602</v>
      </c>
      <c r="G75" s="28">
        <v>1275793800</v>
      </c>
      <c r="H75" s="28" t="s">
        <v>21</v>
      </c>
    </row>
    <row r="76" spans="1:8" x14ac:dyDescent="0.25">
      <c r="A76" s="29">
        <v>43586</v>
      </c>
      <c r="B76" s="28">
        <v>28.950000762939453</v>
      </c>
      <c r="C76" s="28">
        <v>29.670000076293945</v>
      </c>
      <c r="D76" s="28">
        <v>26.030000686645508</v>
      </c>
      <c r="E76" s="28">
        <v>27.409999847412109</v>
      </c>
      <c r="F76" s="28">
        <v>27.409999847412109</v>
      </c>
      <c r="G76" s="28">
        <v>1675142900</v>
      </c>
      <c r="H76" s="28" t="s">
        <v>21</v>
      </c>
    </row>
    <row r="77" spans="1:8" x14ac:dyDescent="0.25">
      <c r="A77" s="29">
        <v>43617</v>
      </c>
      <c r="B77" s="28">
        <v>28.75</v>
      </c>
      <c r="C77" s="28">
        <v>34.299999237060547</v>
      </c>
      <c r="D77" s="28">
        <v>27.290000915527344</v>
      </c>
      <c r="E77" s="28">
        <v>30.370000839233398</v>
      </c>
      <c r="F77" s="28">
        <v>30.370000839233398</v>
      </c>
      <c r="G77" s="28">
        <v>1578411200</v>
      </c>
      <c r="H77" s="28" t="s">
        <v>21</v>
      </c>
    </row>
    <row r="78" spans="1:8" x14ac:dyDescent="0.25">
      <c r="A78" s="29">
        <v>43647</v>
      </c>
      <c r="B78" s="28">
        <v>31.790000915527344</v>
      </c>
      <c r="C78" s="28">
        <v>34.860000610351563</v>
      </c>
      <c r="D78" s="28">
        <v>30.100000381469727</v>
      </c>
      <c r="E78" s="28">
        <v>30.450000762939453</v>
      </c>
      <c r="F78" s="28">
        <v>30.450000762939453</v>
      </c>
      <c r="G78" s="28">
        <v>1155469400</v>
      </c>
      <c r="H78" s="28" t="s">
        <v>21</v>
      </c>
    </row>
    <row r="79" spans="1:8" x14ac:dyDescent="0.25">
      <c r="A79" s="29">
        <v>43678</v>
      </c>
      <c r="B79" s="28">
        <v>30.5</v>
      </c>
      <c r="C79" s="28">
        <v>35.549999237060547</v>
      </c>
      <c r="D79" s="28">
        <v>27.649999618530273</v>
      </c>
      <c r="E79" s="28">
        <v>31.450000762939453</v>
      </c>
      <c r="F79" s="28">
        <v>31.450000762939453</v>
      </c>
      <c r="G79" s="28">
        <v>1645871800</v>
      </c>
      <c r="H79" s="28" t="s">
        <v>21</v>
      </c>
    </row>
    <row r="80" spans="1:8" x14ac:dyDescent="0.25">
      <c r="A80" s="29">
        <v>43709</v>
      </c>
      <c r="B80" s="28">
        <v>30.829999923706055</v>
      </c>
      <c r="C80" s="28">
        <v>32.049999237060547</v>
      </c>
      <c r="D80" s="28">
        <v>28.350000381469727</v>
      </c>
      <c r="E80" s="28">
        <v>28.989999771118164</v>
      </c>
      <c r="F80" s="28">
        <v>28.989999771118164</v>
      </c>
      <c r="G80" s="28">
        <v>1012749700</v>
      </c>
      <c r="H80" s="28" t="s">
        <v>21</v>
      </c>
    </row>
    <row r="81" spans="1:8" x14ac:dyDescent="0.25">
      <c r="A81" s="29">
        <v>43739</v>
      </c>
      <c r="B81" s="28">
        <v>29.049999237060547</v>
      </c>
      <c r="C81" s="28">
        <v>34.340000152587891</v>
      </c>
      <c r="D81" s="28">
        <v>27.430000305175781</v>
      </c>
      <c r="E81" s="28">
        <v>33.930000305175781</v>
      </c>
      <c r="F81" s="28">
        <v>33.930000305175781</v>
      </c>
      <c r="G81" s="28">
        <v>1067281800</v>
      </c>
      <c r="H81" s="28" t="s">
        <v>21</v>
      </c>
    </row>
    <row r="82" spans="1:8" x14ac:dyDescent="0.25">
      <c r="A82" s="29">
        <v>43770</v>
      </c>
      <c r="B82" s="28">
        <v>34.369998931884766</v>
      </c>
      <c r="C82" s="28">
        <v>41.790000915527344</v>
      </c>
      <c r="D82" s="28">
        <v>34.099998474121094</v>
      </c>
      <c r="E82" s="28">
        <v>39.150001525878906</v>
      </c>
      <c r="F82" s="28">
        <v>39.150001525878906</v>
      </c>
      <c r="G82" s="28">
        <v>1202279900</v>
      </c>
      <c r="H82" s="28" t="s">
        <v>21</v>
      </c>
    </row>
    <row r="83" spans="1:8" x14ac:dyDescent="0.25">
      <c r="A83" s="29">
        <v>43800</v>
      </c>
      <c r="B83" s="28">
        <v>39.319999694824219</v>
      </c>
      <c r="C83" s="28">
        <v>47.310001373291016</v>
      </c>
      <c r="D83" s="28">
        <v>37.150001525878906</v>
      </c>
      <c r="E83" s="28">
        <v>45.860000610351563</v>
      </c>
      <c r="F83" s="28">
        <v>45.860000610351563</v>
      </c>
      <c r="G83" s="28">
        <v>982440800</v>
      </c>
      <c r="H83" s="28" t="s">
        <v>21</v>
      </c>
    </row>
    <row r="84" spans="1:8" x14ac:dyDescent="0.25">
      <c r="A84" s="29">
        <v>43831</v>
      </c>
      <c r="B84" s="28">
        <v>46.860000610351563</v>
      </c>
      <c r="C84" s="28">
        <v>52.810001373291016</v>
      </c>
      <c r="D84" s="28">
        <v>46.099998474121094</v>
      </c>
      <c r="E84" s="28">
        <v>47</v>
      </c>
      <c r="F84" s="28">
        <v>47</v>
      </c>
      <c r="G84" s="28">
        <v>1227882000</v>
      </c>
      <c r="H84" s="28" t="s">
        <v>21</v>
      </c>
    </row>
    <row r="85" spans="1:8" x14ac:dyDescent="0.25">
      <c r="A85" s="29">
        <v>43862</v>
      </c>
      <c r="B85" s="28">
        <v>46.400001525878906</v>
      </c>
      <c r="C85" s="28">
        <v>59.270000457763672</v>
      </c>
      <c r="D85" s="28">
        <v>41.040000915527344</v>
      </c>
      <c r="E85" s="28">
        <v>45.479999542236328</v>
      </c>
      <c r="F85" s="28">
        <v>45.479999542236328</v>
      </c>
      <c r="G85" s="28">
        <v>1283146900</v>
      </c>
      <c r="H85" s="28" t="s">
        <v>21</v>
      </c>
    </row>
    <row r="86" spans="1:8" x14ac:dyDescent="0.25">
      <c r="A86" s="29">
        <v>43891</v>
      </c>
      <c r="B86" s="28">
        <v>47.419998168945313</v>
      </c>
      <c r="C86" s="28">
        <v>50.200000762939453</v>
      </c>
      <c r="D86" s="28">
        <v>36.75</v>
      </c>
      <c r="E86" s="28">
        <v>45.479999542236328</v>
      </c>
      <c r="F86" s="28">
        <v>45.479999542236328</v>
      </c>
      <c r="G86" s="28">
        <v>2095887300</v>
      </c>
      <c r="H86" s="28" t="s">
        <v>21</v>
      </c>
    </row>
    <row r="87" spans="1:8" x14ac:dyDescent="0.25">
      <c r="A87" s="29">
        <v>43922</v>
      </c>
      <c r="B87" s="28">
        <v>44.180000305175781</v>
      </c>
      <c r="C87" s="28">
        <v>58.630001068115234</v>
      </c>
      <c r="D87" s="28">
        <v>41.700000762939453</v>
      </c>
      <c r="E87" s="28">
        <v>52.389999389648438</v>
      </c>
      <c r="F87" s="28">
        <v>52.389999389648438</v>
      </c>
      <c r="G87" s="28">
        <v>1714615700</v>
      </c>
      <c r="H87" s="28" t="s">
        <v>21</v>
      </c>
    </row>
    <row r="88" spans="1:8" x14ac:dyDescent="0.25">
      <c r="A88" s="29">
        <v>43952</v>
      </c>
      <c r="B88" s="28">
        <v>51.069999694824219</v>
      </c>
      <c r="C88" s="28">
        <v>56.979999542236328</v>
      </c>
      <c r="D88" s="28">
        <v>49.090000152587891</v>
      </c>
      <c r="E88" s="28">
        <v>53.799999237060547</v>
      </c>
      <c r="F88" s="28">
        <v>53.799999237060547</v>
      </c>
      <c r="G88" s="28">
        <v>1192698100</v>
      </c>
      <c r="H88" s="28" t="s">
        <v>21</v>
      </c>
    </row>
    <row r="89" spans="1:8" x14ac:dyDescent="0.25">
      <c r="A89" s="29">
        <v>43983</v>
      </c>
      <c r="B89" s="28">
        <v>53.310001373291016</v>
      </c>
      <c r="C89" s="28">
        <v>59</v>
      </c>
      <c r="D89" s="28">
        <v>48.419998168945313</v>
      </c>
      <c r="E89" s="28">
        <v>52.610000610351563</v>
      </c>
      <c r="F89" s="28">
        <v>52.610000610351563</v>
      </c>
      <c r="G89" s="28">
        <v>1174606200</v>
      </c>
      <c r="H89" s="28" t="s">
        <v>21</v>
      </c>
    </row>
    <row r="90" spans="1:8" x14ac:dyDescent="0.25">
      <c r="A90" s="29">
        <v>44013</v>
      </c>
      <c r="B90" s="28">
        <v>52.630001068115234</v>
      </c>
      <c r="C90" s="28">
        <v>78.959999084472656</v>
      </c>
      <c r="D90" s="28">
        <v>51.599998474121094</v>
      </c>
      <c r="E90" s="28">
        <v>77.430000305175781</v>
      </c>
      <c r="F90" s="28">
        <v>77.430000305175781</v>
      </c>
      <c r="G90" s="28">
        <v>1563684800</v>
      </c>
      <c r="H90" s="28" t="s">
        <v>21</v>
      </c>
    </row>
    <row r="91" spans="1:8" x14ac:dyDescent="0.25">
      <c r="A91" s="29">
        <v>44044</v>
      </c>
      <c r="B91" s="28">
        <v>78.19000244140625</v>
      </c>
      <c r="C91" s="28">
        <v>92.639999389648438</v>
      </c>
      <c r="D91" s="28">
        <v>76.099998474121094</v>
      </c>
      <c r="E91" s="28">
        <v>90.819999694824219</v>
      </c>
      <c r="F91" s="28">
        <v>90.819999694824219</v>
      </c>
      <c r="G91" s="28">
        <v>1220335300</v>
      </c>
      <c r="H91" s="28" t="s">
        <v>21</v>
      </c>
    </row>
    <row r="92" spans="1:8" x14ac:dyDescent="0.25">
      <c r="A92" s="29">
        <v>44075</v>
      </c>
      <c r="B92" s="28">
        <v>91.919998168945313</v>
      </c>
      <c r="C92" s="28">
        <v>94.279998779296875</v>
      </c>
      <c r="D92" s="28">
        <v>73.849998474121094</v>
      </c>
      <c r="E92" s="28">
        <v>81.989997863769531</v>
      </c>
      <c r="F92" s="28">
        <v>81.989997863769531</v>
      </c>
      <c r="G92" s="28">
        <v>1168263000</v>
      </c>
      <c r="H92" s="28" t="s">
        <v>21</v>
      </c>
    </row>
    <row r="93" spans="1:8" x14ac:dyDescent="0.25">
      <c r="A93" s="29">
        <v>44105</v>
      </c>
      <c r="B93" s="28">
        <v>83.05999755859375</v>
      </c>
      <c r="C93" s="28">
        <v>88.720001220703125</v>
      </c>
      <c r="D93" s="28">
        <v>74.230003356933594</v>
      </c>
      <c r="E93" s="28">
        <v>75.290000915527344</v>
      </c>
      <c r="F93" s="28">
        <v>75.290000915527344</v>
      </c>
      <c r="G93" s="28">
        <v>1181118000</v>
      </c>
      <c r="H93" s="28" t="s">
        <v>21</v>
      </c>
    </row>
    <row r="94" spans="1:8" x14ac:dyDescent="0.25">
      <c r="A94" s="29">
        <v>44136</v>
      </c>
      <c r="B94" s="28">
        <v>75.849998474121094</v>
      </c>
      <c r="C94" s="28">
        <v>92.739997863769531</v>
      </c>
      <c r="D94" s="28">
        <v>73.760002136230469</v>
      </c>
      <c r="E94" s="28">
        <v>92.660003662109375</v>
      </c>
      <c r="F94" s="28">
        <v>92.660003662109375</v>
      </c>
      <c r="G94" s="28">
        <v>907041400</v>
      </c>
      <c r="H94" s="28" t="s">
        <v>21</v>
      </c>
    </row>
    <row r="95" spans="1:8" x14ac:dyDescent="0.25">
      <c r="A95" s="29">
        <v>44166</v>
      </c>
      <c r="B95" s="28">
        <v>92.25</v>
      </c>
      <c r="C95" s="28">
        <v>97.980003356933594</v>
      </c>
      <c r="D95" s="28">
        <v>89.029998779296875</v>
      </c>
      <c r="E95" s="28">
        <v>91.709999084472656</v>
      </c>
      <c r="F95" s="28">
        <v>91.709999084472656</v>
      </c>
      <c r="G95" s="28">
        <v>848701400</v>
      </c>
      <c r="H95" s="28" t="s">
        <v>21</v>
      </c>
    </row>
    <row r="96" spans="1:8" x14ac:dyDescent="0.25">
      <c r="A96" s="29">
        <v>44197</v>
      </c>
      <c r="B96" s="28">
        <v>92.110000610351563</v>
      </c>
      <c r="C96" s="28">
        <v>99.230003356933594</v>
      </c>
      <c r="D96" s="28">
        <v>85.019996643066406</v>
      </c>
      <c r="E96" s="28">
        <v>85.639999389648438</v>
      </c>
      <c r="F96" s="28">
        <v>85.639999389648438</v>
      </c>
      <c r="G96" s="28">
        <v>997848700</v>
      </c>
      <c r="H96" s="28" t="s">
        <v>21</v>
      </c>
    </row>
    <row r="97" spans="1:8" x14ac:dyDescent="0.25">
      <c r="A97" s="29">
        <v>44228</v>
      </c>
      <c r="B97" s="28">
        <v>86.830001831054688</v>
      </c>
      <c r="C97" s="28">
        <v>94.220001220703125</v>
      </c>
      <c r="D97" s="28">
        <v>79.360000610351563</v>
      </c>
      <c r="E97" s="28">
        <v>84.510002136230469</v>
      </c>
      <c r="F97" s="28">
        <v>84.510002136230469</v>
      </c>
      <c r="G97" s="28">
        <v>734954400</v>
      </c>
      <c r="H97" s="28" t="s">
        <v>21</v>
      </c>
    </row>
    <row r="98" spans="1:8" x14ac:dyDescent="0.25">
      <c r="A98" s="29">
        <v>44256</v>
      </c>
      <c r="B98" s="28">
        <v>85.370002746582031</v>
      </c>
      <c r="C98" s="28">
        <v>86.949996948242188</v>
      </c>
      <c r="D98" s="28">
        <v>73.860000610351563</v>
      </c>
      <c r="E98" s="28">
        <v>78.5</v>
      </c>
      <c r="F98" s="28">
        <v>78.5</v>
      </c>
      <c r="G98" s="28">
        <v>1008228800</v>
      </c>
      <c r="H98" s="28" t="s">
        <v>21</v>
      </c>
    </row>
    <row r="99" spans="1:8" x14ac:dyDescent="0.25">
      <c r="A99" s="29">
        <v>44287</v>
      </c>
      <c r="B99" s="28">
        <v>80.160003662109375</v>
      </c>
      <c r="C99" s="28">
        <v>89.199996948242188</v>
      </c>
      <c r="D99" s="28">
        <v>77.94000244140625</v>
      </c>
      <c r="E99" s="28">
        <v>81.620002746582031</v>
      </c>
      <c r="F99" s="28">
        <v>81.620002746582031</v>
      </c>
      <c r="G99" s="28">
        <v>986273800</v>
      </c>
      <c r="H99" s="28" t="s">
        <v>21</v>
      </c>
    </row>
    <row r="100" spans="1:8" x14ac:dyDescent="0.25">
      <c r="A100" s="29">
        <v>44317</v>
      </c>
      <c r="B100" s="28">
        <v>81.970001220703125</v>
      </c>
      <c r="C100" s="28">
        <v>82</v>
      </c>
      <c r="D100" s="28">
        <v>72.5</v>
      </c>
      <c r="E100" s="28">
        <v>80.080001831054688</v>
      </c>
      <c r="F100" s="28">
        <v>80.080001831054688</v>
      </c>
      <c r="G100" s="28">
        <v>892921300</v>
      </c>
      <c r="H100" s="28" t="s">
        <v>21</v>
      </c>
    </row>
    <row r="101" spans="1:8" x14ac:dyDescent="0.25">
      <c r="A101" s="29">
        <v>44348</v>
      </c>
      <c r="B101" s="28">
        <v>81.010002136230469</v>
      </c>
      <c r="C101" s="28">
        <v>94.339996337890625</v>
      </c>
      <c r="D101" s="28">
        <v>78.959999084472656</v>
      </c>
      <c r="E101" s="28">
        <v>93.930000305175781</v>
      </c>
      <c r="F101" s="28">
        <v>93.930000305175781</v>
      </c>
      <c r="G101" s="28">
        <v>812057600</v>
      </c>
      <c r="H101" s="28" t="s">
        <v>21</v>
      </c>
    </row>
    <row r="102" spans="1:8" x14ac:dyDescent="0.25">
      <c r="A102" s="29">
        <v>44378</v>
      </c>
      <c r="B102" s="28">
        <v>94.040000915527344</v>
      </c>
      <c r="C102" s="28">
        <v>106.97000122070313</v>
      </c>
      <c r="D102" s="28">
        <v>84.239997863769531</v>
      </c>
      <c r="E102" s="28">
        <v>106.19000244140625</v>
      </c>
      <c r="F102" s="28">
        <v>106.19000244140625</v>
      </c>
      <c r="G102" s="28">
        <v>1138187300</v>
      </c>
      <c r="H102" s="28" t="s">
        <v>21</v>
      </c>
    </row>
    <row r="103" spans="1:8" x14ac:dyDescent="0.25">
      <c r="A103" s="29">
        <v>44409</v>
      </c>
      <c r="B103" s="28">
        <v>105.93000030517578</v>
      </c>
      <c r="C103" s="28">
        <v>122.48999786376953</v>
      </c>
      <c r="D103" s="28">
        <v>101.98000335693359</v>
      </c>
      <c r="E103" s="28">
        <v>110.72000122070313</v>
      </c>
      <c r="F103" s="28">
        <v>110.72000122070313</v>
      </c>
      <c r="G103" s="28">
        <v>1998312900</v>
      </c>
      <c r="H103" s="28" t="s">
        <v>21</v>
      </c>
    </row>
    <row r="104" spans="1:8" x14ac:dyDescent="0.25">
      <c r="A104" s="29">
        <v>44440</v>
      </c>
      <c r="B104" s="28">
        <v>111.30000305175781</v>
      </c>
      <c r="C104" s="28">
        <v>111.84999847412109</v>
      </c>
      <c r="D104" s="28">
        <v>99.510002136230469</v>
      </c>
      <c r="E104" s="28">
        <v>102.90000152587891</v>
      </c>
      <c r="F104" s="28">
        <v>102.90000152587891</v>
      </c>
      <c r="G104" s="28">
        <v>867104200</v>
      </c>
      <c r="H104" s="28" t="s">
        <v>21</v>
      </c>
    </row>
    <row r="105" spans="1:8" x14ac:dyDescent="0.25">
      <c r="A105" s="29">
        <v>44470</v>
      </c>
      <c r="B105" s="28">
        <v>102.59999847412109</v>
      </c>
      <c r="C105" s="28">
        <v>128.08000183105469</v>
      </c>
      <c r="D105" s="28">
        <v>99.819999694824219</v>
      </c>
      <c r="E105" s="28">
        <v>120.23000335693359</v>
      </c>
      <c r="F105" s="28">
        <v>120.23000335693359</v>
      </c>
      <c r="G105" s="28">
        <v>930236100</v>
      </c>
      <c r="H105" s="28" t="s">
        <v>21</v>
      </c>
    </row>
    <row r="106" spans="1:8" x14ac:dyDescent="0.25">
      <c r="A106" s="29">
        <v>44501</v>
      </c>
      <c r="B106" s="28">
        <v>119.44999694824219</v>
      </c>
      <c r="C106" s="28">
        <v>164.46000671386719</v>
      </c>
      <c r="D106" s="28">
        <v>118.12999725341797</v>
      </c>
      <c r="E106" s="28">
        <v>158.3699951171875</v>
      </c>
      <c r="F106" s="28">
        <v>158.3699951171875</v>
      </c>
      <c r="G106" s="28">
        <v>1373609400</v>
      </c>
      <c r="H106" s="28" t="s">
        <v>21</v>
      </c>
    </row>
    <row r="107" spans="1:8" x14ac:dyDescent="0.25">
      <c r="A107" s="29">
        <v>44531</v>
      </c>
      <c r="B107" s="28">
        <v>160.3699951171875</v>
      </c>
      <c r="C107" s="28">
        <v>160.8800048828125</v>
      </c>
      <c r="D107" s="28">
        <v>130.60000610351563</v>
      </c>
      <c r="E107" s="28">
        <v>143.89999389648438</v>
      </c>
      <c r="F107" s="28">
        <v>143.89999389648438</v>
      </c>
      <c r="G107" s="28">
        <v>1175493900</v>
      </c>
      <c r="H107" s="28" t="s">
        <v>21</v>
      </c>
    </row>
    <row r="108" spans="1:8" x14ac:dyDescent="0.25">
      <c r="A108" s="29">
        <v>44562</v>
      </c>
      <c r="B108" s="28">
        <v>145.13999938964844</v>
      </c>
      <c r="C108" s="28">
        <v>152.41999816894531</v>
      </c>
      <c r="D108" s="28">
        <v>99.349998474121094</v>
      </c>
      <c r="E108" s="28">
        <v>114.25</v>
      </c>
      <c r="F108" s="28">
        <v>114.25</v>
      </c>
      <c r="G108" s="28">
        <v>1638612600</v>
      </c>
      <c r="H108" s="28" t="s">
        <v>21</v>
      </c>
    </row>
    <row r="109" spans="1:8" x14ac:dyDescent="0.25">
      <c r="A109" s="29">
        <v>44593</v>
      </c>
      <c r="B109" s="28">
        <v>116.75</v>
      </c>
      <c r="C109" s="28">
        <v>132.96000671386719</v>
      </c>
      <c r="D109" s="28">
        <v>104.26000213623047</v>
      </c>
      <c r="E109" s="28">
        <v>123.33999633789063</v>
      </c>
      <c r="F109" s="28">
        <v>123.33999633789063</v>
      </c>
      <c r="G109" s="28">
        <v>2293656000</v>
      </c>
      <c r="H109" s="28" t="s">
        <v>21</v>
      </c>
    </row>
    <row r="110" spans="1:8" x14ac:dyDescent="0.25">
      <c r="A110" s="29">
        <v>44621</v>
      </c>
      <c r="B110" s="28">
        <v>122.33000183105469</v>
      </c>
      <c r="C110" s="28">
        <v>125.66999816894531</v>
      </c>
      <c r="D110" s="28">
        <v>100.08000183105469</v>
      </c>
      <c r="E110" s="28">
        <v>109.33999633789063</v>
      </c>
      <c r="F110" s="28">
        <v>109.33999633789063</v>
      </c>
      <c r="G110" s="28">
        <v>2460278900</v>
      </c>
      <c r="H110" s="28" t="s">
        <v>21</v>
      </c>
    </row>
    <row r="111" spans="1:8" x14ac:dyDescent="0.25">
      <c r="A111" s="29">
        <v>44652</v>
      </c>
      <c r="B111" s="28">
        <v>110.48000335693359</v>
      </c>
      <c r="C111" s="28">
        <v>111.41999816894531</v>
      </c>
      <c r="D111" s="28">
        <v>84.019996643066406</v>
      </c>
      <c r="E111" s="28">
        <v>85.519996643066406</v>
      </c>
      <c r="F111" s="28">
        <v>85.519996643066406</v>
      </c>
      <c r="G111" s="28">
        <v>1719017900</v>
      </c>
      <c r="H111" s="28" t="s">
        <v>21</v>
      </c>
    </row>
    <row r="112" spans="1:8" x14ac:dyDescent="0.25">
      <c r="A112" s="29">
        <v>44682</v>
      </c>
      <c r="B112" s="28">
        <v>85.660003662109375</v>
      </c>
      <c r="C112" s="28">
        <v>104.55000305175781</v>
      </c>
      <c r="D112" s="28">
        <v>83.269996643066406</v>
      </c>
      <c r="E112" s="28">
        <v>101.86000061035156</v>
      </c>
      <c r="F112" s="28">
        <v>101.86000061035156</v>
      </c>
      <c r="G112" s="28">
        <v>2898334400</v>
      </c>
      <c r="H112" s="28" t="s">
        <v>21</v>
      </c>
    </row>
    <row r="113" spans="1:8" x14ac:dyDescent="0.25">
      <c r="A113" s="29">
        <v>44713</v>
      </c>
      <c r="B113" s="28">
        <v>102.12999725341797</v>
      </c>
      <c r="C113" s="28">
        <v>109.56999969482422</v>
      </c>
      <c r="D113" s="28">
        <v>75.480003356933594</v>
      </c>
      <c r="E113" s="28">
        <v>76.470001220703125</v>
      </c>
      <c r="F113" s="28">
        <v>76.470001220703125</v>
      </c>
      <c r="G113" s="28">
        <v>2030987200</v>
      </c>
      <c r="H113" s="28" t="s">
        <v>21</v>
      </c>
    </row>
    <row r="114" spans="1:8" x14ac:dyDescent="0.25">
      <c r="A114" s="29">
        <v>44743</v>
      </c>
      <c r="B114" s="28">
        <v>75.19000244140625</v>
      </c>
      <c r="C114" s="28">
        <v>94.80999755859375</v>
      </c>
      <c r="D114" s="28">
        <v>71.599998474121094</v>
      </c>
      <c r="E114" s="28">
        <v>94.470001220703125</v>
      </c>
      <c r="F114" s="28">
        <v>94.470001220703125</v>
      </c>
      <c r="G114" s="28">
        <v>1633255900</v>
      </c>
      <c r="H114" s="28" t="s">
        <v>21</v>
      </c>
    </row>
    <row r="115" spans="1:8" x14ac:dyDescent="0.25">
      <c r="A115" s="29">
        <v>44774</v>
      </c>
      <c r="B115" s="28">
        <v>95.589996337890625</v>
      </c>
      <c r="C115" s="28">
        <v>104.58999633789063</v>
      </c>
      <c r="D115" s="28">
        <v>83.720001220703125</v>
      </c>
      <c r="E115" s="28">
        <v>84.870002746582031</v>
      </c>
      <c r="F115" s="28">
        <v>84.870002746582031</v>
      </c>
      <c r="G115" s="28">
        <v>1801038400</v>
      </c>
      <c r="H115" s="28" t="s">
        <v>21</v>
      </c>
    </row>
    <row r="116" spans="1:8" x14ac:dyDescent="0.25">
      <c r="A116" s="29">
        <v>44805</v>
      </c>
      <c r="B116" s="28">
        <v>82.349998474121094</v>
      </c>
      <c r="C116" s="28">
        <v>85.680000305175781</v>
      </c>
      <c r="D116" s="28">
        <v>62.830001831054688</v>
      </c>
      <c r="E116" s="28">
        <v>63.360000610351563</v>
      </c>
      <c r="F116" s="28">
        <v>63.360000610351563</v>
      </c>
      <c r="G116" s="28">
        <v>1677508600</v>
      </c>
      <c r="H116" s="28" t="s">
        <v>21</v>
      </c>
    </row>
    <row r="117" spans="1:8" x14ac:dyDescent="0.25">
      <c r="A117" s="29">
        <v>44835</v>
      </c>
      <c r="B117" s="28">
        <v>64.459999084472656</v>
      </c>
      <c r="C117" s="28">
        <v>70.290000915527344</v>
      </c>
      <c r="D117" s="28">
        <v>54.569999694824219</v>
      </c>
      <c r="E117" s="28">
        <v>60.060001373291016</v>
      </c>
      <c r="F117" s="28">
        <v>60.060001373291016</v>
      </c>
      <c r="G117" s="28">
        <v>1961500500</v>
      </c>
      <c r="H117" s="28" t="s">
        <v>21</v>
      </c>
    </row>
    <row r="118" spans="1:8" x14ac:dyDescent="0.25">
      <c r="A118" s="29">
        <v>44866</v>
      </c>
      <c r="B118" s="28">
        <v>61.490001678466797</v>
      </c>
      <c r="C118" s="28">
        <v>79.160003662109375</v>
      </c>
      <c r="D118" s="28">
        <v>58.029998779296875</v>
      </c>
      <c r="E118" s="28">
        <v>77.629997253417969</v>
      </c>
      <c r="F118" s="28">
        <v>77.629997253417969</v>
      </c>
      <c r="G118" s="28">
        <v>1681532600</v>
      </c>
      <c r="H118" s="28" t="s">
        <v>21</v>
      </c>
    </row>
    <row r="119" spans="1:8" x14ac:dyDescent="0.25">
      <c r="A119" s="29">
        <v>44896</v>
      </c>
      <c r="B119" s="28">
        <v>78.30999755859375</v>
      </c>
      <c r="C119" s="28">
        <v>79.230003356933594</v>
      </c>
      <c r="D119" s="28">
        <v>61.959999084472656</v>
      </c>
      <c r="E119" s="28">
        <v>64.769996643066406</v>
      </c>
      <c r="F119" s="28">
        <v>64.769996643066406</v>
      </c>
      <c r="G119" s="28">
        <v>1149724900</v>
      </c>
      <c r="H119" s="28" t="s">
        <v>21</v>
      </c>
    </row>
    <row r="120" spans="1:8" x14ac:dyDescent="0.25">
      <c r="A120" s="29">
        <v>44927</v>
      </c>
      <c r="B120" s="28">
        <v>66</v>
      </c>
      <c r="C120" s="28">
        <v>77.080001831054688</v>
      </c>
      <c r="D120" s="28">
        <v>60.049999237060547</v>
      </c>
      <c r="E120" s="28">
        <v>75.150001525878906</v>
      </c>
      <c r="F120" s="28">
        <v>75.150001525878906</v>
      </c>
      <c r="G120" s="28">
        <v>1081467000</v>
      </c>
      <c r="H120" s="28" t="s">
        <v>21</v>
      </c>
    </row>
    <row r="121" spans="1:8" x14ac:dyDescent="0.25">
      <c r="A121" s="29">
        <v>44958</v>
      </c>
      <c r="B121" s="28">
        <v>78.470001220703125</v>
      </c>
      <c r="C121" s="28">
        <v>88.94000244140625</v>
      </c>
      <c r="D121" s="28">
        <v>75.919998168945313</v>
      </c>
      <c r="E121" s="28">
        <v>78.580001831054688</v>
      </c>
      <c r="F121" s="28">
        <v>78.580001831054688</v>
      </c>
      <c r="G121" s="28">
        <v>1145820100</v>
      </c>
      <c r="H121" s="28" t="s">
        <v>21</v>
      </c>
    </row>
    <row r="122" spans="1:8" x14ac:dyDescent="0.25">
      <c r="A122" s="29">
        <v>44986</v>
      </c>
      <c r="B122" s="28">
        <v>78.550003051757813</v>
      </c>
      <c r="C122" s="28">
        <v>102.43000030517578</v>
      </c>
      <c r="D122" s="28">
        <v>76.650001525878906</v>
      </c>
      <c r="E122" s="28">
        <v>98.010002136230469</v>
      </c>
      <c r="F122" s="28">
        <v>98.010002136230469</v>
      </c>
      <c r="G122" s="28">
        <v>1656082900</v>
      </c>
      <c r="H122" s="28" t="s">
        <v>21</v>
      </c>
    </row>
    <row r="123" spans="1:8" x14ac:dyDescent="0.25">
      <c r="A123" s="29">
        <v>45017</v>
      </c>
      <c r="B123" s="28">
        <v>96.699996948242188</v>
      </c>
      <c r="C123" s="28">
        <v>97.269996643066406</v>
      </c>
      <c r="D123" s="28">
        <v>83.760002136230469</v>
      </c>
      <c r="E123" s="28">
        <v>89.370002746582031</v>
      </c>
      <c r="F123" s="28">
        <v>89.370002746582031</v>
      </c>
      <c r="G123" s="28">
        <v>895535200</v>
      </c>
      <c r="H123" s="28" t="s">
        <v>21</v>
      </c>
    </row>
    <row r="124" spans="1:8" x14ac:dyDescent="0.25">
      <c r="A124" s="29">
        <v>45047</v>
      </c>
      <c r="B124" s="28">
        <v>91.029998779296875</v>
      </c>
      <c r="C124" s="28">
        <v>130.78999328613281</v>
      </c>
      <c r="D124" s="28">
        <v>81.019996643066406</v>
      </c>
      <c r="E124" s="28">
        <v>118.20999908447266</v>
      </c>
      <c r="F124" s="28">
        <v>118.20999908447266</v>
      </c>
      <c r="G124" s="28">
        <v>1763329300</v>
      </c>
      <c r="H124" s="28" t="s">
        <v>21</v>
      </c>
    </row>
    <row r="125" spans="1:8" x14ac:dyDescent="0.25">
      <c r="A125" s="29">
        <v>45078</v>
      </c>
      <c r="B125" s="28">
        <v>117.29000091552734</v>
      </c>
      <c r="C125" s="28">
        <v>132.83000183105469</v>
      </c>
      <c r="D125" s="28">
        <v>107.08000183105469</v>
      </c>
      <c r="E125" s="28">
        <v>113.91000366210938</v>
      </c>
      <c r="F125" s="28">
        <v>113.91000366210938</v>
      </c>
      <c r="G125" s="28">
        <v>1542596400</v>
      </c>
      <c r="H125" s="28" t="s">
        <v>21</v>
      </c>
    </row>
    <row r="126" spans="1:8" x14ac:dyDescent="0.25">
      <c r="A126" s="29">
        <v>45108</v>
      </c>
      <c r="B126" s="28">
        <v>115.16000366210938</v>
      </c>
      <c r="C126" s="28">
        <v>122.12000274658203</v>
      </c>
      <c r="D126" s="28">
        <v>108.55000305175781</v>
      </c>
      <c r="E126" s="28">
        <v>114.40000152587891</v>
      </c>
      <c r="F126" s="28">
        <v>114.40000152587891</v>
      </c>
      <c r="G126" s="28">
        <v>1141783400</v>
      </c>
      <c r="H126" s="28" t="s">
        <v>21</v>
      </c>
    </row>
    <row r="127" spans="1:8" x14ac:dyDescent="0.25">
      <c r="A127" s="29">
        <v>45139</v>
      </c>
      <c r="B127" s="28">
        <v>114.26000213623047</v>
      </c>
      <c r="C127" s="28">
        <v>119.5</v>
      </c>
      <c r="D127" s="28">
        <v>99.580001831054688</v>
      </c>
      <c r="E127" s="28">
        <v>105.72000122070313</v>
      </c>
      <c r="F127" s="28">
        <v>105.72000122070313</v>
      </c>
      <c r="G127" s="28">
        <v>1571310500</v>
      </c>
      <c r="H127" s="28" t="s">
        <v>21</v>
      </c>
    </row>
    <row r="128" spans="1:8" x14ac:dyDescent="0.25">
      <c r="A128" s="29">
        <v>45170</v>
      </c>
      <c r="B128" s="28">
        <v>107</v>
      </c>
      <c r="C128" s="28">
        <v>111.81999969482422</v>
      </c>
      <c r="D128" s="28">
        <v>94.459999084472656</v>
      </c>
      <c r="E128" s="28">
        <v>102.81999969482422</v>
      </c>
      <c r="F128" s="28">
        <v>102.81999969482422</v>
      </c>
      <c r="G128" s="28">
        <v>1044230400</v>
      </c>
      <c r="H128" s="28" t="s">
        <v>21</v>
      </c>
    </row>
    <row r="129" spans="1:8" x14ac:dyDescent="0.25">
      <c r="A129" s="29">
        <v>45200</v>
      </c>
      <c r="B129" s="28">
        <v>102.20999908447266</v>
      </c>
      <c r="C129" s="28">
        <v>111.30999755859375</v>
      </c>
      <c r="D129" s="28">
        <v>93.120002746582031</v>
      </c>
      <c r="E129" s="28">
        <v>98.5</v>
      </c>
      <c r="F129" s="28">
        <v>98.5</v>
      </c>
      <c r="G129" s="28">
        <v>1160901200</v>
      </c>
      <c r="H129" s="28" t="s">
        <v>21</v>
      </c>
    </row>
    <row r="130" spans="1:8" x14ac:dyDescent="0.25">
      <c r="A130" s="29">
        <v>45231</v>
      </c>
      <c r="B130" s="28">
        <v>98.580001831054688</v>
      </c>
      <c r="C130" s="28">
        <v>125.73000335693359</v>
      </c>
      <c r="D130" s="28">
        <v>98.5</v>
      </c>
      <c r="E130" s="28">
        <v>121.16000366210938</v>
      </c>
      <c r="F130" s="28">
        <v>121.16000366210938</v>
      </c>
      <c r="G130" s="28">
        <v>1116292100</v>
      </c>
      <c r="H130" s="28" t="s">
        <v>21</v>
      </c>
    </row>
    <row r="131" spans="1:8" x14ac:dyDescent="0.25">
      <c r="A131" s="29">
        <v>45261</v>
      </c>
      <c r="B131" s="28">
        <v>119.87999725341797</v>
      </c>
      <c r="C131" s="28">
        <v>151.05000305175781</v>
      </c>
      <c r="D131" s="28">
        <v>116.37000274658203</v>
      </c>
      <c r="E131" s="28">
        <v>147.41000366210938</v>
      </c>
      <c r="F131" s="28">
        <v>147.41000366210938</v>
      </c>
      <c r="G131" s="28">
        <v>1279987600</v>
      </c>
      <c r="H131" s="28" t="s">
        <v>21</v>
      </c>
    </row>
    <row r="132" spans="1:8" x14ac:dyDescent="0.25">
      <c r="A132" s="29">
        <v>45292</v>
      </c>
      <c r="B132" s="28">
        <v>144.27999877929688</v>
      </c>
      <c r="C132" s="28">
        <v>184.91999816894531</v>
      </c>
      <c r="D132" s="28">
        <v>133.74000549316406</v>
      </c>
      <c r="E132" s="28">
        <v>167.69000244140625</v>
      </c>
      <c r="F132" s="28">
        <v>167.69000244140625</v>
      </c>
      <c r="G132" s="28">
        <v>1955862700</v>
      </c>
      <c r="H132" s="28" t="s">
        <v>21</v>
      </c>
    </row>
    <row r="133" spans="1:8" x14ac:dyDescent="0.25">
      <c r="A133" s="29">
        <v>45323</v>
      </c>
      <c r="B133" s="28">
        <v>169.27000427246094</v>
      </c>
      <c r="C133" s="28">
        <v>193</v>
      </c>
      <c r="D133" s="28">
        <v>161.80999755859375</v>
      </c>
      <c r="E133" s="28">
        <v>192.52999877929688</v>
      </c>
      <c r="F133" s="28">
        <v>192.52999877929688</v>
      </c>
      <c r="G133" s="28">
        <v>1271727700</v>
      </c>
      <c r="H133" s="28" t="s">
        <v>21</v>
      </c>
    </row>
    <row r="134" spans="1:8" x14ac:dyDescent="0.25">
      <c r="A134" s="29">
        <v>45352</v>
      </c>
      <c r="B134" s="28">
        <v>197.91000366210938</v>
      </c>
      <c r="C134" s="28">
        <v>227.30000305175781</v>
      </c>
      <c r="D134" s="28">
        <v>172</v>
      </c>
      <c r="E134" s="28">
        <v>180.49000549316406</v>
      </c>
      <c r="F134" s="28">
        <v>180.49000549316406</v>
      </c>
      <c r="G134" s="28">
        <v>1527526500</v>
      </c>
      <c r="H134" s="28" t="s">
        <v>21</v>
      </c>
    </row>
    <row r="135" spans="1:8" x14ac:dyDescent="0.25">
      <c r="A135" s="29">
        <v>45383</v>
      </c>
      <c r="B135" s="28">
        <v>180.10000610351563</v>
      </c>
      <c r="C135" s="28">
        <v>187.24000549316406</v>
      </c>
      <c r="D135" s="28">
        <v>145.28999328613281</v>
      </c>
      <c r="E135" s="28">
        <v>158.3800048828125</v>
      </c>
      <c r="F135" s="28">
        <v>158.3800048828125</v>
      </c>
      <c r="G135" s="28">
        <v>1242532400</v>
      </c>
      <c r="H135" s="28" t="s">
        <v>21</v>
      </c>
    </row>
    <row r="136" spans="1:8" x14ac:dyDescent="0.25">
      <c r="A136" s="29">
        <v>45413</v>
      </c>
      <c r="B136" s="28">
        <v>148.11000061035156</v>
      </c>
      <c r="C136" s="28">
        <v>174.55000305175781</v>
      </c>
      <c r="D136" s="28">
        <v>141.16000366210938</v>
      </c>
      <c r="E136" s="28">
        <v>166.89999389648438</v>
      </c>
      <c r="F136" s="28">
        <v>166.89999389648438</v>
      </c>
      <c r="G136" s="28">
        <v>1119450800</v>
      </c>
      <c r="H136" s="28" t="s">
        <v>21</v>
      </c>
    </row>
    <row r="137" spans="1:8" x14ac:dyDescent="0.25">
      <c r="A137" s="29">
        <v>45444</v>
      </c>
      <c r="B137" s="28">
        <v>170.82000732421875</v>
      </c>
      <c r="C137" s="28">
        <v>171.08000183105469</v>
      </c>
      <c r="D137" s="28">
        <v>153.33999633789063</v>
      </c>
      <c r="E137" s="28">
        <v>162.21000671386719</v>
      </c>
      <c r="F137" s="28">
        <v>162.21000671386719</v>
      </c>
      <c r="G137" s="28">
        <v>959732700</v>
      </c>
      <c r="H137" s="28" t="s">
        <v>21</v>
      </c>
    </row>
    <row r="138" spans="1:8" x14ac:dyDescent="0.25">
      <c r="A138" s="29">
        <v>45474</v>
      </c>
      <c r="B138" s="28">
        <v>161.25</v>
      </c>
      <c r="C138" s="28">
        <v>187.27999877929688</v>
      </c>
      <c r="D138" s="28">
        <v>134.05000305175781</v>
      </c>
      <c r="E138" s="28">
        <v>144.47999572753906</v>
      </c>
      <c r="F138" s="28">
        <v>144.47999572753906</v>
      </c>
      <c r="G138" s="28">
        <v>1243397700</v>
      </c>
      <c r="H138" s="28" t="s">
        <v>21</v>
      </c>
    </row>
    <row r="139" spans="1:8" x14ac:dyDescent="0.25">
      <c r="A139" s="29">
        <v>45505</v>
      </c>
      <c r="B139" s="28">
        <v>145</v>
      </c>
      <c r="C139" s="28">
        <v>162.03999328613281</v>
      </c>
      <c r="D139" s="28">
        <v>121.83000183105469</v>
      </c>
      <c r="E139" s="28">
        <v>148.55999755859375</v>
      </c>
      <c r="F139" s="28">
        <v>148.55999755859375</v>
      </c>
      <c r="G139" s="28">
        <v>1101975100</v>
      </c>
      <c r="H139" s="28" t="s">
        <v>21</v>
      </c>
    </row>
    <row r="140" spans="1:8" x14ac:dyDescent="0.25">
      <c r="A140" s="29">
        <v>45536</v>
      </c>
      <c r="B140" s="28">
        <v>146.41000366210938</v>
      </c>
      <c r="C140" s="28">
        <v>168.72999572753906</v>
      </c>
      <c r="D140" s="28">
        <v>132.11000061035156</v>
      </c>
      <c r="E140" s="28">
        <v>164.08000183105469</v>
      </c>
      <c r="F140" s="28">
        <v>164.08000183105469</v>
      </c>
      <c r="G140" s="28">
        <v>660001200</v>
      </c>
      <c r="H140" s="28" t="s">
        <v>21</v>
      </c>
    </row>
    <row r="141" spans="1:8" x14ac:dyDescent="0.25">
      <c r="A141" s="29">
        <v>45566</v>
      </c>
      <c r="B141" s="28">
        <v>164.47999572753906</v>
      </c>
      <c r="C141" s="28">
        <v>174.05000305175781</v>
      </c>
      <c r="D141" s="28">
        <v>143.33000183105469</v>
      </c>
      <c r="E141" s="28">
        <v>144.07000732421875</v>
      </c>
      <c r="F141" s="28">
        <v>144.07000732421875</v>
      </c>
      <c r="G141" s="28">
        <v>900788500</v>
      </c>
      <c r="H141" s="28" t="s">
        <v>21</v>
      </c>
    </row>
    <row r="142" spans="1:8" x14ac:dyDescent="0.25">
      <c r="A142" s="29">
        <v>45597</v>
      </c>
      <c r="B142" s="28">
        <v>144.44000244140625</v>
      </c>
      <c r="C142" s="28">
        <v>150.71000671386719</v>
      </c>
      <c r="D142" s="28">
        <v>132.96000671386719</v>
      </c>
      <c r="E142" s="28">
        <v>137.17999267578125</v>
      </c>
      <c r="F142" s="28">
        <v>137.17999267578125</v>
      </c>
      <c r="G142" s="28">
        <v>611613700</v>
      </c>
      <c r="H142" s="28" t="s">
        <v>21</v>
      </c>
    </row>
    <row r="143" spans="1:8" x14ac:dyDescent="0.25">
      <c r="A143" s="29">
        <v>45627</v>
      </c>
      <c r="B143" s="28">
        <v>137.91999816894531</v>
      </c>
      <c r="C143" s="28">
        <v>144.1199951171875</v>
      </c>
      <c r="D143" s="28">
        <v>117.90000152587891</v>
      </c>
      <c r="E143" s="28">
        <v>120.79000091552734</v>
      </c>
      <c r="F143" s="28">
        <v>120.79000091552734</v>
      </c>
      <c r="G143" s="28">
        <v>814343000</v>
      </c>
      <c r="H143" s="28" t="s">
        <v>21</v>
      </c>
    </row>
    <row r="144" spans="1:8" x14ac:dyDescent="0.25">
      <c r="A144" s="29">
        <v>45658</v>
      </c>
      <c r="B144" s="28">
        <v>122.29000091552734</v>
      </c>
      <c r="C144" s="28">
        <v>131.71000671386719</v>
      </c>
      <c r="D144" s="28">
        <v>112.80000305175781</v>
      </c>
      <c r="E144" s="28">
        <v>115.94999694824219</v>
      </c>
      <c r="F144" s="28">
        <v>115.94999694824219</v>
      </c>
      <c r="G144" s="28">
        <v>779158600</v>
      </c>
      <c r="H144" s="28" t="s">
        <v>21</v>
      </c>
    </row>
    <row r="145" spans="1:8" x14ac:dyDescent="0.25">
      <c r="A145" s="29">
        <v>45689</v>
      </c>
      <c r="B145" s="28">
        <v>113.87999725341797</v>
      </c>
      <c r="C145" s="28">
        <v>119.84999847412109</v>
      </c>
      <c r="D145" s="28">
        <v>98.69000244140625</v>
      </c>
      <c r="E145" s="28">
        <v>99.860000610351563</v>
      </c>
      <c r="F145" s="28">
        <v>99.860000610351563</v>
      </c>
      <c r="G145" s="28">
        <v>798519600</v>
      </c>
      <c r="H145" s="28" t="s">
        <v>21</v>
      </c>
    </row>
    <row r="146" spans="1:8" x14ac:dyDescent="0.25">
      <c r="A146" s="29">
        <v>43525</v>
      </c>
      <c r="B146" s="28">
        <v>70.629997253417969</v>
      </c>
      <c r="C146" s="28">
        <v>74.480003356933594</v>
      </c>
      <c r="D146" s="28">
        <v>69.029998779296875</v>
      </c>
      <c r="E146" s="28">
        <v>74.339996337890625</v>
      </c>
      <c r="F146" s="28">
        <v>65.564056396484375</v>
      </c>
      <c r="G146" s="28">
        <v>192665200</v>
      </c>
      <c r="H146" s="28" t="s">
        <v>22</v>
      </c>
    </row>
    <row r="147" spans="1:8" x14ac:dyDescent="0.25">
      <c r="A147" s="29">
        <v>43556</v>
      </c>
      <c r="B147" s="28">
        <v>74.760002136230469</v>
      </c>
      <c r="C147" s="28">
        <v>77.790000915527344</v>
      </c>
      <c r="D147" s="28">
        <v>73.730003356933594</v>
      </c>
      <c r="E147" s="28">
        <v>77.680000305175781</v>
      </c>
      <c r="F147" s="28">
        <v>68.509773254394531</v>
      </c>
      <c r="G147" s="28">
        <v>146496900</v>
      </c>
      <c r="H147" s="28" t="s">
        <v>22</v>
      </c>
    </row>
    <row r="148" spans="1:8" x14ac:dyDescent="0.25">
      <c r="A148" s="29">
        <v>43586</v>
      </c>
      <c r="B148" s="28">
        <v>77.669998168945313</v>
      </c>
      <c r="C148" s="28">
        <v>79.650001525878906</v>
      </c>
      <c r="D148" s="28">
        <v>74.330001831054688</v>
      </c>
      <c r="E148" s="28">
        <v>76.05999755859375</v>
      </c>
      <c r="F148" s="28">
        <v>67.081001281738281</v>
      </c>
      <c r="G148" s="28">
        <v>168825900</v>
      </c>
      <c r="H148" s="28" t="s">
        <v>22</v>
      </c>
    </row>
    <row r="149" spans="1:8" x14ac:dyDescent="0.25">
      <c r="A149" s="29">
        <v>43617</v>
      </c>
      <c r="B149" s="28">
        <v>76.120002746582031</v>
      </c>
      <c r="C149" s="28">
        <v>85.199996948242188</v>
      </c>
      <c r="D149" s="28">
        <v>75.650001525878906</v>
      </c>
      <c r="E149" s="28">
        <v>83.830001831054688</v>
      </c>
      <c r="F149" s="28">
        <v>74.276741027832031</v>
      </c>
      <c r="G149" s="28">
        <v>163305800</v>
      </c>
      <c r="H149" s="28" t="s">
        <v>22</v>
      </c>
    </row>
    <row r="150" spans="1:8" x14ac:dyDescent="0.25">
      <c r="A150" s="29">
        <v>43647</v>
      </c>
      <c r="B150" s="28">
        <v>84.620002746582031</v>
      </c>
      <c r="C150" s="28">
        <v>99.720001220703125</v>
      </c>
      <c r="D150" s="28">
        <v>84.029998779296875</v>
      </c>
      <c r="E150" s="28">
        <v>94.69000244140625</v>
      </c>
      <c r="F150" s="28">
        <v>83.899131774902344</v>
      </c>
      <c r="G150" s="28">
        <v>166015600</v>
      </c>
      <c r="H150" s="28" t="s">
        <v>22</v>
      </c>
    </row>
    <row r="151" spans="1:8" x14ac:dyDescent="0.25">
      <c r="A151" s="29">
        <v>43678</v>
      </c>
      <c r="B151" s="28">
        <v>95</v>
      </c>
      <c r="C151" s="28">
        <v>98.139999389648438</v>
      </c>
      <c r="D151" s="28">
        <v>93.029998779296875</v>
      </c>
      <c r="E151" s="28">
        <v>96.55999755859375</v>
      </c>
      <c r="F151" s="28">
        <v>85.556022644042969</v>
      </c>
      <c r="G151" s="28">
        <v>142069000</v>
      </c>
      <c r="H151" s="28" t="s">
        <v>22</v>
      </c>
    </row>
    <row r="152" spans="1:8" x14ac:dyDescent="0.25">
      <c r="A152" s="29">
        <v>43709</v>
      </c>
      <c r="B152" s="28">
        <v>96.419998168945313</v>
      </c>
      <c r="C152" s="28">
        <v>97.209999084472656</v>
      </c>
      <c r="D152" s="28">
        <v>87.610000610351563</v>
      </c>
      <c r="E152" s="28">
        <v>88.419998168945313</v>
      </c>
      <c r="F152" s="28">
        <v>78.640586853027344</v>
      </c>
      <c r="G152" s="28">
        <v>134511100</v>
      </c>
      <c r="H152" s="28" t="s">
        <v>22</v>
      </c>
    </row>
    <row r="153" spans="1:8" x14ac:dyDescent="0.25">
      <c r="A153" s="29">
        <v>43739</v>
      </c>
      <c r="B153" s="28">
        <v>88.629997253417969</v>
      </c>
      <c r="C153" s="28">
        <v>88.889999389648438</v>
      </c>
      <c r="D153" s="28">
        <v>82.129997253417969</v>
      </c>
      <c r="E153" s="28">
        <v>84.55999755859375</v>
      </c>
      <c r="F153" s="28">
        <v>75.207534790039063</v>
      </c>
      <c r="G153" s="28">
        <v>137892400</v>
      </c>
      <c r="H153" s="28" t="s">
        <v>22</v>
      </c>
    </row>
    <row r="154" spans="1:8" x14ac:dyDescent="0.25">
      <c r="A154" s="29">
        <v>43770</v>
      </c>
      <c r="B154" s="28">
        <v>84.790000915527344</v>
      </c>
      <c r="C154" s="28">
        <v>86.730003356933594</v>
      </c>
      <c r="D154" s="28">
        <v>81.029998779296875</v>
      </c>
      <c r="E154" s="28">
        <v>85.430000305175781</v>
      </c>
      <c r="F154" s="28">
        <v>75.981292724609375</v>
      </c>
      <c r="G154" s="28">
        <v>138762700</v>
      </c>
      <c r="H154" s="28" t="s">
        <v>22</v>
      </c>
    </row>
    <row r="155" spans="1:8" x14ac:dyDescent="0.25">
      <c r="A155" s="29">
        <v>43800</v>
      </c>
      <c r="B155" s="28">
        <v>85.379997253417969</v>
      </c>
      <c r="C155" s="28">
        <v>89.300003051757813</v>
      </c>
      <c r="D155" s="28">
        <v>83.819999694824219</v>
      </c>
      <c r="E155" s="28">
        <v>87.919998168945313</v>
      </c>
      <c r="F155" s="28">
        <v>78.5867919921875</v>
      </c>
      <c r="G155" s="28">
        <v>132545100</v>
      </c>
      <c r="H155" s="28" t="s">
        <v>22</v>
      </c>
    </row>
    <row r="156" spans="1:8" x14ac:dyDescent="0.25">
      <c r="A156" s="29">
        <v>43831</v>
      </c>
      <c r="B156" s="28">
        <v>88.120002746582031</v>
      </c>
      <c r="C156" s="28">
        <v>94.129997253417969</v>
      </c>
      <c r="D156" s="28">
        <v>84.519996643066406</v>
      </c>
      <c r="E156" s="28">
        <v>84.830001831054688</v>
      </c>
      <c r="F156" s="28">
        <v>75.824821472167969</v>
      </c>
      <c r="G156" s="28">
        <v>170390700</v>
      </c>
      <c r="H156" s="28" t="s">
        <v>22</v>
      </c>
    </row>
    <row r="157" spans="1:8" x14ac:dyDescent="0.25">
      <c r="A157" s="29">
        <v>43862</v>
      </c>
      <c r="B157" s="28">
        <v>85.069999694824219</v>
      </c>
      <c r="C157" s="28">
        <v>90.510002136230469</v>
      </c>
      <c r="D157" s="28">
        <v>75.720001220703125</v>
      </c>
      <c r="E157" s="28">
        <v>78.430000305175781</v>
      </c>
      <c r="F157" s="28">
        <v>70.104202270507813</v>
      </c>
      <c r="G157" s="28">
        <v>167202600</v>
      </c>
      <c r="H157" s="28" t="s">
        <v>22</v>
      </c>
    </row>
    <row r="158" spans="1:8" x14ac:dyDescent="0.25">
      <c r="A158" s="29">
        <v>43891</v>
      </c>
      <c r="B158" s="28">
        <v>77.919998168945313</v>
      </c>
      <c r="C158" s="28">
        <v>82.620002746582031</v>
      </c>
      <c r="D158" s="28">
        <v>50.020000457763672</v>
      </c>
      <c r="E158" s="28">
        <v>65.739997863769531</v>
      </c>
      <c r="F158" s="28">
        <v>59.035186767578125</v>
      </c>
      <c r="G158" s="28">
        <v>445364500</v>
      </c>
      <c r="H158" s="28" t="s">
        <v>22</v>
      </c>
    </row>
    <row r="159" spans="1:8" x14ac:dyDescent="0.25">
      <c r="A159" s="29">
        <v>43922</v>
      </c>
      <c r="B159" s="28">
        <v>63</v>
      </c>
      <c r="C159" s="28">
        <v>79.610000610351563</v>
      </c>
      <c r="D159" s="28">
        <v>60.900001525878906</v>
      </c>
      <c r="E159" s="28">
        <v>76.730003356933594</v>
      </c>
      <c r="F159" s="28">
        <v>68.904335021972656</v>
      </c>
      <c r="G159" s="28">
        <v>282837600</v>
      </c>
      <c r="H159" s="28" t="s">
        <v>22</v>
      </c>
    </row>
    <row r="160" spans="1:8" x14ac:dyDescent="0.25">
      <c r="A160" s="29">
        <v>43952</v>
      </c>
      <c r="B160" s="28">
        <v>74.900001525878906</v>
      </c>
      <c r="C160" s="28">
        <v>80.05999755859375</v>
      </c>
      <c r="D160" s="28">
        <v>70.650001525878906</v>
      </c>
      <c r="E160" s="28">
        <v>77.989997863769531</v>
      </c>
      <c r="F160" s="28">
        <v>70.035820007324219</v>
      </c>
      <c r="G160" s="28">
        <v>201828600</v>
      </c>
      <c r="H160" s="28" t="s">
        <v>22</v>
      </c>
    </row>
    <row r="161" spans="1:8" x14ac:dyDescent="0.25">
      <c r="A161" s="29">
        <v>43983</v>
      </c>
      <c r="B161" s="28">
        <v>77.660003662109375</v>
      </c>
      <c r="C161" s="28">
        <v>83.620002746582031</v>
      </c>
      <c r="D161" s="28">
        <v>71.05999755859375</v>
      </c>
      <c r="E161" s="28">
        <v>73.589996337890625</v>
      </c>
      <c r="F161" s="28">
        <v>66.458030700683594</v>
      </c>
      <c r="G161" s="28">
        <v>258280600</v>
      </c>
      <c r="H161" s="28" t="s">
        <v>22</v>
      </c>
    </row>
    <row r="162" spans="1:8" x14ac:dyDescent="0.25">
      <c r="A162" s="29">
        <v>44013</v>
      </c>
      <c r="B162" s="28">
        <v>74</v>
      </c>
      <c r="C162" s="28">
        <v>78.489997863769531</v>
      </c>
      <c r="D162" s="28">
        <v>71.819999694824219</v>
      </c>
      <c r="E162" s="28">
        <v>76.529998779296875</v>
      </c>
      <c r="F162" s="28">
        <v>69.113113403320313</v>
      </c>
      <c r="G162" s="28">
        <v>185587300</v>
      </c>
      <c r="H162" s="28" t="s">
        <v>22</v>
      </c>
    </row>
    <row r="163" spans="1:8" x14ac:dyDescent="0.25">
      <c r="A163" s="29">
        <v>44044</v>
      </c>
      <c r="B163" s="28">
        <v>76.480003356933594</v>
      </c>
      <c r="C163" s="28">
        <v>85.360000610351563</v>
      </c>
      <c r="D163" s="28">
        <v>74.760002136230469</v>
      </c>
      <c r="E163" s="28">
        <v>84.470001220703125</v>
      </c>
      <c r="F163" s="28">
        <v>76.283615112304688</v>
      </c>
      <c r="G163" s="28">
        <v>155854300</v>
      </c>
      <c r="H163" s="28" t="s">
        <v>22</v>
      </c>
    </row>
    <row r="164" spans="1:8" x14ac:dyDescent="0.25">
      <c r="A164" s="29">
        <v>44075</v>
      </c>
      <c r="B164" s="28">
        <v>84.699996948242188</v>
      </c>
      <c r="C164" s="28">
        <v>89.430000305175781</v>
      </c>
      <c r="D164" s="28">
        <v>81.75</v>
      </c>
      <c r="E164" s="28">
        <v>85.919998168945313</v>
      </c>
      <c r="F164" s="28">
        <v>78.015159606933594</v>
      </c>
      <c r="G164" s="28">
        <v>161248300</v>
      </c>
      <c r="H164" s="28" t="s">
        <v>22</v>
      </c>
    </row>
    <row r="165" spans="1:8" x14ac:dyDescent="0.25">
      <c r="A165" s="29">
        <v>44105</v>
      </c>
      <c r="B165" s="28">
        <v>87.040000915527344</v>
      </c>
      <c r="C165" s="28">
        <v>91.129997253417969</v>
      </c>
      <c r="D165" s="28">
        <v>85.089996337890625</v>
      </c>
      <c r="E165" s="28">
        <v>86.959999084472656</v>
      </c>
      <c r="F165" s="28">
        <v>78.95947265625</v>
      </c>
      <c r="G165" s="28">
        <v>145178700</v>
      </c>
      <c r="H165" s="28" t="s">
        <v>22</v>
      </c>
    </row>
    <row r="166" spans="1:8" x14ac:dyDescent="0.25">
      <c r="A166" s="29">
        <v>44136</v>
      </c>
      <c r="B166" s="28">
        <v>87.540000915527344</v>
      </c>
      <c r="C166" s="28">
        <v>99.330001831054688</v>
      </c>
      <c r="D166" s="28">
        <v>85.449996948242188</v>
      </c>
      <c r="E166" s="28">
        <v>98.019996643066406</v>
      </c>
      <c r="F166" s="28">
        <v>89.001945495605469</v>
      </c>
      <c r="G166" s="28">
        <v>142204300</v>
      </c>
      <c r="H166" s="28" t="s">
        <v>22</v>
      </c>
    </row>
    <row r="167" spans="1:8" x14ac:dyDescent="0.25">
      <c r="A167" s="29">
        <v>44166</v>
      </c>
      <c r="B167" s="28">
        <v>99</v>
      </c>
      <c r="C167" s="28">
        <v>107.13999938964844</v>
      </c>
      <c r="D167" s="28">
        <v>98.209999084472656</v>
      </c>
      <c r="E167" s="28">
        <v>106.98000335693359</v>
      </c>
      <c r="F167" s="28">
        <v>97.595657348632813</v>
      </c>
      <c r="G167" s="28">
        <v>121635500</v>
      </c>
      <c r="H167" s="28" t="s">
        <v>22</v>
      </c>
    </row>
    <row r="168" spans="1:8" x14ac:dyDescent="0.25">
      <c r="A168" s="29">
        <v>44197</v>
      </c>
      <c r="B168" s="28">
        <v>107.66000366210938</v>
      </c>
      <c r="C168" s="28">
        <v>107.75</v>
      </c>
      <c r="D168" s="28">
        <v>95.919998168945313</v>
      </c>
      <c r="E168" s="28">
        <v>96.80999755859375</v>
      </c>
      <c r="F168" s="28">
        <v>88.317756652832031</v>
      </c>
      <c r="G168" s="28">
        <v>123895000</v>
      </c>
      <c r="H168" s="28" t="s">
        <v>22</v>
      </c>
    </row>
    <row r="169" spans="1:8" x14ac:dyDescent="0.25">
      <c r="A169" s="29">
        <v>44228</v>
      </c>
      <c r="B169" s="28">
        <v>96.989997863769531</v>
      </c>
      <c r="C169" s="28">
        <v>109.48000335693359</v>
      </c>
      <c r="D169" s="28">
        <v>96.919998168945313</v>
      </c>
      <c r="E169" s="28">
        <v>108.02999877929688</v>
      </c>
      <c r="F169" s="28">
        <v>98.553543090820313</v>
      </c>
      <c r="G169" s="28">
        <v>115469700</v>
      </c>
      <c r="H169" s="28" t="s">
        <v>22</v>
      </c>
    </row>
    <row r="170" spans="1:8" x14ac:dyDescent="0.25">
      <c r="A170" s="29">
        <v>44256</v>
      </c>
      <c r="B170" s="28">
        <v>108.59999847412109</v>
      </c>
      <c r="C170" s="28">
        <v>112.33999633789063</v>
      </c>
      <c r="D170" s="28">
        <v>102.75</v>
      </c>
      <c r="E170" s="28">
        <v>109.26999664306641</v>
      </c>
      <c r="F170" s="28">
        <v>100.10915374755859</v>
      </c>
      <c r="G170" s="28">
        <v>163152800</v>
      </c>
      <c r="H170" s="28" t="s">
        <v>22</v>
      </c>
    </row>
    <row r="171" spans="1:8" x14ac:dyDescent="0.25">
      <c r="A171" s="29">
        <v>44287</v>
      </c>
      <c r="B171" s="28">
        <v>110.05999755859375</v>
      </c>
      <c r="C171" s="28">
        <v>118.98000335693359</v>
      </c>
      <c r="D171" s="28">
        <v>108.19999694824219</v>
      </c>
      <c r="E171" s="28">
        <v>114.48999786376953</v>
      </c>
      <c r="F171" s="28">
        <v>104.89152526855469</v>
      </c>
      <c r="G171" s="28">
        <v>127018100</v>
      </c>
      <c r="H171" s="28" t="s">
        <v>22</v>
      </c>
    </row>
    <row r="172" spans="1:8" x14ac:dyDescent="0.25">
      <c r="A172" s="29">
        <v>44317</v>
      </c>
      <c r="B172" s="28">
        <v>115.18000030517578</v>
      </c>
      <c r="C172" s="28">
        <v>116.73999786376953</v>
      </c>
      <c r="D172" s="28">
        <v>108.87999725341797</v>
      </c>
      <c r="E172" s="28">
        <v>113.87999725341797</v>
      </c>
      <c r="F172" s="28">
        <v>104.33267974853516</v>
      </c>
      <c r="G172" s="28">
        <v>113824900</v>
      </c>
      <c r="H172" s="28" t="s">
        <v>22</v>
      </c>
    </row>
    <row r="173" spans="1:8" x14ac:dyDescent="0.25">
      <c r="A173" s="29">
        <v>44348</v>
      </c>
      <c r="B173" s="28">
        <v>114.55999755859375</v>
      </c>
      <c r="C173" s="28">
        <v>114.62000274658203</v>
      </c>
      <c r="D173" s="28">
        <v>109.26000213623047</v>
      </c>
      <c r="E173" s="28">
        <v>111.80999755859375</v>
      </c>
      <c r="F173" s="28">
        <v>102.84377288818359</v>
      </c>
      <c r="G173" s="28">
        <v>106401000</v>
      </c>
      <c r="H173" s="28" t="s">
        <v>22</v>
      </c>
    </row>
    <row r="174" spans="1:8" x14ac:dyDescent="0.25">
      <c r="A174" s="29">
        <v>44378</v>
      </c>
      <c r="B174" s="28">
        <v>111.94999694824219</v>
      </c>
      <c r="C174" s="28">
        <v>126.31999969482422</v>
      </c>
      <c r="D174" s="28">
        <v>111.80999755859375</v>
      </c>
      <c r="E174" s="28">
        <v>121.43000030517578</v>
      </c>
      <c r="F174" s="28">
        <v>111.69233703613281</v>
      </c>
      <c r="G174" s="28">
        <v>123985300</v>
      </c>
      <c r="H174" s="28" t="s">
        <v>22</v>
      </c>
    </row>
    <row r="175" spans="1:8" x14ac:dyDescent="0.25">
      <c r="A175" s="29">
        <v>44409</v>
      </c>
      <c r="B175" s="28">
        <v>122.02999877929688</v>
      </c>
      <c r="C175" s="28">
        <v>122.98000335693359</v>
      </c>
      <c r="D175" s="28">
        <v>113.61000061035156</v>
      </c>
      <c r="E175" s="28">
        <v>117.48999786376953</v>
      </c>
      <c r="F175" s="28">
        <v>108.06829071044922</v>
      </c>
      <c r="G175" s="28">
        <v>114457400</v>
      </c>
      <c r="H175" s="28" t="s">
        <v>22</v>
      </c>
    </row>
    <row r="176" spans="1:8" x14ac:dyDescent="0.25">
      <c r="A176" s="29">
        <v>44440</v>
      </c>
      <c r="B176" s="28">
        <v>118.01000213623047</v>
      </c>
      <c r="C176" s="28">
        <v>120.76000213623047</v>
      </c>
      <c r="D176" s="28">
        <v>110.30999755859375</v>
      </c>
      <c r="E176" s="28">
        <v>110.30999755859375</v>
      </c>
      <c r="F176" s="28">
        <v>101.85788726806641</v>
      </c>
      <c r="G176" s="28">
        <v>115995300</v>
      </c>
      <c r="H176" s="28" t="s">
        <v>22</v>
      </c>
    </row>
    <row r="177" spans="1:8" x14ac:dyDescent="0.25">
      <c r="A177" s="29">
        <v>44470</v>
      </c>
      <c r="B177" s="28">
        <v>110.88999938964844</v>
      </c>
      <c r="C177" s="28">
        <v>115.56999969482422</v>
      </c>
      <c r="D177" s="28">
        <v>104.01999664306641</v>
      </c>
      <c r="E177" s="28">
        <v>106.06999969482422</v>
      </c>
      <c r="F177" s="28">
        <v>97.942741394042969</v>
      </c>
      <c r="G177" s="28">
        <v>133499300</v>
      </c>
      <c r="H177" s="28" t="s">
        <v>22</v>
      </c>
    </row>
    <row r="178" spans="1:8" x14ac:dyDescent="0.25">
      <c r="A178" s="29">
        <v>44501</v>
      </c>
      <c r="B178" s="28">
        <v>107.23000335693359</v>
      </c>
      <c r="C178" s="28">
        <v>117.47000122070313</v>
      </c>
      <c r="D178" s="28">
        <v>107.19999694824219</v>
      </c>
      <c r="E178" s="28">
        <v>109.63999938964844</v>
      </c>
      <c r="F178" s="28">
        <v>101.23921966552734</v>
      </c>
      <c r="G178" s="28">
        <v>161726300</v>
      </c>
      <c r="H178" s="28" t="s">
        <v>22</v>
      </c>
    </row>
    <row r="179" spans="1:8" x14ac:dyDescent="0.25">
      <c r="A179" s="29">
        <v>44531</v>
      </c>
      <c r="B179" s="28">
        <v>110.95999908447266</v>
      </c>
      <c r="C179" s="28">
        <v>117.48000335693359</v>
      </c>
      <c r="D179" s="28">
        <v>106.61000061035156</v>
      </c>
      <c r="E179" s="28">
        <v>116.97000122070313</v>
      </c>
      <c r="F179" s="28">
        <v>108.47330474853516</v>
      </c>
      <c r="G179" s="28">
        <v>136705300</v>
      </c>
      <c r="H179" s="28" t="s">
        <v>22</v>
      </c>
    </row>
    <row r="180" spans="1:8" x14ac:dyDescent="0.25">
      <c r="A180" s="29">
        <v>44562</v>
      </c>
      <c r="B180" s="28">
        <v>116.47000122070313</v>
      </c>
      <c r="C180" s="28">
        <v>117.80000305175781</v>
      </c>
      <c r="D180" s="28">
        <v>93.790000915527344</v>
      </c>
      <c r="E180" s="28">
        <v>98.319999694824219</v>
      </c>
      <c r="F180" s="28">
        <v>91.178024291992188</v>
      </c>
      <c r="G180" s="28">
        <v>218687500</v>
      </c>
      <c r="H180" s="28" t="s">
        <v>22</v>
      </c>
    </row>
    <row r="181" spans="1:8" x14ac:dyDescent="0.25">
      <c r="A181" s="29">
        <v>44593</v>
      </c>
      <c r="B181" s="28">
        <v>98.419998168945313</v>
      </c>
      <c r="C181" s="28">
        <v>99.150001525878906</v>
      </c>
      <c r="D181" s="28">
        <v>87.25</v>
      </c>
      <c r="E181" s="28">
        <v>91.790000915527344</v>
      </c>
      <c r="F181" s="28">
        <v>85.122383117675781</v>
      </c>
      <c r="G181" s="28">
        <v>161930700</v>
      </c>
      <c r="H181" s="28" t="s">
        <v>22</v>
      </c>
    </row>
    <row r="182" spans="1:8" x14ac:dyDescent="0.25">
      <c r="A182" s="29">
        <v>44621</v>
      </c>
      <c r="B182" s="28">
        <v>91.489997863769531</v>
      </c>
      <c r="C182" s="28">
        <v>93.5</v>
      </c>
      <c r="D182" s="28">
        <v>78.919998168945313</v>
      </c>
      <c r="E182" s="28">
        <v>90.970001220703125</v>
      </c>
      <c r="F182" s="28">
        <v>84.7896728515625</v>
      </c>
      <c r="G182" s="28">
        <v>250082300</v>
      </c>
      <c r="H182" s="28" t="s">
        <v>22</v>
      </c>
    </row>
    <row r="183" spans="1:8" x14ac:dyDescent="0.25">
      <c r="A183" s="29">
        <v>44652</v>
      </c>
      <c r="B183" s="28">
        <v>91.5</v>
      </c>
      <c r="C183" s="28">
        <v>91.889999389648438</v>
      </c>
      <c r="D183" s="28">
        <v>74.480003356933594</v>
      </c>
      <c r="E183" s="28">
        <v>74.639999389648438</v>
      </c>
      <c r="F183" s="28">
        <v>69.569114685058594</v>
      </c>
      <c r="G183" s="28">
        <v>195076200</v>
      </c>
      <c r="H183" s="28" t="s">
        <v>22</v>
      </c>
    </row>
    <row r="184" spans="1:8" x14ac:dyDescent="0.25">
      <c r="A184" s="29">
        <v>44682</v>
      </c>
      <c r="B184" s="28">
        <v>75.25</v>
      </c>
      <c r="C184" s="28">
        <v>82.870002746582031</v>
      </c>
      <c r="D184" s="28">
        <v>68.389999389648438</v>
      </c>
      <c r="E184" s="28">
        <v>78.5</v>
      </c>
      <c r="F184" s="28">
        <v>73.1668701171875</v>
      </c>
      <c r="G184" s="28">
        <v>291830700</v>
      </c>
      <c r="H184" s="28" t="s">
        <v>22</v>
      </c>
    </row>
    <row r="185" spans="1:8" x14ac:dyDescent="0.25">
      <c r="A185" s="29">
        <v>44713</v>
      </c>
      <c r="B185" s="28">
        <v>78.75</v>
      </c>
      <c r="C185" s="28">
        <v>81.300003051757813</v>
      </c>
      <c r="D185" s="28">
        <v>70.349998474121094</v>
      </c>
      <c r="E185" s="28">
        <v>76.389999389648438</v>
      </c>
      <c r="F185" s="28">
        <v>71.701698303222656</v>
      </c>
      <c r="G185" s="28">
        <v>181502100</v>
      </c>
      <c r="H185" s="28" t="s">
        <v>22</v>
      </c>
    </row>
    <row r="186" spans="1:8" x14ac:dyDescent="0.25">
      <c r="A186" s="29">
        <v>44743</v>
      </c>
      <c r="B186" s="28">
        <v>76.730003356933594</v>
      </c>
      <c r="C186" s="28">
        <v>84.980003356933594</v>
      </c>
      <c r="D186" s="28">
        <v>75.730003356933594</v>
      </c>
      <c r="E186" s="28">
        <v>84.779998779296875</v>
      </c>
      <c r="F186" s="28">
        <v>79.576774597167969</v>
      </c>
      <c r="G186" s="28">
        <v>118099000</v>
      </c>
      <c r="H186" s="28" t="s">
        <v>22</v>
      </c>
    </row>
    <row r="187" spans="1:8" x14ac:dyDescent="0.25">
      <c r="A187" s="29">
        <v>44774</v>
      </c>
      <c r="B187" s="28">
        <v>84.19000244140625</v>
      </c>
      <c r="C187" s="28">
        <v>89.930000305175781</v>
      </c>
      <c r="D187" s="28">
        <v>82.69000244140625</v>
      </c>
      <c r="E187" s="28">
        <v>84.069999694824219</v>
      </c>
      <c r="F187" s="28">
        <v>78.910354614257813</v>
      </c>
      <c r="G187" s="28">
        <v>129834700</v>
      </c>
      <c r="H187" s="28" t="s">
        <v>22</v>
      </c>
    </row>
    <row r="188" spans="1:8" x14ac:dyDescent="0.25">
      <c r="A188" s="29">
        <v>44805</v>
      </c>
      <c r="B188" s="28">
        <v>83.699996948242188</v>
      </c>
      <c r="C188" s="28">
        <v>93.480003356933594</v>
      </c>
      <c r="D188" s="28">
        <v>81.669998168945313</v>
      </c>
      <c r="E188" s="28">
        <v>84.260002136230469</v>
      </c>
      <c r="F188" s="28">
        <v>79.539314270019531</v>
      </c>
      <c r="G188" s="28">
        <v>203634100</v>
      </c>
      <c r="H188" s="28" t="s">
        <v>22</v>
      </c>
    </row>
    <row r="189" spans="1:8" x14ac:dyDescent="0.25">
      <c r="A189" s="29">
        <v>44835</v>
      </c>
      <c r="B189" s="28">
        <v>84.75</v>
      </c>
      <c r="C189" s="28">
        <v>90.900001525878906</v>
      </c>
      <c r="D189" s="28">
        <v>82.430000305175781</v>
      </c>
      <c r="E189" s="28">
        <v>86.589996337890625</v>
      </c>
      <c r="F189" s="28">
        <v>81.73876953125</v>
      </c>
      <c r="G189" s="28">
        <v>158234200</v>
      </c>
      <c r="H189" s="28" t="s">
        <v>22</v>
      </c>
    </row>
    <row r="190" spans="1:8" x14ac:dyDescent="0.25">
      <c r="A190" s="29">
        <v>44866</v>
      </c>
      <c r="B190" s="28">
        <v>88.05999755859375</v>
      </c>
      <c r="C190" s="28">
        <v>102.55999755859375</v>
      </c>
      <c r="D190" s="28">
        <v>82.970001220703125</v>
      </c>
      <c r="E190" s="28">
        <v>102.19999694824219</v>
      </c>
      <c r="F190" s="28">
        <v>96.474227905273438</v>
      </c>
      <c r="G190" s="28">
        <v>162097000</v>
      </c>
      <c r="H190" s="28" t="s">
        <v>22</v>
      </c>
    </row>
    <row r="191" spans="1:8" x14ac:dyDescent="0.25">
      <c r="A191" s="29">
        <v>44896</v>
      </c>
      <c r="B191" s="28">
        <v>102.33000183105469</v>
      </c>
      <c r="C191" s="28">
        <v>105.54000091552734</v>
      </c>
      <c r="D191" s="28">
        <v>96.169998168945313</v>
      </c>
      <c r="E191" s="28">
        <v>99.199996948242188</v>
      </c>
      <c r="F191" s="28">
        <v>94.180473327636719</v>
      </c>
      <c r="G191" s="28">
        <v>130721000</v>
      </c>
      <c r="H191" s="28" t="s">
        <v>22</v>
      </c>
    </row>
    <row r="192" spans="1:8" x14ac:dyDescent="0.25">
      <c r="A192" s="29">
        <v>44927</v>
      </c>
      <c r="B192" s="28">
        <v>100.55999755859375</v>
      </c>
      <c r="C192" s="28">
        <v>109.76000213623047</v>
      </c>
      <c r="D192" s="28">
        <v>99.470001220703125</v>
      </c>
      <c r="E192" s="28">
        <v>109.13999938964844</v>
      </c>
      <c r="F192" s="28">
        <v>103.61749267578125</v>
      </c>
      <c r="G192" s="28">
        <v>128337100</v>
      </c>
      <c r="H192" s="28" t="s">
        <v>22</v>
      </c>
    </row>
    <row r="193" spans="1:8" x14ac:dyDescent="0.25">
      <c r="A193" s="29">
        <v>44958</v>
      </c>
      <c r="B193" s="28">
        <v>108.97000122070313</v>
      </c>
      <c r="C193" s="28">
        <v>110.83000183105469</v>
      </c>
      <c r="D193" s="28">
        <v>100.81999969482422</v>
      </c>
      <c r="E193" s="28">
        <v>102.08999633789063</v>
      </c>
      <c r="F193" s="28">
        <v>96.924224853515625</v>
      </c>
      <c r="G193" s="28">
        <v>123053800</v>
      </c>
      <c r="H193" s="28" t="s">
        <v>22</v>
      </c>
    </row>
    <row r="194" spans="1:8" x14ac:dyDescent="0.25">
      <c r="A194" s="29">
        <v>44986</v>
      </c>
      <c r="B194" s="28">
        <v>102.19000244140625</v>
      </c>
      <c r="C194" s="28">
        <v>105.94000244140625</v>
      </c>
      <c r="D194" s="28">
        <v>97.19000244140625</v>
      </c>
      <c r="E194" s="28">
        <v>104.12999725341797</v>
      </c>
      <c r="F194" s="28">
        <v>99.35638427734375</v>
      </c>
      <c r="G194" s="28">
        <v>132244900</v>
      </c>
      <c r="H194" s="28" t="s">
        <v>22</v>
      </c>
    </row>
    <row r="195" spans="1:8" x14ac:dyDescent="0.25">
      <c r="A195" s="29">
        <v>45017</v>
      </c>
      <c r="B195" s="28">
        <v>104.05999755859375</v>
      </c>
      <c r="C195" s="28">
        <v>114.30999755859375</v>
      </c>
      <c r="D195" s="28">
        <v>103.06999969482422</v>
      </c>
      <c r="E195" s="28">
        <v>114.29000091552734</v>
      </c>
      <c r="F195" s="28">
        <v>109.05062866210938</v>
      </c>
      <c r="G195" s="28">
        <v>96625800</v>
      </c>
      <c r="H195" s="28" t="s">
        <v>22</v>
      </c>
    </row>
    <row r="196" spans="1:8" x14ac:dyDescent="0.25">
      <c r="A196" s="29">
        <v>45047</v>
      </c>
      <c r="B196" s="28">
        <v>114.25</v>
      </c>
      <c r="C196" s="28">
        <v>115.48000335693359</v>
      </c>
      <c r="D196" s="28">
        <v>96.980003356933594</v>
      </c>
      <c r="E196" s="28">
        <v>97.639999389648438</v>
      </c>
      <c r="F196" s="28">
        <v>93.163894653320313</v>
      </c>
      <c r="G196" s="28">
        <v>157232900</v>
      </c>
      <c r="H196" s="28" t="s">
        <v>22</v>
      </c>
    </row>
    <row r="197" spans="1:8" x14ac:dyDescent="0.25">
      <c r="A197" s="29">
        <v>45078</v>
      </c>
      <c r="B197" s="28">
        <v>97.589996337890625</v>
      </c>
      <c r="C197" s="28">
        <v>102.51000213623047</v>
      </c>
      <c r="D197" s="28">
        <v>96.519996643066406</v>
      </c>
      <c r="E197" s="28">
        <v>99.05999755859375</v>
      </c>
      <c r="F197" s="28">
        <v>94.989448547363281</v>
      </c>
      <c r="G197" s="28">
        <v>151098200</v>
      </c>
      <c r="H197" s="28" t="s">
        <v>22</v>
      </c>
    </row>
    <row r="198" spans="1:8" x14ac:dyDescent="0.25">
      <c r="A198" s="29">
        <v>45108</v>
      </c>
      <c r="B198" s="28">
        <v>98.730003356933594</v>
      </c>
      <c r="C198" s="28">
        <v>103.76999664306641</v>
      </c>
      <c r="D198" s="28">
        <v>95.550003051757813</v>
      </c>
      <c r="E198" s="28">
        <v>101.56999969482422</v>
      </c>
      <c r="F198" s="28">
        <v>97.396308898925781</v>
      </c>
      <c r="G198" s="28">
        <v>131318200</v>
      </c>
      <c r="H198" s="28" t="s">
        <v>22</v>
      </c>
    </row>
    <row r="199" spans="1:8" x14ac:dyDescent="0.25">
      <c r="A199" s="29">
        <v>45139</v>
      </c>
      <c r="B199" s="28">
        <v>101.47000122070313</v>
      </c>
      <c r="C199" s="28">
        <v>104.45999908447266</v>
      </c>
      <c r="D199" s="28">
        <v>93.709999084472656</v>
      </c>
      <c r="E199" s="28">
        <v>97.44000244140625</v>
      </c>
      <c r="F199" s="28">
        <v>93.436019897460938</v>
      </c>
      <c r="G199" s="28">
        <v>127061000</v>
      </c>
      <c r="H199" s="28" t="s">
        <v>22</v>
      </c>
    </row>
    <row r="200" spans="1:8" x14ac:dyDescent="0.25">
      <c r="A200" s="29">
        <v>45170</v>
      </c>
      <c r="B200" s="28">
        <v>98.400001525878906</v>
      </c>
      <c r="C200" s="28">
        <v>98.75</v>
      </c>
      <c r="D200" s="28">
        <v>90.209999084472656</v>
      </c>
      <c r="E200" s="28">
        <v>91.269996643066406</v>
      </c>
      <c r="F200" s="28">
        <v>87.986244201660156</v>
      </c>
      <c r="G200" s="28">
        <v>113122400</v>
      </c>
      <c r="H200" s="28" t="s">
        <v>22</v>
      </c>
    </row>
    <row r="201" spans="1:8" x14ac:dyDescent="0.25">
      <c r="A201" s="29">
        <v>45200</v>
      </c>
      <c r="B201" s="28">
        <v>91.050003051757813</v>
      </c>
      <c r="C201" s="28">
        <v>95.660003662109375</v>
      </c>
      <c r="D201" s="28">
        <v>89.209999084472656</v>
      </c>
      <c r="E201" s="28">
        <v>92.239997863769531</v>
      </c>
      <c r="F201" s="28">
        <v>88.921340942382813</v>
      </c>
      <c r="G201" s="28">
        <v>127987600</v>
      </c>
      <c r="H201" s="28" t="s">
        <v>22</v>
      </c>
    </row>
    <row r="202" spans="1:8" x14ac:dyDescent="0.25">
      <c r="A202" s="29">
        <v>45231</v>
      </c>
      <c r="B202" s="28">
        <v>91.830001831054688</v>
      </c>
      <c r="C202" s="28">
        <v>107.66000366210938</v>
      </c>
      <c r="D202" s="28">
        <v>90.550003051757813</v>
      </c>
      <c r="E202" s="28">
        <v>99.300003051757813</v>
      </c>
      <c r="F202" s="28">
        <v>95.727348327636719</v>
      </c>
      <c r="G202" s="28">
        <v>186212600</v>
      </c>
      <c r="H202" s="28" t="s">
        <v>22</v>
      </c>
    </row>
    <row r="203" spans="1:8" x14ac:dyDescent="0.25">
      <c r="A203" s="29">
        <v>45261</v>
      </c>
      <c r="B203" s="28">
        <v>98.5</v>
      </c>
      <c r="C203" s="28">
        <v>99.279998779296875</v>
      </c>
      <c r="D203" s="28">
        <v>94.339996337890625</v>
      </c>
      <c r="E203" s="28">
        <v>96.010002136230469</v>
      </c>
      <c r="F203" s="28">
        <v>93.064315795898438</v>
      </c>
      <c r="G203" s="28">
        <v>166005100</v>
      </c>
      <c r="H203" s="28" t="s">
        <v>22</v>
      </c>
    </row>
    <row r="204" spans="1:8" x14ac:dyDescent="0.25">
      <c r="A204" s="29">
        <v>45292</v>
      </c>
      <c r="B204" s="28">
        <v>95.449996948242188</v>
      </c>
      <c r="C204" s="28">
        <v>98.360000610351563</v>
      </c>
      <c r="D204" s="28">
        <v>91.400001525878906</v>
      </c>
      <c r="E204" s="28">
        <v>93.029998779296875</v>
      </c>
      <c r="F204" s="28">
        <v>90.175743103027344</v>
      </c>
      <c r="G204" s="28">
        <v>199092700</v>
      </c>
      <c r="H204" s="28" t="s">
        <v>22</v>
      </c>
    </row>
    <row r="205" spans="1:8" x14ac:dyDescent="0.25">
      <c r="A205" s="29">
        <v>45323</v>
      </c>
      <c r="B205" s="28">
        <v>93.099998474121094</v>
      </c>
      <c r="C205" s="28">
        <v>97.989997863769531</v>
      </c>
      <c r="D205" s="28">
        <v>91.669998168945313</v>
      </c>
      <c r="E205" s="28">
        <v>94.900001525878906</v>
      </c>
      <c r="F205" s="28">
        <v>91.988365173339844</v>
      </c>
      <c r="G205" s="28">
        <v>172416200</v>
      </c>
      <c r="H205" s="28" t="s">
        <v>22</v>
      </c>
    </row>
    <row r="206" spans="1:8" x14ac:dyDescent="0.25">
      <c r="A206" s="29">
        <v>45352</v>
      </c>
      <c r="B206" s="28">
        <v>94.449996948242188</v>
      </c>
      <c r="C206" s="28">
        <v>94.569999694824219</v>
      </c>
      <c r="D206" s="28">
        <v>90.05999755859375</v>
      </c>
      <c r="E206" s="28">
        <v>91.389999389648438</v>
      </c>
      <c r="F206" s="28">
        <v>89.119041442871094</v>
      </c>
      <c r="G206" s="28">
        <v>152263000</v>
      </c>
      <c r="H206" s="28" t="s">
        <v>22</v>
      </c>
    </row>
    <row r="207" spans="1:8" x14ac:dyDescent="0.25">
      <c r="A207" s="29">
        <v>45383</v>
      </c>
      <c r="B207" s="28">
        <v>91.819999694824219</v>
      </c>
      <c r="C207" s="28">
        <v>92.069999694824219</v>
      </c>
      <c r="D207" s="28">
        <v>84.290000915527344</v>
      </c>
      <c r="E207" s="28">
        <v>88.489997863769531</v>
      </c>
      <c r="F207" s="28">
        <v>86.291091918945313</v>
      </c>
      <c r="G207" s="28">
        <v>177976400</v>
      </c>
      <c r="H207" s="28" t="s">
        <v>22</v>
      </c>
    </row>
    <row r="208" spans="1:8" x14ac:dyDescent="0.25">
      <c r="A208" s="29">
        <v>45413</v>
      </c>
      <c r="B208" s="28">
        <v>75.819999694824219</v>
      </c>
      <c r="C208" s="28">
        <v>81.019996643066406</v>
      </c>
      <c r="D208" s="28">
        <v>71.800003051757813</v>
      </c>
      <c r="E208" s="28">
        <v>80.220001220703125</v>
      </c>
      <c r="F208" s="28">
        <v>78.226600646972656</v>
      </c>
      <c r="G208" s="28">
        <v>376779600</v>
      </c>
      <c r="H208" s="28" t="s">
        <v>22</v>
      </c>
    </row>
    <row r="209" spans="1:8" x14ac:dyDescent="0.25">
      <c r="A209" s="29">
        <v>45444</v>
      </c>
      <c r="B209" s="28">
        <v>79.680000305175781</v>
      </c>
      <c r="C209" s="28">
        <v>83.430000305175781</v>
      </c>
      <c r="D209" s="28">
        <v>77.610000610351563</v>
      </c>
      <c r="E209" s="28">
        <v>77.849998474121094</v>
      </c>
      <c r="F209" s="28">
        <v>76.491455078125</v>
      </c>
      <c r="G209" s="28">
        <v>217041000</v>
      </c>
      <c r="H209" s="28" t="s">
        <v>22</v>
      </c>
    </row>
    <row r="210" spans="1:8" x14ac:dyDescent="0.25">
      <c r="A210" s="29">
        <v>45474</v>
      </c>
      <c r="B210" s="28">
        <v>77.989997863769531</v>
      </c>
      <c r="C210" s="28">
        <v>81.239997863769531</v>
      </c>
      <c r="D210" s="28">
        <v>71.550003051757813</v>
      </c>
      <c r="E210" s="28">
        <v>77.949996948242188</v>
      </c>
      <c r="F210" s="28">
        <v>76.589706420898438</v>
      </c>
      <c r="G210" s="28">
        <v>280367200</v>
      </c>
      <c r="H210" s="28" t="s">
        <v>22</v>
      </c>
    </row>
    <row r="211" spans="1:8" x14ac:dyDescent="0.25">
      <c r="A211" s="29">
        <v>45505</v>
      </c>
      <c r="B211" s="28">
        <v>77.889999389648438</v>
      </c>
      <c r="C211" s="28">
        <v>98.720001220703125</v>
      </c>
      <c r="D211" s="28">
        <v>72.720001220703125</v>
      </c>
      <c r="E211" s="28">
        <v>94.569999694824219</v>
      </c>
      <c r="F211" s="28">
        <v>92.919677734375</v>
      </c>
      <c r="G211" s="28">
        <v>446264900</v>
      </c>
      <c r="H211" s="28" t="s">
        <v>22</v>
      </c>
    </row>
    <row r="212" spans="1:8" x14ac:dyDescent="0.25">
      <c r="A212" s="29">
        <v>45536</v>
      </c>
      <c r="B212" s="28">
        <v>94.129997253417969</v>
      </c>
      <c r="C212" s="28">
        <v>99.510002136230469</v>
      </c>
      <c r="D212" s="28">
        <v>90.180000305175781</v>
      </c>
      <c r="E212" s="28">
        <v>97.489997863769531</v>
      </c>
      <c r="F212" s="28">
        <v>96.367660522460938</v>
      </c>
      <c r="G212" s="28">
        <v>198220900</v>
      </c>
      <c r="H212" s="28" t="s">
        <v>22</v>
      </c>
    </row>
    <row r="213" spans="1:8" x14ac:dyDescent="0.25">
      <c r="A213" s="29">
        <v>45566</v>
      </c>
      <c r="B213" s="28">
        <v>97.489997863769531</v>
      </c>
      <c r="C213" s="28">
        <v>99.419998168945313</v>
      </c>
      <c r="D213" s="28">
        <v>93.69000244140625</v>
      </c>
      <c r="E213" s="28">
        <v>97.699996948242188</v>
      </c>
      <c r="F213" s="28">
        <v>96.575241088867188</v>
      </c>
      <c r="G213" s="28">
        <v>167959600</v>
      </c>
      <c r="H213" s="28" t="s">
        <v>22</v>
      </c>
    </row>
    <row r="214" spans="1:8" x14ac:dyDescent="0.25">
      <c r="A214" s="29">
        <v>45597</v>
      </c>
      <c r="B214" s="28">
        <v>97.599998474121094</v>
      </c>
      <c r="C214" s="28">
        <v>103.31999969482422</v>
      </c>
      <c r="D214" s="28">
        <v>94.779998779296875</v>
      </c>
      <c r="E214" s="28">
        <v>102.45999908447266</v>
      </c>
      <c r="F214" s="28">
        <v>101.28044891357422</v>
      </c>
      <c r="G214" s="28">
        <v>147157200</v>
      </c>
      <c r="H214" s="28" t="s">
        <v>22</v>
      </c>
    </row>
    <row r="215" spans="1:8" x14ac:dyDescent="0.25">
      <c r="A215" s="29">
        <v>45627</v>
      </c>
      <c r="B215" s="28">
        <v>102</v>
      </c>
      <c r="C215" s="28">
        <v>102.20999908447266</v>
      </c>
      <c r="D215" s="28">
        <v>86.300003051757813</v>
      </c>
      <c r="E215" s="28">
        <v>91.25</v>
      </c>
      <c r="F215" s="28">
        <v>90.757415771484375</v>
      </c>
      <c r="G215" s="28">
        <v>186520300</v>
      </c>
      <c r="H215" s="28" t="s">
        <v>22</v>
      </c>
    </row>
    <row r="216" spans="1:8" x14ac:dyDescent="0.25">
      <c r="A216" s="29">
        <v>45658</v>
      </c>
      <c r="B216" s="28">
        <v>91.550003051757813</v>
      </c>
      <c r="C216" s="28">
        <v>110.33999633789063</v>
      </c>
      <c r="D216" s="28">
        <v>91.379997253417969</v>
      </c>
      <c r="E216" s="28">
        <v>107.68000030517578</v>
      </c>
      <c r="F216" s="28">
        <v>107.09872436523438</v>
      </c>
      <c r="G216" s="28">
        <v>205256400</v>
      </c>
      <c r="H216" s="28" t="s">
        <v>22</v>
      </c>
    </row>
    <row r="217" spans="1:8" x14ac:dyDescent="0.25">
      <c r="A217" s="29">
        <v>45689</v>
      </c>
      <c r="B217" s="28">
        <v>105.72000122070313</v>
      </c>
      <c r="C217" s="28">
        <v>116.08999633789063</v>
      </c>
      <c r="D217" s="28">
        <v>105.51999664306641</v>
      </c>
      <c r="E217" s="28">
        <v>115.80999755859375</v>
      </c>
      <c r="F217" s="28">
        <v>115.18482971191406</v>
      </c>
      <c r="G217" s="28">
        <v>179696000</v>
      </c>
      <c r="H217" s="28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134F-101C-44D6-85E6-FC89BF3BE099}">
  <sheetPr codeName="Sheet3"/>
  <dimension ref="A1:D73"/>
  <sheetViews>
    <sheetView workbookViewId="0">
      <selection activeCell="D56" sqref="D56"/>
    </sheetView>
  </sheetViews>
  <sheetFormatPr defaultRowHeight="15" x14ac:dyDescent="0.25"/>
  <cols>
    <col min="1" max="1" width="10.140625" customWidth="1"/>
    <col min="2" max="2" width="9.85546875" customWidth="1"/>
    <col min="3" max="3" width="9.140625" customWidth="1"/>
  </cols>
  <sheetData>
    <row r="1" spans="1:4" x14ac:dyDescent="0.25">
      <c r="A1" s="28" t="s">
        <v>23</v>
      </c>
      <c r="B1" t="s">
        <v>20</v>
      </c>
      <c r="C1" t="s">
        <v>21</v>
      </c>
      <c r="D1" t="s">
        <v>22</v>
      </c>
    </row>
    <row r="2" spans="1:4" x14ac:dyDescent="0.25">
      <c r="A2" s="29">
        <v>43525</v>
      </c>
    </row>
    <row r="3" spans="1:4" x14ac:dyDescent="0.25">
      <c r="A3" s="29">
        <v>43556</v>
      </c>
      <c r="B3">
        <f>LN(Historical_Data!F3/Historical_Data!F2)</f>
        <v>8.1954683269438708E-2</v>
      </c>
      <c r="C3">
        <f>LN(Historical_Data!F75/Historical_Data!F74)</f>
        <v>7.9439632147295727E-2</v>
      </c>
      <c r="D3">
        <f>LN(Historical_Data!F147/Historical_Data!F146)</f>
        <v>4.3948785336373718E-2</v>
      </c>
    </row>
    <row r="4" spans="1:4" x14ac:dyDescent="0.25">
      <c r="A4" s="29">
        <v>43586</v>
      </c>
      <c r="B4">
        <f>LN(Historical_Data!F4/Historical_Data!F3)</f>
        <v>-6.5541639513248526E-2</v>
      </c>
      <c r="C4">
        <f>LN(Historical_Data!F76/Historical_Data!F75)</f>
        <v>-7.9942038135076797E-3</v>
      </c>
      <c r="D4">
        <f>LN(Historical_Data!F148/Historical_Data!F147)</f>
        <v>-2.107554681340966E-2</v>
      </c>
    </row>
    <row r="5" spans="1:4" x14ac:dyDescent="0.25">
      <c r="A5" s="29">
        <v>43617</v>
      </c>
      <c r="B5">
        <f>LN(Historical_Data!F5/Historical_Data!F4)</f>
        <v>8.4038464008924785E-2</v>
      </c>
      <c r="C5">
        <f>LN(Historical_Data!F77/Historical_Data!F76)</f>
        <v>0.10254740194346385</v>
      </c>
      <c r="D5">
        <f>LN(Historical_Data!F149/Historical_Data!F148)</f>
        <v>0.10189699784362651</v>
      </c>
    </row>
    <row r="6" spans="1:4" x14ac:dyDescent="0.25">
      <c r="A6" s="29">
        <v>43647</v>
      </c>
      <c r="B6">
        <f>LN(Historical_Data!F6/Historical_Data!F5)</f>
        <v>1.4186996729404096E-2</v>
      </c>
      <c r="C6">
        <f>LN(Historical_Data!F78/Historical_Data!F77)</f>
        <v>2.630712520099845E-3</v>
      </c>
      <c r="D6">
        <f>LN(Historical_Data!F150/Historical_Data!F149)</f>
        <v>0.12181740371921826</v>
      </c>
    </row>
    <row r="7" spans="1:4" x14ac:dyDescent="0.25">
      <c r="A7" s="29">
        <v>43678</v>
      </c>
      <c r="B7">
        <f>LN(Historical_Data!F7/Historical_Data!F6)</f>
        <v>-4.9206750640955872E-2</v>
      </c>
      <c r="C7">
        <f>LN(Historical_Data!F79/Historical_Data!F78)</f>
        <v>3.2312988193866875E-2</v>
      </c>
      <c r="D7">
        <f>LN(Historical_Data!F151/Historical_Data!F150)</f>
        <v>1.9556131885328922E-2</v>
      </c>
    </row>
    <row r="8" spans="1:4" x14ac:dyDescent="0.25">
      <c r="A8" s="29">
        <v>43709</v>
      </c>
      <c r="B8">
        <f>LN(Historical_Data!F8/Historical_Data!F7)</f>
        <v>-2.9462183825947751E-2</v>
      </c>
      <c r="C8">
        <f>LN(Historical_Data!F80/Historical_Data!F79)</f>
        <v>-8.1448072366890931E-2</v>
      </c>
      <c r="D8">
        <f>LN(Historical_Data!F152/Historical_Data!F151)</f>
        <v>-8.4283458635587449E-2</v>
      </c>
    </row>
    <row r="9" spans="1:4" x14ac:dyDescent="0.25">
      <c r="A9" s="29">
        <v>43739</v>
      </c>
      <c r="B9">
        <f>LN(Historical_Data!F9/Historical_Data!F8)</f>
        <v>6.0630042381965843E-3</v>
      </c>
      <c r="C9">
        <f>LN(Historical_Data!F81/Historical_Data!F80)</f>
        <v>0.15734865275205007</v>
      </c>
      <c r="D9">
        <f>LN(Historical_Data!F153/Historical_Data!F152)</f>
        <v>-4.4636515724352788E-2</v>
      </c>
    </row>
    <row r="10" spans="1:4" x14ac:dyDescent="0.25">
      <c r="A10" s="29">
        <v>43770</v>
      </c>
      <c r="B10">
        <f>LN(Historical_Data!F10/Historical_Data!F9)</f>
        <v>0.10768575694641766</v>
      </c>
      <c r="C10">
        <f>LN(Historical_Data!F82/Historical_Data!F81)</f>
        <v>0.14310087362159227</v>
      </c>
      <c r="D10">
        <f>LN(Historical_Data!F154/Historical_Data!F153)</f>
        <v>1.0235739013954494E-2</v>
      </c>
    </row>
    <row r="11" spans="1:4" x14ac:dyDescent="0.25">
      <c r="A11" s="29">
        <v>43800</v>
      </c>
      <c r="B11">
        <f>LN(Historical_Data!F11/Historical_Data!F10)</f>
        <v>6.346170965368747E-2</v>
      </c>
      <c r="C11">
        <f>LN(Historical_Data!F83/Historical_Data!F82)</f>
        <v>0.15819282932676937</v>
      </c>
      <c r="D11">
        <f>LN(Historical_Data!F155/Historical_Data!F154)</f>
        <v>3.3716482876409659E-2</v>
      </c>
    </row>
    <row r="12" spans="1:4" x14ac:dyDescent="0.25">
      <c r="A12" s="29">
        <v>43831</v>
      </c>
      <c r="B12">
        <f>LN(Historical_Data!F12/Historical_Data!F11)</f>
        <v>6.2668322387598119E-2</v>
      </c>
      <c r="C12">
        <f>LN(Historical_Data!F84/Historical_Data!F83)</f>
        <v>2.4554310971282366E-2</v>
      </c>
      <c r="D12">
        <f>LN(Historical_Data!F156/Historical_Data!F155)</f>
        <v>-3.5777945402887715E-2</v>
      </c>
    </row>
    <row r="13" spans="1:4" x14ac:dyDescent="0.25">
      <c r="A13" s="29">
        <v>43862</v>
      </c>
      <c r="B13">
        <f>LN(Historical_Data!F13/Historical_Data!F12)</f>
        <v>-1.7292877565175044E-2</v>
      </c>
      <c r="C13">
        <f>LN(Historical_Data!F85/Historical_Data!F84)</f>
        <v>-3.2874942892887643E-2</v>
      </c>
      <c r="D13">
        <f>LN(Historical_Data!F157/Historical_Data!F156)</f>
        <v>-7.8442960058619601E-2</v>
      </c>
    </row>
    <row r="14" spans="1:4" x14ac:dyDescent="0.25">
      <c r="A14" s="29">
        <v>43891</v>
      </c>
      <c r="B14">
        <f>LN(Historical_Data!F14/Historical_Data!F13)</f>
        <v>-8.108638407337905E-2</v>
      </c>
      <c r="C14">
        <f>LN(Historical_Data!F86/Historical_Data!F85)</f>
        <v>0</v>
      </c>
      <c r="D14">
        <f>LN(Historical_Data!F158/Historical_Data!F157)</f>
        <v>-0.17184908701186699</v>
      </c>
    </row>
    <row r="15" spans="1:4" x14ac:dyDescent="0.25">
      <c r="A15" s="29">
        <v>43922</v>
      </c>
      <c r="B15">
        <f>LN(Historical_Data!F15/Historical_Data!F14)</f>
        <v>0.10547370354018525</v>
      </c>
      <c r="C15">
        <f>LN(Historical_Data!F87/Historical_Data!F86)</f>
        <v>0.14144306295280348</v>
      </c>
      <c r="D15">
        <f>LN(Historical_Data!F159/Historical_Data!F158)</f>
        <v>0.15458544160121493</v>
      </c>
    </row>
    <row r="16" spans="1:4" x14ac:dyDescent="0.25">
      <c r="A16" s="29">
        <v>43952</v>
      </c>
      <c r="B16">
        <f>LN(Historical_Data!F16/Historical_Data!F15)</f>
        <v>8.9111094602412816E-2</v>
      </c>
      <c r="C16">
        <f>LN(Historical_Data!F88/Historical_Data!F87)</f>
        <v>2.6557731216733417E-2</v>
      </c>
      <c r="D16">
        <f>LN(Historical_Data!F160/Historical_Data!F159)</f>
        <v>1.6287731927844877E-2</v>
      </c>
    </row>
    <row r="17" spans="1:4" x14ac:dyDescent="0.25">
      <c r="A17" s="29">
        <v>43983</v>
      </c>
      <c r="B17">
        <f>LN(Historical_Data!F17/Historical_Data!F16)</f>
        <v>0.11866783278657793</v>
      </c>
      <c r="C17">
        <f>LN(Historical_Data!F89/Historical_Data!F88)</f>
        <v>-2.2367225642555871E-2</v>
      </c>
      <c r="D17">
        <f>LN(Historical_Data!F161/Historical_Data!F160)</f>
        <v>-5.2436194418033946E-2</v>
      </c>
    </row>
    <row r="18" spans="1:4" x14ac:dyDescent="0.25">
      <c r="A18" s="29">
        <v>44013</v>
      </c>
      <c r="B18">
        <f>LN(Historical_Data!F18/Historical_Data!F17)</f>
        <v>2.0486624694112596E-2</v>
      </c>
      <c r="C18">
        <f>LN(Historical_Data!F90/Historical_Data!F89)</f>
        <v>0.386468078995792</v>
      </c>
      <c r="D18">
        <f>LN(Historical_Data!F162/Historical_Data!F161)</f>
        <v>3.9173855916534675E-2</v>
      </c>
    </row>
    <row r="19" spans="1:4" x14ac:dyDescent="0.25">
      <c r="A19" s="29">
        <v>44044</v>
      </c>
      <c r="B19">
        <f>LN(Historical_Data!F19/Historical_Data!F18)</f>
        <v>0.14449077874764021</v>
      </c>
      <c r="C19">
        <f>LN(Historical_Data!F91/Historical_Data!F90)</f>
        <v>0.15950521596963432</v>
      </c>
      <c r="D19">
        <f>LN(Historical_Data!F163/Historical_Data!F162)</f>
        <v>9.8713685214797869E-2</v>
      </c>
    </row>
    <row r="20" spans="1:4" x14ac:dyDescent="0.25">
      <c r="A20" s="29">
        <v>44075</v>
      </c>
      <c r="B20">
        <f>LN(Historical_Data!F20/Historical_Data!F19)</f>
        <v>-4.5753276422215147E-2</v>
      </c>
      <c r="C20">
        <f>LN(Historical_Data!F92/Historical_Data!F91)</f>
        <v>-0.10228225975626093</v>
      </c>
      <c r="D20">
        <f>LN(Historical_Data!F164/Historical_Data!F163)</f>
        <v>2.2444989468516655E-2</v>
      </c>
    </row>
    <row r="21" spans="1:4" x14ac:dyDescent="0.25">
      <c r="A21" s="29">
        <v>44105</v>
      </c>
      <c r="B21">
        <f>LN(Historical_Data!F21/Historical_Data!F20)</f>
        <v>-9.2500245476743764E-2</v>
      </c>
      <c r="C21">
        <f>LN(Historical_Data!F93/Historical_Data!F92)</f>
        <v>-8.524992653127407E-2</v>
      </c>
      <c r="D21">
        <f>LN(Historical_Data!F165/Historical_Data!F164)</f>
        <v>1.2031554743644502E-2</v>
      </c>
    </row>
    <row r="22" spans="1:4" x14ac:dyDescent="0.25">
      <c r="A22" s="29">
        <v>44136</v>
      </c>
      <c r="B22">
        <f>LN(Historical_Data!F22/Historical_Data!F21)</f>
        <v>6.7811218662757924E-2</v>
      </c>
      <c r="C22">
        <f>LN(Historical_Data!F94/Historical_Data!F93)</f>
        <v>0.2075895834884674</v>
      </c>
      <c r="D22">
        <f>LN(Historical_Data!F166/Historical_Data!F165)</f>
        <v>0.11972351251040644</v>
      </c>
    </row>
    <row r="23" spans="1:4" x14ac:dyDescent="0.25">
      <c r="A23" s="29">
        <v>44166</v>
      </c>
      <c r="B23">
        <f>LN(Historical_Data!F23/Historical_Data!F22)</f>
        <v>4.4254544309481052E-2</v>
      </c>
      <c r="C23">
        <f>LN(Historical_Data!F95/Historical_Data!F94)</f>
        <v>-1.0305504922509872E-2</v>
      </c>
      <c r="D23">
        <f>LN(Historical_Data!F167/Historical_Data!F166)</f>
        <v>9.2174769055970995E-2</v>
      </c>
    </row>
    <row r="24" spans="1:4" x14ac:dyDescent="0.25">
      <c r="A24" s="29">
        <v>44197</v>
      </c>
      <c r="B24">
        <f>LN(Historical_Data!F24/Historical_Data!F23)</f>
        <v>-8.6299088662157034E-2</v>
      </c>
      <c r="C24">
        <f>LN(Historical_Data!F96/Historical_Data!F95)</f>
        <v>-6.8478957993463763E-2</v>
      </c>
      <c r="D24">
        <f>LN(Historical_Data!F168/Historical_Data!F167)</f>
        <v>-9.9891816061214792E-2</v>
      </c>
    </row>
    <row r="25" spans="1:4" x14ac:dyDescent="0.25">
      <c r="A25" s="29">
        <v>44228</v>
      </c>
      <c r="B25">
        <f>LN(Historical_Data!F25/Historical_Data!F24)</f>
        <v>1.959898740839057E-3</v>
      </c>
      <c r="C25">
        <f>LN(Historical_Data!F97/Historical_Data!F96)</f>
        <v>-1.328256076030397E-2</v>
      </c>
      <c r="D25">
        <f>LN(Historical_Data!F169/Historical_Data!F168)</f>
        <v>0.10965880317862364</v>
      </c>
    </row>
    <row r="26" spans="1:4" x14ac:dyDescent="0.25">
      <c r="A26" s="29">
        <v>44256</v>
      </c>
      <c r="B26">
        <f>LN(Historical_Data!F26/Historical_Data!F25)</f>
        <v>3.3584567967210051E-2</v>
      </c>
      <c r="C26">
        <f>LN(Historical_Data!F98/Historical_Data!F97)</f>
        <v>-7.3771271045870376E-2</v>
      </c>
      <c r="D26">
        <f>LN(Historical_Data!F170/Historical_Data!F169)</f>
        <v>1.5661143002008764E-2</v>
      </c>
    </row>
    <row r="27" spans="1:4" x14ac:dyDescent="0.25">
      <c r="A27" s="29">
        <v>44287</v>
      </c>
      <c r="B27">
        <f>LN(Historical_Data!F27/Historical_Data!F26)</f>
        <v>6.7057069928038796E-2</v>
      </c>
      <c r="C27">
        <f>LN(Historical_Data!F99/Historical_Data!F98)</f>
        <v>3.8975738840142098E-2</v>
      </c>
      <c r="D27">
        <f>LN(Historical_Data!F171/Historical_Data!F170)</f>
        <v>4.6665595299232476E-2</v>
      </c>
    </row>
    <row r="28" spans="1:4" x14ac:dyDescent="0.25">
      <c r="A28" s="29">
        <v>44317</v>
      </c>
      <c r="B28">
        <f>LN(Historical_Data!F28/Historical_Data!F27)</f>
        <v>-7.4241343824342698E-3</v>
      </c>
      <c r="C28">
        <f>LN(Historical_Data!F100/Historical_Data!F99)</f>
        <v>-1.9048205756221633E-2</v>
      </c>
      <c r="D28">
        <f>LN(Historical_Data!F172/Historical_Data!F171)</f>
        <v>-5.3420860076451408E-3</v>
      </c>
    </row>
    <row r="29" spans="1:4" x14ac:dyDescent="0.25">
      <c r="A29" s="29">
        <v>44348</v>
      </c>
      <c r="B29">
        <f>LN(Historical_Data!F29/Historical_Data!F28)</f>
        <v>0.1489789178829673</v>
      </c>
      <c r="C29">
        <f>LN(Historical_Data!F101/Historical_Data!F100)</f>
        <v>0.15952366938311119</v>
      </c>
      <c r="D29">
        <f>LN(Historical_Data!F173/Historical_Data!F172)</f>
        <v>-1.4373568764811254E-2</v>
      </c>
    </row>
    <row r="30" spans="1:4" x14ac:dyDescent="0.25">
      <c r="A30" s="29">
        <v>44378</v>
      </c>
      <c r="B30">
        <f>LN(Historical_Data!F30/Historical_Data!F29)</f>
        <v>5.9639776953973302E-2</v>
      </c>
      <c r="C30">
        <f>LN(Historical_Data!F102/Historical_Data!F101)</f>
        <v>0.12268013815128387</v>
      </c>
      <c r="D30">
        <f>LN(Historical_Data!F174/Historical_Data!F173)</f>
        <v>8.2537031946793391E-2</v>
      </c>
    </row>
    <row r="31" spans="1:4" x14ac:dyDescent="0.25">
      <c r="A31" s="29">
        <v>44409</v>
      </c>
      <c r="B31">
        <f>LN(Historical_Data!F31/Historical_Data!F30)</f>
        <v>6.548519025231786E-2</v>
      </c>
      <c r="C31">
        <f>LN(Historical_Data!F103/Historical_Data!F102)</f>
        <v>4.1774537487817738E-2</v>
      </c>
      <c r="D31">
        <f>LN(Historical_Data!F175/Historical_Data!F174)</f>
        <v>-3.2984751957037782E-2</v>
      </c>
    </row>
    <row r="32" spans="1:4" x14ac:dyDescent="0.25">
      <c r="A32" s="29">
        <v>44440</v>
      </c>
      <c r="B32">
        <f>LN(Historical_Data!F32/Historical_Data!F31)</f>
        <v>-0.14220887803717061</v>
      </c>
      <c r="C32">
        <f>LN(Historical_Data!F104/Historical_Data!F103)</f>
        <v>-7.3246845225737031E-2</v>
      </c>
      <c r="D32">
        <f>LN(Historical_Data!F176/Historical_Data!F175)</f>
        <v>-5.9184768971914582E-2</v>
      </c>
    </row>
    <row r="33" spans="1:4" x14ac:dyDescent="0.25">
      <c r="A33" s="29">
        <v>44470</v>
      </c>
      <c r="B33">
        <f>LN(Historical_Data!F33/Historical_Data!F32)</f>
        <v>0.12190465269666934</v>
      </c>
      <c r="C33">
        <f>LN(Historical_Data!F105/Historical_Data!F104)</f>
        <v>0.15564894523898995</v>
      </c>
      <c r="D33">
        <f>LN(Historical_Data!F177/Historical_Data!F176)</f>
        <v>-3.9195543286301378E-2</v>
      </c>
    </row>
    <row r="34" spans="1:4" x14ac:dyDescent="0.25">
      <c r="A34" s="29">
        <v>44501</v>
      </c>
      <c r="B34">
        <f>LN(Historical_Data!F34/Historical_Data!F33)</f>
        <v>2.9527737072164266E-2</v>
      </c>
      <c r="C34">
        <f>LN(Historical_Data!F106/Historical_Data!F105)</f>
        <v>0.27552743376420941</v>
      </c>
      <c r="D34">
        <f>LN(Historical_Data!F178/Historical_Data!F177)</f>
        <v>3.3103191450706185E-2</v>
      </c>
    </row>
    <row r="35" spans="1:4" x14ac:dyDescent="0.25">
      <c r="A35" s="29">
        <v>44531</v>
      </c>
      <c r="B35">
        <f>LN(Historical_Data!F35/Historical_Data!F34)</f>
        <v>-0.16658865634629094</v>
      </c>
      <c r="C35">
        <f>LN(Historical_Data!F107/Historical_Data!F106)</f>
        <v>-9.5815465193616986E-2</v>
      </c>
      <c r="D35">
        <f>LN(Historical_Data!F179/Historical_Data!F178)</f>
        <v>6.9017875645080898E-2</v>
      </c>
    </row>
    <row r="36" spans="1:4" x14ac:dyDescent="0.25">
      <c r="A36" s="29">
        <v>44562</v>
      </c>
      <c r="B36">
        <f>LN(Historical_Data!F36/Historical_Data!F35)</f>
        <v>-5.9507657812692592E-2</v>
      </c>
      <c r="C36">
        <f>LN(Historical_Data!F108/Historical_Data!F107)</f>
        <v>-0.2307295417040271</v>
      </c>
      <c r="D36">
        <f>LN(Historical_Data!F180/Historical_Data!F179)</f>
        <v>-0.17369019719016451</v>
      </c>
    </row>
    <row r="37" spans="1:4" x14ac:dyDescent="0.25">
      <c r="A37" s="29">
        <v>44593</v>
      </c>
      <c r="B37">
        <f>LN(Historical_Data!F37/Historical_Data!F36)</f>
        <v>-0.1331731704147642</v>
      </c>
      <c r="C37">
        <f>LN(Historical_Data!F109/Historical_Data!F108)</f>
        <v>7.6555710097858359E-2</v>
      </c>
      <c r="D37">
        <f>LN(Historical_Data!F181/Historical_Data!F180)</f>
        <v>-6.8723883979169023E-2</v>
      </c>
    </row>
    <row r="38" spans="1:4" x14ac:dyDescent="0.25">
      <c r="A38" s="29">
        <v>44621</v>
      </c>
      <c r="B38">
        <f>LN(Historical_Data!F38/Historical_Data!F37)</f>
        <v>-2.6125167653231647E-2</v>
      </c>
      <c r="C38">
        <f>LN(Historical_Data!F110/Historical_Data!F109)</f>
        <v>-0.12048247989818042</v>
      </c>
      <c r="D38">
        <f>LN(Historical_Data!F182/Historical_Data!F181)</f>
        <v>-3.916269383609239E-3</v>
      </c>
    </row>
    <row r="39" spans="1:4" x14ac:dyDescent="0.25">
      <c r="A39" s="29">
        <v>44652</v>
      </c>
      <c r="B39">
        <f>LN(Historical_Data!F39/Historical_Data!F38)</f>
        <v>-0.14037114656280564</v>
      </c>
      <c r="C39">
        <f>LN(Historical_Data!F111/Historical_Data!F110)</f>
        <v>-0.24571203251040222</v>
      </c>
      <c r="D39">
        <f>LN(Historical_Data!F183/Historical_Data!F182)</f>
        <v>-0.19785303864378079</v>
      </c>
    </row>
    <row r="40" spans="1:4" x14ac:dyDescent="0.25">
      <c r="A40" s="29">
        <v>44682</v>
      </c>
      <c r="B40">
        <f>LN(Historical_Data!F40/Historical_Data!F39)</f>
        <v>5.0550496139110099E-2</v>
      </c>
      <c r="C40">
        <f>LN(Historical_Data!F112/Historical_Data!F111)</f>
        <v>0.174849099984932</v>
      </c>
      <c r="D40">
        <f>LN(Historical_Data!F184/Historical_Data!F183)</f>
        <v>5.0422010161005025E-2</v>
      </c>
    </row>
    <row r="41" spans="1:4" x14ac:dyDescent="0.25">
      <c r="A41" s="29">
        <v>44713</v>
      </c>
      <c r="B41">
        <f>LN(Historical_Data!F41/Historical_Data!F40)</f>
        <v>-0.12904121990285972</v>
      </c>
      <c r="C41">
        <f>LN(Historical_Data!F113/Historical_Data!F112)</f>
        <v>-0.28670080442922447</v>
      </c>
      <c r="D41">
        <f>LN(Historical_Data!F185/Historical_Data!F184)</f>
        <v>-2.0228290925706841E-2</v>
      </c>
    </row>
    <row r="42" spans="1:4" x14ac:dyDescent="0.25">
      <c r="A42" s="29">
        <v>44743</v>
      </c>
      <c r="B42">
        <f>LN(Historical_Data!F42/Historical_Data!F41)</f>
        <v>0.11365254017367578</v>
      </c>
      <c r="C42">
        <f>LN(Historical_Data!F114/Historical_Data!F113)</f>
        <v>0.211383813683341</v>
      </c>
      <c r="D42">
        <f>LN(Historical_Data!F186/Historical_Data!F185)</f>
        <v>0.10420784029535358</v>
      </c>
    </row>
    <row r="43" spans="1:4" x14ac:dyDescent="0.25">
      <c r="A43" s="29">
        <v>44774</v>
      </c>
      <c r="B43">
        <f>LN(Historical_Data!F43/Historical_Data!F42)</f>
        <v>-9.3692432260272018E-2</v>
      </c>
      <c r="C43">
        <f>LN(Historical_Data!F115/Historical_Data!F114)</f>
        <v>-0.10716163035882841</v>
      </c>
      <c r="D43">
        <f>LN(Historical_Data!F187/Historical_Data!F186)</f>
        <v>-8.4098174272674714E-3</v>
      </c>
    </row>
    <row r="44" spans="1:4" x14ac:dyDescent="0.25">
      <c r="A44" s="29">
        <v>44805</v>
      </c>
      <c r="B44">
        <f>LN(Historical_Data!F44/Historical_Data!F43)</f>
        <v>-0.30525920521967165</v>
      </c>
      <c r="C44">
        <f>LN(Historical_Data!F116/Historical_Data!F115)</f>
        <v>-0.29228794920456563</v>
      </c>
      <c r="D44">
        <f>LN(Historical_Data!F188/Historical_Data!F187)</f>
        <v>7.9389621151840107E-3</v>
      </c>
    </row>
    <row r="45" spans="1:4" x14ac:dyDescent="0.25">
      <c r="A45" s="29">
        <v>44835</v>
      </c>
      <c r="B45">
        <f>LN(Historical_Data!F45/Historical_Data!F44)</f>
        <v>0.1461243245960854</v>
      </c>
      <c r="C45">
        <f>LN(Historical_Data!F117/Historical_Data!F116)</f>
        <v>-5.3488671718742012E-2</v>
      </c>
      <c r="D45">
        <f>LN(Historical_Data!F189/Historical_Data!F188)</f>
        <v>2.7277006030176836E-2</v>
      </c>
    </row>
    <row r="46" spans="1:4" x14ac:dyDescent="0.25">
      <c r="A46" s="29">
        <v>44866</v>
      </c>
      <c r="B46">
        <f>LN(Historical_Data!F46/Historical_Data!F45)</f>
        <v>7.9719001647793303E-2</v>
      </c>
      <c r="C46">
        <f>LN(Historical_Data!F118/Historical_Data!F117)</f>
        <v>0.25660982961666567</v>
      </c>
      <c r="D46">
        <f>LN(Historical_Data!F190/Historical_Data!F189)</f>
        <v>0.16574747976078302</v>
      </c>
    </row>
    <row r="47" spans="1:4" x14ac:dyDescent="0.25">
      <c r="A47" s="29">
        <v>44896</v>
      </c>
      <c r="B47">
        <f>LN(Historical_Data!F47/Historical_Data!F46)</f>
        <v>-2.4654182130386448E-2</v>
      </c>
      <c r="C47">
        <f>LN(Historical_Data!F119/Historical_Data!F118)</f>
        <v>-0.18111143367086907</v>
      </c>
      <c r="D47">
        <f>LN(Historical_Data!F191/Historical_Data!F190)</f>
        <v>-2.406303375736259E-2</v>
      </c>
    </row>
    <row r="48" spans="1:4" x14ac:dyDescent="0.25">
      <c r="A48" s="29">
        <v>44927</v>
      </c>
      <c r="B48">
        <f>LN(Historical_Data!F48/Historical_Data!F47)</f>
        <v>9.573419819153875E-2</v>
      </c>
      <c r="C48">
        <f>LN(Historical_Data!F120/Historical_Data!F119)</f>
        <v>0.1486436551371276</v>
      </c>
      <c r="D48">
        <f>LN(Historical_Data!F192/Historical_Data!F191)</f>
        <v>9.5493293214610253E-2</v>
      </c>
    </row>
    <row r="49" spans="1:4" x14ac:dyDescent="0.25">
      <c r="A49" s="29">
        <v>44958</v>
      </c>
      <c r="B49">
        <f>LN(Historical_Data!F49/Historical_Data!F48)</f>
        <v>-0.13383227214336069</v>
      </c>
      <c r="C49">
        <f>LN(Historical_Data!F121/Historical_Data!F120)</f>
        <v>4.4631100928677288E-2</v>
      </c>
      <c r="D49">
        <f>LN(Historical_Data!F193/Historical_Data!F192)</f>
        <v>-6.677667765335378E-2</v>
      </c>
    </row>
    <row r="50" spans="1:4" x14ac:dyDescent="0.25">
      <c r="A50" s="29">
        <v>44986</v>
      </c>
      <c r="B50">
        <f>LN(Historical_Data!F50/Historical_Data!F49)</f>
        <v>0.17361467849828216</v>
      </c>
      <c r="C50">
        <f>LN(Historical_Data!F122/Historical_Data!F121)</f>
        <v>0.22095229864503038</v>
      </c>
      <c r="D50">
        <f>LN(Historical_Data!F194/Historical_Data!F193)</f>
        <v>2.4783741259080956E-2</v>
      </c>
    </row>
    <row r="51" spans="1:4" x14ac:dyDescent="0.25">
      <c r="A51" s="29">
        <v>45017</v>
      </c>
      <c r="B51">
        <f>LN(Historical_Data!F51/Historical_Data!F50)</f>
        <v>-2.0474409085615056E-2</v>
      </c>
      <c r="C51">
        <f>LN(Historical_Data!F123/Historical_Data!F122)</f>
        <v>-9.228444995112707E-2</v>
      </c>
      <c r="D51">
        <f>LN(Historical_Data!F195/Historical_Data!F194)</f>
        <v>9.3099030129180235E-2</v>
      </c>
    </row>
    <row r="52" spans="1:4" x14ac:dyDescent="0.25">
      <c r="A52" s="29">
        <v>45047</v>
      </c>
      <c r="B52">
        <f>LN(Historical_Data!F52/Historical_Data!F51)</f>
        <v>0.10124944440114315</v>
      </c>
      <c r="C52">
        <f>LN(Historical_Data!F124/Historical_Data!F123)</f>
        <v>0.27967760989135543</v>
      </c>
      <c r="D52">
        <f>LN(Historical_Data!F196/Historical_Data!F195)</f>
        <v>-0.15745200731829651</v>
      </c>
    </row>
    <row r="53" spans="1:4" x14ac:dyDescent="0.25">
      <c r="A53" s="29">
        <v>45078</v>
      </c>
      <c r="B53">
        <f>LN(Historical_Data!F53/Historical_Data!F52)</f>
        <v>0.15736308500539456</v>
      </c>
      <c r="C53">
        <f>LN(Historical_Data!F125/Historical_Data!F124)</f>
        <v>-3.7054000956395126E-2</v>
      </c>
      <c r="D53">
        <f>LN(Historical_Data!F197/Historical_Data!F196)</f>
        <v>1.9405567298986619E-2</v>
      </c>
    </row>
    <row r="54" spans="1:4" x14ac:dyDescent="0.25">
      <c r="A54" s="29">
        <v>45108</v>
      </c>
      <c r="B54">
        <f>LN(Historical_Data!F54/Historical_Data!F53)</f>
        <v>0.11058823190790837</v>
      </c>
      <c r="C54">
        <f>LN(Historical_Data!F126/Historical_Data!F125)</f>
        <v>4.2923972228323358E-3</v>
      </c>
      <c r="D54">
        <f>LN(Historical_Data!F198/Historical_Data!F197)</f>
        <v>2.5022496105925034E-2</v>
      </c>
    </row>
    <row r="55" spans="1:4" x14ac:dyDescent="0.25">
      <c r="A55" s="29">
        <v>45139</v>
      </c>
      <c r="B55">
        <f>LN(Historical_Data!F55/Historical_Data!F54)</f>
        <v>2.3827313947007552E-2</v>
      </c>
      <c r="C55">
        <f>LN(Historical_Data!F127/Historical_Data!F126)</f>
        <v>-7.8906991001143775E-2</v>
      </c>
      <c r="D55">
        <f>LN(Historical_Data!F199/Historical_Data!F198)</f>
        <v>-4.1511390718224024E-2</v>
      </c>
    </row>
    <row r="56" spans="1:4" x14ac:dyDescent="0.25">
      <c r="A56" s="29">
        <v>45170</v>
      </c>
      <c r="B56">
        <f>LN(Historical_Data!F56/Historical_Data!F55)</f>
        <v>-9.2542949160838231E-2</v>
      </c>
      <c r="C56">
        <f>LN(Historical_Data!F128/Historical_Data!F127)</f>
        <v>-2.7814217623355925E-2</v>
      </c>
      <c r="D56">
        <f>LN(Historical_Data!F200/Historical_Data!F199)</f>
        <v>-6.0096436527872728E-2</v>
      </c>
    </row>
    <row r="57" spans="1:4" x14ac:dyDescent="0.25">
      <c r="A57" s="29">
        <v>45200</v>
      </c>
      <c r="B57">
        <f>LN(Historical_Data!F57/Historical_Data!F56)</f>
        <v>4.2541644257447914E-2</v>
      </c>
      <c r="C57">
        <f>LN(Historical_Data!F129/Historical_Data!F128)</f>
        <v>-4.2923335481256812E-2</v>
      </c>
      <c r="D57">
        <f>LN(Historical_Data!F201/Historical_Data!F200)</f>
        <v>1.0571682936603315E-2</v>
      </c>
    </row>
    <row r="58" spans="1:4" x14ac:dyDescent="0.25">
      <c r="A58" s="29">
        <v>45231</v>
      </c>
      <c r="B58">
        <f>LN(Historical_Data!F58/Historical_Data!F57)</f>
        <v>0.1383570812839999</v>
      </c>
      <c r="C58">
        <f>LN(Historical_Data!F130/Historical_Data!F129)</f>
        <v>0.20705546820639223</v>
      </c>
      <c r="D58">
        <f>LN(Historical_Data!F202/Historical_Data!F201)</f>
        <v>7.3751859776703066E-2</v>
      </c>
    </row>
    <row r="59" spans="1:4" x14ac:dyDescent="0.25">
      <c r="A59" s="29">
        <v>45261</v>
      </c>
      <c r="B59">
        <f>LN(Historical_Data!F59/Historical_Data!F58)</f>
        <v>-2.3866510473881213E-2</v>
      </c>
      <c r="C59">
        <f>LN(Historical_Data!F131/Historical_Data!F130)</f>
        <v>0.19610582851776984</v>
      </c>
      <c r="D59">
        <f>LN(Historical_Data!F203/Historical_Data!F202)</f>
        <v>-2.8213207254342999E-2</v>
      </c>
    </row>
    <row r="60" spans="1:4" x14ac:dyDescent="0.25">
      <c r="A60" s="29">
        <v>45292</v>
      </c>
      <c r="B60">
        <f>LN(Historical_Data!F60/Historical_Data!F59)</f>
        <v>3.4885623288416739E-2</v>
      </c>
      <c r="C60">
        <f>LN(Historical_Data!F132/Historical_Data!F131)</f>
        <v>0.12889920641585784</v>
      </c>
      <c r="D60">
        <f>LN(Historical_Data!F204/Historical_Data!F203)</f>
        <v>-3.1530354395927974E-2</v>
      </c>
    </row>
    <row r="61" spans="1:4" x14ac:dyDescent="0.25">
      <c r="A61" s="29">
        <v>45323</v>
      </c>
      <c r="B61">
        <f>LN(Historical_Data!F61/Historical_Data!F60)</f>
        <v>-9.7695743386520664E-2</v>
      </c>
      <c r="C61">
        <f>LN(Historical_Data!F133/Historical_Data!F132)</f>
        <v>0.13813492808285424</v>
      </c>
      <c r="D61">
        <f>LN(Historical_Data!F205/Historical_Data!F204)</f>
        <v>1.9901636112014041E-2</v>
      </c>
    </row>
    <row r="62" spans="1:4" x14ac:dyDescent="0.25">
      <c r="A62" s="29">
        <v>45352</v>
      </c>
      <c r="B62">
        <f>LN(Historical_Data!F62/Historical_Data!F61)</f>
        <v>-0.10467066275784032</v>
      </c>
      <c r="C62">
        <f>LN(Historical_Data!F134/Historical_Data!F133)</f>
        <v>-6.4576574390032698E-2</v>
      </c>
      <c r="D62">
        <f>LN(Historical_Data!F206/Historical_Data!F205)</f>
        <v>-3.1689083225911692E-2</v>
      </c>
    </row>
    <row r="63" spans="1:4" x14ac:dyDescent="0.25">
      <c r="A63" s="29">
        <v>45383</v>
      </c>
      <c r="B63">
        <f>LN(Historical_Data!F63/Historical_Data!F62)</f>
        <v>-8.6406261278701366E-2</v>
      </c>
      <c r="C63">
        <f>LN(Historical_Data!F135/Historical_Data!F134)</f>
        <v>-0.13067816539888941</v>
      </c>
      <c r="D63">
        <f>LN(Historical_Data!F207/Historical_Data!F206)</f>
        <v>-3.2246649817111638E-2</v>
      </c>
    </row>
    <row r="64" spans="1:4" x14ac:dyDescent="0.25">
      <c r="A64" s="29">
        <v>45413</v>
      </c>
      <c r="B64">
        <f>LN(Historical_Data!F64/Historical_Data!F63)</f>
        <v>-3.982495423189128E-2</v>
      </c>
      <c r="C64">
        <f>LN(Historical_Data!F136/Historical_Data!F135)</f>
        <v>5.2397554485897661E-2</v>
      </c>
      <c r="D64">
        <f>LN(Historical_Data!F208/Historical_Data!F207)</f>
        <v>-9.8116619066029587E-2</v>
      </c>
    </row>
    <row r="65" spans="1:4" x14ac:dyDescent="0.25">
      <c r="A65" s="29">
        <v>45444</v>
      </c>
      <c r="B65">
        <f>LN(Historical_Data!F65/Historical_Data!F64)</f>
        <v>0.22240574134400626</v>
      </c>
      <c r="C65">
        <f>LN(Historical_Data!F137/Historical_Data!F136)</f>
        <v>-2.8502960645899543E-2</v>
      </c>
      <c r="D65">
        <f>LN(Historical_Data!F209/Historical_Data!F208)</f>
        <v>-2.2430715166770913E-2</v>
      </c>
    </row>
    <row r="66" spans="1:4" x14ac:dyDescent="0.25">
      <c r="A66" s="29">
        <v>45474</v>
      </c>
      <c r="B66">
        <f>LN(Historical_Data!F66/Historical_Data!F65)</f>
        <v>-7.0267426733719449E-3</v>
      </c>
      <c r="C66">
        <f>LN(Historical_Data!F138/Historical_Data!F137)</f>
        <v>-0.11575077335461502</v>
      </c>
      <c r="D66">
        <f>LN(Historical_Data!F210/Historical_Data!F209)</f>
        <v>1.2836505197966104E-3</v>
      </c>
    </row>
    <row r="67" spans="1:4" x14ac:dyDescent="0.25">
      <c r="A67" s="29">
        <v>45505</v>
      </c>
      <c r="B67">
        <f>LN(Historical_Data!F67/Historical_Data!F66)</f>
        <v>4.0429548837337181E-2</v>
      </c>
      <c r="C67">
        <f>LN(Historical_Data!F139/Historical_Data!F138)</f>
        <v>2.7847840513265731E-2</v>
      </c>
      <c r="D67">
        <f>LN(Historical_Data!F211/Historical_Data!F210)</f>
        <v>0.19327275290261686</v>
      </c>
    </row>
    <row r="68" spans="1:4" x14ac:dyDescent="0.25">
      <c r="A68" s="29">
        <v>45536</v>
      </c>
      <c r="B68">
        <f>LN(Historical_Data!F68/Historical_Data!F67)</f>
        <v>-0.10379288209862778</v>
      </c>
      <c r="C68">
        <f>LN(Historical_Data!F140/Historical_Data!F139)</f>
        <v>9.9365224313004943E-2</v>
      </c>
      <c r="D68">
        <f>LN(Historical_Data!F212/Historical_Data!F211)</f>
        <v>3.6435233883539954E-2</v>
      </c>
    </row>
    <row r="69" spans="1:4" x14ac:dyDescent="0.25">
      <c r="A69" s="29">
        <v>45566</v>
      </c>
      <c r="B69">
        <f>LN(Historical_Data!F69/Historical_Data!F68)</f>
        <v>-7.9772443783855188E-2</v>
      </c>
      <c r="C69">
        <f>LN(Historical_Data!F141/Historical_Data!F140)</f>
        <v>-0.13005478151235139</v>
      </c>
      <c r="D69">
        <f>LN(Historical_Data!F213/Historical_Data!F212)</f>
        <v>2.1517313647019688E-3</v>
      </c>
    </row>
    <row r="70" spans="1:4" x14ac:dyDescent="0.25">
      <c r="A70" s="29">
        <v>45597</v>
      </c>
      <c r="B70">
        <f>LN(Historical_Data!F70/Historical_Data!F69)</f>
        <v>7.6193028750579289E-2</v>
      </c>
      <c r="C70">
        <f>LN(Historical_Data!F142/Historical_Data!F141)</f>
        <v>-4.9005464731425329E-2</v>
      </c>
      <c r="D70">
        <f>LN(Historical_Data!F214/Historical_Data!F213)</f>
        <v>4.7570985847792846E-2</v>
      </c>
    </row>
    <row r="71" spans="1:4" x14ac:dyDescent="0.25">
      <c r="A71" s="29">
        <v>45627</v>
      </c>
      <c r="B71">
        <f>LN(Historical_Data!F71/Historical_Data!F70)</f>
        <v>-0.14861617727353152</v>
      </c>
      <c r="C71">
        <f>LN(Historical_Data!F143/Historical_Data!F142)</f>
        <v>-0.12724037048318909</v>
      </c>
      <c r="D71">
        <f>LN(Historical_Data!F215/Historical_Data!F214)</f>
        <v>-0.1097032044905166</v>
      </c>
    </row>
    <row r="72" spans="1:4" x14ac:dyDescent="0.25">
      <c r="A72" s="29">
        <v>45658</v>
      </c>
      <c r="B72">
        <f>LN(Historical_Data!F72/Historical_Data!F71)</f>
        <v>-1.6392464437403415E-2</v>
      </c>
      <c r="C72">
        <f>LN(Historical_Data!F144/Historical_Data!F143)</f>
        <v>-4.0894470814744524E-2</v>
      </c>
      <c r="D72">
        <f>LN(Historical_Data!F216/Historical_Data!F215)</f>
        <v>0.16556088039748004</v>
      </c>
    </row>
    <row r="73" spans="1:4" x14ac:dyDescent="0.25">
      <c r="A73" s="29">
        <v>45689</v>
      </c>
      <c r="B73">
        <f>LN(Historical_Data!F73/Historical_Data!F72)</f>
        <v>2.5341855303582968E-3</v>
      </c>
      <c r="C73">
        <f>LN(Historical_Data!F145/Historical_Data!F144)</f>
        <v>-0.14938982619740285</v>
      </c>
      <c r="D73">
        <f>LN(Historical_Data!F217/Historical_Data!F216)</f>
        <v>7.2786986367819231E-2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7306-9569-409B-94C7-A9F238083689}">
  <sheetPr codeName="Sheet2"/>
  <dimension ref="A1:P110"/>
  <sheetViews>
    <sheetView tabSelected="1" zoomScale="120" zoomScaleNormal="120" workbookViewId="0"/>
  </sheetViews>
  <sheetFormatPr defaultRowHeight="15" x14ac:dyDescent="0.25"/>
  <cols>
    <col min="1" max="1" width="16.85546875" customWidth="1"/>
    <col min="5" max="5" width="17.28515625" customWidth="1"/>
    <col min="6" max="6" width="12.140625" customWidth="1"/>
    <col min="13" max="13" width="16.7109375" customWidth="1"/>
    <col min="15" max="15" width="22.140625" customWidth="1"/>
  </cols>
  <sheetData>
    <row r="1" spans="1:16" ht="18.75" x14ac:dyDescent="0.3">
      <c r="A1" s="1" t="s">
        <v>0</v>
      </c>
    </row>
    <row r="3" spans="1:16" ht="21" x14ac:dyDescent="0.35">
      <c r="A3" s="2" t="s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6" ht="2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O4" s="33" t="s">
        <v>31</v>
      </c>
      <c r="P4" s="22">
        <f>MIN(M11:M110)</f>
        <v>5920.9196010221358</v>
      </c>
    </row>
    <row r="5" spans="1:16" x14ac:dyDescent="0.25">
      <c r="A5" s="4" t="s">
        <v>2</v>
      </c>
      <c r="B5" s="5"/>
      <c r="C5" s="4"/>
      <c r="D5" s="4"/>
      <c r="E5" s="3"/>
      <c r="F5" s="3"/>
      <c r="G5" s="3"/>
      <c r="H5" s="3"/>
      <c r="I5" s="3"/>
      <c r="J5" s="3"/>
      <c r="K5" s="3"/>
      <c r="L5" s="3"/>
      <c r="M5" s="3"/>
      <c r="O5" s="33" t="s">
        <v>32</v>
      </c>
      <c r="P5" s="22">
        <f>MAX(M11:M110)</f>
        <v>25074.532812852067</v>
      </c>
    </row>
    <row r="6" spans="1:16" x14ac:dyDescent="0.25">
      <c r="A6" s="6"/>
      <c r="B6" s="7" t="s">
        <v>20</v>
      </c>
      <c r="C6" s="7" t="s">
        <v>21</v>
      </c>
      <c r="D6" s="7" t="s">
        <v>22</v>
      </c>
      <c r="E6" s="3"/>
      <c r="F6" s="3"/>
      <c r="G6" s="3"/>
      <c r="H6" s="3"/>
      <c r="I6" s="3"/>
      <c r="J6" s="3"/>
      <c r="K6" s="3"/>
      <c r="L6" s="3"/>
      <c r="M6" s="3"/>
      <c r="O6" s="33" t="s">
        <v>33</v>
      </c>
      <c r="P6" s="22">
        <f>AVERAGE(M11:M110)</f>
        <v>11657.497713255132</v>
      </c>
    </row>
    <row r="7" spans="1:16" ht="15.75" x14ac:dyDescent="0.3">
      <c r="A7" s="4" t="s">
        <v>3</v>
      </c>
      <c r="B7" s="30">
        <f>Historical_Data!F73</f>
        <v>438.55999755859375</v>
      </c>
      <c r="C7" s="30">
        <f>Historical_Data!F145</f>
        <v>99.860000610351563</v>
      </c>
      <c r="D7" s="30">
        <f>Historical_Data!F217</f>
        <v>115.18482971191406</v>
      </c>
      <c r="E7" s="3"/>
      <c r="F7" s="8" t="s">
        <v>4</v>
      </c>
      <c r="G7" s="3"/>
      <c r="H7" s="3"/>
      <c r="I7" s="3"/>
      <c r="J7" s="3"/>
      <c r="K7" s="3"/>
      <c r="L7" s="3"/>
      <c r="M7" s="3"/>
      <c r="O7" s="33" t="s">
        <v>34</v>
      </c>
      <c r="P7" s="22">
        <f>_xlfn.STDEV.S(M11:M110)</f>
        <v>3590.5791208375072</v>
      </c>
    </row>
    <row r="8" spans="1:16" x14ac:dyDescent="0.25">
      <c r="A8" s="4" t="s">
        <v>5</v>
      </c>
      <c r="B8" s="31">
        <f>AVERAGE(Log_Return!B3:B73)*12</f>
        <v>8.4196046904212812E-2</v>
      </c>
      <c r="C8" s="31">
        <f>AVERAGE(Log_Return!C3:C73)*12</f>
        <v>0.23058705376402808</v>
      </c>
      <c r="D8" s="31">
        <f>AVERAGE(Log_Return!D3:D73)*12</f>
        <v>9.5241199108823588E-2</v>
      </c>
      <c r="E8" s="3"/>
      <c r="F8" s="3"/>
      <c r="G8" s="3"/>
      <c r="H8" s="3"/>
      <c r="I8" s="3"/>
      <c r="J8" s="3"/>
      <c r="K8" s="3"/>
      <c r="L8" s="3"/>
      <c r="M8" s="3"/>
      <c r="O8" s="33" t="s">
        <v>35</v>
      </c>
      <c r="P8" s="22">
        <f>_xlfn.PERCENTILE.INC(M11:M110,0.025)</f>
        <v>6361.7903400759169</v>
      </c>
    </row>
    <row r="9" spans="1:16" x14ac:dyDescent="0.25">
      <c r="A9" s="4" t="s">
        <v>6</v>
      </c>
      <c r="B9" s="32">
        <f>_xlfn.STDEV.S(Log_Return!B3:B73)*SQRT(12)</f>
        <v>0.34389766596430976</v>
      </c>
      <c r="C9" s="32">
        <f>_xlfn.STDEV.S(Log_Return!C3:C73)*SQRT(12)</f>
        <v>0.486647237426655</v>
      </c>
      <c r="D9" s="32">
        <f>_xlfn.STDEV.S(Log_Return!D3:D73)*SQRT(12)</f>
        <v>0.27846319021421051</v>
      </c>
      <c r="E9" s="3"/>
      <c r="F9" s="34" t="s">
        <v>7</v>
      </c>
      <c r="G9" s="36" t="s">
        <v>8</v>
      </c>
      <c r="H9" s="37"/>
      <c r="I9" s="37"/>
      <c r="J9" s="36" t="s">
        <v>9</v>
      </c>
      <c r="K9" s="37"/>
      <c r="L9" s="38"/>
      <c r="M9" s="39" t="s">
        <v>10</v>
      </c>
      <c r="O9" s="33" t="s">
        <v>36</v>
      </c>
      <c r="P9" s="22">
        <f>_xlfn.PERCENTILE.INC(M11:M110,0.975)</f>
        <v>19573.980165775029</v>
      </c>
    </row>
    <row r="10" spans="1:16" x14ac:dyDescent="0.25">
      <c r="A10" s="9" t="s">
        <v>11</v>
      </c>
      <c r="B10" s="10">
        <v>1</v>
      </c>
      <c r="C10" s="4"/>
      <c r="D10" s="4"/>
      <c r="E10" s="3"/>
      <c r="F10" s="35"/>
      <c r="G10" s="11" t="s">
        <v>12</v>
      </c>
      <c r="H10" s="12" t="s">
        <v>13</v>
      </c>
      <c r="I10" s="13" t="s">
        <v>14</v>
      </c>
      <c r="J10" s="11" t="s">
        <v>20</v>
      </c>
      <c r="K10" s="12" t="s">
        <v>21</v>
      </c>
      <c r="L10" s="13" t="s">
        <v>22</v>
      </c>
      <c r="M10" s="40"/>
    </row>
    <row r="11" spans="1:16" x14ac:dyDescent="0.25">
      <c r="A11" s="4" t="s">
        <v>15</v>
      </c>
      <c r="B11" s="14">
        <v>10000</v>
      </c>
      <c r="C11" s="4"/>
      <c r="D11" s="5"/>
      <c r="E11" s="3"/>
      <c r="F11" s="15">
        <v>1</v>
      </c>
      <c r="G11" s="16">
        <f t="array" ref="G11:I11">simcorr($B$17:$D$19)</f>
        <v>-0.45842273000738515</v>
      </c>
      <c r="H11" s="17">
        <v>-1.515607522353063</v>
      </c>
      <c r="I11" s="18">
        <v>0.51573399986600932</v>
      </c>
      <c r="J11" s="19">
        <f>B$7*EXP(B$8*$B$10+B$9*SQRT($B$10)*G11)</f>
        <v>407.50050299238319</v>
      </c>
      <c r="K11" s="19">
        <f t="shared" ref="K11:L11" si="0">C$7*EXP(C$8*$B$10+C$9*SQRT($B$10)*H11)</f>
        <v>60.146908895843318</v>
      </c>
      <c r="L11" s="19">
        <f t="shared" si="0"/>
        <v>146.26092542394986</v>
      </c>
      <c r="M11" s="20">
        <f>SUMPRODUCT($B$13:$D$13,J11:L11)</f>
        <v>8992.4158726578462</v>
      </c>
    </row>
    <row r="12" spans="1:16" x14ac:dyDescent="0.25">
      <c r="A12" s="4" t="s">
        <v>16</v>
      </c>
      <c r="B12" s="14">
        <v>0.5</v>
      </c>
      <c r="C12" s="14">
        <v>0.3</v>
      </c>
      <c r="D12" s="4">
        <f>1-B12-C12</f>
        <v>0.2</v>
      </c>
      <c r="E12" s="3"/>
      <c r="F12" s="21">
        <v>2</v>
      </c>
      <c r="G12" s="16">
        <f t="array" ref="G12:I12">simcorr($B$17:$D$19)</f>
        <v>-9.5737193397939443E-2</v>
      </c>
      <c r="H12" s="17">
        <v>-0.65948098324237048</v>
      </c>
      <c r="I12" s="18">
        <v>3.9931003466595172E-2</v>
      </c>
      <c r="J12" s="19">
        <f t="shared" ref="J12:J75" si="1">B$7*EXP(B$8*$B$10+B$9*SQRT($B$10)*G12)</f>
        <v>461.63238761181958</v>
      </c>
      <c r="K12" s="19">
        <f t="shared" ref="K12:K75" si="2">C$7*EXP(C$8*$B$10+C$9*SQRT($B$10)*H12)</f>
        <v>91.233455489349481</v>
      </c>
      <c r="L12" s="19">
        <f t="shared" ref="L12:L75" si="3">D$7*EXP(D$8*$B$10+D$9*SQRT($B$10)*I12)</f>
        <v>128.11119103345533</v>
      </c>
      <c r="M12" s="20">
        <f t="shared" ref="M12:M75" si="4">SUMPRODUCT($B$13:$D$13,J12:L12)</f>
        <v>10228.333510320568</v>
      </c>
      <c r="O12" s="33" t="s">
        <v>37</v>
      </c>
    </row>
    <row r="13" spans="1:16" x14ac:dyDescent="0.25">
      <c r="A13" s="4" t="s">
        <v>17</v>
      </c>
      <c r="B13" s="23">
        <f>$B$11*B12/B7</f>
        <v>11.400948622387695</v>
      </c>
      <c r="C13" s="23">
        <f t="shared" ref="C13:D13" si="5">$B$11*C12/C7</f>
        <v>30.042058698816167</v>
      </c>
      <c r="D13" s="23">
        <f t="shared" si="5"/>
        <v>17.363397636669262</v>
      </c>
      <c r="E13" s="3"/>
      <c r="F13" s="21">
        <v>3</v>
      </c>
      <c r="G13" s="16">
        <f t="array" ref="G13:I13">simcorr($B$17:$D$19)</f>
        <v>7.2406384079523142E-2</v>
      </c>
      <c r="H13" s="17">
        <v>-0.3226922036405333</v>
      </c>
      <c r="I13" s="18">
        <v>1.0565905013733972</v>
      </c>
      <c r="J13" s="19">
        <f t="shared" si="1"/>
        <v>489.11276217081246</v>
      </c>
      <c r="K13" s="19">
        <f t="shared" si="2"/>
        <v>107.48152749087143</v>
      </c>
      <c r="L13" s="19">
        <f t="shared" si="3"/>
        <v>170.03440755161617</v>
      </c>
      <c r="M13" s="20">
        <f t="shared" si="4"/>
        <v>11757.690860216939</v>
      </c>
      <c r="O13">
        <v>5000</v>
      </c>
      <c r="P13">
        <f t="array" ref="P13:P22">FREQUENCY(M11:M110,O13:O21)</f>
        <v>0</v>
      </c>
    </row>
    <row r="14" spans="1:16" x14ac:dyDescent="0.25">
      <c r="A14" s="24" t="s">
        <v>18</v>
      </c>
      <c r="B14" s="3"/>
      <c r="C14" s="3"/>
      <c r="D14" s="3"/>
      <c r="E14" s="3"/>
      <c r="F14" s="21">
        <v>4</v>
      </c>
      <c r="G14" s="16">
        <f t="array" ref="G14:I14">simcorr($B$17:$D$19)</f>
        <v>0.83735024322030427</v>
      </c>
      <c r="H14" s="17">
        <v>-1.1726374285725241</v>
      </c>
      <c r="I14" s="18">
        <v>-0.30342393036135429</v>
      </c>
      <c r="J14" s="19">
        <f t="shared" si="1"/>
        <v>636.29065784274076</v>
      </c>
      <c r="K14" s="19">
        <f t="shared" si="2"/>
        <v>71.072145848325036</v>
      </c>
      <c r="L14" s="19">
        <f t="shared" si="3"/>
        <v>116.42960675670635</v>
      </c>
      <c r="M14" s="20">
        <f t="shared" si="4"/>
        <v>11411.084235194285</v>
      </c>
      <c r="O14">
        <f>O13+2000</f>
        <v>7000</v>
      </c>
      <c r="P14">
        <v>6</v>
      </c>
    </row>
    <row r="15" spans="1:16" x14ac:dyDescent="0.25">
      <c r="A15" s="3"/>
      <c r="B15" s="3"/>
      <c r="C15" s="3"/>
      <c r="D15" s="3"/>
      <c r="E15" s="3"/>
      <c r="F15" s="21">
        <v>5</v>
      </c>
      <c r="G15" s="16">
        <f t="array" ref="G15:I15">simcorr($B$17:$D$19)</f>
        <v>0.97367591297356726</v>
      </c>
      <c r="H15" s="17">
        <v>1.0896214342442394</v>
      </c>
      <c r="I15" s="18">
        <v>1.5797042889799524</v>
      </c>
      <c r="J15" s="19">
        <f t="shared" si="1"/>
        <v>666.8316049968746</v>
      </c>
      <c r="K15" s="19">
        <f t="shared" si="2"/>
        <v>213.70948067727258</v>
      </c>
      <c r="L15" s="19">
        <f t="shared" si="3"/>
        <v>196.69784077302182</v>
      </c>
      <c r="M15" s="20">
        <f t="shared" si="4"/>
        <v>17438.128454970069</v>
      </c>
      <c r="O15">
        <f t="shared" ref="O15:O21" si="6">O14+2000</f>
        <v>9000</v>
      </c>
      <c r="P15">
        <v>19</v>
      </c>
    </row>
    <row r="16" spans="1:16" x14ac:dyDescent="0.25">
      <c r="A16" s="25" t="s">
        <v>19</v>
      </c>
      <c r="B16" s="3"/>
      <c r="C16" s="3"/>
      <c r="D16" s="3"/>
      <c r="E16" s="3"/>
      <c r="F16" s="21">
        <v>6</v>
      </c>
      <c r="G16" s="16">
        <f t="array" ref="G16:I16">simcorr($B$17:$D$19)</f>
        <v>0.2322078681244632</v>
      </c>
      <c r="H16" s="17">
        <v>-0.239855421548337</v>
      </c>
      <c r="I16" s="18">
        <v>-0.73854193059973816</v>
      </c>
      <c r="J16" s="19">
        <f t="shared" si="1"/>
        <v>516.7444290498172</v>
      </c>
      <c r="K16" s="19">
        <f t="shared" si="2"/>
        <v>111.90287266120374</v>
      </c>
      <c r="L16" s="19">
        <f t="shared" si="3"/>
        <v>103.14363280392467</v>
      </c>
      <c r="M16" s="20">
        <f t="shared" si="4"/>
        <v>11044.093265621212</v>
      </c>
      <c r="O16">
        <f t="shared" si="6"/>
        <v>11000</v>
      </c>
      <c r="P16">
        <v>17</v>
      </c>
    </row>
    <row r="17" spans="1:16" x14ac:dyDescent="0.25">
      <c r="A17" s="25" t="s">
        <v>20</v>
      </c>
      <c r="B17" s="26">
        <f t="array" ref="B17:D19">corrmat(Log_Return!B3:D73)</f>
        <v>1</v>
      </c>
      <c r="C17" s="26">
        <v>0.55363611970004278</v>
      </c>
      <c r="D17" s="26">
        <v>0.36123875430945973</v>
      </c>
      <c r="E17" s="3"/>
      <c r="F17" s="21">
        <v>7</v>
      </c>
      <c r="G17" s="16">
        <f t="array" ref="G17:I17">simcorr($B$17:$D$19)</f>
        <v>-0.42975021312533729</v>
      </c>
      <c r="H17" s="17">
        <v>0.32973040052349112</v>
      </c>
      <c r="I17" s="18">
        <v>-0.38713373978299809</v>
      </c>
      <c r="J17" s="19">
        <f t="shared" si="1"/>
        <v>411.53850113744954</v>
      </c>
      <c r="K17" s="19">
        <f t="shared" si="2"/>
        <v>147.64616783369559</v>
      </c>
      <c r="L17" s="19">
        <f t="shared" si="3"/>
        <v>113.74700820050278</v>
      </c>
      <c r="M17" s="20">
        <f t="shared" si="4"/>
        <v>11102.558681684457</v>
      </c>
      <c r="O17">
        <f t="shared" si="6"/>
        <v>13000</v>
      </c>
      <c r="P17">
        <v>31</v>
      </c>
    </row>
    <row r="18" spans="1:16" x14ac:dyDescent="0.25">
      <c r="A18" s="25" t="s">
        <v>21</v>
      </c>
      <c r="B18" s="26">
        <v>0.55363611970004278</v>
      </c>
      <c r="C18" s="26">
        <v>1</v>
      </c>
      <c r="D18" s="26">
        <v>0.31132006364433962</v>
      </c>
      <c r="E18" s="3"/>
      <c r="F18" s="21">
        <v>8</v>
      </c>
      <c r="G18" s="16">
        <f t="array" ref="G18:I18">simcorr($B$17:$D$19)</f>
        <v>-1.0596590772763239</v>
      </c>
      <c r="H18" s="17">
        <v>-1.7872242707464827</v>
      </c>
      <c r="I18" s="18">
        <v>-0.41873645857920927</v>
      </c>
      <c r="J18" s="19">
        <f t="shared" si="1"/>
        <v>331.38418779397171</v>
      </c>
      <c r="K18" s="19">
        <f t="shared" si="2"/>
        <v>52.699634019828594</v>
      </c>
      <c r="L18" s="19">
        <f t="shared" si="3"/>
        <v>112.75040405984389</v>
      </c>
      <c r="M18" s="20">
        <f t="shared" si="4"/>
        <v>7319.029697326765</v>
      </c>
      <c r="O18">
        <f t="shared" si="6"/>
        <v>15000</v>
      </c>
      <c r="P18">
        <v>11</v>
      </c>
    </row>
    <row r="19" spans="1:16" x14ac:dyDescent="0.25">
      <c r="A19" s="25" t="s">
        <v>22</v>
      </c>
      <c r="B19" s="26">
        <v>0.36123875430945973</v>
      </c>
      <c r="C19" s="26">
        <v>0.31132006364433962</v>
      </c>
      <c r="D19" s="26">
        <v>0.99999999999999989</v>
      </c>
      <c r="E19" s="3"/>
      <c r="F19" s="21">
        <v>9</v>
      </c>
      <c r="G19" s="16">
        <f t="array" ref="G19:I19">simcorr($B$17:$D$19)</f>
        <v>0.80275142120939047</v>
      </c>
      <c r="H19" s="17">
        <v>-0.23224351992682535</v>
      </c>
      <c r="I19" s="18">
        <v>1.8859083106397119</v>
      </c>
      <c r="J19" s="19">
        <f t="shared" si="1"/>
        <v>628.7646453810637</v>
      </c>
      <c r="K19" s="19">
        <f t="shared" si="2"/>
        <v>112.31816440163594</v>
      </c>
      <c r="L19" s="19">
        <f t="shared" si="3"/>
        <v>214.20538479633782</v>
      </c>
      <c r="M19" s="20">
        <f t="shared" si="4"/>
        <v>14262.115577595119</v>
      </c>
      <c r="O19">
        <f t="shared" si="6"/>
        <v>17000</v>
      </c>
      <c r="P19">
        <v>7</v>
      </c>
    </row>
    <row r="20" spans="1:16" x14ac:dyDescent="0.25">
      <c r="A20" s="3"/>
      <c r="B20" s="3"/>
      <c r="C20" s="3"/>
      <c r="D20" s="3"/>
      <c r="E20" s="3"/>
      <c r="F20" s="21">
        <v>10</v>
      </c>
      <c r="G20" s="16">
        <f t="array" ref="G20:I20">simcorr($B$17:$D$19)</f>
        <v>0.34776349521937783</v>
      </c>
      <c r="H20" s="17">
        <v>-0.36476901832863884</v>
      </c>
      <c r="I20" s="18">
        <v>0.54285136434697645</v>
      </c>
      <c r="J20" s="19">
        <f t="shared" si="1"/>
        <v>537.69298004417806</v>
      </c>
      <c r="K20" s="19">
        <f t="shared" si="2"/>
        <v>105.30305487525169</v>
      </c>
      <c r="L20" s="19">
        <f t="shared" si="3"/>
        <v>147.36954958987891</v>
      </c>
      <c r="M20" s="20">
        <f t="shared" si="4"/>
        <v>11852.566684895093</v>
      </c>
      <c r="O20">
        <f t="shared" si="6"/>
        <v>19000</v>
      </c>
      <c r="P20">
        <v>6</v>
      </c>
    </row>
    <row r="21" spans="1:16" x14ac:dyDescent="0.25">
      <c r="A21" s="3"/>
      <c r="B21" s="3"/>
      <c r="C21" s="3"/>
      <c r="D21" s="3"/>
      <c r="E21" s="3"/>
      <c r="F21" s="21">
        <v>11</v>
      </c>
      <c r="G21" s="16">
        <f t="array" ref="G21:I21">simcorr($B$17:$D$19)</f>
        <v>0.90615739943791407</v>
      </c>
      <c r="H21" s="17">
        <v>-0.56701855362464448</v>
      </c>
      <c r="I21" s="18">
        <v>-0.71138987888791361</v>
      </c>
      <c r="J21" s="19">
        <f t="shared" si="1"/>
        <v>651.52651137082069</v>
      </c>
      <c r="K21" s="19">
        <f t="shared" si="2"/>
        <v>95.432410384996089</v>
      </c>
      <c r="L21" s="19">
        <f t="shared" si="3"/>
        <v>103.92644164416454</v>
      </c>
      <c r="M21" s="20">
        <f t="shared" si="4"/>
        <v>12099.522488049517</v>
      </c>
      <c r="O21">
        <f t="shared" si="6"/>
        <v>21000</v>
      </c>
      <c r="P21">
        <v>1</v>
      </c>
    </row>
    <row r="22" spans="1:16" x14ac:dyDescent="0.25">
      <c r="A22" s="3"/>
      <c r="B22" s="3"/>
      <c r="C22" s="3"/>
      <c r="D22" s="3"/>
      <c r="E22" s="3"/>
      <c r="F22" s="21">
        <v>12</v>
      </c>
      <c r="G22" s="16">
        <f t="array" ref="G22:I22">simcorr($B$17:$D$19)</f>
        <v>0.61732255202718322</v>
      </c>
      <c r="H22" s="17">
        <v>0.8785241324252222</v>
      </c>
      <c r="I22" s="18">
        <v>0.87260763034122157</v>
      </c>
      <c r="J22" s="19">
        <f t="shared" si="1"/>
        <v>589.92089915395547</v>
      </c>
      <c r="K22" s="19">
        <f t="shared" si="2"/>
        <v>192.84516383616739</v>
      </c>
      <c r="L22" s="19">
        <f t="shared" si="3"/>
        <v>161.54251466535462</v>
      </c>
      <c r="M22" s="20">
        <f t="shared" si="4"/>
        <v>15324.050511637986</v>
      </c>
      <c r="O22" t="s">
        <v>38</v>
      </c>
      <c r="P22">
        <v>2</v>
      </c>
    </row>
    <row r="23" spans="1:16" x14ac:dyDescent="0.25">
      <c r="A23" s="3"/>
      <c r="B23" s="3"/>
      <c r="C23" s="3"/>
      <c r="D23" s="3"/>
      <c r="E23" s="3"/>
      <c r="F23" s="21">
        <v>13</v>
      </c>
      <c r="G23" s="16">
        <f t="array" ref="G23:I23">simcorr($B$17:$D$19)</f>
        <v>-2.2096198361394324</v>
      </c>
      <c r="H23" s="17">
        <v>-0.69807019599685893</v>
      </c>
      <c r="I23" s="18">
        <v>-1.6506623740272586</v>
      </c>
      <c r="J23" s="19">
        <f t="shared" si="1"/>
        <v>223.14227434595657</v>
      </c>
      <c r="K23" s="19">
        <f t="shared" si="2"/>
        <v>89.536139093728266</v>
      </c>
      <c r="L23" s="19">
        <f t="shared" si="3"/>
        <v>80.008312980567084</v>
      </c>
      <c r="M23" s="20">
        <f t="shared" si="4"/>
        <v>6623.0997041408164</v>
      </c>
    </row>
    <row r="24" spans="1:16" x14ac:dyDescent="0.25">
      <c r="A24" s="3"/>
      <c r="B24" s="3"/>
      <c r="C24" s="3"/>
      <c r="D24" s="3"/>
      <c r="E24" s="3"/>
      <c r="F24" s="21">
        <v>14</v>
      </c>
      <c r="G24" s="16">
        <f t="array" ref="G24:I24">simcorr($B$17:$D$19)</f>
        <v>-0.95969806357418508</v>
      </c>
      <c r="H24" s="17">
        <v>-0.54514941744784751</v>
      </c>
      <c r="I24" s="18">
        <v>-1.2963179203959232</v>
      </c>
      <c r="J24" s="19">
        <f t="shared" si="1"/>
        <v>342.97403678554736</v>
      </c>
      <c r="K24" s="19">
        <f t="shared" si="2"/>
        <v>96.453478783824039</v>
      </c>
      <c r="L24" s="19">
        <f t="shared" si="3"/>
        <v>88.305503108311328</v>
      </c>
      <c r="M24" s="20">
        <f t="shared" si="4"/>
        <v>8341.1740075093367</v>
      </c>
    </row>
    <row r="25" spans="1:16" x14ac:dyDescent="0.25">
      <c r="A25" s="3"/>
      <c r="B25" s="3"/>
      <c r="C25" s="3"/>
      <c r="D25" s="3"/>
      <c r="E25" s="3"/>
      <c r="F25" s="21">
        <v>15</v>
      </c>
      <c r="G25" s="16">
        <f t="array" ref="G25:I25">simcorr($B$17:$D$19)</f>
        <v>0.11027471405881913</v>
      </c>
      <c r="H25" s="17">
        <v>4.3813974827568075E-2</v>
      </c>
      <c r="I25" s="18">
        <v>-1.6422881295951444</v>
      </c>
      <c r="J25" s="19">
        <f t="shared" si="1"/>
        <v>495.52405061835282</v>
      </c>
      <c r="K25" s="19">
        <f t="shared" si="2"/>
        <v>128.46779042692992</v>
      </c>
      <c r="L25" s="19">
        <f t="shared" si="3"/>
        <v>80.195103576987705</v>
      </c>
      <c r="M25" s="20">
        <f t="shared" si="4"/>
        <v>10901.340615091436</v>
      </c>
    </row>
    <row r="26" spans="1:16" x14ac:dyDescent="0.25">
      <c r="A26" s="3"/>
      <c r="B26" s="3"/>
      <c r="C26" s="3"/>
      <c r="D26" s="3"/>
      <c r="E26" s="3"/>
      <c r="F26" s="21">
        <v>16</v>
      </c>
      <c r="G26" s="16">
        <f t="array" ref="G26:I26">simcorr($B$17:$D$19)</f>
        <v>-1.2562337758530711</v>
      </c>
      <c r="H26" s="17">
        <v>-1.2496030600283334</v>
      </c>
      <c r="I26" s="18">
        <v>-2.0887599785760695</v>
      </c>
      <c r="J26" s="19">
        <f t="shared" si="1"/>
        <v>309.72252328421888</v>
      </c>
      <c r="K26" s="19">
        <f t="shared" si="2"/>
        <v>68.459367076796752</v>
      </c>
      <c r="L26" s="19">
        <f t="shared" si="3"/>
        <v>70.819648610504615</v>
      </c>
      <c r="M26" s="20">
        <f t="shared" si="4"/>
        <v>6817.4606186779702</v>
      </c>
    </row>
    <row r="27" spans="1:16" x14ac:dyDescent="0.25">
      <c r="A27" s="3"/>
      <c r="B27" s="3"/>
      <c r="C27" s="3"/>
      <c r="D27" s="3"/>
      <c r="E27" s="3"/>
      <c r="F27" s="21">
        <v>17</v>
      </c>
      <c r="G27" s="16">
        <f t="array" ref="G27:I27">simcorr($B$17:$D$19)</f>
        <v>0.36938967648809085</v>
      </c>
      <c r="H27" s="17">
        <v>0.10666497851238017</v>
      </c>
      <c r="I27" s="18">
        <v>0.53993991253882578</v>
      </c>
      <c r="J27" s="19">
        <f t="shared" si="1"/>
        <v>541.70681398072895</v>
      </c>
      <c r="K27" s="19">
        <f t="shared" si="2"/>
        <v>132.45785006116864</v>
      </c>
      <c r="L27" s="19">
        <f t="shared" si="3"/>
        <v>147.25012077575198</v>
      </c>
      <c r="M27" s="20">
        <f t="shared" si="4"/>
        <v>12712.040460325194</v>
      </c>
    </row>
    <row r="28" spans="1:16" x14ac:dyDescent="0.25">
      <c r="A28" s="3"/>
      <c r="B28" s="3"/>
      <c r="C28" s="3"/>
      <c r="D28" s="3"/>
      <c r="E28" s="3"/>
      <c r="F28" s="21">
        <v>18</v>
      </c>
      <c r="G28" s="16">
        <f t="array" ref="G28:I28">simcorr($B$17:$D$19)</f>
        <v>-0.72526205000808419</v>
      </c>
      <c r="H28" s="17">
        <v>-1.220218222943771</v>
      </c>
      <c r="I28" s="18">
        <v>-0.72789919321449248</v>
      </c>
      <c r="J28" s="19">
        <f t="shared" si="1"/>
        <v>371.77050716597876</v>
      </c>
      <c r="K28" s="19">
        <f t="shared" si="2"/>
        <v>69.44537259614232</v>
      </c>
      <c r="L28" s="19">
        <f t="shared" si="3"/>
        <v>103.44976377035836</v>
      </c>
      <c r="M28" s="20">
        <f t="shared" si="4"/>
        <v>8121.057795177041</v>
      </c>
    </row>
    <row r="29" spans="1:16" x14ac:dyDescent="0.25">
      <c r="A29" s="3"/>
      <c r="B29" s="3"/>
      <c r="C29" s="3"/>
      <c r="D29" s="3"/>
      <c r="E29" s="3"/>
      <c r="F29" s="21">
        <v>19</v>
      </c>
      <c r="G29" s="16">
        <f t="array" ref="G29:I29">simcorr($B$17:$D$19)</f>
        <v>0.20688551774396072</v>
      </c>
      <c r="H29" s="17">
        <v>0.14087413136596674</v>
      </c>
      <c r="I29" s="18">
        <v>0.91234587988839178</v>
      </c>
      <c r="J29" s="19">
        <f t="shared" si="1"/>
        <v>512.26400174946809</v>
      </c>
      <c r="K29" s="19">
        <f t="shared" si="2"/>
        <v>134.68143805469964</v>
      </c>
      <c r="L29" s="19">
        <f t="shared" si="3"/>
        <v>163.34001282758749</v>
      </c>
      <c r="M29" s="20">
        <f t="shared" si="4"/>
        <v>12722.540825428725</v>
      </c>
    </row>
    <row r="30" spans="1:16" x14ac:dyDescent="0.25">
      <c r="A30" s="3"/>
      <c r="B30" s="3"/>
      <c r="C30" s="3"/>
      <c r="D30" s="3"/>
      <c r="E30" s="3"/>
      <c r="F30" s="21">
        <v>20</v>
      </c>
      <c r="G30" s="16">
        <f t="array" ref="G30:I30">simcorr($B$17:$D$19)</f>
        <v>-1.9933769735149389</v>
      </c>
      <c r="H30" s="17">
        <v>-1.3879545101852528</v>
      </c>
      <c r="I30" s="18">
        <v>-1.4668209394485339</v>
      </c>
      <c r="J30" s="19">
        <f t="shared" si="1"/>
        <v>240.36893815644353</v>
      </c>
      <c r="K30" s="19">
        <f t="shared" si="2"/>
        <v>64.001853052961934</v>
      </c>
      <c r="L30" s="19">
        <f t="shared" si="3"/>
        <v>84.210836618456526</v>
      </c>
      <c r="M30" s="20">
        <f t="shared" si="4"/>
        <v>6125.3675821124361</v>
      </c>
    </row>
    <row r="31" spans="1:16" x14ac:dyDescent="0.25">
      <c r="A31" s="3"/>
      <c r="B31" s="3"/>
      <c r="C31" s="3"/>
      <c r="D31" s="3"/>
      <c r="E31" s="3"/>
      <c r="F31" s="21">
        <v>21</v>
      </c>
      <c r="G31" s="16">
        <f t="array" ref="G31:I31">simcorr($B$17:$D$19)</f>
        <v>-0.68263724679130744</v>
      </c>
      <c r="H31" s="17">
        <v>7.8153068021111383E-2</v>
      </c>
      <c r="I31" s="18">
        <v>-1.3968330897324026</v>
      </c>
      <c r="J31" s="19">
        <f t="shared" si="1"/>
        <v>377.26026902511012</v>
      </c>
      <c r="K31" s="19">
        <f t="shared" si="2"/>
        <v>130.63265705415245</v>
      </c>
      <c r="L31" s="19">
        <f t="shared" si="3"/>
        <v>85.868121968295497</v>
      </c>
      <c r="M31" s="20">
        <f t="shared" si="4"/>
        <v>9716.5612416761396</v>
      </c>
    </row>
    <row r="32" spans="1:16" x14ac:dyDescent="0.25">
      <c r="A32" s="3"/>
      <c r="B32" s="3"/>
      <c r="C32" s="3"/>
      <c r="D32" s="3"/>
      <c r="E32" s="3"/>
      <c r="F32" s="21">
        <v>22</v>
      </c>
      <c r="G32" s="16">
        <f t="array" ref="G32:I32">simcorr($B$17:$D$19)</f>
        <v>0.53209574234935053</v>
      </c>
      <c r="H32" s="17">
        <v>-0.51996116612974053</v>
      </c>
      <c r="I32" s="18">
        <v>0.53727090037122816</v>
      </c>
      <c r="J32" s="19">
        <f t="shared" si="1"/>
        <v>572.88165393938573</v>
      </c>
      <c r="K32" s="19">
        <f t="shared" si="2"/>
        <v>97.643061487473659</v>
      </c>
      <c r="L32" s="19">
        <f t="shared" si="3"/>
        <v>147.14072195789075</v>
      </c>
      <c r="M32" s="20">
        <f t="shared" si="4"/>
        <v>12019.655751911674</v>
      </c>
    </row>
    <row r="33" spans="1:13" x14ac:dyDescent="0.25">
      <c r="A33" s="3"/>
      <c r="B33" s="3"/>
      <c r="C33" s="3"/>
      <c r="D33" s="3"/>
      <c r="E33" s="3"/>
      <c r="F33" s="21">
        <v>23</v>
      </c>
      <c r="G33" s="16">
        <f t="array" ref="G33:I33">simcorr($B$17:$D$19)</f>
        <v>-0.38481773632200783</v>
      </c>
      <c r="H33" s="17">
        <v>-0.55337415997338635</v>
      </c>
      <c r="I33" s="18">
        <v>8.2148584266793445E-2</v>
      </c>
      <c r="J33" s="19">
        <f t="shared" si="1"/>
        <v>417.9470511239906</v>
      </c>
      <c r="K33" s="19">
        <f t="shared" si="2"/>
        <v>96.068190664687108</v>
      </c>
      <c r="L33" s="19">
        <f t="shared" si="3"/>
        <v>129.62615917252992</v>
      </c>
      <c r="M33" s="20">
        <f t="shared" si="4"/>
        <v>9901.8296256074718</v>
      </c>
    </row>
    <row r="34" spans="1:13" x14ac:dyDescent="0.25">
      <c r="A34" s="3"/>
      <c r="B34" s="3"/>
      <c r="C34" s="3"/>
      <c r="D34" s="3"/>
      <c r="E34" s="3"/>
      <c r="F34" s="21">
        <v>24</v>
      </c>
      <c r="G34" s="16">
        <f t="array" ref="G34:I34">simcorr($B$17:$D$19)</f>
        <v>-0.13129173594866578</v>
      </c>
      <c r="H34" s="17">
        <v>0.20593769047265015</v>
      </c>
      <c r="I34" s="18">
        <v>-0.29343903276811195</v>
      </c>
      <c r="J34" s="19">
        <f t="shared" si="1"/>
        <v>456.02231847403374</v>
      </c>
      <c r="K34" s="19">
        <f t="shared" si="2"/>
        <v>139.01408696938384</v>
      </c>
      <c r="L34" s="19">
        <f t="shared" si="3"/>
        <v>116.75378117619265</v>
      </c>
      <c r="M34" s="20">
        <f t="shared" si="4"/>
        <v>11402.598712428045</v>
      </c>
    </row>
    <row r="35" spans="1:13" x14ac:dyDescent="0.25">
      <c r="A35" s="3"/>
      <c r="B35" s="3"/>
      <c r="C35" s="3"/>
      <c r="D35" s="3"/>
      <c r="E35" s="3"/>
      <c r="F35" s="21">
        <v>25</v>
      </c>
      <c r="G35" s="16">
        <f t="array" ref="G35:I35">simcorr($B$17:$D$19)</f>
        <v>0.33701172062425011</v>
      </c>
      <c r="H35" s="17">
        <v>-0.67332274862951191</v>
      </c>
      <c r="I35" s="18">
        <v>0.53423272878578232</v>
      </c>
      <c r="J35" s="19">
        <f t="shared" si="1"/>
        <v>535.7085258030927</v>
      </c>
      <c r="K35" s="19">
        <f t="shared" si="2"/>
        <v>90.620966938002837</v>
      </c>
      <c r="L35" s="19">
        <f t="shared" si="3"/>
        <v>147.01629076148544</v>
      </c>
      <c r="M35" s="20">
        <f t="shared" si="4"/>
        <v>11382.728102910929</v>
      </c>
    </row>
    <row r="36" spans="1:13" x14ac:dyDescent="0.25">
      <c r="A36" s="3"/>
      <c r="B36" s="3"/>
      <c r="C36" s="3"/>
      <c r="D36" s="3"/>
      <c r="E36" s="3"/>
      <c r="F36" s="21">
        <v>26</v>
      </c>
      <c r="G36" s="16">
        <f t="array" ref="G36:I36">simcorr($B$17:$D$19)</f>
        <v>0.12048210747898014</v>
      </c>
      <c r="H36" s="17">
        <v>0.26160017602573271</v>
      </c>
      <c r="I36" s="18">
        <v>-1.8538417065814861</v>
      </c>
      <c r="J36" s="19">
        <f t="shared" si="1"/>
        <v>497.2665446331394</v>
      </c>
      <c r="K36" s="19">
        <f t="shared" si="2"/>
        <v>142.83116493298309</v>
      </c>
      <c r="L36" s="19">
        <f t="shared" si="3"/>
        <v>75.607280117813417</v>
      </c>
      <c r="M36" s="20">
        <f t="shared" si="4"/>
        <v>11273.051836844283</v>
      </c>
    </row>
    <row r="37" spans="1:13" x14ac:dyDescent="0.25">
      <c r="A37" s="3"/>
      <c r="B37" s="3"/>
      <c r="C37" s="3"/>
      <c r="D37" s="3"/>
      <c r="E37" s="3"/>
      <c r="F37" s="21">
        <v>27</v>
      </c>
      <c r="G37" s="16">
        <f t="array" ref="G37:I37">simcorr($B$17:$D$19)</f>
        <v>-1.1918960755444397</v>
      </c>
      <c r="H37" s="17">
        <v>-0.54419579187477918</v>
      </c>
      <c r="I37" s="18">
        <v>2.3645887887908765</v>
      </c>
      <c r="J37" s="19">
        <f t="shared" si="1"/>
        <v>316.65168853354243</v>
      </c>
      <c r="K37" s="19">
        <f t="shared" si="2"/>
        <v>96.498251230160975</v>
      </c>
      <c r="L37" s="19">
        <f t="shared" si="3"/>
        <v>244.74826434476444</v>
      </c>
      <c r="M37" s="20">
        <f t="shared" si="4"/>
        <v>10758.797194655619</v>
      </c>
    </row>
    <row r="38" spans="1:13" x14ac:dyDescent="0.25">
      <c r="A38" s="3"/>
      <c r="B38" s="3"/>
      <c r="C38" s="3"/>
      <c r="D38" s="3"/>
      <c r="E38" s="3"/>
      <c r="F38" s="21">
        <v>28</v>
      </c>
      <c r="G38" s="16">
        <f t="array" ref="G38:I38">simcorr($B$17:$D$19)</f>
        <v>-1.0030338363717393</v>
      </c>
      <c r="H38" s="17">
        <v>-0.30100205378693401</v>
      </c>
      <c r="I38" s="18">
        <v>-0.80172524526492117</v>
      </c>
      <c r="J38" s="19">
        <f t="shared" si="1"/>
        <v>337.90056934849957</v>
      </c>
      <c r="K38" s="19">
        <f t="shared" si="2"/>
        <v>108.62205232984488</v>
      </c>
      <c r="L38" s="19">
        <f t="shared" si="3"/>
        <v>101.3447714681938</v>
      </c>
      <c r="M38" s="20">
        <f t="shared" si="4"/>
        <v>8875.3066680964985</v>
      </c>
    </row>
    <row r="39" spans="1:13" x14ac:dyDescent="0.25">
      <c r="A39" s="3"/>
      <c r="B39" s="3"/>
      <c r="C39" s="3"/>
      <c r="D39" s="3"/>
      <c r="E39" s="3"/>
      <c r="F39" s="21">
        <v>29</v>
      </c>
      <c r="G39" s="16">
        <f t="array" ref="G39:I39">simcorr($B$17:$D$19)</f>
        <v>-0.81191287494839592</v>
      </c>
      <c r="H39" s="17">
        <v>-1.390774156215564</v>
      </c>
      <c r="I39" s="18">
        <v>-0.78964914815600262</v>
      </c>
      <c r="J39" s="19">
        <f t="shared" si="1"/>
        <v>360.85554692505622</v>
      </c>
      <c r="K39" s="19">
        <f t="shared" si="2"/>
        <v>63.914091667047913</v>
      </c>
      <c r="L39" s="19">
        <f t="shared" si="3"/>
        <v>101.68614209920136</v>
      </c>
      <c r="M39" s="20">
        <f t="shared" si="4"/>
        <v>7799.8233635464367</v>
      </c>
    </row>
    <row r="40" spans="1:13" x14ac:dyDescent="0.25">
      <c r="A40" s="3"/>
      <c r="B40" s="3"/>
      <c r="C40" s="3"/>
      <c r="D40" s="3"/>
      <c r="E40" s="3"/>
      <c r="F40" s="21">
        <v>30</v>
      </c>
      <c r="G40" s="16">
        <f t="array" ref="G40:I40">simcorr($B$17:$D$19)</f>
        <v>0.22554063950663863</v>
      </c>
      <c r="H40" s="17">
        <v>0.46210002597578731</v>
      </c>
      <c r="I40" s="18">
        <v>-0.2933482942410397</v>
      </c>
      <c r="J40" s="19">
        <f t="shared" si="1"/>
        <v>515.56097176019887</v>
      </c>
      <c r="K40" s="19">
        <f t="shared" si="2"/>
        <v>157.47015779638022</v>
      </c>
      <c r="L40" s="19">
        <f t="shared" si="3"/>
        <v>116.75673127091606</v>
      </c>
      <c r="M40" s="20">
        <f t="shared" si="4"/>
        <v>12635.905426391651</v>
      </c>
    </row>
    <row r="41" spans="1:13" x14ac:dyDescent="0.25">
      <c r="A41" s="3"/>
      <c r="B41" s="3"/>
      <c r="C41" s="3"/>
      <c r="D41" s="3"/>
      <c r="E41" s="3"/>
      <c r="F41" s="21">
        <v>31</v>
      </c>
      <c r="G41" s="16">
        <f t="array" ref="G41:I41">simcorr($B$17:$D$19)</f>
        <v>-0.24194119228794503</v>
      </c>
      <c r="H41" s="17">
        <v>0.46873410942983668</v>
      </c>
      <c r="I41" s="18">
        <v>-0.38266786188732038</v>
      </c>
      <c r="J41" s="19">
        <f t="shared" si="1"/>
        <v>438.99571954618864</v>
      </c>
      <c r="K41" s="19">
        <f t="shared" si="2"/>
        <v>157.97936518296873</v>
      </c>
      <c r="L41" s="19">
        <f t="shared" si="3"/>
        <v>113.88854999259252</v>
      </c>
      <c r="M41" s="20">
        <f t="shared" si="4"/>
        <v>11728.485185807745</v>
      </c>
    </row>
    <row r="42" spans="1:13" x14ac:dyDescent="0.25">
      <c r="A42" s="3"/>
      <c r="B42" s="3"/>
      <c r="C42" s="3"/>
      <c r="D42" s="3"/>
      <c r="E42" s="3"/>
      <c r="F42" s="21">
        <v>32</v>
      </c>
      <c r="G42" s="16">
        <f t="array" ref="G42:I42">simcorr($B$17:$D$19)</f>
        <v>-0.18552253799797055</v>
      </c>
      <c r="H42" s="17">
        <v>0.89349249531557329</v>
      </c>
      <c r="I42" s="18">
        <v>0.51056910068051642</v>
      </c>
      <c r="J42" s="19">
        <f t="shared" si="1"/>
        <v>447.59638772715687</v>
      </c>
      <c r="K42" s="19">
        <f t="shared" si="2"/>
        <v>194.25503700812732</v>
      </c>
      <c r="L42" s="19">
        <f t="shared" si="3"/>
        <v>146.05071914279938</v>
      </c>
      <c r="M42" s="20">
        <f t="shared" si="4"/>
        <v>13474.781355980434</v>
      </c>
    </row>
    <row r="43" spans="1:13" x14ac:dyDescent="0.25">
      <c r="A43" s="3"/>
      <c r="B43" s="3"/>
      <c r="C43" s="3"/>
      <c r="D43" s="3"/>
      <c r="E43" s="3"/>
      <c r="F43" s="21">
        <v>33</v>
      </c>
      <c r="G43" s="16">
        <f t="array" ref="G43:I43">simcorr($B$17:$D$19)</f>
        <v>-0.20619487749838272</v>
      </c>
      <c r="H43" s="17">
        <v>0.28149371511482979</v>
      </c>
      <c r="I43" s="18">
        <v>0.49096274107274984</v>
      </c>
      <c r="J43" s="19">
        <f t="shared" si="1"/>
        <v>444.42563329611187</v>
      </c>
      <c r="K43" s="19">
        <f t="shared" si="2"/>
        <v>144.22064787714632</v>
      </c>
      <c r="L43" s="19">
        <f t="shared" si="3"/>
        <v>145.25550618240095</v>
      </c>
      <c r="M43" s="20">
        <f t="shared" si="4"/>
        <v>11921.688093548311</v>
      </c>
    </row>
    <row r="44" spans="1:13" x14ac:dyDescent="0.25">
      <c r="A44" s="3"/>
      <c r="B44" s="3"/>
      <c r="C44" s="3"/>
      <c r="D44" s="3"/>
      <c r="E44" s="3"/>
      <c r="F44" s="21">
        <v>34</v>
      </c>
      <c r="G44" s="16">
        <f t="array" ref="G44:I44">simcorr($B$17:$D$19)</f>
        <v>1.435214705120418</v>
      </c>
      <c r="H44" s="17">
        <v>1.6018210627102569</v>
      </c>
      <c r="I44" s="18">
        <v>1.0864227617657352</v>
      </c>
      <c r="J44" s="19">
        <f t="shared" si="1"/>
        <v>781.5347863386113</v>
      </c>
      <c r="K44" s="19">
        <f t="shared" si="2"/>
        <v>274.20556435322032</v>
      </c>
      <c r="L44" s="19">
        <f t="shared" si="3"/>
        <v>171.45279833104095</v>
      </c>
      <c r="M44" s="20">
        <f t="shared" si="4"/>
        <v>20124.940718838239</v>
      </c>
    </row>
    <row r="45" spans="1:13" x14ac:dyDescent="0.25">
      <c r="A45" s="3"/>
      <c r="B45" s="3"/>
      <c r="C45" s="3"/>
      <c r="D45" s="3"/>
      <c r="E45" s="3"/>
      <c r="F45" s="21">
        <v>35</v>
      </c>
      <c r="G45" s="16">
        <f t="array" ref="G45:I45">simcorr($B$17:$D$19)</f>
        <v>1.0636392467322147</v>
      </c>
      <c r="H45" s="17">
        <v>0.57333714021145232</v>
      </c>
      <c r="I45" s="18">
        <v>0.59967553657379236</v>
      </c>
      <c r="J45" s="19">
        <f t="shared" si="1"/>
        <v>687.78461427378738</v>
      </c>
      <c r="K45" s="19">
        <f t="shared" si="2"/>
        <v>166.22947285212652</v>
      </c>
      <c r="L45" s="19">
        <f t="shared" si="3"/>
        <v>149.71998984032859</v>
      </c>
      <c r="M45" s="20">
        <f t="shared" si="4"/>
        <v>15434.92034925675</v>
      </c>
    </row>
    <row r="46" spans="1:13" x14ac:dyDescent="0.25">
      <c r="A46" s="3"/>
      <c r="B46" s="3"/>
      <c r="C46" s="3"/>
      <c r="D46" s="3"/>
      <c r="E46" s="3"/>
      <c r="F46" s="21">
        <v>36</v>
      </c>
      <c r="G46" s="16">
        <f t="array" ref="G46:I46">simcorr($B$17:$D$19)</f>
        <v>-0.45930565085010677</v>
      </c>
      <c r="H46" s="17">
        <v>0.7194600688004047</v>
      </c>
      <c r="I46" s="18">
        <v>1.8778303369872445E-2</v>
      </c>
      <c r="J46" s="19">
        <f t="shared" si="1"/>
        <v>407.37679059733324</v>
      </c>
      <c r="K46" s="19">
        <f t="shared" si="2"/>
        <v>178.48053004083803</v>
      </c>
      <c r="L46" s="19">
        <f t="shared" si="3"/>
        <v>127.35880235520958</v>
      </c>
      <c r="M46" s="20">
        <f t="shared" si="4"/>
        <v>12217.785947459541</v>
      </c>
    </row>
    <row r="47" spans="1:13" x14ac:dyDescent="0.25">
      <c r="A47" s="3"/>
      <c r="B47" s="3"/>
      <c r="C47" s="3"/>
      <c r="D47" s="3"/>
      <c r="E47" s="3"/>
      <c r="F47" s="21">
        <v>37</v>
      </c>
      <c r="G47" s="16">
        <f t="array" ref="G47:I47">simcorr($B$17:$D$19)</f>
        <v>-1.0776063463309231</v>
      </c>
      <c r="H47" s="17">
        <v>1.020442352477712</v>
      </c>
      <c r="I47" s="18">
        <v>6.4978350750963892E-2</v>
      </c>
      <c r="J47" s="19">
        <f t="shared" si="1"/>
        <v>329.34517554316091</v>
      </c>
      <c r="K47" s="19">
        <f t="shared" si="2"/>
        <v>206.63453815283791</v>
      </c>
      <c r="L47" s="19">
        <f t="shared" si="3"/>
        <v>129.0078597777931</v>
      </c>
      <c r="M47" s="20">
        <f t="shared" si="4"/>
        <v>12202.58911736665</v>
      </c>
    </row>
    <row r="48" spans="1:13" x14ac:dyDescent="0.25">
      <c r="A48" s="3"/>
      <c r="B48" s="3"/>
      <c r="C48" s="3"/>
      <c r="D48" s="3"/>
      <c r="E48" s="3"/>
      <c r="F48" s="21">
        <v>38</v>
      </c>
      <c r="G48" s="16">
        <f t="array" ref="G48:I48">simcorr($B$17:$D$19)</f>
        <v>0.73193265141967656</v>
      </c>
      <c r="H48" s="17">
        <v>0.72028013412323078</v>
      </c>
      <c r="I48" s="18">
        <v>0.51191870647699966</v>
      </c>
      <c r="J48" s="19">
        <f t="shared" si="1"/>
        <v>613.63642088244717</v>
      </c>
      <c r="K48" s="19">
        <f t="shared" si="2"/>
        <v>178.55177271613488</v>
      </c>
      <c r="L48" s="19">
        <f t="shared" si="3"/>
        <v>146.10561758723975</v>
      </c>
      <c r="M48" s="20">
        <f t="shared" si="4"/>
        <v>14896.99007914084</v>
      </c>
    </row>
    <row r="49" spans="1:13" x14ac:dyDescent="0.25">
      <c r="A49" s="3"/>
      <c r="B49" s="3"/>
      <c r="C49" s="3"/>
      <c r="D49" s="3"/>
      <c r="E49" s="3"/>
      <c r="F49" s="21">
        <v>39</v>
      </c>
      <c r="G49" s="16">
        <f t="array" ref="G49:I49">simcorr($B$17:$D$19)</f>
        <v>5.4941608347187504E-2</v>
      </c>
      <c r="H49" s="17">
        <v>-0.23950784826284405</v>
      </c>
      <c r="I49" s="18">
        <v>0.4480582393012022</v>
      </c>
      <c r="J49" s="19">
        <f t="shared" si="1"/>
        <v>486.18390844884385</v>
      </c>
      <c r="K49" s="19">
        <f t="shared" si="2"/>
        <v>111.92180213828642</v>
      </c>
      <c r="L49" s="19">
        <f t="shared" si="3"/>
        <v>143.53041714255485</v>
      </c>
      <c r="M49" s="20">
        <f t="shared" si="4"/>
        <v>11397.494816575792</v>
      </c>
    </row>
    <row r="50" spans="1:13" x14ac:dyDescent="0.25">
      <c r="A50" s="3"/>
      <c r="B50" s="3"/>
      <c r="C50" s="3"/>
      <c r="D50" s="3"/>
      <c r="E50" s="3"/>
      <c r="F50" s="21">
        <v>40</v>
      </c>
      <c r="G50" s="16">
        <f t="array" ref="G50:I50">simcorr($B$17:$D$19)</f>
        <v>0.25980537509583423</v>
      </c>
      <c r="H50" s="17">
        <v>-0.54958648678936983</v>
      </c>
      <c r="I50" s="18">
        <v>-1.4924864057434652</v>
      </c>
      <c r="J50" s="19">
        <f t="shared" si="1"/>
        <v>521.67205117404501</v>
      </c>
      <c r="K50" s="19">
        <f t="shared" si="2"/>
        <v>96.245432685663175</v>
      </c>
      <c r="L50" s="19">
        <f t="shared" si="3"/>
        <v>83.611136778821589</v>
      </c>
      <c r="M50" s="20">
        <f t="shared" si="4"/>
        <v>10290.740606151165</v>
      </c>
    </row>
    <row r="51" spans="1:13" x14ac:dyDescent="0.25">
      <c r="A51" s="3"/>
      <c r="B51" s="3"/>
      <c r="C51" s="3"/>
      <c r="D51" s="3"/>
      <c r="E51" s="3"/>
      <c r="F51" s="21">
        <v>41</v>
      </c>
      <c r="G51" s="16">
        <f t="array" ref="G51:I51">simcorr($B$17:$D$19)</f>
        <v>-0.43200553474276515</v>
      </c>
      <c r="H51" s="17">
        <v>0.18641405054101912</v>
      </c>
      <c r="I51" s="18">
        <v>1.0928493108109418</v>
      </c>
      <c r="J51" s="19">
        <f t="shared" si="1"/>
        <v>411.21943569126705</v>
      </c>
      <c r="K51" s="19">
        <f t="shared" si="2"/>
        <v>137.69955136411377</v>
      </c>
      <c r="L51" s="19">
        <f t="shared" si="3"/>
        <v>171.75989765029885</v>
      </c>
      <c r="M51" s="20">
        <f t="shared" si="4"/>
        <v>11807.405064660506</v>
      </c>
    </row>
    <row r="52" spans="1:13" x14ac:dyDescent="0.25">
      <c r="A52" s="3"/>
      <c r="B52" s="3"/>
      <c r="C52" s="3"/>
      <c r="D52" s="3"/>
      <c r="E52" s="3"/>
      <c r="F52" s="21">
        <v>42</v>
      </c>
      <c r="G52" s="16">
        <f t="array" ref="G52:I52">simcorr($B$17:$D$19)</f>
        <v>0.20187651087267347</v>
      </c>
      <c r="H52" s="17">
        <v>-0.55184425910420309</v>
      </c>
      <c r="I52" s="18">
        <v>0.13149129153583944</v>
      </c>
      <c r="J52" s="19">
        <f t="shared" si="1"/>
        <v>511.38234265335092</v>
      </c>
      <c r="K52" s="19">
        <f t="shared" si="2"/>
        <v>96.139742181700925</v>
      </c>
      <c r="L52" s="19">
        <f t="shared" si="3"/>
        <v>131.41953151841903</v>
      </c>
      <c r="M52" s="20">
        <f t="shared" si="4"/>
        <v>11000.369175877922</v>
      </c>
    </row>
    <row r="53" spans="1:13" x14ac:dyDescent="0.25">
      <c r="A53" s="3"/>
      <c r="B53" s="3"/>
      <c r="C53" s="3"/>
      <c r="D53" s="3"/>
      <c r="E53" s="3"/>
      <c r="F53" s="21">
        <v>43</v>
      </c>
      <c r="G53" s="16">
        <f t="array" ref="G53:I53">simcorr($B$17:$D$19)</f>
        <v>-0.32775385224228132</v>
      </c>
      <c r="H53" s="17">
        <v>-1.3072022741783693</v>
      </c>
      <c r="I53" s="18">
        <v>-0.73263888432868507</v>
      </c>
      <c r="J53" s="19">
        <f t="shared" si="1"/>
        <v>426.22990726049937</v>
      </c>
      <c r="K53" s="19">
        <f t="shared" si="2"/>
        <v>66.567061921279944</v>
      </c>
      <c r="L53" s="19">
        <f t="shared" si="3"/>
        <v>103.31331778203651</v>
      </c>
      <c r="M53" s="20">
        <f t="shared" si="4"/>
        <v>8653.1070734619207</v>
      </c>
    </row>
    <row r="54" spans="1:13" x14ac:dyDescent="0.25">
      <c r="A54" s="3"/>
      <c r="B54" s="3"/>
      <c r="C54" s="3"/>
      <c r="D54" s="3"/>
      <c r="E54" s="3"/>
      <c r="F54" s="21">
        <v>44</v>
      </c>
      <c r="G54" s="16">
        <f t="array" ref="G54:I54">simcorr($B$17:$D$19)</f>
        <v>-0.36476769130883763</v>
      </c>
      <c r="H54" s="17">
        <v>-0.99341610459030671</v>
      </c>
      <c r="I54" s="18">
        <v>1.2415553777845134</v>
      </c>
      <c r="J54" s="19">
        <f t="shared" si="1"/>
        <v>420.8388226139736</v>
      </c>
      <c r="K54" s="19">
        <f t="shared" si="2"/>
        <v>77.549237874295088</v>
      </c>
      <c r="L54" s="19">
        <f t="shared" si="3"/>
        <v>179.02164556895389</v>
      </c>
      <c r="M54" s="20">
        <f t="shared" si="4"/>
        <v>10236.124568780688</v>
      </c>
    </row>
    <row r="55" spans="1:13" x14ac:dyDescent="0.25">
      <c r="A55" s="3"/>
      <c r="B55" s="3"/>
      <c r="C55" s="3"/>
      <c r="D55" s="3"/>
      <c r="E55" s="3"/>
      <c r="F55" s="21">
        <v>45</v>
      </c>
      <c r="G55" s="16">
        <f t="array" ref="G55:I55">simcorr($B$17:$D$19)</f>
        <v>-0.58200391899016035</v>
      </c>
      <c r="H55" s="17">
        <v>-0.56524027262285936</v>
      </c>
      <c r="I55" s="18">
        <v>-1.3875693857300941</v>
      </c>
      <c r="J55" s="19">
        <f t="shared" si="1"/>
        <v>390.5448769989415</v>
      </c>
      <c r="K55" s="19">
        <f t="shared" si="2"/>
        <v>95.515032912444497</v>
      </c>
      <c r="L55" s="19">
        <f t="shared" si="3"/>
        <v>86.089913368263794</v>
      </c>
      <c r="M55" s="20">
        <f t="shared" si="4"/>
        <v>8816.8637010962429</v>
      </c>
    </row>
    <row r="56" spans="1:13" x14ac:dyDescent="0.25">
      <c r="A56" s="3"/>
      <c r="B56" s="3"/>
      <c r="C56" s="3"/>
      <c r="D56" s="3"/>
      <c r="E56" s="3"/>
      <c r="F56" s="21">
        <v>46</v>
      </c>
      <c r="G56" s="16">
        <f t="array" ref="G56:I56">simcorr($B$17:$D$19)</f>
        <v>0.60701025910319439</v>
      </c>
      <c r="H56" s="17">
        <v>-1.5541543653520487</v>
      </c>
      <c r="I56" s="18">
        <v>-0.35969230415246661</v>
      </c>
      <c r="J56" s="19">
        <f t="shared" si="1"/>
        <v>587.83252459619996</v>
      </c>
      <c r="K56" s="19">
        <f t="shared" si="2"/>
        <v>59.029146861089089</v>
      </c>
      <c r="L56" s="19">
        <f t="shared" si="3"/>
        <v>114.61952736967646</v>
      </c>
      <c r="M56" s="20">
        <f t="shared" si="4"/>
        <v>10465.389937078393</v>
      </c>
    </row>
    <row r="57" spans="1:13" x14ac:dyDescent="0.25">
      <c r="A57" s="3"/>
      <c r="B57" s="3"/>
      <c r="C57" s="3"/>
      <c r="D57" s="3"/>
      <c r="E57" s="3"/>
      <c r="F57" s="21">
        <v>47</v>
      </c>
      <c r="G57" s="16">
        <f t="array" ref="G57:I57">simcorr($B$17:$D$19)</f>
        <v>0.85183537812506616</v>
      </c>
      <c r="H57" s="17">
        <v>-0.48434914824499092</v>
      </c>
      <c r="I57" s="18">
        <v>-0.22919527949927279</v>
      </c>
      <c r="J57" s="19">
        <f t="shared" si="1"/>
        <v>639.46818643116467</v>
      </c>
      <c r="K57" s="19">
        <f t="shared" si="2"/>
        <v>99.350012022081913</v>
      </c>
      <c r="L57" s="19">
        <f t="shared" si="3"/>
        <v>118.8612448891942</v>
      </c>
      <c r="M57" s="20">
        <f t="shared" si="4"/>
        <v>12339.057890649223</v>
      </c>
    </row>
    <row r="58" spans="1:13" x14ac:dyDescent="0.25">
      <c r="A58" s="3"/>
      <c r="B58" s="3"/>
      <c r="C58" s="3"/>
      <c r="D58" s="3"/>
      <c r="E58" s="3"/>
      <c r="F58" s="21">
        <v>48</v>
      </c>
      <c r="G58" s="16">
        <f t="array" ref="G58:I58">simcorr($B$17:$D$19)</f>
        <v>0.51302749078873755</v>
      </c>
      <c r="H58" s="17">
        <v>5.4400340184808216E-2</v>
      </c>
      <c r="I58" s="18">
        <v>1.0288459800632375</v>
      </c>
      <c r="J58" s="19">
        <f t="shared" si="1"/>
        <v>569.13725731715726</v>
      </c>
      <c r="K58" s="19">
        <f t="shared" si="2"/>
        <v>129.13134184277345</v>
      </c>
      <c r="L58" s="19">
        <f t="shared" si="3"/>
        <v>168.72581247840844</v>
      </c>
      <c r="M58" s="20">
        <f t="shared" si="4"/>
        <v>13297.729354889749</v>
      </c>
    </row>
    <row r="59" spans="1:13" x14ac:dyDescent="0.25">
      <c r="A59" s="3"/>
      <c r="B59" s="3"/>
      <c r="C59" s="3"/>
      <c r="D59" s="3"/>
      <c r="E59" s="3"/>
      <c r="F59" s="21">
        <v>49</v>
      </c>
      <c r="G59" s="16">
        <f t="array" ref="G59:I59">simcorr($B$17:$D$19)</f>
        <v>-1.6593972719902936</v>
      </c>
      <c r="H59" s="17">
        <v>-1.5788036577424824</v>
      </c>
      <c r="I59" s="18">
        <v>0.52858859252129675</v>
      </c>
      <c r="J59" s="19">
        <f t="shared" si="1"/>
        <v>269.62438537365983</v>
      </c>
      <c r="K59" s="19">
        <f t="shared" si="2"/>
        <v>58.32529212508647</v>
      </c>
      <c r="L59" s="19">
        <f t="shared" si="3"/>
        <v>146.78540906567434</v>
      </c>
      <c r="M59" s="20">
        <f t="shared" si="4"/>
        <v>7374.879039503865</v>
      </c>
    </row>
    <row r="60" spans="1:13" x14ac:dyDescent="0.25">
      <c r="A60" s="3"/>
      <c r="B60" s="3"/>
      <c r="C60" s="3"/>
      <c r="D60" s="3"/>
      <c r="E60" s="3"/>
      <c r="F60" s="21">
        <v>50</v>
      </c>
      <c r="G60" s="16">
        <f t="array" ref="G60:I60">simcorr($B$17:$D$19)</f>
        <v>-0.91809360902893711</v>
      </c>
      <c r="H60" s="17">
        <v>-0.79173487299697043</v>
      </c>
      <c r="I60" s="18">
        <v>-2.8943204447139612</v>
      </c>
      <c r="J60" s="19">
        <f t="shared" si="1"/>
        <v>347.91647082897475</v>
      </c>
      <c r="K60" s="19">
        <f t="shared" si="2"/>
        <v>85.546550342116859</v>
      </c>
      <c r="L60" s="19">
        <f t="shared" si="3"/>
        <v>56.58916567029506</v>
      </c>
      <c r="M60" s="20">
        <f t="shared" si="4"/>
        <v>7519.1524811233812</v>
      </c>
    </row>
    <row r="61" spans="1:13" x14ac:dyDescent="0.25">
      <c r="A61" s="3"/>
      <c r="B61" s="3"/>
      <c r="C61" s="3"/>
      <c r="D61" s="3"/>
      <c r="E61" s="3"/>
      <c r="F61" s="21">
        <v>51</v>
      </c>
      <c r="G61" s="16">
        <f t="array" ref="G61:I61">simcorr($B$17:$D$19)</f>
        <v>0.15038033677513848</v>
      </c>
      <c r="H61" s="17">
        <v>0.54132478977736753</v>
      </c>
      <c r="I61" s="18">
        <v>0.48696606541860304</v>
      </c>
      <c r="J61" s="19">
        <f t="shared" si="1"/>
        <v>502.40578042746517</v>
      </c>
      <c r="K61" s="19">
        <f t="shared" si="2"/>
        <v>163.65989744168283</v>
      </c>
      <c r="L61" s="19">
        <f t="shared" si="3"/>
        <v>145.09393732384063</v>
      </c>
      <c r="M61" s="20">
        <f t="shared" si="4"/>
        <v>13163.906464253207</v>
      </c>
    </row>
    <row r="62" spans="1:13" x14ac:dyDescent="0.25">
      <c r="A62" s="3"/>
      <c r="B62" s="3"/>
      <c r="C62" s="3"/>
      <c r="D62" s="3"/>
      <c r="E62" s="3"/>
      <c r="F62" s="21">
        <v>52</v>
      </c>
      <c r="G62" s="16">
        <f t="array" ref="G62:I62">simcorr($B$17:$D$19)</f>
        <v>2.0617613139369597</v>
      </c>
      <c r="H62" s="17">
        <v>2.090305961656922</v>
      </c>
      <c r="I62" s="18">
        <v>1.7423472961213826</v>
      </c>
      <c r="J62" s="19">
        <f t="shared" si="1"/>
        <v>969.44871756705072</v>
      </c>
      <c r="K62" s="19">
        <f t="shared" si="2"/>
        <v>347.78966515314954</v>
      </c>
      <c r="L62" s="19">
        <f t="shared" si="3"/>
        <v>205.81111665098331</v>
      </c>
      <c r="M62" s="20">
        <f t="shared" si="4"/>
        <v>25074.532812852067</v>
      </c>
    </row>
    <row r="63" spans="1:13" x14ac:dyDescent="0.25">
      <c r="A63" s="3"/>
      <c r="B63" s="3"/>
      <c r="C63" s="3"/>
      <c r="D63" s="3"/>
      <c r="E63" s="3"/>
      <c r="F63" s="21">
        <v>53</v>
      </c>
      <c r="G63" s="16">
        <f t="array" ref="G63:I63">simcorr($B$17:$D$19)</f>
        <v>1.7874453784574851</v>
      </c>
      <c r="H63" s="17">
        <v>0.36518516694502623</v>
      </c>
      <c r="I63" s="18">
        <v>-0.62534903524700258</v>
      </c>
      <c r="J63" s="19">
        <f t="shared" si="1"/>
        <v>882.17545745905113</v>
      </c>
      <c r="K63" s="19">
        <f t="shared" si="2"/>
        <v>150.2157535409676</v>
      </c>
      <c r="L63" s="19">
        <f t="shared" si="3"/>
        <v>106.44650567418365</v>
      </c>
      <c r="M63" s="20">
        <f t="shared" si="4"/>
        <v>16418.700556841475</v>
      </c>
    </row>
    <row r="64" spans="1:13" x14ac:dyDescent="0.25">
      <c r="A64" s="3"/>
      <c r="B64" s="3"/>
      <c r="C64" s="3"/>
      <c r="D64" s="3"/>
      <c r="E64" s="3"/>
      <c r="F64" s="21">
        <v>54</v>
      </c>
      <c r="G64" s="16">
        <f t="array" ref="G64:I64">simcorr($B$17:$D$19)</f>
        <v>-1.4188539314450301</v>
      </c>
      <c r="H64" s="17">
        <v>-1.6055996967374337</v>
      </c>
      <c r="I64" s="18">
        <v>-0.46015677617462936</v>
      </c>
      <c r="J64" s="19">
        <f t="shared" si="1"/>
        <v>292.87682218477579</v>
      </c>
      <c r="K64" s="19">
        <f t="shared" si="2"/>
        <v>57.569655123946802</v>
      </c>
      <c r="L64" s="19">
        <f t="shared" si="3"/>
        <v>111.45740815456473</v>
      </c>
      <c r="M64" s="20">
        <f t="shared" si="4"/>
        <v>7003.8638582612693</v>
      </c>
    </row>
    <row r="65" spans="1:13" x14ac:dyDescent="0.25">
      <c r="A65" s="3"/>
      <c r="B65" s="3"/>
      <c r="C65" s="3"/>
      <c r="D65" s="3"/>
      <c r="E65" s="3"/>
      <c r="F65" s="21">
        <v>55</v>
      </c>
      <c r="G65" s="16">
        <f t="array" ref="G65:I65">simcorr($B$17:$D$19)</f>
        <v>-0.4706027649796633</v>
      </c>
      <c r="H65" s="17">
        <v>0.37712085416955354</v>
      </c>
      <c r="I65" s="18">
        <v>-1.9973960571698784E-3</v>
      </c>
      <c r="J65" s="19">
        <f t="shared" si="1"/>
        <v>405.79718133404634</v>
      </c>
      <c r="K65" s="19">
        <f t="shared" si="2"/>
        <v>151.09081604751427</v>
      </c>
      <c r="L65" s="19">
        <f t="shared" si="3"/>
        <v>126.62412481200165</v>
      </c>
      <c r="M65" s="20">
        <f t="shared" si="4"/>
        <v>11364.177009556688</v>
      </c>
    </row>
    <row r="66" spans="1:13" x14ac:dyDescent="0.25">
      <c r="A66" s="3"/>
      <c r="B66" s="3"/>
      <c r="C66" s="3"/>
      <c r="D66" s="3"/>
      <c r="E66" s="3"/>
      <c r="F66" s="21">
        <v>56</v>
      </c>
      <c r="G66" s="16">
        <f t="array" ref="G66:I66">simcorr($B$17:$D$19)</f>
        <v>-0.10592854876689151</v>
      </c>
      <c r="H66" s="17">
        <v>-0.98710287078732339</v>
      </c>
      <c r="I66" s="18">
        <v>2.2575233904000319E-2</v>
      </c>
      <c r="J66" s="19">
        <f t="shared" si="1"/>
        <v>460.01729804046192</v>
      </c>
      <c r="K66" s="19">
        <f t="shared" si="2"/>
        <v>77.787860151409078</v>
      </c>
      <c r="L66" s="19">
        <f t="shared" si="3"/>
        <v>127.49353071530665</v>
      </c>
      <c r="M66" s="20">
        <f t="shared" si="4"/>
        <v>9795.2619110056239</v>
      </c>
    </row>
    <row r="67" spans="1:13" x14ac:dyDescent="0.25">
      <c r="A67" s="3"/>
      <c r="B67" s="3"/>
      <c r="C67" s="3"/>
      <c r="D67" s="3"/>
      <c r="E67" s="3"/>
      <c r="F67" s="21">
        <v>57</v>
      </c>
      <c r="G67" s="16">
        <f t="array" ref="G67:I67">simcorr($B$17:$D$19)</f>
        <v>0.49414398590738828</v>
      </c>
      <c r="H67" s="17">
        <v>0.52521014806392208</v>
      </c>
      <c r="I67" s="18">
        <v>1.8674235238473482</v>
      </c>
      <c r="J67" s="19">
        <f t="shared" si="1"/>
        <v>565.45325868548912</v>
      </c>
      <c r="K67" s="19">
        <f t="shared" si="2"/>
        <v>162.38147200378293</v>
      </c>
      <c r="L67" s="19">
        <f t="shared" si="3"/>
        <v>213.10563124140856</v>
      </c>
      <c r="M67" s="20">
        <f t="shared" si="4"/>
        <v>15025.215078030766</v>
      </c>
    </row>
    <row r="68" spans="1:13" x14ac:dyDescent="0.25">
      <c r="A68" s="3"/>
      <c r="B68" s="3"/>
      <c r="C68" s="3"/>
      <c r="D68" s="3"/>
      <c r="E68" s="3"/>
      <c r="F68" s="21">
        <v>58</v>
      </c>
      <c r="G68" s="16">
        <f t="array" ref="G68:I68">simcorr($B$17:$D$19)</f>
        <v>-0.42800771821824346</v>
      </c>
      <c r="H68" s="17">
        <v>-1.1978784779190692</v>
      </c>
      <c r="I68" s="18">
        <v>-3.3678380141305597</v>
      </c>
      <c r="J68" s="19">
        <f t="shared" si="1"/>
        <v>411.78518534481447</v>
      </c>
      <c r="K68" s="19">
        <f t="shared" si="2"/>
        <v>70.204472013333799</v>
      </c>
      <c r="L68" s="19">
        <f t="shared" si="3"/>
        <v>49.598487267722973</v>
      </c>
      <c r="M68" s="20">
        <f t="shared" si="4"/>
        <v>7665.0268673273467</v>
      </c>
    </row>
    <row r="69" spans="1:13" x14ac:dyDescent="0.25">
      <c r="A69" s="3"/>
      <c r="B69" s="3"/>
      <c r="C69" s="3"/>
      <c r="D69" s="3"/>
      <c r="E69" s="3"/>
      <c r="F69" s="21">
        <v>59</v>
      </c>
      <c r="G69" s="16">
        <f t="array" ref="G69:I69">simcorr($B$17:$D$19)</f>
        <v>-1.0483402456080271</v>
      </c>
      <c r="H69" s="17">
        <v>-2.7715494164835652E-2</v>
      </c>
      <c r="I69" s="18">
        <v>-0.40475221848420778</v>
      </c>
      <c r="J69" s="19">
        <f t="shared" si="1"/>
        <v>332.67662108296992</v>
      </c>
      <c r="K69" s="19">
        <f t="shared" si="2"/>
        <v>124.07281317330474</v>
      </c>
      <c r="L69" s="19">
        <f t="shared" si="3"/>
        <v>113.19032095307001</v>
      </c>
      <c r="M69" s="20">
        <f t="shared" si="4"/>
        <v>9485.6003524465232</v>
      </c>
    </row>
    <row r="70" spans="1:13" x14ac:dyDescent="0.25">
      <c r="A70" s="3"/>
      <c r="B70" s="3"/>
      <c r="C70" s="3"/>
      <c r="D70" s="3"/>
      <c r="E70" s="3"/>
      <c r="F70" s="21">
        <v>60</v>
      </c>
      <c r="G70" s="16">
        <f t="array" ref="G70:I70">simcorr($B$17:$D$19)</f>
        <v>-1.2127857642147313</v>
      </c>
      <c r="H70" s="17">
        <v>-0.7667085440381286</v>
      </c>
      <c r="I70" s="18">
        <v>-2.4616306140800446</v>
      </c>
      <c r="J70" s="19">
        <f t="shared" si="1"/>
        <v>314.38504111225444</v>
      </c>
      <c r="K70" s="19">
        <f t="shared" si="2"/>
        <v>86.594791557425424</v>
      </c>
      <c r="L70" s="19">
        <f t="shared" si="3"/>
        <v>63.83526229680794</v>
      </c>
      <c r="M70" s="20">
        <f t="shared" si="4"/>
        <v>7294.1705548485388</v>
      </c>
    </row>
    <row r="71" spans="1:13" x14ac:dyDescent="0.25">
      <c r="A71" s="3"/>
      <c r="B71" s="3"/>
      <c r="C71" s="3"/>
      <c r="D71" s="3"/>
      <c r="E71" s="3"/>
      <c r="F71" s="21">
        <v>61</v>
      </c>
      <c r="G71" s="16">
        <f t="array" ref="G71:I71">simcorr($B$17:$D$19)</f>
        <v>-1.2937296512901606</v>
      </c>
      <c r="H71" s="17">
        <v>-0.75745980109199096</v>
      </c>
      <c r="I71" s="18">
        <v>-1.3188239072036856</v>
      </c>
      <c r="J71" s="19">
        <f t="shared" si="1"/>
        <v>305.75436976651309</v>
      </c>
      <c r="K71" s="19">
        <f t="shared" si="2"/>
        <v>86.985422338329315</v>
      </c>
      <c r="L71" s="19">
        <f t="shared" si="3"/>
        <v>87.753815215483328</v>
      </c>
      <c r="M71" s="20">
        <f t="shared" si="4"/>
        <v>7622.8154123291843</v>
      </c>
    </row>
    <row r="72" spans="1:13" x14ac:dyDescent="0.25">
      <c r="A72" s="3"/>
      <c r="B72" s="3"/>
      <c r="C72" s="3"/>
      <c r="D72" s="3"/>
      <c r="E72" s="3"/>
      <c r="F72" s="21">
        <v>62</v>
      </c>
      <c r="G72" s="16">
        <f t="array" ref="G72:I72">simcorr($B$17:$D$19)</f>
        <v>-1.1460933016158039</v>
      </c>
      <c r="H72" s="17">
        <v>2.244135578547215</v>
      </c>
      <c r="I72" s="18">
        <v>0.66684796024264115</v>
      </c>
      <c r="J72" s="19">
        <f t="shared" si="1"/>
        <v>321.67890625762573</v>
      </c>
      <c r="K72" s="19">
        <f t="shared" si="2"/>
        <v>374.82477296049524</v>
      </c>
      <c r="L72" s="19">
        <f t="shared" si="3"/>
        <v>152.54686534403692</v>
      </c>
      <c r="M72" s="20">
        <f t="shared" si="4"/>
        <v>17576.684395394655</v>
      </c>
    </row>
    <row r="73" spans="1:13" x14ac:dyDescent="0.25">
      <c r="A73" s="3"/>
      <c r="B73" s="3"/>
      <c r="C73" s="3"/>
      <c r="D73" s="3"/>
      <c r="E73" s="3"/>
      <c r="F73" s="21">
        <v>63</v>
      </c>
      <c r="G73" s="16">
        <f t="array" ref="G73:I73">simcorr($B$17:$D$19)</f>
        <v>9.4501136638818154E-3</v>
      </c>
      <c r="H73" s="17">
        <v>0.37144820799254863</v>
      </c>
      <c r="I73" s="18">
        <v>9.4332878192111544E-2</v>
      </c>
      <c r="J73" s="19">
        <f t="shared" si="1"/>
        <v>478.63703092973503</v>
      </c>
      <c r="K73" s="19">
        <f t="shared" si="2"/>
        <v>150.67429331272007</v>
      </c>
      <c r="L73" s="19">
        <f t="shared" si="3"/>
        <v>130.06671178071682</v>
      </c>
      <c r="M73" s="20">
        <f t="shared" si="4"/>
        <v>12241.88219844812</v>
      </c>
    </row>
    <row r="74" spans="1:13" x14ac:dyDescent="0.25">
      <c r="A74" s="3"/>
      <c r="B74" s="3"/>
      <c r="C74" s="3"/>
      <c r="D74" s="3"/>
      <c r="E74" s="3"/>
      <c r="F74" s="21">
        <v>64</v>
      </c>
      <c r="G74" s="16">
        <f t="array" ref="G74:I74">simcorr($B$17:$D$19)</f>
        <v>2.252066039397056</v>
      </c>
      <c r="H74" s="17">
        <v>1.689020363018815</v>
      </c>
      <c r="I74" s="18">
        <v>-6.9268153868182747E-2</v>
      </c>
      <c r="J74" s="19">
        <f t="shared" si="1"/>
        <v>1035.0167906705262</v>
      </c>
      <c r="K74" s="19">
        <f t="shared" si="2"/>
        <v>286.0919774430439</v>
      </c>
      <c r="L74" s="19">
        <f t="shared" si="3"/>
        <v>124.27422565526928</v>
      </c>
      <c r="M74" s="20">
        <f t="shared" si="4"/>
        <v>22552.788029389187</v>
      </c>
    </row>
    <row r="75" spans="1:13" x14ac:dyDescent="0.25">
      <c r="A75" s="3"/>
      <c r="B75" s="3"/>
      <c r="C75" s="3"/>
      <c r="D75" s="3"/>
      <c r="E75" s="3"/>
      <c r="F75" s="21">
        <v>65</v>
      </c>
      <c r="G75" s="16">
        <f t="array" ref="G75:I75">simcorr($B$17:$D$19)</f>
        <v>0.3438941152425905</v>
      </c>
      <c r="H75" s="17">
        <v>0.96143819961109112</v>
      </c>
      <c r="I75" s="18">
        <v>0.5001488977163222</v>
      </c>
      <c r="J75" s="19">
        <f t="shared" si="1"/>
        <v>536.97796355831804</v>
      </c>
      <c r="K75" s="19">
        <f t="shared" si="2"/>
        <v>200.78556720109367</v>
      </c>
      <c r="L75" s="19">
        <f t="shared" si="3"/>
        <v>145.62754634687454</v>
      </c>
      <c r="M75" s="20">
        <f t="shared" si="4"/>
        <v>14682.658963686374</v>
      </c>
    </row>
    <row r="76" spans="1:13" x14ac:dyDescent="0.25">
      <c r="A76" s="3"/>
      <c r="B76" s="3"/>
      <c r="C76" s="3"/>
      <c r="D76" s="3"/>
      <c r="E76" s="3"/>
      <c r="F76" s="21">
        <v>66</v>
      </c>
      <c r="G76" s="16">
        <f t="array" ref="G76:I76">simcorr($B$17:$D$19)</f>
        <v>-1.6625542700628786</v>
      </c>
      <c r="H76" s="17">
        <v>-2.5120632729364645</v>
      </c>
      <c r="I76" s="18">
        <v>-0.64427164317008268</v>
      </c>
      <c r="J76" s="19">
        <f t="shared" ref="J76:J110" si="7">B$7*EXP(B$8*$B$10+B$9*SQRT($B$10)*G76)</f>
        <v>269.33181726705754</v>
      </c>
      <c r="K76" s="19">
        <f t="shared" ref="K76:K110" si="8">C$7*EXP(C$8*$B$10+C$9*SQRT($B$10)*H76)</f>
        <v>37.035155601687578</v>
      </c>
      <c r="L76" s="19">
        <f t="shared" ref="L76:L110" si="9">D$7*EXP(D$8*$B$10+D$9*SQRT($B$10)*I76)</f>
        <v>105.88708759983525</v>
      </c>
      <c r="M76" s="20">
        <f t="shared" ref="M76:M110" si="10">SUMPRODUCT($B$13:$D$13,J76:L76)</f>
        <v>6021.8101361264935</v>
      </c>
    </row>
    <row r="77" spans="1:13" x14ac:dyDescent="0.25">
      <c r="A77" s="3"/>
      <c r="B77" s="3"/>
      <c r="C77" s="3"/>
      <c r="D77" s="3"/>
      <c r="E77" s="3"/>
      <c r="F77" s="21">
        <v>67</v>
      </c>
      <c r="G77" s="16">
        <f t="array" ref="G77:I77">simcorr($B$17:$D$19)</f>
        <v>1.2312696689290543</v>
      </c>
      <c r="H77" s="17">
        <v>1.3378861315045034</v>
      </c>
      <c r="I77" s="18">
        <v>-1.198105239783976</v>
      </c>
      <c r="J77" s="19">
        <f t="shared" si="7"/>
        <v>728.5989469076078</v>
      </c>
      <c r="K77" s="19">
        <f t="shared" si="8"/>
        <v>241.15378809152634</v>
      </c>
      <c r="L77" s="19">
        <f t="shared" si="9"/>
        <v>90.753863467922187</v>
      </c>
      <c r="M77" s="20">
        <f t="shared" si="10"/>
        <v>17127.270835764451</v>
      </c>
    </row>
    <row r="78" spans="1:13" x14ac:dyDescent="0.25">
      <c r="A78" s="3"/>
      <c r="B78" s="3"/>
      <c r="C78" s="3"/>
      <c r="D78" s="3"/>
      <c r="E78" s="3"/>
      <c r="F78" s="21">
        <v>68</v>
      </c>
      <c r="G78" s="16">
        <f t="array" ref="G78:I78">simcorr($B$17:$D$19)</f>
        <v>0.11968166297097728</v>
      </c>
      <c r="H78" s="17">
        <v>-0.13068687146452324</v>
      </c>
      <c r="I78" s="18">
        <v>0.49466422660047027</v>
      </c>
      <c r="J78" s="19">
        <f t="shared" si="7"/>
        <v>497.12968041334773</v>
      </c>
      <c r="K78" s="19">
        <f t="shared" si="8"/>
        <v>118.00864210742802</v>
      </c>
      <c r="L78" s="19">
        <f t="shared" si="9"/>
        <v>145.40530220876335</v>
      </c>
      <c r="M78" s="20">
        <f t="shared" si="10"/>
        <v>11737.702578946355</v>
      </c>
    </row>
    <row r="79" spans="1:13" x14ac:dyDescent="0.25">
      <c r="A79" s="3"/>
      <c r="B79" s="3"/>
      <c r="C79" s="3"/>
      <c r="D79" s="3"/>
      <c r="E79" s="3"/>
      <c r="F79" s="21">
        <v>69</v>
      </c>
      <c r="G79" s="16">
        <f t="array" ref="G79:I79">simcorr($B$17:$D$19)</f>
        <v>0.97112581701334733</v>
      </c>
      <c r="H79" s="17">
        <v>0.26952199222552353</v>
      </c>
      <c r="I79" s="18">
        <v>-0.30235610391798784</v>
      </c>
      <c r="J79" s="19">
        <f t="shared" si="7"/>
        <v>666.24706866657391</v>
      </c>
      <c r="K79" s="19">
        <f t="shared" si="8"/>
        <v>143.38286038298332</v>
      </c>
      <c r="L79" s="19">
        <f t="shared" si="9"/>
        <v>116.46423228966118</v>
      </c>
      <c r="M79" s="20">
        <f t="shared" si="10"/>
        <v>13925.579683408567</v>
      </c>
    </row>
    <row r="80" spans="1:13" x14ac:dyDescent="0.25">
      <c r="A80" s="3"/>
      <c r="B80" s="3"/>
      <c r="C80" s="3"/>
      <c r="D80" s="3"/>
      <c r="E80" s="3"/>
      <c r="F80" s="21">
        <v>70</v>
      </c>
      <c r="G80" s="16">
        <f t="array" ref="G80:I80">simcorr($B$17:$D$19)</f>
        <v>-0.78791213068402355</v>
      </c>
      <c r="H80" s="17">
        <v>-1.5640929652034294</v>
      </c>
      <c r="I80" s="18">
        <v>-0.37350061492739028</v>
      </c>
      <c r="J80" s="19">
        <f t="shared" si="7"/>
        <v>363.84630198257088</v>
      </c>
      <c r="K80" s="19">
        <f t="shared" si="8"/>
        <v>58.744336263633933</v>
      </c>
      <c r="L80" s="19">
        <f t="shared" si="9"/>
        <v>114.17964933719037</v>
      </c>
      <c r="M80" s="20">
        <f t="shared" si="10"/>
        <v>7895.540447061232</v>
      </c>
    </row>
    <row r="81" spans="1:13" x14ac:dyDescent="0.25">
      <c r="A81" s="3"/>
      <c r="B81" s="3"/>
      <c r="C81" s="3"/>
      <c r="D81" s="3"/>
      <c r="E81" s="3"/>
      <c r="F81" s="21">
        <v>71</v>
      </c>
      <c r="G81" s="16">
        <f t="array" ref="G81:I81">simcorr($B$17:$D$19)</f>
        <v>0.13357714417174951</v>
      </c>
      <c r="H81" s="17">
        <v>1.3429639767071015</v>
      </c>
      <c r="I81" s="18">
        <v>0.97848198786576135</v>
      </c>
      <c r="J81" s="19">
        <f t="shared" si="7"/>
        <v>499.51096110333606</v>
      </c>
      <c r="K81" s="19">
        <f t="shared" si="8"/>
        <v>241.75044478249933</v>
      </c>
      <c r="L81" s="19">
        <f t="shared" si="9"/>
        <v>166.37603009131195</v>
      </c>
      <c r="M81" s="20">
        <f t="shared" si="10"/>
        <v>15846.433024165295</v>
      </c>
    </row>
    <row r="82" spans="1:13" x14ac:dyDescent="0.25">
      <c r="A82" s="3"/>
      <c r="B82" s="3"/>
      <c r="C82" s="3"/>
      <c r="D82" s="3"/>
      <c r="E82" s="3"/>
      <c r="F82" s="21">
        <v>72</v>
      </c>
      <c r="G82" s="16">
        <f t="array" ref="G82:I82">simcorr($B$17:$D$19)</f>
        <v>0.74630143641469116</v>
      </c>
      <c r="H82" s="17">
        <v>1.6687384768747422</v>
      </c>
      <c r="I82" s="18">
        <v>1.5887464175708796</v>
      </c>
      <c r="J82" s="19">
        <f t="shared" si="7"/>
        <v>616.67614279490999</v>
      </c>
      <c r="K82" s="19">
        <f t="shared" si="8"/>
        <v>283.28210390105687</v>
      </c>
      <c r="L82" s="19">
        <f t="shared" si="9"/>
        <v>197.19373029926723</v>
      </c>
      <c r="M82" s="20">
        <f t="shared" si="10"/>
        <v>18965.023765020971</v>
      </c>
    </row>
    <row r="83" spans="1:13" x14ac:dyDescent="0.25">
      <c r="A83" s="3"/>
      <c r="B83" s="3"/>
      <c r="C83" s="3"/>
      <c r="D83" s="3"/>
      <c r="E83" s="3"/>
      <c r="F83" s="21">
        <v>73</v>
      </c>
      <c r="G83" s="16">
        <f t="array" ref="G83:I83">simcorr($B$17:$D$19)</f>
        <v>-0.98640422329878785</v>
      </c>
      <c r="H83" s="17">
        <v>-5.8901047031436227E-2</v>
      </c>
      <c r="I83" s="18">
        <v>-0.80146761134290179</v>
      </c>
      <c r="J83" s="19">
        <f t="shared" si="7"/>
        <v>339.83852006408523</v>
      </c>
      <c r="K83" s="19">
        <f t="shared" si="8"/>
        <v>122.20405544435607</v>
      </c>
      <c r="L83" s="19">
        <f t="shared" si="9"/>
        <v>101.35204236139472</v>
      </c>
      <c r="M83" s="20">
        <f t="shared" si="10"/>
        <v>9305.5587268610798</v>
      </c>
    </row>
    <row r="84" spans="1:13" x14ac:dyDescent="0.25">
      <c r="A84" s="3"/>
      <c r="B84" s="3"/>
      <c r="C84" s="3"/>
      <c r="D84" s="3"/>
      <c r="E84" s="3"/>
      <c r="F84" s="21">
        <v>74</v>
      </c>
      <c r="G84" s="16">
        <f t="array" ref="G84:I84">simcorr($B$17:$D$19)</f>
        <v>0.47365626099085545</v>
      </c>
      <c r="H84" s="17">
        <v>0.20814466984991939</v>
      </c>
      <c r="I84" s="18">
        <v>6.6722499268686591E-2</v>
      </c>
      <c r="J84" s="19">
        <f t="shared" si="7"/>
        <v>561.48325763209323</v>
      </c>
      <c r="K84" s="19">
        <f t="shared" si="8"/>
        <v>139.16347114350705</v>
      </c>
      <c r="L84" s="19">
        <f t="shared" si="9"/>
        <v>129.07053168288732</v>
      </c>
      <c r="M84" s="20">
        <f t="shared" si="10"/>
        <v>12823.301906204908</v>
      </c>
    </row>
    <row r="85" spans="1:13" x14ac:dyDescent="0.25">
      <c r="A85" s="3"/>
      <c r="B85" s="3"/>
      <c r="C85" s="3"/>
      <c r="D85" s="3"/>
      <c r="E85" s="3"/>
      <c r="F85" s="21">
        <v>75</v>
      </c>
      <c r="G85" s="16">
        <f t="array" ref="G85:I85">simcorr($B$17:$D$19)</f>
        <v>-0.93807558778665034</v>
      </c>
      <c r="H85" s="17">
        <v>-2.1797684576069116</v>
      </c>
      <c r="I85" s="18">
        <v>-1.265953812329615</v>
      </c>
      <c r="J85" s="19">
        <f t="shared" si="7"/>
        <v>345.53386948621119</v>
      </c>
      <c r="K85" s="19">
        <f t="shared" si="8"/>
        <v>43.535555272606345</v>
      </c>
      <c r="L85" s="19">
        <f t="shared" si="9"/>
        <v>89.05531690587722</v>
      </c>
      <c r="M85" s="20">
        <f t="shared" si="10"/>
        <v>6793.6144793886451</v>
      </c>
    </row>
    <row r="86" spans="1:13" x14ac:dyDescent="0.25">
      <c r="A86" s="3"/>
      <c r="B86" s="3"/>
      <c r="C86" s="3"/>
      <c r="D86" s="3"/>
      <c r="E86" s="3"/>
      <c r="F86" s="21">
        <v>76</v>
      </c>
      <c r="G86" s="16">
        <f t="array" ref="G86:I86">simcorr($B$17:$D$19)</f>
        <v>-0.22988113311420416</v>
      </c>
      <c r="H86" s="17">
        <v>-0.720392090617896</v>
      </c>
      <c r="I86" s="18">
        <v>1.4032134111831875</v>
      </c>
      <c r="J86" s="19">
        <f t="shared" si="7"/>
        <v>440.82020273509198</v>
      </c>
      <c r="K86" s="19">
        <f t="shared" si="8"/>
        <v>88.568781671686594</v>
      </c>
      <c r="L86" s="19">
        <f t="shared" si="9"/>
        <v>187.26458974067413</v>
      </c>
      <c r="M86" s="20">
        <f t="shared" si="10"/>
        <v>10938.106555891813</v>
      </c>
    </row>
    <row r="87" spans="1:13" x14ac:dyDescent="0.25">
      <c r="A87" s="3"/>
      <c r="B87" s="3"/>
      <c r="C87" s="3"/>
      <c r="D87" s="3"/>
      <c r="E87" s="3"/>
      <c r="F87" s="21">
        <v>77</v>
      </c>
      <c r="G87" s="16">
        <f t="array" ref="G87:I87">simcorr($B$17:$D$19)</f>
        <v>0.1356512397848128</v>
      </c>
      <c r="H87" s="17">
        <v>2.1281374263835433</v>
      </c>
      <c r="I87" s="18">
        <v>-0.24971662390814714</v>
      </c>
      <c r="J87" s="19">
        <f t="shared" si="7"/>
        <v>499.86737770017993</v>
      </c>
      <c r="K87" s="19">
        <f t="shared" si="8"/>
        <v>354.25197877219966</v>
      </c>
      <c r="L87" s="19">
        <f t="shared" si="9"/>
        <v>118.18395655655839</v>
      </c>
      <c r="M87" s="20">
        <f t="shared" si="10"/>
        <v>18393.496063579987</v>
      </c>
    </row>
    <row r="88" spans="1:13" x14ac:dyDescent="0.25">
      <c r="A88" s="3"/>
      <c r="B88" s="3"/>
      <c r="C88" s="3"/>
      <c r="D88" s="3"/>
      <c r="E88" s="3"/>
      <c r="F88" s="21">
        <v>78</v>
      </c>
      <c r="G88" s="16">
        <f t="array" ref="G88:I88">simcorr($B$17:$D$19)</f>
        <v>0.29818629063839003</v>
      </c>
      <c r="H88" s="17">
        <v>-0.60771290380033316</v>
      </c>
      <c r="I88" s="18">
        <v>1.1145255555008697</v>
      </c>
      <c r="J88" s="19">
        <f t="shared" si="7"/>
        <v>528.60329905296794</v>
      </c>
      <c r="K88" s="19">
        <f t="shared" si="8"/>
        <v>93.561077578792194</v>
      </c>
      <c r="L88" s="19">
        <f t="shared" si="9"/>
        <v>172.79978185063368</v>
      </c>
      <c r="M88" s="20">
        <f t="shared" si="10"/>
        <v>11837.73776247635</v>
      </c>
    </row>
    <row r="89" spans="1:13" x14ac:dyDescent="0.25">
      <c r="A89" s="3"/>
      <c r="B89" s="3"/>
      <c r="C89" s="3"/>
      <c r="D89" s="3"/>
      <c r="E89" s="3"/>
      <c r="F89" s="21">
        <v>79</v>
      </c>
      <c r="G89" s="16">
        <f t="array" ref="G89:I89">simcorr($B$17:$D$19)</f>
        <v>-1.2499843599854488</v>
      </c>
      <c r="H89" s="17">
        <v>-0.70074453671564851</v>
      </c>
      <c r="I89" s="18">
        <v>0.42449394414303554</v>
      </c>
      <c r="J89" s="19">
        <f t="shared" si="7"/>
        <v>310.3888821962675</v>
      </c>
      <c r="K89" s="19">
        <f t="shared" si="8"/>
        <v>89.419687138587932</v>
      </c>
      <c r="L89" s="19">
        <f t="shared" si="9"/>
        <v>142.59168411039349</v>
      </c>
      <c r="M89" s="20">
        <f t="shared" si="10"/>
        <v>8700.9552996183247</v>
      </c>
    </row>
    <row r="90" spans="1:13" x14ac:dyDescent="0.25">
      <c r="A90" s="3"/>
      <c r="B90" s="3"/>
      <c r="C90" s="3"/>
      <c r="D90" s="3"/>
      <c r="E90" s="3"/>
      <c r="F90" s="21">
        <v>80</v>
      </c>
      <c r="G90" s="16">
        <f t="array" ref="G90:I90">simcorr($B$17:$D$19)</f>
        <v>-1.2144454585421585</v>
      </c>
      <c r="H90" s="17">
        <v>-1.1865671482533491</v>
      </c>
      <c r="I90" s="18">
        <v>-4.7572015451729288E-2</v>
      </c>
      <c r="J90" s="19">
        <f t="shared" si="7"/>
        <v>314.20565233185027</v>
      </c>
      <c r="K90" s="19">
        <f t="shared" si="8"/>
        <v>70.591987053344397</v>
      </c>
      <c r="L90" s="19">
        <f t="shared" si="9"/>
        <v>125.02731044310038</v>
      </c>
      <c r="M90" s="20">
        <f t="shared" si="10"/>
        <v>7873.8700244887223</v>
      </c>
    </row>
    <row r="91" spans="1:13" x14ac:dyDescent="0.25">
      <c r="A91" s="3"/>
      <c r="B91" s="3"/>
      <c r="C91" s="3"/>
      <c r="D91" s="3"/>
      <c r="E91" s="3"/>
      <c r="F91" s="21">
        <v>81</v>
      </c>
      <c r="G91" s="16">
        <f t="array" ref="G91:I91">simcorr($B$17:$D$19)</f>
        <v>-0.6367479851371175</v>
      </c>
      <c r="H91" s="17">
        <v>4.2169421990528477E-2</v>
      </c>
      <c r="I91" s="18">
        <v>1.176777171872937</v>
      </c>
      <c r="J91" s="19">
        <f t="shared" si="7"/>
        <v>383.26111833719455</v>
      </c>
      <c r="K91" s="19">
        <f t="shared" si="8"/>
        <v>128.36501658941626</v>
      </c>
      <c r="L91" s="19">
        <f t="shared" si="9"/>
        <v>175.82134207410357</v>
      </c>
      <c r="M91" s="20">
        <f t="shared" si="10"/>
        <v>11278.745557820468</v>
      </c>
    </row>
    <row r="92" spans="1:13" x14ac:dyDescent="0.25">
      <c r="A92" s="3"/>
      <c r="B92" s="3"/>
      <c r="C92" s="3"/>
      <c r="D92" s="3"/>
      <c r="E92" s="3"/>
      <c r="F92" s="21">
        <v>82</v>
      </c>
      <c r="G92" s="16">
        <f t="array" ref="G92:I92">simcorr($B$17:$D$19)</f>
        <v>-0.26878239311943702</v>
      </c>
      <c r="H92" s="17">
        <v>-1.3303910186108374</v>
      </c>
      <c r="I92" s="18">
        <v>0.50067418569418809</v>
      </c>
      <c r="J92" s="19">
        <f t="shared" si="7"/>
        <v>434.96215888933523</v>
      </c>
      <c r="K92" s="19">
        <f t="shared" si="8"/>
        <v>65.82009264363532</v>
      </c>
      <c r="L92" s="19">
        <f t="shared" si="9"/>
        <v>145.64884933626723</v>
      </c>
      <c r="M92" s="20">
        <f t="shared" si="10"/>
        <v>9465.3111992906961</v>
      </c>
    </row>
    <row r="93" spans="1:13" x14ac:dyDescent="0.25">
      <c r="A93" s="3"/>
      <c r="B93" s="3"/>
      <c r="C93" s="3"/>
      <c r="D93" s="3"/>
      <c r="E93" s="3"/>
      <c r="F93" s="21">
        <v>83</v>
      </c>
      <c r="G93" s="16">
        <f t="array" ref="G93:I93">simcorr($B$17:$D$19)</f>
        <v>0.69373824887277469</v>
      </c>
      <c r="H93" s="17">
        <v>0.44899415791246922</v>
      </c>
      <c r="I93" s="18">
        <v>1.791602509280398</v>
      </c>
      <c r="J93" s="19">
        <f t="shared" si="7"/>
        <v>605.62903094700812</v>
      </c>
      <c r="K93" s="19">
        <f t="shared" si="8"/>
        <v>156.4690194374098</v>
      </c>
      <c r="L93" s="19">
        <f t="shared" si="9"/>
        <v>208.65342094141994</v>
      </c>
      <c r="M93" s="20">
        <f t="shared" si="10"/>
        <v>15228.329248595366</v>
      </c>
    </row>
    <row r="94" spans="1:13" x14ac:dyDescent="0.25">
      <c r="A94" s="3"/>
      <c r="B94" s="3"/>
      <c r="C94" s="3"/>
      <c r="D94" s="3"/>
      <c r="E94" s="3"/>
      <c r="F94" s="21">
        <v>84</v>
      </c>
      <c r="G94" s="16">
        <f t="array" ref="G94:I94">simcorr($B$17:$D$19)</f>
        <v>-0.42263785956613026</v>
      </c>
      <c r="H94" s="17">
        <v>-0.39333689887212125</v>
      </c>
      <c r="I94" s="18">
        <v>-0.8117190273117999</v>
      </c>
      <c r="J94" s="19">
        <f t="shared" si="7"/>
        <v>412.54632414988629</v>
      </c>
      <c r="K94" s="19">
        <f t="shared" si="8"/>
        <v>103.84921068197292</v>
      </c>
      <c r="L94" s="19">
        <f t="shared" si="9"/>
        <v>101.06313113026067</v>
      </c>
      <c r="M94" s="20">
        <f t="shared" si="10"/>
        <v>9578.0628613428744</v>
      </c>
    </row>
    <row r="95" spans="1:13" x14ac:dyDescent="0.25">
      <c r="A95" s="3"/>
      <c r="B95" s="3"/>
      <c r="C95" s="3"/>
      <c r="D95" s="3"/>
      <c r="E95" s="3"/>
      <c r="F95" s="21">
        <v>85</v>
      </c>
      <c r="G95" s="16">
        <f t="array" ref="G95:I95">simcorr($B$17:$D$19)</f>
        <v>-1.9345764471079243</v>
      </c>
      <c r="H95" s="17">
        <v>-2.161653225264057</v>
      </c>
      <c r="I95" s="18">
        <v>-0.71037226976149015</v>
      </c>
      <c r="J95" s="19">
        <f t="shared" si="7"/>
        <v>245.27900268824285</v>
      </c>
      <c r="K95" s="19">
        <f t="shared" si="8"/>
        <v>43.921049586266413</v>
      </c>
      <c r="L95" s="19">
        <f t="shared" si="9"/>
        <v>103.95589510815375</v>
      </c>
      <c r="M95" s="20">
        <f t="shared" si="10"/>
        <v>5920.9196010221358</v>
      </c>
    </row>
    <row r="96" spans="1:13" x14ac:dyDescent="0.25">
      <c r="A96" s="3"/>
      <c r="B96" s="3"/>
      <c r="C96" s="3"/>
      <c r="D96" s="3"/>
      <c r="E96" s="3"/>
      <c r="F96" s="21">
        <v>86</v>
      </c>
      <c r="G96" s="16">
        <f t="array" ref="G96:I96">simcorr($B$17:$D$19)</f>
        <v>-1.8087428905523451</v>
      </c>
      <c r="H96" s="17">
        <v>-0.63798548458086624</v>
      </c>
      <c r="I96" s="18">
        <v>-1.4558747985753309</v>
      </c>
      <c r="J96" s="19">
        <f t="shared" si="7"/>
        <v>256.1261804680579</v>
      </c>
      <c r="K96" s="19">
        <f t="shared" si="8"/>
        <v>92.192832724023745</v>
      </c>
      <c r="L96" s="19">
        <f t="shared" si="9"/>
        <v>84.467911037750014</v>
      </c>
      <c r="M96" s="20">
        <f t="shared" si="10"/>
        <v>7156.3938435572454</v>
      </c>
    </row>
    <row r="97" spans="1:13" x14ac:dyDescent="0.25">
      <c r="A97" s="3"/>
      <c r="B97" s="3"/>
      <c r="C97" s="3"/>
      <c r="D97" s="3"/>
      <c r="E97" s="3"/>
      <c r="F97" s="21">
        <v>87</v>
      </c>
      <c r="G97" s="16">
        <f t="array" ref="G97:I97">simcorr($B$17:$D$19)</f>
        <v>-9.4938879361527312E-2</v>
      </c>
      <c r="H97" s="17">
        <v>-0.22234755000677628</v>
      </c>
      <c r="I97" s="18">
        <v>1.0828204595826565</v>
      </c>
      <c r="J97" s="19">
        <f t="shared" si="7"/>
        <v>461.7591407968639</v>
      </c>
      <c r="K97" s="19">
        <f t="shared" si="8"/>
        <v>112.86037598786869</v>
      </c>
      <c r="L97" s="19">
        <f t="shared" si="9"/>
        <v>171.2808987931023</v>
      </c>
      <c r="M97" s="20">
        <f t="shared" si="10"/>
        <v>11629.068633651685</v>
      </c>
    </row>
    <row r="98" spans="1:13" x14ac:dyDescent="0.25">
      <c r="A98" s="3"/>
      <c r="B98" s="3"/>
      <c r="C98" s="3"/>
      <c r="D98" s="3"/>
      <c r="E98" s="3"/>
      <c r="F98" s="21">
        <v>88</v>
      </c>
      <c r="G98" s="16">
        <f t="array" ref="G98:I98">simcorr($B$17:$D$19)</f>
        <v>-0.32474797959387652</v>
      </c>
      <c r="H98" s="17">
        <v>-0.54350922660688961</v>
      </c>
      <c r="I98" s="18">
        <v>-1.350707722338262</v>
      </c>
      <c r="J98" s="19">
        <f t="shared" si="7"/>
        <v>426.67073428597325</v>
      </c>
      <c r="K98" s="19">
        <f t="shared" si="8"/>
        <v>96.530498138934917</v>
      </c>
      <c r="L98" s="19">
        <f t="shared" si="9"/>
        <v>86.97814417902039</v>
      </c>
      <c r="M98" s="20">
        <f t="shared" si="10"/>
        <v>9274.6621146665402</v>
      </c>
    </row>
    <row r="99" spans="1:13" x14ac:dyDescent="0.25">
      <c r="A99" s="3"/>
      <c r="B99" s="3"/>
      <c r="C99" s="3"/>
      <c r="D99" s="3"/>
      <c r="E99" s="3"/>
      <c r="F99" s="21">
        <v>89</v>
      </c>
      <c r="G99" s="16">
        <f t="array" ref="G99:I99">simcorr($B$17:$D$19)</f>
        <v>0.46411248431523017</v>
      </c>
      <c r="H99" s="17">
        <v>0.80644793182637886</v>
      </c>
      <c r="I99" s="18">
        <v>-0.86585222753116986</v>
      </c>
      <c r="J99" s="19">
        <f t="shared" si="7"/>
        <v>559.64344410658964</v>
      </c>
      <c r="K99" s="19">
        <f t="shared" si="8"/>
        <v>186.19824195581691</v>
      </c>
      <c r="L99" s="19">
        <f t="shared" si="9"/>
        <v>99.551119757444269</v>
      </c>
      <c r="M99" s="20">
        <f t="shared" si="10"/>
        <v>13702.790345092541</v>
      </c>
    </row>
    <row r="100" spans="1:13" x14ac:dyDescent="0.25">
      <c r="A100" s="3"/>
      <c r="B100" s="3"/>
      <c r="C100" s="3"/>
      <c r="D100" s="3"/>
      <c r="E100" s="3"/>
      <c r="F100" s="21">
        <v>90</v>
      </c>
      <c r="G100" s="16">
        <f t="array" ref="G100:I100">simcorr($B$17:$D$19)</f>
        <v>0.16433658112487731</v>
      </c>
      <c r="H100" s="17">
        <v>-0.50104030486751217</v>
      </c>
      <c r="I100" s="18">
        <v>0.54721301305709769</v>
      </c>
      <c r="J100" s="19">
        <f t="shared" si="7"/>
        <v>504.82288277259619</v>
      </c>
      <c r="K100" s="19">
        <f t="shared" si="8"/>
        <v>98.546289775345727</v>
      </c>
      <c r="L100" s="19">
        <f t="shared" si="9"/>
        <v>147.54864728614419</v>
      </c>
      <c r="M100" s="20">
        <f t="shared" si="10"/>
        <v>11277.939005459481</v>
      </c>
    </row>
    <row r="101" spans="1:13" x14ac:dyDescent="0.25">
      <c r="A101" s="3"/>
      <c r="B101" s="3"/>
      <c r="C101" s="3"/>
      <c r="D101" s="3"/>
      <c r="E101" s="3"/>
      <c r="F101" s="21">
        <v>91</v>
      </c>
      <c r="G101" s="16">
        <f t="array" ref="G101:I101">simcorr($B$17:$D$19)</f>
        <v>-1.3679804184510685E-2</v>
      </c>
      <c r="H101" s="17">
        <v>-0.63537720912196161</v>
      </c>
      <c r="I101" s="18">
        <v>0.55756017657655088</v>
      </c>
      <c r="J101" s="19">
        <f t="shared" si="7"/>
        <v>474.84489846358719</v>
      </c>
      <c r="K101" s="19">
        <f t="shared" si="8"/>
        <v>92.309928312399663</v>
      </c>
      <c r="L101" s="19">
        <f t="shared" si="9"/>
        <v>147.97439287458465</v>
      </c>
      <c r="M101" s="20">
        <f t="shared" si="10"/>
        <v>10756.200799357015</v>
      </c>
    </row>
    <row r="102" spans="1:13" x14ac:dyDescent="0.25">
      <c r="A102" s="3"/>
      <c r="B102" s="3"/>
      <c r="C102" s="3"/>
      <c r="D102" s="3"/>
      <c r="E102" s="3"/>
      <c r="F102" s="21">
        <v>92</v>
      </c>
      <c r="G102" s="16">
        <f t="array" ref="G102:I102">simcorr($B$17:$D$19)</f>
        <v>0.44566456800105964</v>
      </c>
      <c r="H102" s="17">
        <v>1.8472448057043276</v>
      </c>
      <c r="I102" s="18">
        <v>-0.21880240014628316</v>
      </c>
      <c r="J102" s="19">
        <f t="shared" si="7"/>
        <v>556.10419547716276</v>
      </c>
      <c r="K102" s="19">
        <f t="shared" si="8"/>
        <v>308.99121513052762</v>
      </c>
      <c r="L102" s="19">
        <f t="shared" si="9"/>
        <v>119.20573165144022</v>
      </c>
      <c r="M102" s="20">
        <f t="shared" si="10"/>
        <v>17692.664102933268</v>
      </c>
    </row>
    <row r="103" spans="1:13" x14ac:dyDescent="0.25">
      <c r="A103" s="3"/>
      <c r="B103" s="3"/>
      <c r="C103" s="3"/>
      <c r="D103" s="3"/>
      <c r="E103" s="3"/>
      <c r="F103" s="21">
        <v>93</v>
      </c>
      <c r="G103" s="16">
        <f t="array" ref="G103:I103">simcorr($B$17:$D$19)</f>
        <v>-0.23362511701713878</v>
      </c>
      <c r="H103" s="17">
        <v>0.59938038671956717</v>
      </c>
      <c r="I103" s="18">
        <v>1.0125245888428365</v>
      </c>
      <c r="J103" s="19">
        <f t="shared" si="7"/>
        <v>440.25299109625161</v>
      </c>
      <c r="K103" s="19">
        <f t="shared" si="8"/>
        <v>168.34965129806301</v>
      </c>
      <c r="L103" s="19">
        <f t="shared" si="9"/>
        <v>167.96070938629791</v>
      </c>
      <c r="M103" s="20">
        <f t="shared" si="10"/>
        <v>12993.240422973853</v>
      </c>
    </row>
    <row r="104" spans="1:13" x14ac:dyDescent="0.25">
      <c r="A104" s="3"/>
      <c r="B104" s="3"/>
      <c r="C104" s="3"/>
      <c r="D104" s="3"/>
      <c r="E104" s="3"/>
      <c r="F104" s="21">
        <v>94</v>
      </c>
      <c r="G104" s="16">
        <f t="array" ref="G104:I104">simcorr($B$17:$D$19)</f>
        <v>-1.2342185367014844</v>
      </c>
      <c r="H104" s="17">
        <v>-0.99592623868332419</v>
      </c>
      <c r="I104" s="18">
        <v>-2.2202250220092017</v>
      </c>
      <c r="J104" s="19">
        <f t="shared" si="7"/>
        <v>312.07632828552039</v>
      </c>
      <c r="K104" s="19">
        <f t="shared" si="8"/>
        <v>77.454565451891114</v>
      </c>
      <c r="L104" s="19">
        <f t="shared" si="9"/>
        <v>68.273951453491463</v>
      </c>
      <c r="M104" s="20">
        <f t="shared" si="10"/>
        <v>7070.3285541572504</v>
      </c>
    </row>
    <row r="105" spans="1:13" x14ac:dyDescent="0.25">
      <c r="A105" s="3"/>
      <c r="B105" s="3"/>
      <c r="C105" s="3"/>
      <c r="D105" s="3"/>
      <c r="E105" s="3"/>
      <c r="F105" s="21">
        <v>95</v>
      </c>
      <c r="G105" s="16">
        <f t="array" ref="G105:I105">simcorr($B$17:$D$19)</f>
        <v>0.28463306205326278</v>
      </c>
      <c r="H105" s="17">
        <v>0.96209305804687495</v>
      </c>
      <c r="I105" s="18">
        <v>-0.83560860643103652</v>
      </c>
      <c r="J105" s="19">
        <f t="shared" si="7"/>
        <v>526.145252255012</v>
      </c>
      <c r="K105" s="19">
        <f t="shared" si="8"/>
        <v>200.84956475634172</v>
      </c>
      <c r="L105" s="19">
        <f t="shared" si="9"/>
        <v>100.39305322255593</v>
      </c>
      <c r="M105" s="20">
        <f t="shared" si="10"/>
        <v>13775.653905976842</v>
      </c>
    </row>
    <row r="106" spans="1:13" x14ac:dyDescent="0.25">
      <c r="A106" s="3"/>
      <c r="B106" s="3"/>
      <c r="C106" s="3"/>
      <c r="D106" s="3"/>
      <c r="E106" s="3"/>
      <c r="F106" s="21">
        <v>96</v>
      </c>
      <c r="G106" s="16">
        <f t="array" ref="G106:I106">simcorr($B$17:$D$19)</f>
        <v>0.54804454346959719</v>
      </c>
      <c r="H106" s="17">
        <v>0.7251222814677234</v>
      </c>
      <c r="I106" s="18">
        <v>0.98360526936247195</v>
      </c>
      <c r="J106" s="19">
        <f t="shared" si="7"/>
        <v>576.03240237415787</v>
      </c>
      <c r="K106" s="19">
        <f t="shared" si="8"/>
        <v>178.9730113731278</v>
      </c>
      <c r="L106" s="19">
        <f t="shared" si="9"/>
        <v>166.61355906884174</v>
      </c>
      <c r="M106" s="20">
        <f t="shared" si="10"/>
        <v>14837.01101524671</v>
      </c>
    </row>
    <row r="107" spans="1:13" x14ac:dyDescent="0.25">
      <c r="A107" s="3"/>
      <c r="B107" s="3"/>
      <c r="C107" s="3"/>
      <c r="D107" s="3"/>
      <c r="E107" s="3"/>
      <c r="F107" s="21">
        <v>97</v>
      </c>
      <c r="G107" s="16">
        <f t="array" ref="G107:I107">simcorr($B$17:$D$19)</f>
        <v>0.17092334700423584</v>
      </c>
      <c r="H107" s="17">
        <v>1.2133166060878953</v>
      </c>
      <c r="I107" s="18">
        <v>0.52140385462212979</v>
      </c>
      <c r="J107" s="19">
        <f t="shared" si="7"/>
        <v>505.96769024873191</v>
      </c>
      <c r="K107" s="19">
        <f t="shared" si="8"/>
        <v>226.96899889830783</v>
      </c>
      <c r="L107" s="19">
        <f t="shared" si="9"/>
        <v>146.49203127035821</v>
      </c>
      <c r="M107" s="20">
        <f t="shared" si="10"/>
        <v>15130.727018379088</v>
      </c>
    </row>
    <row r="108" spans="1:13" x14ac:dyDescent="0.25">
      <c r="A108" s="3"/>
      <c r="B108" s="3"/>
      <c r="C108" s="3"/>
      <c r="D108" s="3"/>
      <c r="E108" s="3"/>
      <c r="F108" s="21">
        <v>98</v>
      </c>
      <c r="G108" s="16">
        <f t="array" ref="G108:I108">simcorr($B$17:$D$19)</f>
        <v>5.2883230965286479E-2</v>
      </c>
      <c r="H108" s="17">
        <v>-0.36956261642092836</v>
      </c>
      <c r="I108" s="18">
        <v>-0.72143293273279396</v>
      </c>
      <c r="J108" s="19">
        <f t="shared" si="7"/>
        <v>485.83987465335088</v>
      </c>
      <c r="K108" s="19">
        <f t="shared" si="8"/>
        <v>105.05769113071652</v>
      </c>
      <c r="L108" s="19">
        <f t="shared" si="9"/>
        <v>103.63620482475595</v>
      </c>
      <c r="M108" s="20">
        <f t="shared" si="10"/>
        <v>10494.661407268753</v>
      </c>
    </row>
    <row r="109" spans="1:13" x14ac:dyDescent="0.25">
      <c r="A109" s="3"/>
      <c r="B109" s="3"/>
      <c r="C109" s="3"/>
      <c r="D109" s="3"/>
      <c r="E109" s="3"/>
      <c r="F109" s="21">
        <v>99</v>
      </c>
      <c r="G109" s="16">
        <f t="array" ref="G109:I109">simcorr($B$17:$D$19)</f>
        <v>-0.46971519966522957</v>
      </c>
      <c r="H109" s="17">
        <v>1.2390166705896339</v>
      </c>
      <c r="I109" s="18">
        <v>1.0156360059028375</v>
      </c>
      <c r="J109" s="19">
        <f t="shared" si="7"/>
        <v>405.9210623784677</v>
      </c>
      <c r="K109" s="19">
        <f t="shared" si="8"/>
        <v>229.82549528875242</v>
      </c>
      <c r="L109" s="19">
        <f t="shared" si="9"/>
        <v>168.1062961447565</v>
      </c>
      <c r="M109" s="20">
        <f t="shared" si="10"/>
        <v>14451.212662060228</v>
      </c>
    </row>
    <row r="110" spans="1:13" x14ac:dyDescent="0.25">
      <c r="A110" s="3"/>
      <c r="B110" s="3"/>
      <c r="C110" s="3"/>
      <c r="D110" s="3"/>
      <c r="E110" s="3"/>
      <c r="F110" s="27">
        <v>100</v>
      </c>
      <c r="G110" s="16">
        <f t="array" ref="G110:I110">simcorr($B$17:$D$19)</f>
        <v>0.92155202991600593</v>
      </c>
      <c r="H110" s="17">
        <v>-0.18926949060082543</v>
      </c>
      <c r="I110" s="18">
        <v>-0.70622989968270167</v>
      </c>
      <c r="J110" s="19">
        <f t="shared" si="7"/>
        <v>654.9849550909147</v>
      </c>
      <c r="K110" s="19">
        <f t="shared" si="8"/>
        <v>114.69182976074521</v>
      </c>
      <c r="L110" s="19">
        <f t="shared" si="9"/>
        <v>104.0758771685399</v>
      </c>
      <c r="M110" s="20">
        <f t="shared" si="10"/>
        <v>12720.139343037874</v>
      </c>
    </row>
  </sheetData>
  <mergeCells count="4">
    <mergeCell ref="F9:F10"/>
    <mergeCell ref="G9:I9"/>
    <mergeCell ref="J9:L9"/>
    <mergeCell ref="M9:M10"/>
  </mergeCells>
  <pageMargins left="0.7" right="0.7" top="0.75" bottom="0.75" header="0.3" footer="0.3"/>
  <pageSetup paperSize="1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Historical_Data</vt:lpstr>
      <vt:lpstr>Log_Return</vt:lpstr>
      <vt:lpstr>Simulation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</dc:creator>
  <cp:lastModifiedBy>Frankie HO</cp:lastModifiedBy>
  <dcterms:created xsi:type="dcterms:W3CDTF">2025-04-01T09:41:17Z</dcterms:created>
  <dcterms:modified xsi:type="dcterms:W3CDTF">2025-04-03T15:35:40Z</dcterms:modified>
</cp:coreProperties>
</file>