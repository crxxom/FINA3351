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hkuhk-my.sharepoint.com/personal/cfhoad_hku_hk/Documents/HKU TA/Spring 2024-2025/FINA3351/Tutorials/"/>
    </mc:Choice>
  </mc:AlternateContent>
  <xr:revisionPtr revIDLastSave="92" documentId="8_{4C50711B-8835-4BD8-B743-0FB940D0D293}" xr6:coauthVersionLast="47" xr6:coauthVersionMax="47" xr10:uidLastSave="{88D2A696-D423-424B-AB84-5C1A88030FF0}"/>
  <bookViews>
    <workbookView xWindow="-120" yWindow="-120" windowWidth="29040" windowHeight="15720" activeTab="2" xr2:uid="{01479C74-2733-4863-83B4-8E73C01905A6}"/>
  </bookViews>
  <sheets>
    <sheet name="Instructions" sheetId="8" r:id="rId1"/>
    <sheet name="FF3 Factor" sheetId="2" r:id="rId2"/>
    <sheet name="Inputs" sheetId="4" r:id="rId3"/>
    <sheet name="Historical_Data" sheetId="5" r:id="rId4"/>
    <sheet name="Log_return" sheetId="10" r:id="rId5"/>
    <sheet name="LINEST (FF3)" sheetId="11" r:id="rId6"/>
    <sheet name="MCM_VBA" sheetId="12" r:id="rId7"/>
  </sheets>
  <functionGroups builtInGroupCount="19"/>
  <definedNames>
    <definedName name="_xleta.LEFT" hidden="1" xlm="1">#NAME?</definedName>
    <definedName name="_xleta.T.DIST.2T" hidden="1" xlm="1">#NAME?</definedName>
    <definedName name="FF3_data">'FF3 Factor'!$B$7:$E$1188</definedName>
    <definedName name="FF3_label">'FF3 Factor'!$B$6:$E$6</definedName>
    <definedName name="FF3_time">'FF3 Factor'!$A$7:$A$1188</definedName>
    <definedName name="solver_eng" localSheetId="5" hidden="1">1</definedName>
    <definedName name="solver_neg" localSheetId="5" hidden="1">1</definedName>
    <definedName name="solver_num" localSheetId="5" hidden="1">0</definedName>
    <definedName name="solver_typ" localSheetId="5" hidden="1">1</definedName>
    <definedName name="solver_val" localSheetId="5" hidden="1">0</definedName>
    <definedName name="solver_ver" localSheetId="5" hidden="1">3</definedName>
    <definedName name="US_data">Log_return!$B$2:$B$121</definedName>
    <definedName name="US_label">Log_return!$B$1</definedName>
    <definedName name="US_time">Log_return!$A$2:$A$121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0" l="1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2" i="10"/>
  <c r="F5" i="11" l="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F101" i="11"/>
  <c r="F102" i="11"/>
  <c r="F103" i="11"/>
  <c r="F104" i="11"/>
  <c r="F105" i="11"/>
  <c r="F106" i="11"/>
  <c r="F107" i="11"/>
  <c r="F108" i="11"/>
  <c r="F109" i="11"/>
  <c r="F110" i="11"/>
  <c r="F111" i="11"/>
  <c r="F112" i="11"/>
  <c r="F113" i="11"/>
  <c r="F114" i="11"/>
  <c r="F115" i="11"/>
  <c r="F116" i="11"/>
  <c r="F117" i="11"/>
  <c r="F118" i="11"/>
  <c r="F119" i="11"/>
  <c r="F120" i="11"/>
  <c r="F121" i="11"/>
  <c r="F122" i="11"/>
  <c r="F123" i="11"/>
  <c r="F4" i="11"/>
  <c r="B5" i="11"/>
  <c r="AA5" i="11"/>
  <c r="B4" i="11" l="1"/>
  <c r="B16" i="12"/>
  <c r="E122" i="11" l="1"/>
  <c r="D122" i="11"/>
  <c r="D121" i="11"/>
  <c r="C121" i="11"/>
  <c r="B121" i="11"/>
  <c r="C120" i="11"/>
  <c r="D118" i="11"/>
  <c r="B117" i="11"/>
  <c r="D114" i="11"/>
  <c r="B113" i="11"/>
  <c r="C112" i="11"/>
  <c r="D110" i="11"/>
  <c r="B109" i="11"/>
  <c r="D106" i="11"/>
  <c r="B105" i="11"/>
  <c r="D102" i="11"/>
  <c r="B101" i="11"/>
  <c r="C100" i="11"/>
  <c r="E98" i="11"/>
  <c r="D98" i="11"/>
  <c r="B97" i="11"/>
  <c r="C96" i="11"/>
  <c r="D94" i="11"/>
  <c r="B93" i="11"/>
  <c r="D90" i="11"/>
  <c r="B89" i="11"/>
  <c r="C88" i="11"/>
  <c r="D86" i="11"/>
  <c r="B85" i="11"/>
  <c r="C84" i="11"/>
  <c r="D82" i="11"/>
  <c r="D81" i="11"/>
  <c r="C81" i="11"/>
  <c r="B81" i="11"/>
  <c r="C80" i="11"/>
  <c r="D78" i="11"/>
  <c r="B77" i="11"/>
  <c r="D74" i="11"/>
  <c r="B73" i="11"/>
  <c r="D70" i="11"/>
  <c r="B69" i="11"/>
  <c r="C68" i="11"/>
  <c r="B68" i="11"/>
  <c r="D66" i="11"/>
  <c r="B65" i="11"/>
  <c r="C64" i="11"/>
  <c r="B64" i="11"/>
  <c r="D62" i="11"/>
  <c r="D61" i="11"/>
  <c r="B61" i="11"/>
  <c r="D58" i="11"/>
  <c r="D57" i="11"/>
  <c r="B57" i="11"/>
  <c r="C56" i="11"/>
  <c r="D54" i="11"/>
  <c r="E53" i="11"/>
  <c r="C53" i="11"/>
  <c r="B53" i="11"/>
  <c r="C52" i="11"/>
  <c r="D50" i="11"/>
  <c r="B49" i="11"/>
  <c r="B48" i="11"/>
  <c r="D46" i="11"/>
  <c r="B45" i="11"/>
  <c r="D42" i="11"/>
  <c r="B41" i="11"/>
  <c r="D38" i="11"/>
  <c r="B37" i="11"/>
  <c r="C36" i="11"/>
  <c r="B36" i="11"/>
  <c r="D34" i="11"/>
  <c r="C33" i="11"/>
  <c r="B33" i="11"/>
  <c r="C32" i="11"/>
  <c r="D30" i="11"/>
  <c r="B29" i="11"/>
  <c r="D26" i="11"/>
  <c r="B25" i="11"/>
  <c r="E25" i="11"/>
  <c r="D23" i="11"/>
  <c r="B23" i="11"/>
  <c r="C22" i="11"/>
  <c r="D21" i="11"/>
  <c r="B21" i="11"/>
  <c r="E21" i="11"/>
  <c r="E20" i="11"/>
  <c r="C19" i="11"/>
  <c r="E18" i="11"/>
  <c r="D17" i="11"/>
  <c r="B17" i="11"/>
  <c r="E16" i="11"/>
  <c r="E15" i="11"/>
  <c r="E14" i="11"/>
  <c r="E13" i="11"/>
  <c r="D13" i="11"/>
  <c r="D12" i="11"/>
  <c r="C11" i="11"/>
  <c r="C10" i="11"/>
  <c r="B9" i="11"/>
  <c r="E8" i="11"/>
  <c r="D8" i="11"/>
  <c r="B7" i="11"/>
  <c r="C6" i="11"/>
  <c r="D4" i="11"/>
  <c r="E4" i="11"/>
  <c r="B3" i="10"/>
  <c r="B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2" i="10"/>
  <c r="J13" i="11" a="1"/>
  <c r="J24" i="11" a="1"/>
  <c r="J23" i="11" a="1"/>
  <c r="J25" i="11" a="1"/>
  <c r="J15" i="11" a="1"/>
  <c r="J12" i="11"/>
  <c r="J19" i="11" a="1"/>
  <c r="J21" i="11" a="1"/>
  <c r="J22" i="11" a="1"/>
  <c r="J17" i="11" a="1"/>
  <c r="I10" i="11" a="1"/>
  <c r="J20" i="11" a="1"/>
  <c r="J16" i="11" a="1"/>
  <c r="J18" i="11" a="1"/>
  <c r="J14" i="11" a="1"/>
  <c r="E22" i="11" l="1"/>
  <c r="E12" i="11"/>
  <c r="E86" i="11"/>
  <c r="B96" i="11"/>
  <c r="D97" i="11"/>
  <c r="B32" i="11"/>
  <c r="D14" i="11"/>
  <c r="E58" i="11"/>
  <c r="C73" i="11"/>
  <c r="D19" i="11"/>
  <c r="D73" i="11"/>
  <c r="C4" i="11"/>
  <c r="D11" i="11"/>
  <c r="B16" i="11"/>
  <c r="C21" i="11"/>
  <c r="D25" i="11"/>
  <c r="D33" i="11"/>
  <c r="D53" i="11"/>
  <c r="E121" i="11"/>
  <c r="C16" i="11"/>
  <c r="B12" i="11"/>
  <c r="C12" i="11"/>
  <c r="B22" i="11"/>
  <c r="E54" i="11"/>
  <c r="E62" i="11"/>
  <c r="C69" i="11"/>
  <c r="C77" i="11"/>
  <c r="D69" i="11"/>
  <c r="D77" i="11"/>
  <c r="C85" i="11"/>
  <c r="E29" i="11"/>
  <c r="C7" i="11"/>
  <c r="D10" i="11"/>
  <c r="D20" i="11"/>
  <c r="C5" i="11"/>
  <c r="D7" i="11"/>
  <c r="B13" i="11"/>
  <c r="E26" i="11"/>
  <c r="E30" i="11"/>
  <c r="E33" i="11"/>
  <c r="C37" i="11"/>
  <c r="C41" i="11"/>
  <c r="C45" i="11"/>
  <c r="C49" i="11"/>
  <c r="E66" i="11"/>
  <c r="E69" i="11"/>
  <c r="E73" i="11"/>
  <c r="E77" i="11"/>
  <c r="E81" i="11"/>
  <c r="D85" i="11"/>
  <c r="C89" i="11"/>
  <c r="C93" i="11"/>
  <c r="E102" i="11"/>
  <c r="E106" i="11"/>
  <c r="E110" i="11"/>
  <c r="E114" i="11"/>
  <c r="E118" i="11"/>
  <c r="C20" i="11"/>
  <c r="D5" i="11"/>
  <c r="E7" i="11"/>
  <c r="D37" i="11"/>
  <c r="D41" i="11"/>
  <c r="D45" i="11"/>
  <c r="D49" i="11"/>
  <c r="E85" i="11"/>
  <c r="D89" i="11"/>
  <c r="D93" i="11"/>
  <c r="B100" i="11"/>
  <c r="C13" i="11"/>
  <c r="E5" i="11"/>
  <c r="B19" i="11"/>
  <c r="E34" i="11"/>
  <c r="E37" i="11"/>
  <c r="E41" i="11"/>
  <c r="E45" i="11"/>
  <c r="E49" i="11"/>
  <c r="C57" i="11"/>
  <c r="C61" i="11"/>
  <c r="E70" i="11"/>
  <c r="E74" i="11"/>
  <c r="E78" i="11"/>
  <c r="E82" i="11"/>
  <c r="E89" i="11"/>
  <c r="E93" i="11"/>
  <c r="C97" i="11"/>
  <c r="D6" i="11"/>
  <c r="E19" i="11"/>
  <c r="C29" i="11"/>
  <c r="E38" i="11"/>
  <c r="E42" i="11"/>
  <c r="E46" i="11"/>
  <c r="E50" i="11"/>
  <c r="E57" i="11"/>
  <c r="E61" i="11"/>
  <c r="C65" i="11"/>
  <c r="E90" i="11"/>
  <c r="E94" i="11"/>
  <c r="E97" i="11"/>
  <c r="C101" i="11"/>
  <c r="C105" i="11"/>
  <c r="C109" i="11"/>
  <c r="C113" i="11"/>
  <c r="C117" i="11"/>
  <c r="D29" i="11"/>
  <c r="D65" i="11"/>
  <c r="D101" i="11"/>
  <c r="D105" i="11"/>
  <c r="D109" i="11"/>
  <c r="D113" i="11"/>
  <c r="D117" i="11"/>
  <c r="E65" i="11"/>
  <c r="E101" i="11"/>
  <c r="E105" i="11"/>
  <c r="E109" i="11"/>
  <c r="E113" i="11"/>
  <c r="E117" i="11"/>
  <c r="D15" i="11"/>
  <c r="J15" i="11"/>
  <c r="J17" i="11"/>
  <c r="J19" i="11"/>
  <c r="J25" i="11"/>
  <c r="J13" i="11"/>
  <c r="J21" i="11"/>
  <c r="J23" i="11"/>
  <c r="J18" i="11"/>
  <c r="J14" i="11"/>
  <c r="J16" i="11"/>
  <c r="J20" i="11"/>
  <c r="J24" i="11"/>
  <c r="I10" i="11"/>
  <c r="J22" i="11"/>
  <c r="D24" i="11"/>
  <c r="B24" i="11"/>
  <c r="E28" i="11"/>
  <c r="D28" i="11"/>
  <c r="E39" i="11"/>
  <c r="D39" i="11"/>
  <c r="C39" i="11"/>
  <c r="B39" i="11"/>
  <c r="E71" i="11"/>
  <c r="D71" i="11"/>
  <c r="C71" i="11"/>
  <c r="B71" i="11"/>
  <c r="B80" i="11"/>
  <c r="E92" i="11"/>
  <c r="D92" i="11"/>
  <c r="E103" i="11"/>
  <c r="D103" i="11"/>
  <c r="C103" i="11"/>
  <c r="B103" i="11"/>
  <c r="B112" i="11"/>
  <c r="E6" i="11"/>
  <c r="E10" i="11"/>
  <c r="E60" i="11"/>
  <c r="D60" i="11"/>
  <c r="D18" i="11"/>
  <c r="B18" i="11"/>
  <c r="C24" i="11"/>
  <c r="B28" i="11"/>
  <c r="E40" i="11"/>
  <c r="D40" i="11"/>
  <c r="C48" i="11"/>
  <c r="E51" i="11"/>
  <c r="D51" i="11"/>
  <c r="C51" i="11"/>
  <c r="B51" i="11"/>
  <c r="B60" i="11"/>
  <c r="E72" i="11"/>
  <c r="D72" i="11"/>
  <c r="E83" i="11"/>
  <c r="D83" i="11"/>
  <c r="C83" i="11"/>
  <c r="B83" i="11"/>
  <c r="B92" i="11"/>
  <c r="E104" i="11"/>
  <c r="D104" i="11"/>
  <c r="E115" i="11"/>
  <c r="D115" i="11"/>
  <c r="C115" i="11"/>
  <c r="B115" i="11"/>
  <c r="E27" i="11"/>
  <c r="D27" i="11"/>
  <c r="C27" i="11"/>
  <c r="B27" i="11"/>
  <c r="E59" i="11"/>
  <c r="D59" i="11"/>
  <c r="C59" i="11"/>
  <c r="B59" i="11"/>
  <c r="E91" i="11"/>
  <c r="D91" i="11"/>
  <c r="C91" i="11"/>
  <c r="B91" i="11"/>
  <c r="C9" i="11"/>
  <c r="E11" i="11"/>
  <c r="B8" i="11"/>
  <c r="D9" i="11"/>
  <c r="C8" i="11"/>
  <c r="E9" i="11"/>
  <c r="E17" i="11"/>
  <c r="C17" i="11"/>
  <c r="C18" i="11"/>
  <c r="E23" i="11"/>
  <c r="C23" i="11"/>
  <c r="E24" i="11"/>
  <c r="C28" i="11"/>
  <c r="E31" i="11"/>
  <c r="D31" i="11"/>
  <c r="C31" i="11"/>
  <c r="B31" i="11"/>
  <c r="B40" i="11"/>
  <c r="E52" i="11"/>
  <c r="D52" i="11"/>
  <c r="C60" i="11"/>
  <c r="E63" i="11"/>
  <c r="D63" i="11"/>
  <c r="C63" i="11"/>
  <c r="B63" i="11"/>
  <c r="B72" i="11"/>
  <c r="E84" i="11"/>
  <c r="D84" i="11"/>
  <c r="C92" i="11"/>
  <c r="E95" i="11"/>
  <c r="D95" i="11"/>
  <c r="C95" i="11"/>
  <c r="B95" i="11"/>
  <c r="B104" i="11"/>
  <c r="E116" i="11"/>
  <c r="D116" i="11"/>
  <c r="E48" i="11"/>
  <c r="D48" i="11"/>
  <c r="E80" i="11"/>
  <c r="D80" i="11"/>
  <c r="E112" i="11"/>
  <c r="D112" i="11"/>
  <c r="D16" i="11"/>
  <c r="D22" i="11"/>
  <c r="E32" i="11"/>
  <c r="D32" i="11"/>
  <c r="C40" i="11"/>
  <c r="E43" i="11"/>
  <c r="D43" i="11"/>
  <c r="C43" i="11"/>
  <c r="B43" i="11"/>
  <c r="B52" i="11"/>
  <c r="E64" i="11"/>
  <c r="D64" i="11"/>
  <c r="C72" i="11"/>
  <c r="E75" i="11"/>
  <c r="D75" i="11"/>
  <c r="C75" i="11"/>
  <c r="B75" i="11"/>
  <c r="B84" i="11"/>
  <c r="E96" i="11"/>
  <c r="D96" i="11"/>
  <c r="C104" i="11"/>
  <c r="E107" i="11"/>
  <c r="D107" i="11"/>
  <c r="C107" i="11"/>
  <c r="B107" i="11"/>
  <c r="B116" i="11"/>
  <c r="E44" i="11"/>
  <c r="D44" i="11"/>
  <c r="E55" i="11"/>
  <c r="D55" i="11"/>
  <c r="C55" i="11"/>
  <c r="B55" i="11"/>
  <c r="E76" i="11"/>
  <c r="D76" i="11"/>
  <c r="E87" i="11"/>
  <c r="D87" i="11"/>
  <c r="C87" i="11"/>
  <c r="B87" i="11"/>
  <c r="E108" i="11"/>
  <c r="D108" i="11"/>
  <c r="C116" i="11"/>
  <c r="E119" i="11"/>
  <c r="D119" i="11"/>
  <c r="C119" i="11"/>
  <c r="B119" i="11"/>
  <c r="B10" i="11"/>
  <c r="B11" i="11"/>
  <c r="B14" i="11"/>
  <c r="B15" i="11"/>
  <c r="E35" i="11"/>
  <c r="D35" i="11"/>
  <c r="C35" i="11"/>
  <c r="B35" i="11"/>
  <c r="B44" i="11"/>
  <c r="E56" i="11"/>
  <c r="D56" i="11"/>
  <c r="E67" i="11"/>
  <c r="D67" i="11"/>
  <c r="C67" i="11"/>
  <c r="B67" i="11"/>
  <c r="B76" i="11"/>
  <c r="E88" i="11"/>
  <c r="D88" i="11"/>
  <c r="E99" i="11"/>
  <c r="D99" i="11"/>
  <c r="C99" i="11"/>
  <c r="B99" i="11"/>
  <c r="B108" i="11"/>
  <c r="E120" i="11"/>
  <c r="D120" i="11"/>
  <c r="B6" i="11"/>
  <c r="C14" i="11"/>
  <c r="C15" i="11"/>
  <c r="B20" i="11"/>
  <c r="E36" i="11"/>
  <c r="D36" i="11"/>
  <c r="C44" i="11"/>
  <c r="E47" i="11"/>
  <c r="D47" i="11"/>
  <c r="C47" i="11"/>
  <c r="B47" i="11"/>
  <c r="B56" i="11"/>
  <c r="E68" i="11"/>
  <c r="D68" i="11"/>
  <c r="C76" i="11"/>
  <c r="E79" i="11"/>
  <c r="D79" i="11"/>
  <c r="C79" i="11"/>
  <c r="B79" i="11"/>
  <c r="B88" i="11"/>
  <c r="E100" i="11"/>
  <c r="D100" i="11"/>
  <c r="C108" i="11"/>
  <c r="E111" i="11"/>
  <c r="D111" i="11"/>
  <c r="C111" i="11"/>
  <c r="B111" i="11"/>
  <c r="B120" i="11"/>
  <c r="B123" i="11"/>
  <c r="C123" i="11"/>
  <c r="C25" i="11"/>
  <c r="B26" i="11"/>
  <c r="B30" i="11"/>
  <c r="B34" i="11"/>
  <c r="B38" i="11"/>
  <c r="B42" i="11"/>
  <c r="B46" i="11"/>
  <c r="B50" i="11"/>
  <c r="B54" i="11"/>
  <c r="B58" i="11"/>
  <c r="B62" i="11"/>
  <c r="B66" i="11"/>
  <c r="B70" i="11"/>
  <c r="B74" i="11"/>
  <c r="B78" i="11"/>
  <c r="B82" i="11"/>
  <c r="B86" i="11"/>
  <c r="B90" i="11"/>
  <c r="B94" i="11"/>
  <c r="B98" i="11"/>
  <c r="B102" i="11"/>
  <c r="B106" i="11"/>
  <c r="B110" i="11"/>
  <c r="B114" i="11"/>
  <c r="B118" i="11"/>
  <c r="B122" i="11"/>
  <c r="D123" i="11"/>
  <c r="C26" i="11"/>
  <c r="C30" i="11"/>
  <c r="C34" i="11"/>
  <c r="C38" i="11"/>
  <c r="C42" i="11"/>
  <c r="C46" i="11"/>
  <c r="C50" i="11"/>
  <c r="C54" i="11"/>
  <c r="C58" i="11"/>
  <c r="C62" i="11"/>
  <c r="C66" i="11"/>
  <c r="C70" i="11"/>
  <c r="C74" i="11"/>
  <c r="C78" i="11"/>
  <c r="C82" i="11"/>
  <c r="C86" i="11"/>
  <c r="C90" i="11"/>
  <c r="C94" i="11"/>
  <c r="C98" i="11"/>
  <c r="C102" i="11"/>
  <c r="C106" i="11"/>
  <c r="C110" i="11"/>
  <c r="C114" i="11"/>
  <c r="C118" i="11"/>
  <c r="C122" i="11"/>
  <c r="E123" i="11"/>
  <c r="B11" i="12" l="1"/>
  <c r="B14" i="12"/>
  <c r="B15" i="12"/>
  <c r="I17" i="11"/>
  <c r="B7" i="12"/>
  <c r="B8" i="12"/>
  <c r="B10" i="12"/>
  <c r="B13" i="12"/>
  <c r="I16" i="11"/>
  <c r="I15" i="11"/>
  <c r="I18" i="11"/>
  <c r="I14" i="11"/>
  <c r="I19" i="11"/>
  <c r="I21" i="11"/>
  <c r="I20" i="11"/>
  <c r="I25" i="11" l="1"/>
  <c r="I5" i="11" a="1"/>
  <c r="L6" i="11" s="1"/>
  <c r="I12" i="11"/>
  <c r="I13" i="11"/>
  <c r="I24" i="11"/>
  <c r="I22" i="11"/>
  <c r="I23" i="11"/>
  <c r="J7" i="11" l="1"/>
  <c r="K5" i="11"/>
  <c r="I6" i="11"/>
  <c r="I7" i="11"/>
  <c r="K6" i="11"/>
  <c r="I8" i="11"/>
  <c r="L8" i="11"/>
  <c r="K9" i="11"/>
  <c r="I5" i="11"/>
  <c r="J5" i="11"/>
  <c r="J8" i="11"/>
  <c r="L5" i="11"/>
  <c r="B4" i="12" s="1"/>
  <c r="J9" i="11"/>
  <c r="L7" i="11"/>
  <c r="K7" i="11"/>
  <c r="L9" i="11"/>
  <c r="I9" i="11"/>
  <c r="K8" i="11"/>
  <c r="J6" i="11"/>
</calcChain>
</file>

<file path=xl/sharedStrings.xml><?xml version="1.0" encoding="utf-8"?>
<sst xmlns="http://schemas.openxmlformats.org/spreadsheetml/2006/main" count="268" uniqueCount="115">
  <si>
    <t>Data source: https://mba.tuck.dartmouth.edu/pages/faculty/ken.french/ftp/F-F_Research_Data_Factors_CSV.zip</t>
  </si>
  <si>
    <t>This file was created by CMPT_ME_BEME_RETS using the 202412 CRSP database.</t>
  </si>
  <si>
    <t>The 1-month TBill rate data until 202405 are from Ibbotson Associates. Starting from 202406</t>
  </si>
  <si>
    <t xml:space="preserve"> the 1-month TBill rate is from ICE BofA US 1-Month Treasury Bill Index.</t>
  </si>
  <si>
    <t>Mkt-RF</t>
  </si>
  <si>
    <t>SMB</t>
  </si>
  <si>
    <t>HML</t>
  </si>
  <si>
    <t>RF</t>
  </si>
  <si>
    <t>Copyright 2024 Eugene F. Fama and Kenneth R. French</t>
  </si>
  <si>
    <t>Download Historical Stock Data from Yahoo!Finance</t>
    <phoneticPr fontId="7" type="noConversion"/>
  </si>
  <si>
    <r>
      <t>(</t>
    </r>
    <r>
      <rPr>
        <i/>
        <sz val="11"/>
        <color theme="1"/>
        <rFont val="Calibri"/>
        <family val="2"/>
      </rPr>
      <t>Note: Must enter data Frequency in B3, Starting Date in B4, End Date in B5, Ticker symbol from cell A8. Worksheet name must be "Inputs"</t>
    </r>
    <r>
      <rPr>
        <sz val="11"/>
        <color theme="1"/>
        <rFont val="Aptos Narrow"/>
        <family val="2"/>
        <scheme val="minor"/>
      </rPr>
      <t>)</t>
    </r>
  </si>
  <si>
    <t>Period (Daily, Weekly, Monthly)</t>
    <phoneticPr fontId="7" type="noConversion"/>
  </si>
  <si>
    <t>Monthly</t>
    <phoneticPr fontId="7" type="noConversion"/>
  </si>
  <si>
    <t>Starting Date</t>
    <phoneticPr fontId="7" type="noConversion"/>
  </si>
  <si>
    <t>End Date</t>
    <phoneticPr fontId="7" type="noConversion"/>
  </si>
  <si>
    <t>Ticker Symbol of Stock</t>
    <phoneticPr fontId="7" type="noConversion"/>
  </si>
  <si>
    <t>Date</t>
  </si>
  <si>
    <t>Open</t>
  </si>
  <si>
    <t>High</t>
  </si>
  <si>
    <t>Low</t>
  </si>
  <si>
    <t>Close</t>
  </si>
  <si>
    <t>Adj Close</t>
  </si>
  <si>
    <t>Volume</t>
  </si>
  <si>
    <t>Ticker</t>
  </si>
  <si>
    <t>IBM</t>
  </si>
  <si>
    <t>FINA3351 Tutorial 8</t>
  </si>
  <si>
    <t>In-Class practice:</t>
  </si>
  <si>
    <t>Assume today is January 1, 2025. Perform Monte Carlo simulation on IBM stock price after 1 year using Fama French 3 factor model.</t>
  </si>
  <si>
    <t>In other words, you should assume the distribution functions (such as normal distribution) of three factors and the firm-specific shock.</t>
  </si>
  <si>
    <t xml:space="preserve">Write a VBA sub procedure named Factor_mcm to generate 1000 simulations of prices of each stock and report 1000 simulation results in the spreadsheet. </t>
  </si>
  <si>
    <t>You may create the stock returns, regression residuals, and estimation of model parameters in excel spreadsheet.</t>
  </si>
  <si>
    <t>Simulation must be performed with VBA sub procedures.</t>
  </si>
  <si>
    <t>The Windows version of YFinance Data Download subprocedure and FF3 Factor data are provided for your reference.</t>
  </si>
  <si>
    <t>You may refer to Lec5_FactorModel.xlsm and Lec8_StockSImulation-Factor.xlsm files for the steps of regression, parameter estimation and simulation.</t>
  </si>
  <si>
    <t>Time series regression: estimating Fama-French 3-factor model of an individual asset</t>
  </si>
  <si>
    <t>1. LINEST Function:</t>
    <phoneticPr fontId="14" type="noConversion"/>
  </si>
  <si>
    <t>In general, LINEST generates result with n regressors in such order:</t>
  </si>
  <si>
    <t>Alpha</t>
  </si>
  <si>
    <t>(Help document)</t>
  </si>
  <si>
    <t>Slope (Beta) coefficients --&gt;</t>
  </si>
  <si>
    <t>&lt;-- Intercept (Alpha)</t>
    <phoneticPr fontId="14" type="noConversion"/>
  </si>
  <si>
    <t>Beta_n</t>
  </si>
  <si>
    <t>Beta_{n-1}</t>
  </si>
  <si>
    <t>...</t>
  </si>
  <si>
    <t>Beta_1</t>
  </si>
  <si>
    <t>Standard error of slope --&gt;</t>
    <phoneticPr fontId="14" type="noConversion"/>
  </si>
  <si>
    <t>&lt;-- Standard error of intercept</t>
    <phoneticPr fontId="14" type="noConversion"/>
  </si>
  <si>
    <t>SE_n</t>
  </si>
  <si>
    <t>SE_{n-1}</t>
  </si>
  <si>
    <t>SE_1</t>
  </si>
  <si>
    <t>SE_Alpha</t>
  </si>
  <si>
    <t>R-squared --&gt;</t>
    <phoneticPr fontId="14" type="noConversion"/>
  </si>
  <si>
    <t>&lt;-- Standard error of residual</t>
    <phoneticPr fontId="14" type="noConversion"/>
  </si>
  <si>
    <t>RSQ</t>
  </si>
  <si>
    <t>SE_residual</t>
    <phoneticPr fontId="14" type="noConversion"/>
  </si>
  <si>
    <t>#N/A</t>
    <phoneticPr fontId="14" type="noConversion"/>
  </si>
  <si>
    <t>#N/A</t>
  </si>
  <si>
    <t>F statistic --&gt;</t>
    <phoneticPr fontId="14" type="noConversion"/>
  </si>
  <si>
    <t>&lt;-- Degree of freedom (=No. of obs - No. of regressors)</t>
    <phoneticPr fontId="14" type="noConversion"/>
  </si>
  <si>
    <t>F</t>
  </si>
  <si>
    <t>df</t>
  </si>
  <si>
    <t>Regression sum of squares --&gt;</t>
    <phoneticPr fontId="14" type="noConversion"/>
  </si>
  <si>
    <t>&lt;-- Residual sum of squares</t>
    <phoneticPr fontId="14" type="noConversion"/>
  </si>
  <si>
    <t>Regression SS</t>
  </si>
  <si>
    <t>Residual SS</t>
  </si>
  <si>
    <t>Beta (MKT)</t>
  </si>
  <si>
    <t>Beta (SMB)</t>
  </si>
  <si>
    <t>Beta (HML)</t>
  </si>
  <si>
    <t>R-squared</t>
  </si>
  <si>
    <t>t-stat (H0: α=0)</t>
  </si>
  <si>
    <t>t-stat (H0: β (M)=0)</t>
  </si>
  <si>
    <t>t-stat (H0: β (SMB)=0)</t>
  </si>
  <si>
    <t>t-stat (H0: β (HML)=0)</t>
  </si>
  <si>
    <t>p-value (H0: α=0)</t>
  </si>
  <si>
    <t>p-value (H0: β (M)=0)</t>
  </si>
  <si>
    <t>p-value (H0: β (SMB)=0)</t>
  </si>
  <si>
    <t>p-value (H0: β (HML)=0)</t>
  </si>
  <si>
    <t>Note: Cannot use SLOPE, INTERCEPT, RSQ functions!</t>
    <phoneticPr fontId="14" type="noConversion"/>
  </si>
  <si>
    <t>2. Data Analysis Toolpak:</t>
    <phoneticPr fontId="14" type="noConversion"/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</si>
  <si>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</si>
  <si>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</si>
  <si>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</si>
  <si>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</si>
  <si>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</si>
  <si>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</si>
  <si>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</si>
  <si>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</si>
  <si>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SS</t>
  </si>
  <si>
    <t>MS</t>
  </si>
  <si>
    <t>Significance F</t>
  </si>
  <si>
    <t>Regression</t>
  </si>
  <si>
    <t>Residual</t>
  </si>
  <si>
    <t>Total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</si>
  <si>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</si>
  <si>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</si>
  <si>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</si>
  <si>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</si>
  <si>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</si>
  <si>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</si>
  <si>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</si>
  <si>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Intercept</t>
  </si>
  <si>
    <r>
      <t xml:space="preserve">Simulate stock price using VBA sub procedure </t>
    </r>
    <r>
      <rPr>
        <b/>
        <sz val="14"/>
        <color theme="1"/>
        <rFont val="Courier New"/>
        <family val="3"/>
      </rPr>
      <t>Factor_mcm</t>
    </r>
  </si>
  <si>
    <r>
      <t>Input List of</t>
    </r>
    <r>
      <rPr>
        <b/>
        <sz val="11"/>
        <color rgb="FFFF0000"/>
        <rFont val="Courier New"/>
        <family val="3"/>
      </rPr>
      <t xml:space="preserve"> Factor_mcm</t>
    </r>
    <r>
      <rPr>
        <b/>
        <sz val="11"/>
        <color rgb="FFFF0000"/>
        <rFont val="Calibri"/>
        <family val="2"/>
      </rPr>
      <t>:</t>
    </r>
  </si>
  <si>
    <t>Sigma_e</t>
  </si>
  <si>
    <t>risk-free rate</t>
  </si>
  <si>
    <t>Initial stock price</t>
  </si>
  <si>
    <t>Simulation #</t>
    <phoneticPr fontId="15" type="noConversion"/>
  </si>
  <si>
    <t>Simulate stock prices 12 months for 1000 times</t>
  </si>
  <si>
    <t>Simulated IBM prices</t>
  </si>
  <si>
    <t>Mean(SMB)</t>
  </si>
  <si>
    <t>SD(SMB)</t>
  </si>
  <si>
    <t>Mean(MKT)</t>
  </si>
  <si>
    <t>SD(MKT)</t>
  </si>
  <si>
    <t>Mean(HML)</t>
  </si>
  <si>
    <t>SD(HML)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</si>
</sst>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\-mm\-dd;@"/>
    <numFmt numFmtId="165" formatCode="0.0000"/>
    <numFmt numFmtId="166" formatCode="#,##0.0000"/>
    <numFmt numFmtId="167" formatCode="0.00000"/>
    <numFmt numFmtId="168" formatCode="0.000"/>
  </numFmts>
  <fonts count="27" x14ac:knownFonts="1">
    <font>
      <sz val="11"/>
      <color theme="1"/>
      <name val="Aptos Narrow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</font>
    <font>
      <sz val="10"/>
      <name val="Arial"/>
      <family val="2"/>
    </font>
    <font>
      <sz val="11"/>
      <name val="Calibri"/>
      <family val="2"/>
    </font>
    <font>
      <sz val="10"/>
      <name val="Calibri"/>
      <family val="2"/>
    </font>
    <font>
      <sz val="10"/>
      <color rgb="FF000000"/>
      <name val="Arial"/>
      <family val="2"/>
    </font>
    <font>
      <b/>
      <sz val="14"/>
      <color theme="1"/>
      <name val="Calibri"/>
      <family val="2"/>
    </font>
    <font>
      <i/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rgb="FF0070C0"/>
      <name val="Calibri"/>
      <family val="2"/>
    </font>
    <font>
      <sz val="16"/>
      <color theme="1"/>
      <name val="Segoe UI"/>
      <family val="2"/>
    </font>
    <font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4"/>
      <name val="Calibri"/>
      <family val="2"/>
    </font>
    <font>
      <b/>
      <sz val="11"/>
      <name val="Calibri"/>
      <family val="2"/>
    </font>
    <font>
      <b/>
      <sz val="12"/>
      <color rgb="FFFF0000"/>
      <name val="Calibri"/>
      <family val="2"/>
    </font>
    <font>
      <b/>
      <sz val="11"/>
      <color rgb="FFFF0000"/>
      <name val="Calibri"/>
      <family val="2"/>
    </font>
    <font>
      <sz val="11"/>
      <color rgb="FFFF0000"/>
      <name val="Calibri"/>
      <family val="2"/>
    </font>
    <font>
      <b/>
      <sz val="11"/>
      <color rgb="FF0070C0"/>
      <name val="Calibri"/>
      <family val="2"/>
    </font>
    <font>
      <i/>
      <sz val="11"/>
      <color rgb="FFFF0000"/>
      <name val="Calibri"/>
      <family val="2"/>
    </font>
    <font>
      <i/>
      <sz val="11"/>
      <color theme="1"/>
      <name val="Aptos Narrow"/>
      <family val="2"/>
      <scheme val="minor"/>
    </font>
    <font>
      <b/>
      <sz val="14"/>
      <color theme="1"/>
      <name val="Courier New"/>
      <family val="3"/>
    </font>
    <font>
      <sz val="14"/>
      <name val="Calibri"/>
      <family val="2"/>
    </font>
    <font>
      <b/>
      <sz val="11"/>
      <color rgb="FFFF0000"/>
      <name val="Courier New"/>
      <family val="3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0" fontId="13" fillId="0" borderId="0"/>
  </cellStyleXfs>
  <cellXfs count="65">
    <xf numFmtId="0" fontId="0" fillId="0" borderId="0" xfId="0"/>
    <xf numFmtId="0" fontId="2" fillId="0" borderId="0" xfId="1" applyFont="1"/>
    <xf numFmtId="0" fontId="4" fillId="0" borderId="0" xfId="2" applyFont="1"/>
    <xf numFmtId="0" fontId="5" fillId="0" borderId="0" xfId="2" applyFont="1"/>
    <xf numFmtId="0" fontId="4" fillId="0" borderId="0" xfId="2" applyFont="1" applyAlignment="1">
      <alignment vertical="center"/>
    </xf>
    <xf numFmtId="0" fontId="7" fillId="0" borderId="0" xfId="2" applyFont="1" applyAlignment="1">
      <alignment vertical="center"/>
    </xf>
    <xf numFmtId="0" fontId="3" fillId="0" borderId="0" xfId="2" applyAlignment="1">
      <alignment vertical="center"/>
    </xf>
    <xf numFmtId="0" fontId="3" fillId="0" borderId="0" xfId="2"/>
    <xf numFmtId="0" fontId="9" fillId="0" borderId="0" xfId="2" applyFont="1" applyAlignment="1">
      <alignment vertical="center"/>
    </xf>
    <xf numFmtId="0" fontId="10" fillId="0" borderId="0" xfId="2" applyFont="1" applyAlignment="1">
      <alignment vertical="center"/>
    </xf>
    <xf numFmtId="164" fontId="10" fillId="0" borderId="0" xfId="2" applyNumberFormat="1" applyFont="1" applyAlignment="1">
      <alignment vertical="center"/>
    </xf>
    <xf numFmtId="14" fontId="4" fillId="0" borderId="0" xfId="2" applyNumberFormat="1" applyFont="1"/>
    <xf numFmtId="0" fontId="11" fillId="0" borderId="0" xfId="0" applyFont="1"/>
    <xf numFmtId="0" fontId="12" fillId="0" borderId="0" xfId="0" applyFont="1"/>
    <xf numFmtId="0" fontId="15" fillId="0" borderId="0" xfId="2" applyFont="1"/>
    <xf numFmtId="0" fontId="16" fillId="0" borderId="0" xfId="2" applyFont="1" applyAlignment="1">
      <alignment horizontal="center" vertical="center" wrapText="1"/>
    </xf>
    <xf numFmtId="0" fontId="4" fillId="0" borderId="0" xfId="2" applyFont="1" applyAlignment="1">
      <alignment horizontal="center" vertical="center" wrapText="1"/>
    </xf>
    <xf numFmtId="0" fontId="17" fillId="0" borderId="0" xfId="2" applyFont="1" applyAlignment="1">
      <alignment horizontal="left" vertical="center"/>
    </xf>
    <xf numFmtId="0" fontId="18" fillId="0" borderId="0" xfId="2" applyFont="1"/>
    <xf numFmtId="0" fontId="4" fillId="0" borderId="0" xfId="2" applyFont="1" applyAlignment="1">
      <alignment horizontal="center"/>
    </xf>
    <xf numFmtId="165" fontId="4" fillId="0" borderId="0" xfId="3" applyNumberFormat="1" applyFont="1" applyFill="1"/>
    <xf numFmtId="2" fontId="4" fillId="0" borderId="0" xfId="2" applyNumberFormat="1" applyFont="1"/>
    <xf numFmtId="0" fontId="19" fillId="0" borderId="0" xfId="2" applyFont="1" applyAlignment="1">
      <alignment horizontal="center" vertical="center" wrapText="1"/>
    </xf>
    <xf numFmtId="0" fontId="19" fillId="0" borderId="0" xfId="2" applyFont="1" applyAlignment="1">
      <alignment horizontal="center"/>
    </xf>
    <xf numFmtId="10" fontId="4" fillId="0" borderId="0" xfId="3" applyNumberFormat="1" applyFont="1"/>
    <xf numFmtId="0" fontId="19" fillId="0" borderId="0" xfId="2" applyFont="1" applyAlignment="1">
      <alignment horizontal="right"/>
    </xf>
    <xf numFmtId="165" fontId="4" fillId="0" borderId="0" xfId="2" applyNumberFormat="1" applyFont="1"/>
    <xf numFmtId="1" fontId="4" fillId="0" borderId="0" xfId="2" applyNumberFormat="1" applyFont="1"/>
    <xf numFmtId="0" fontId="19" fillId="0" borderId="0" xfId="2" applyFont="1" applyAlignment="1">
      <alignment horizontal="left"/>
    </xf>
    <xf numFmtId="0" fontId="4" fillId="0" borderId="1" xfId="2" applyFont="1" applyBorder="1"/>
    <xf numFmtId="0" fontId="4" fillId="0" borderId="2" xfId="2" applyFont="1" applyBorder="1"/>
    <xf numFmtId="0" fontId="4" fillId="0" borderId="2" xfId="2" applyFont="1" applyBorder="1" applyAlignment="1">
      <alignment horizontal="center" vertical="center"/>
    </xf>
    <xf numFmtId="0" fontId="4" fillId="0" borderId="3" xfId="2" applyFont="1" applyBorder="1"/>
    <xf numFmtId="0" fontId="4" fillId="0" borderId="4" xfId="2" applyFont="1" applyBorder="1"/>
    <xf numFmtId="0" fontId="4" fillId="0" borderId="0" xfId="2" applyFont="1" applyAlignment="1">
      <alignment horizontal="center" vertical="center"/>
    </xf>
    <xf numFmtId="0" fontId="4" fillId="0" borderId="5" xfId="2" applyFont="1" applyBorder="1"/>
    <xf numFmtId="0" fontId="4" fillId="0" borderId="0" xfId="2" quotePrefix="1" applyFont="1" applyAlignment="1">
      <alignment horizontal="center"/>
    </xf>
    <xf numFmtId="0" fontId="4" fillId="0" borderId="5" xfId="2" applyFont="1" applyBorder="1" applyAlignment="1">
      <alignment horizontal="center"/>
    </xf>
    <xf numFmtId="165" fontId="4" fillId="0" borderId="4" xfId="2" applyNumberFormat="1" applyFont="1" applyBorder="1"/>
    <xf numFmtId="165" fontId="4" fillId="0" borderId="6" xfId="2" applyNumberFormat="1" applyFont="1" applyBorder="1"/>
    <xf numFmtId="0" fontId="4" fillId="0" borderId="7" xfId="2" applyFont="1" applyBorder="1"/>
    <xf numFmtId="0" fontId="4" fillId="0" borderId="7" xfId="2" applyFont="1" applyBorder="1" applyAlignment="1">
      <alignment horizontal="center"/>
    </xf>
    <xf numFmtId="0" fontId="4" fillId="0" borderId="8" xfId="2" applyFont="1" applyBorder="1" applyAlignment="1">
      <alignment horizontal="center"/>
    </xf>
    <xf numFmtId="0" fontId="20" fillId="0" borderId="0" xfId="2" applyFont="1"/>
    <xf numFmtId="0" fontId="16" fillId="0" borderId="0" xfId="2" applyFont="1"/>
    <xf numFmtId="166" fontId="4" fillId="0" borderId="0" xfId="2" applyNumberFormat="1" applyFont="1"/>
    <xf numFmtId="11" fontId="4" fillId="0" borderId="0" xfId="2" applyNumberFormat="1" applyFont="1"/>
    <xf numFmtId="0" fontId="21" fillId="0" borderId="0" xfId="2" applyFont="1"/>
    <xf numFmtId="0" fontId="0" fillId="0" borderId="10" xfId="0" applyBorder="1"/>
    <xf numFmtId="0" fontId="22" fillId="0" borderId="9" xfId="0" applyFont="1" applyBorder="1" applyAlignment="1">
      <alignment horizontal="center"/>
    </xf>
    <xf numFmtId="0" fontId="22" fillId="0" borderId="9" xfId="0" applyFont="1" applyBorder="1" applyAlignment="1">
      <alignment horizontal="centerContinuous"/>
    </xf>
    <xf numFmtId="0" fontId="7" fillId="0" borderId="0" xfId="4" applyFont="1"/>
    <xf numFmtId="0" fontId="24" fillId="0" borderId="0" xfId="0" applyFont="1"/>
    <xf numFmtId="0" fontId="4" fillId="0" borderId="0" xfId="0" applyFont="1"/>
    <xf numFmtId="0" fontId="18" fillId="0" borderId="0" xfId="4" applyFont="1"/>
    <xf numFmtId="0" fontId="26" fillId="0" borderId="0" xfId="4" applyFont="1"/>
    <xf numFmtId="0" fontId="9" fillId="0" borderId="0" xfId="4" applyFont="1"/>
    <xf numFmtId="167" fontId="26" fillId="0" borderId="0" xfId="4" applyNumberFormat="1" applyFont="1"/>
    <xf numFmtId="0" fontId="9" fillId="0" borderId="0" xfId="4" applyFont="1" applyAlignment="1">
      <alignment horizontal="left"/>
    </xf>
    <xf numFmtId="0" fontId="9" fillId="0" borderId="0" xfId="4" applyFont="1" applyAlignment="1">
      <alignment horizontal="left" wrapText="1"/>
    </xf>
    <xf numFmtId="168" fontId="26" fillId="0" borderId="0" xfId="4" applyNumberFormat="1" applyFont="1"/>
    <xf numFmtId="0" fontId="18" fillId="0" borderId="0" xfId="0" applyFont="1"/>
    <xf numFmtId="0" fontId="16" fillId="0" borderId="0" xfId="0" applyFont="1"/>
    <xf numFmtId="0" fontId="9" fillId="0" borderId="0" xfId="4" applyFont="1" applyAlignment="1">
      <alignment horizontal="center" wrapText="1"/>
    </xf>
    <xf numFmtId="2" fontId="0" fillId="0" borderId="0" xfId="0" applyNumberFormat="1"/>
  </cellXfs>
  <cellStyles count="5">
    <cellStyle name="Hyperlink 2" xfId="1" xr:uid="{62310032-9C82-4F5E-94C6-E27E745E6E71}"/>
    <cellStyle name="Normal" xfId="0" builtinId="0"/>
    <cellStyle name="Normal 2" xfId="2" xr:uid="{3F0A94BC-03CB-461E-BA08-8363C1D47902}"/>
    <cellStyle name="Normal 3" xfId="4" xr:uid="{EF42AF38-1A49-4F17-9E50-46480D323B7A}"/>
    <cellStyle name="Percent 2" xfId="3" xr:uid="{DC49C38C-C689-4CD7-AD33-2E9471F62A2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3</xdr:row>
          <xdr:rowOff>47625</xdr:rowOff>
        </xdr:from>
        <xdr:to>
          <xdr:col>4</xdr:col>
          <xdr:colOff>485775</xdr:colOff>
          <xdr:row>4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Download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620201</xdr:colOff>
      <xdr:row>27</xdr:row>
      <xdr:rowOff>198780</xdr:rowOff>
    </xdr:from>
    <xdr:to>
      <xdr:col>24</xdr:col>
      <xdr:colOff>252631</xdr:colOff>
      <xdr:row>49</xdr:row>
      <xdr:rowOff>4933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0BDEE70-60FB-4446-AF23-C8D7C5D29F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88176" y="5370855"/>
          <a:ext cx="4909280" cy="406382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19</xdr:row>
          <xdr:rowOff>9525</xdr:rowOff>
        </xdr:from>
        <xdr:to>
          <xdr:col>5</xdr:col>
          <xdr:colOff>590550</xdr:colOff>
          <xdr:row>21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mba.tuck.dartmouth.edu/pages/faculty/ken.french/ftp/F-F_Research_Data_Factors_CSV.zip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support.office.com/en-us/article/linest-function-84d7d0d9-6e50-4101-977a-fa7abf772b6d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0183A-96DB-4057-A9C0-A74C3222878F}">
  <sheetPr codeName="Sheet3"/>
  <dimension ref="A1:A12"/>
  <sheetViews>
    <sheetView workbookViewId="0"/>
  </sheetViews>
  <sheetFormatPr defaultColWidth="9.140625" defaultRowHeight="16.5" x14ac:dyDescent="0.3"/>
  <cols>
    <col min="1" max="16384" width="9.140625" style="13"/>
  </cols>
  <sheetData>
    <row r="1" spans="1:1" ht="25.5" x14ac:dyDescent="0.5">
      <c r="A1" s="12" t="s">
        <v>25</v>
      </c>
    </row>
    <row r="3" spans="1:1" x14ac:dyDescent="0.3">
      <c r="A3" s="13" t="s">
        <v>26</v>
      </c>
    </row>
    <row r="4" spans="1:1" x14ac:dyDescent="0.3">
      <c r="A4" s="13" t="s">
        <v>27</v>
      </c>
    </row>
    <row r="5" spans="1:1" x14ac:dyDescent="0.3">
      <c r="A5" s="13" t="s">
        <v>28</v>
      </c>
    </row>
    <row r="6" spans="1:1" x14ac:dyDescent="0.3">
      <c r="A6" s="13" t="s">
        <v>29</v>
      </c>
    </row>
    <row r="8" spans="1:1" x14ac:dyDescent="0.3">
      <c r="A8" s="13" t="s">
        <v>30</v>
      </c>
    </row>
    <row r="9" spans="1:1" x14ac:dyDescent="0.3">
      <c r="A9" s="13" t="s">
        <v>31</v>
      </c>
    </row>
    <row r="11" spans="1:1" x14ac:dyDescent="0.3">
      <c r="A11" s="13" t="s">
        <v>32</v>
      </c>
    </row>
    <row r="12" spans="1:1" x14ac:dyDescent="0.3">
      <c r="A12" s="13" t="s">
        <v>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D57AB-C942-43F3-A8B6-2CDC0164AE22}">
  <sheetPr codeName="Sheet12"/>
  <dimension ref="A1:J1288"/>
  <sheetViews>
    <sheetView topLeftCell="A1064" zoomScaleNormal="100" workbookViewId="0">
      <selection activeCell="A1069" sqref="A1069:A1188"/>
    </sheetView>
  </sheetViews>
  <sheetFormatPr defaultColWidth="8.7109375" defaultRowHeight="15" x14ac:dyDescent="0.25"/>
  <cols>
    <col min="1" max="5" width="8.7109375" style="2"/>
    <col min="6" max="16384" width="8.7109375" style="3"/>
  </cols>
  <sheetData>
    <row r="1" spans="1:10" x14ac:dyDescent="0.25">
      <c r="A1" s="1" t="s">
        <v>0</v>
      </c>
    </row>
    <row r="2" spans="1:10" x14ac:dyDescent="0.25">
      <c r="A2" s="1"/>
    </row>
    <row r="3" spans="1:10" x14ac:dyDescent="0.2">
      <c r="A3" s="4" t="s">
        <v>1</v>
      </c>
      <c r="B3" s="4"/>
      <c r="C3" s="4"/>
      <c r="D3" s="4"/>
      <c r="E3" s="4"/>
      <c r="F3" s="4"/>
      <c r="G3" s="4"/>
      <c r="H3" s="4"/>
    </row>
    <row r="4" spans="1:10" x14ac:dyDescent="0.2">
      <c r="A4" s="4" t="s">
        <v>2</v>
      </c>
      <c r="B4" s="4" t="s">
        <v>3</v>
      </c>
      <c r="C4" s="4"/>
      <c r="D4" s="4"/>
      <c r="E4" s="4"/>
      <c r="F4" s="4"/>
      <c r="G4" s="4"/>
      <c r="H4" s="4"/>
    </row>
    <row r="5" spans="1:10" x14ac:dyDescent="0.2">
      <c r="A5" s="4"/>
      <c r="B5" s="4"/>
      <c r="C5" s="4"/>
      <c r="D5" s="4"/>
      <c r="E5" s="4"/>
      <c r="F5" s="4"/>
      <c r="G5" s="4"/>
      <c r="H5" s="4"/>
    </row>
    <row r="6" spans="1:10" x14ac:dyDescent="0.2">
      <c r="A6" s="4"/>
      <c r="B6" s="4" t="s">
        <v>4</v>
      </c>
      <c r="C6" s="4" t="s">
        <v>5</v>
      </c>
      <c r="D6" s="4" t="s">
        <v>6</v>
      </c>
      <c r="E6" s="4" t="s">
        <v>7</v>
      </c>
      <c r="F6" s="4"/>
      <c r="G6" s="4"/>
      <c r="H6" s="4"/>
    </row>
    <row r="7" spans="1:10" x14ac:dyDescent="0.2">
      <c r="A7" s="4">
        <v>192607</v>
      </c>
      <c r="B7" s="4">
        <v>2.96</v>
      </c>
      <c r="C7" s="4">
        <v>-2.56</v>
      </c>
      <c r="D7" s="4">
        <v>-2.4300000000000002</v>
      </c>
      <c r="E7" s="4">
        <v>0.22</v>
      </c>
      <c r="F7" s="4"/>
      <c r="G7" s="4"/>
      <c r="H7" s="4"/>
      <c r="I7" s="4"/>
      <c r="J7" s="4"/>
    </row>
    <row r="8" spans="1:10" x14ac:dyDescent="0.2">
      <c r="A8" s="4">
        <v>192608</v>
      </c>
      <c r="B8" s="4">
        <v>2.64</v>
      </c>
      <c r="C8" s="4">
        <v>-1.17</v>
      </c>
      <c r="D8" s="4">
        <v>3.82</v>
      </c>
      <c r="E8" s="4">
        <v>0.25</v>
      </c>
      <c r="F8" s="4"/>
      <c r="G8" s="4"/>
      <c r="H8" s="4"/>
    </row>
    <row r="9" spans="1:10" x14ac:dyDescent="0.2">
      <c r="A9" s="4">
        <v>192609</v>
      </c>
      <c r="B9" s="4">
        <v>0.36</v>
      </c>
      <c r="C9" s="4">
        <v>-1.4</v>
      </c>
      <c r="D9" s="4">
        <v>0.13</v>
      </c>
      <c r="E9" s="4">
        <v>0.23</v>
      </c>
      <c r="F9" s="4"/>
      <c r="G9" s="4"/>
      <c r="H9" s="4"/>
    </row>
    <row r="10" spans="1:10" x14ac:dyDescent="0.2">
      <c r="A10" s="4">
        <v>192610</v>
      </c>
      <c r="B10" s="4">
        <v>-3.24</v>
      </c>
      <c r="C10" s="4">
        <v>-0.09</v>
      </c>
      <c r="D10" s="4">
        <v>0.7</v>
      </c>
      <c r="E10" s="4">
        <v>0.32</v>
      </c>
      <c r="F10" s="4"/>
      <c r="G10" s="4"/>
      <c r="H10" s="4"/>
    </row>
    <row r="11" spans="1:10" x14ac:dyDescent="0.2">
      <c r="A11" s="4">
        <v>192611</v>
      </c>
      <c r="B11" s="4">
        <v>2.5299999999999998</v>
      </c>
      <c r="C11" s="4">
        <v>-0.1</v>
      </c>
      <c r="D11" s="4">
        <v>-0.51</v>
      </c>
      <c r="E11" s="4">
        <v>0.31</v>
      </c>
      <c r="F11" s="4"/>
      <c r="G11" s="4"/>
      <c r="H11" s="4"/>
    </row>
    <row r="12" spans="1:10" x14ac:dyDescent="0.2">
      <c r="A12" s="4">
        <v>192612</v>
      </c>
      <c r="B12" s="4">
        <v>2.62</v>
      </c>
      <c r="C12" s="4">
        <v>-0.03</v>
      </c>
      <c r="D12" s="4">
        <v>-0.05</v>
      </c>
      <c r="E12" s="4">
        <v>0.28000000000000003</v>
      </c>
      <c r="F12" s="4"/>
      <c r="G12" s="4"/>
      <c r="H12" s="4"/>
    </row>
    <row r="13" spans="1:10" x14ac:dyDescent="0.2">
      <c r="A13" s="4">
        <v>192701</v>
      </c>
      <c r="B13" s="4">
        <v>-0.06</v>
      </c>
      <c r="C13" s="4">
        <v>-0.37</v>
      </c>
      <c r="D13" s="4">
        <v>4.54</v>
      </c>
      <c r="E13" s="4">
        <v>0.25</v>
      </c>
      <c r="F13" s="4"/>
      <c r="G13" s="4"/>
      <c r="H13" s="4"/>
    </row>
    <row r="14" spans="1:10" x14ac:dyDescent="0.2">
      <c r="A14" s="4">
        <v>192702</v>
      </c>
      <c r="B14" s="4">
        <v>4.18</v>
      </c>
      <c r="C14" s="4">
        <v>0.04</v>
      </c>
      <c r="D14" s="4">
        <v>2.94</v>
      </c>
      <c r="E14" s="4">
        <v>0.26</v>
      </c>
      <c r="F14" s="4"/>
      <c r="G14" s="4"/>
      <c r="H14" s="4"/>
    </row>
    <row r="15" spans="1:10" x14ac:dyDescent="0.2">
      <c r="A15" s="4">
        <v>192703</v>
      </c>
      <c r="B15" s="4">
        <v>0.13</v>
      </c>
      <c r="C15" s="4">
        <v>-1.65</v>
      </c>
      <c r="D15" s="4">
        <v>-2.61</v>
      </c>
      <c r="E15" s="4">
        <v>0.3</v>
      </c>
      <c r="F15" s="4"/>
      <c r="G15" s="4"/>
      <c r="H15" s="4"/>
    </row>
    <row r="16" spans="1:10" x14ac:dyDescent="0.2">
      <c r="A16" s="4">
        <v>192704</v>
      </c>
      <c r="B16" s="4">
        <v>0.46</v>
      </c>
      <c r="C16" s="4">
        <v>0.3</v>
      </c>
      <c r="D16" s="4">
        <v>0.81</v>
      </c>
      <c r="E16" s="4">
        <v>0.25</v>
      </c>
      <c r="F16" s="4"/>
      <c r="G16" s="4"/>
      <c r="H16" s="4"/>
    </row>
    <row r="17" spans="1:8" x14ac:dyDescent="0.2">
      <c r="A17" s="4">
        <v>192705</v>
      </c>
      <c r="B17" s="4">
        <v>5.44</v>
      </c>
      <c r="C17" s="4">
        <v>1.53</v>
      </c>
      <c r="D17" s="4">
        <v>4.7300000000000004</v>
      </c>
      <c r="E17" s="4">
        <v>0.3</v>
      </c>
      <c r="F17" s="4"/>
      <c r="G17" s="4"/>
      <c r="H17" s="4"/>
    </row>
    <row r="18" spans="1:8" x14ac:dyDescent="0.2">
      <c r="A18" s="4">
        <v>192706</v>
      </c>
      <c r="B18" s="4">
        <v>-2.34</v>
      </c>
      <c r="C18" s="4">
        <v>0.59</v>
      </c>
      <c r="D18" s="4">
        <v>-1.73</v>
      </c>
      <c r="E18" s="4">
        <v>0.26</v>
      </c>
      <c r="F18" s="4"/>
      <c r="G18" s="4"/>
      <c r="H18" s="4"/>
    </row>
    <row r="19" spans="1:8" x14ac:dyDescent="0.2">
      <c r="A19" s="4">
        <v>192707</v>
      </c>
      <c r="B19" s="4">
        <v>7.26</v>
      </c>
      <c r="C19" s="4">
        <v>-3.25</v>
      </c>
      <c r="D19" s="4">
        <v>-1.1399999999999999</v>
      </c>
      <c r="E19" s="4">
        <v>0.3</v>
      </c>
      <c r="F19" s="4"/>
      <c r="G19" s="4"/>
      <c r="H19" s="4"/>
    </row>
    <row r="20" spans="1:8" x14ac:dyDescent="0.2">
      <c r="A20" s="4">
        <v>192708</v>
      </c>
      <c r="B20" s="4">
        <v>1.97</v>
      </c>
      <c r="C20" s="4">
        <v>-0.69</v>
      </c>
      <c r="D20" s="4">
        <v>-3.74</v>
      </c>
      <c r="E20" s="4">
        <v>0.28000000000000003</v>
      </c>
      <c r="F20" s="4"/>
      <c r="G20" s="4"/>
      <c r="H20" s="4"/>
    </row>
    <row r="21" spans="1:8" x14ac:dyDescent="0.2">
      <c r="A21" s="4">
        <v>192709</v>
      </c>
      <c r="B21" s="4">
        <v>4.76</v>
      </c>
      <c r="C21" s="4">
        <v>-3.63</v>
      </c>
      <c r="D21" s="4">
        <v>-0.63</v>
      </c>
      <c r="E21" s="4">
        <v>0.21</v>
      </c>
      <c r="F21" s="4"/>
      <c r="G21" s="4"/>
      <c r="H21" s="4"/>
    </row>
    <row r="22" spans="1:8" x14ac:dyDescent="0.2">
      <c r="A22" s="4">
        <v>192710</v>
      </c>
      <c r="B22" s="4">
        <v>-4.3099999999999996</v>
      </c>
      <c r="C22" s="4">
        <v>2.12</v>
      </c>
      <c r="D22" s="4">
        <v>-4.33</v>
      </c>
      <c r="E22" s="4">
        <v>0.25</v>
      </c>
      <c r="F22" s="4"/>
      <c r="G22" s="4"/>
      <c r="H22" s="4"/>
    </row>
    <row r="23" spans="1:8" x14ac:dyDescent="0.2">
      <c r="A23" s="4">
        <v>192711</v>
      </c>
      <c r="B23" s="4">
        <v>6.58</v>
      </c>
      <c r="C23" s="4">
        <v>2.72</v>
      </c>
      <c r="D23" s="4">
        <v>-0.27</v>
      </c>
      <c r="E23" s="4">
        <v>0.21</v>
      </c>
      <c r="F23" s="4"/>
      <c r="G23" s="4"/>
      <c r="H23" s="4"/>
    </row>
    <row r="24" spans="1:8" x14ac:dyDescent="0.2">
      <c r="A24" s="4">
        <v>192712</v>
      </c>
      <c r="B24" s="4">
        <v>2.09</v>
      </c>
      <c r="C24" s="4">
        <v>0.97</v>
      </c>
      <c r="D24" s="4">
        <v>-1.1299999999999999</v>
      </c>
      <c r="E24" s="4">
        <v>0.22</v>
      </c>
      <c r="F24" s="4"/>
      <c r="G24" s="4"/>
      <c r="H24" s="4"/>
    </row>
    <row r="25" spans="1:8" ht="15" customHeight="1" x14ac:dyDescent="0.2">
      <c r="A25" s="4">
        <v>192801</v>
      </c>
      <c r="B25" s="4">
        <v>-0.68</v>
      </c>
      <c r="C25" s="4">
        <v>4.26</v>
      </c>
      <c r="D25" s="4">
        <v>-0.75</v>
      </c>
      <c r="E25" s="4">
        <v>0.25</v>
      </c>
      <c r="F25" s="4"/>
      <c r="G25" s="4"/>
      <c r="H25" s="4"/>
    </row>
    <row r="26" spans="1:8" ht="15" customHeight="1" x14ac:dyDescent="0.2">
      <c r="A26" s="4">
        <v>192802</v>
      </c>
      <c r="B26" s="4">
        <v>-1.7</v>
      </c>
      <c r="C26" s="4">
        <v>-2.06</v>
      </c>
      <c r="D26" s="4">
        <v>-0.65</v>
      </c>
      <c r="E26" s="4">
        <v>0.33</v>
      </c>
      <c r="F26" s="4"/>
      <c r="G26" s="4"/>
      <c r="H26" s="4"/>
    </row>
    <row r="27" spans="1:8" ht="15" customHeight="1" x14ac:dyDescent="0.2">
      <c r="A27" s="4">
        <v>192803</v>
      </c>
      <c r="B27" s="4">
        <v>8.81</v>
      </c>
      <c r="C27" s="4">
        <v>-0.26</v>
      </c>
      <c r="D27" s="4">
        <v>-1.22</v>
      </c>
      <c r="E27" s="4">
        <v>0.28999999999999998</v>
      </c>
      <c r="F27" s="4"/>
      <c r="G27" s="4"/>
      <c r="H27" s="4"/>
    </row>
    <row r="28" spans="1:8" x14ac:dyDescent="0.2">
      <c r="A28" s="4">
        <v>192804</v>
      </c>
      <c r="B28" s="4">
        <v>4.2300000000000004</v>
      </c>
      <c r="C28" s="4">
        <v>3.98</v>
      </c>
      <c r="D28" s="4">
        <v>3.44</v>
      </c>
      <c r="E28" s="4">
        <v>0.22</v>
      </c>
      <c r="F28" s="4"/>
      <c r="G28" s="4"/>
      <c r="H28" s="4"/>
    </row>
    <row r="29" spans="1:8" x14ac:dyDescent="0.2">
      <c r="A29" s="4">
        <v>192805</v>
      </c>
      <c r="B29" s="4">
        <v>1.52</v>
      </c>
      <c r="C29" s="4">
        <v>2.85</v>
      </c>
      <c r="D29" s="4">
        <v>-3.27</v>
      </c>
      <c r="E29" s="4">
        <v>0.32</v>
      </c>
      <c r="F29" s="4"/>
      <c r="G29" s="4"/>
      <c r="H29" s="4"/>
    </row>
    <row r="30" spans="1:8" x14ac:dyDescent="0.2">
      <c r="A30" s="4">
        <v>192806</v>
      </c>
      <c r="B30" s="4">
        <v>-4.8499999999999996</v>
      </c>
      <c r="C30" s="4">
        <v>-3.52</v>
      </c>
      <c r="D30" s="4">
        <v>-0.03</v>
      </c>
      <c r="E30" s="4">
        <v>0.31</v>
      </c>
      <c r="F30" s="4"/>
      <c r="G30" s="4"/>
      <c r="H30" s="4"/>
    </row>
    <row r="31" spans="1:8" x14ac:dyDescent="0.2">
      <c r="A31" s="4">
        <v>192807</v>
      </c>
      <c r="B31" s="4">
        <v>0.62</v>
      </c>
      <c r="C31" s="4">
        <v>-1.32</v>
      </c>
      <c r="D31" s="4">
        <v>-0.5</v>
      </c>
      <c r="E31" s="4">
        <v>0.32</v>
      </c>
      <c r="F31" s="4"/>
      <c r="G31" s="4"/>
      <c r="H31" s="4"/>
    </row>
    <row r="32" spans="1:8" x14ac:dyDescent="0.2">
      <c r="A32" s="4">
        <v>192808</v>
      </c>
      <c r="B32" s="4">
        <v>6.68</v>
      </c>
      <c r="C32" s="4">
        <v>-2.06</v>
      </c>
      <c r="D32" s="4">
        <v>-2.15</v>
      </c>
      <c r="E32" s="4">
        <v>0.32</v>
      </c>
      <c r="F32" s="4"/>
      <c r="G32" s="4"/>
      <c r="H32" s="4"/>
    </row>
    <row r="33" spans="1:8" x14ac:dyDescent="0.2">
      <c r="A33" s="4">
        <v>192809</v>
      </c>
      <c r="B33" s="4">
        <v>2.88</v>
      </c>
      <c r="C33" s="4">
        <v>2.41</v>
      </c>
      <c r="D33" s="4">
        <v>0.86</v>
      </c>
      <c r="E33" s="4">
        <v>0.27</v>
      </c>
      <c r="F33" s="4"/>
      <c r="G33" s="4"/>
      <c r="H33" s="4"/>
    </row>
    <row r="34" spans="1:8" x14ac:dyDescent="0.2">
      <c r="A34" s="4">
        <v>192810</v>
      </c>
      <c r="B34" s="4">
        <v>1.33</v>
      </c>
      <c r="C34" s="4">
        <v>2.2200000000000002</v>
      </c>
      <c r="D34" s="4">
        <v>-2.16</v>
      </c>
      <c r="E34" s="4">
        <v>0.41</v>
      </c>
      <c r="F34" s="4"/>
      <c r="G34" s="4"/>
      <c r="H34" s="4"/>
    </row>
    <row r="35" spans="1:8" x14ac:dyDescent="0.2">
      <c r="A35" s="4">
        <v>192811</v>
      </c>
      <c r="B35" s="4">
        <v>11.81</v>
      </c>
      <c r="C35" s="4">
        <v>-1.78</v>
      </c>
      <c r="D35" s="4">
        <v>2.7</v>
      </c>
      <c r="E35" s="4">
        <v>0.38</v>
      </c>
      <c r="F35" s="4"/>
      <c r="G35" s="4"/>
      <c r="H35" s="4"/>
    </row>
    <row r="36" spans="1:8" x14ac:dyDescent="0.2">
      <c r="A36" s="4">
        <v>192812</v>
      </c>
      <c r="B36" s="4">
        <v>0.36</v>
      </c>
      <c r="C36" s="4">
        <v>-0.86</v>
      </c>
      <c r="D36" s="4">
        <v>-0.65</v>
      </c>
      <c r="E36" s="4">
        <v>0.06</v>
      </c>
      <c r="F36" s="4"/>
      <c r="G36" s="4"/>
      <c r="H36" s="4"/>
    </row>
    <row r="37" spans="1:8" x14ac:dyDescent="0.2">
      <c r="A37" s="4">
        <v>192901</v>
      </c>
      <c r="B37" s="4">
        <v>4.66</v>
      </c>
      <c r="C37" s="4">
        <v>-3.56</v>
      </c>
      <c r="D37" s="4">
        <v>-1.24</v>
      </c>
      <c r="E37" s="4">
        <v>0.34</v>
      </c>
      <c r="F37" s="4"/>
      <c r="G37" s="4"/>
      <c r="H37" s="4"/>
    </row>
    <row r="38" spans="1:8" x14ac:dyDescent="0.2">
      <c r="A38" s="4">
        <v>192902</v>
      </c>
      <c r="B38" s="4">
        <v>-0.34</v>
      </c>
      <c r="C38" s="4">
        <v>-0.38</v>
      </c>
      <c r="D38" s="4">
        <v>1.66</v>
      </c>
      <c r="E38" s="4">
        <v>0.36</v>
      </c>
      <c r="F38" s="4"/>
      <c r="G38" s="4"/>
      <c r="H38" s="4"/>
    </row>
    <row r="39" spans="1:8" x14ac:dyDescent="0.2">
      <c r="A39" s="4">
        <v>192903</v>
      </c>
      <c r="B39" s="4">
        <v>-0.89</v>
      </c>
      <c r="C39" s="4">
        <v>-4.71</v>
      </c>
      <c r="D39" s="4">
        <v>1.58</v>
      </c>
      <c r="E39" s="4">
        <v>0.34</v>
      </c>
      <c r="F39" s="4"/>
      <c r="G39" s="4"/>
      <c r="H39" s="4"/>
    </row>
    <row r="40" spans="1:8" x14ac:dyDescent="0.2">
      <c r="A40" s="4">
        <v>192904</v>
      </c>
      <c r="B40" s="4">
        <v>1.43</v>
      </c>
      <c r="C40" s="4">
        <v>-0.97</v>
      </c>
      <c r="D40" s="4">
        <v>0.59</v>
      </c>
      <c r="E40" s="4">
        <v>0.36</v>
      </c>
      <c r="F40" s="4"/>
      <c r="G40" s="4"/>
      <c r="H40" s="4"/>
    </row>
    <row r="41" spans="1:8" x14ac:dyDescent="0.2">
      <c r="A41" s="4">
        <v>192905</v>
      </c>
      <c r="B41" s="4">
        <v>-6.39</v>
      </c>
      <c r="C41" s="4">
        <v>-5.37</v>
      </c>
      <c r="D41" s="4">
        <v>-1.42</v>
      </c>
      <c r="E41" s="4">
        <v>0.44</v>
      </c>
      <c r="F41" s="4"/>
      <c r="G41" s="4"/>
      <c r="H41" s="4"/>
    </row>
    <row r="42" spans="1:8" x14ac:dyDescent="0.2">
      <c r="A42" s="4">
        <v>192906</v>
      </c>
      <c r="B42" s="4">
        <v>9.6999999999999993</v>
      </c>
      <c r="C42" s="4">
        <v>-2.17</v>
      </c>
      <c r="D42" s="4">
        <v>-2.79</v>
      </c>
      <c r="E42" s="4">
        <v>0.52</v>
      </c>
      <c r="F42" s="4"/>
      <c r="G42" s="4"/>
      <c r="H42" s="4"/>
    </row>
    <row r="43" spans="1:8" x14ac:dyDescent="0.2">
      <c r="A43" s="4">
        <v>192907</v>
      </c>
      <c r="B43" s="4">
        <v>4.46</v>
      </c>
      <c r="C43" s="4">
        <v>-3.88</v>
      </c>
      <c r="D43" s="4">
        <v>2.71</v>
      </c>
      <c r="E43" s="4">
        <v>0.33</v>
      </c>
      <c r="F43" s="4"/>
      <c r="G43" s="4"/>
      <c r="H43" s="4"/>
    </row>
    <row r="44" spans="1:8" x14ac:dyDescent="0.2">
      <c r="A44" s="4">
        <v>192908</v>
      </c>
      <c r="B44" s="4">
        <v>8.18</v>
      </c>
      <c r="C44" s="4">
        <v>-9.59</v>
      </c>
      <c r="D44" s="4">
        <v>0.13</v>
      </c>
      <c r="E44" s="4">
        <v>0.4</v>
      </c>
      <c r="F44" s="4"/>
      <c r="G44" s="4"/>
      <c r="H44" s="4"/>
    </row>
    <row r="45" spans="1:8" x14ac:dyDescent="0.2">
      <c r="A45" s="4">
        <v>192909</v>
      </c>
      <c r="B45" s="4">
        <v>-5.47</v>
      </c>
      <c r="C45" s="4">
        <v>1.19</v>
      </c>
      <c r="D45" s="4">
        <v>-0.65</v>
      </c>
      <c r="E45" s="4">
        <v>0.35</v>
      </c>
      <c r="F45" s="4"/>
      <c r="G45" s="4"/>
      <c r="H45" s="4"/>
    </row>
    <row r="46" spans="1:8" x14ac:dyDescent="0.2">
      <c r="A46" s="4">
        <v>192910</v>
      </c>
      <c r="B46" s="4">
        <v>-20.12</v>
      </c>
      <c r="C46" s="4">
        <v>-4.01</v>
      </c>
      <c r="D46" s="4">
        <v>7.78</v>
      </c>
      <c r="E46" s="4">
        <v>0.46</v>
      </c>
      <c r="F46" s="4"/>
      <c r="G46" s="4"/>
      <c r="H46" s="4"/>
    </row>
    <row r="47" spans="1:8" x14ac:dyDescent="0.2">
      <c r="A47" s="4">
        <v>192911</v>
      </c>
      <c r="B47" s="4">
        <v>-12.74</v>
      </c>
      <c r="C47" s="4">
        <v>-1.72</v>
      </c>
      <c r="D47" s="4">
        <v>5.05</v>
      </c>
      <c r="E47" s="4">
        <v>0.37</v>
      </c>
      <c r="F47" s="4"/>
      <c r="G47" s="4"/>
      <c r="H47" s="4"/>
    </row>
    <row r="48" spans="1:8" x14ac:dyDescent="0.2">
      <c r="A48" s="4">
        <v>192912</v>
      </c>
      <c r="B48" s="4">
        <v>1.33</v>
      </c>
      <c r="C48" s="4">
        <v>-4.5</v>
      </c>
      <c r="D48" s="4">
        <v>-0.54</v>
      </c>
      <c r="E48" s="4">
        <v>0.37</v>
      </c>
      <c r="F48" s="4"/>
      <c r="G48" s="4"/>
      <c r="H48" s="4"/>
    </row>
    <row r="49" spans="1:8" x14ac:dyDescent="0.2">
      <c r="A49" s="4">
        <v>193001</v>
      </c>
      <c r="B49" s="4">
        <v>5.61</v>
      </c>
      <c r="C49" s="4">
        <v>3.55</v>
      </c>
      <c r="D49" s="4">
        <v>-0.96</v>
      </c>
      <c r="E49" s="4">
        <v>0.14000000000000001</v>
      </c>
      <c r="F49" s="4"/>
      <c r="G49" s="4"/>
      <c r="H49" s="4"/>
    </row>
    <row r="50" spans="1:8" x14ac:dyDescent="0.2">
      <c r="A50" s="4">
        <v>193002</v>
      </c>
      <c r="B50" s="4">
        <v>2.5</v>
      </c>
      <c r="C50" s="4">
        <v>0.19</v>
      </c>
      <c r="D50" s="4">
        <v>0.2</v>
      </c>
      <c r="E50" s="4">
        <v>0.3</v>
      </c>
      <c r="F50" s="4"/>
      <c r="G50" s="4"/>
      <c r="H50" s="4"/>
    </row>
    <row r="51" spans="1:8" x14ac:dyDescent="0.2">
      <c r="A51" s="4">
        <v>193003</v>
      </c>
      <c r="B51" s="4">
        <v>7.1</v>
      </c>
      <c r="C51" s="4">
        <v>3.41</v>
      </c>
      <c r="D51" s="4">
        <v>0.33</v>
      </c>
      <c r="E51" s="4">
        <v>0.35</v>
      </c>
      <c r="F51" s="4"/>
      <c r="G51" s="4"/>
      <c r="H51" s="4"/>
    </row>
    <row r="52" spans="1:8" x14ac:dyDescent="0.2">
      <c r="A52" s="4">
        <v>193004</v>
      </c>
      <c r="B52" s="4">
        <v>-2.06</v>
      </c>
      <c r="C52" s="4">
        <v>-0.35</v>
      </c>
      <c r="D52" s="4">
        <v>-0.35</v>
      </c>
      <c r="E52" s="4">
        <v>0.21</v>
      </c>
      <c r="F52" s="4"/>
      <c r="G52" s="4"/>
      <c r="H52" s="4"/>
    </row>
    <row r="53" spans="1:8" x14ac:dyDescent="0.2">
      <c r="A53" s="4">
        <v>193005</v>
      </c>
      <c r="B53" s="4">
        <v>-1.66</v>
      </c>
      <c r="C53" s="4">
        <v>-2.0099999999999998</v>
      </c>
      <c r="D53" s="4">
        <v>-0.73</v>
      </c>
      <c r="E53" s="4">
        <v>0.26</v>
      </c>
      <c r="F53" s="4"/>
      <c r="G53" s="4"/>
      <c r="H53" s="4"/>
    </row>
    <row r="54" spans="1:8" x14ac:dyDescent="0.2">
      <c r="A54" s="4">
        <v>193006</v>
      </c>
      <c r="B54" s="4">
        <v>-16.27</v>
      </c>
      <c r="C54" s="4">
        <v>-3.38</v>
      </c>
      <c r="D54" s="4">
        <v>2.33</v>
      </c>
      <c r="E54" s="4">
        <v>0.27</v>
      </c>
      <c r="F54" s="4"/>
      <c r="G54" s="4"/>
      <c r="H54" s="4"/>
    </row>
    <row r="55" spans="1:8" x14ac:dyDescent="0.2">
      <c r="A55" s="4">
        <v>193007</v>
      </c>
      <c r="B55" s="4">
        <v>4.12</v>
      </c>
      <c r="C55" s="4">
        <v>-0.28000000000000003</v>
      </c>
      <c r="D55" s="4">
        <v>-1.75</v>
      </c>
      <c r="E55" s="4">
        <v>0.2</v>
      </c>
      <c r="F55" s="4"/>
      <c r="G55" s="4"/>
      <c r="H55" s="4"/>
    </row>
    <row r="56" spans="1:8" x14ac:dyDescent="0.2">
      <c r="A56" s="4">
        <v>193008</v>
      </c>
      <c r="B56" s="4">
        <v>0.3</v>
      </c>
      <c r="C56" s="4">
        <v>-2.1</v>
      </c>
      <c r="D56" s="4">
        <v>-0.61</v>
      </c>
      <c r="E56" s="4">
        <v>0.09</v>
      </c>
      <c r="F56" s="4"/>
      <c r="G56" s="4"/>
      <c r="H56" s="4"/>
    </row>
    <row r="57" spans="1:8" x14ac:dyDescent="0.2">
      <c r="A57" s="4">
        <v>193009</v>
      </c>
      <c r="B57" s="4">
        <v>-12.75</v>
      </c>
      <c r="C57" s="4">
        <v>-2.21</v>
      </c>
      <c r="D57" s="4">
        <v>-4.96</v>
      </c>
      <c r="E57" s="4">
        <v>0.22</v>
      </c>
      <c r="F57" s="4"/>
      <c r="G57" s="4"/>
      <c r="H57" s="4"/>
    </row>
    <row r="58" spans="1:8" x14ac:dyDescent="0.2">
      <c r="A58" s="4">
        <v>193010</v>
      </c>
      <c r="B58" s="4">
        <v>-8.7799999999999994</v>
      </c>
      <c r="C58" s="4">
        <v>-0.12</v>
      </c>
      <c r="D58" s="4">
        <v>-1.38</v>
      </c>
      <c r="E58" s="4">
        <v>0.09</v>
      </c>
      <c r="F58" s="4"/>
      <c r="G58" s="4"/>
      <c r="H58" s="4"/>
    </row>
    <row r="59" spans="1:8" x14ac:dyDescent="0.2">
      <c r="A59" s="4">
        <v>193011</v>
      </c>
      <c r="B59" s="4">
        <v>-3.04</v>
      </c>
      <c r="C59" s="4">
        <v>2.23</v>
      </c>
      <c r="D59" s="4">
        <v>-3.66</v>
      </c>
      <c r="E59" s="4">
        <v>0.13</v>
      </c>
      <c r="F59" s="4"/>
      <c r="G59" s="4"/>
      <c r="H59" s="4"/>
    </row>
    <row r="60" spans="1:8" x14ac:dyDescent="0.2">
      <c r="A60" s="4">
        <v>193012</v>
      </c>
      <c r="B60" s="4">
        <v>-7.83</v>
      </c>
      <c r="C60" s="4">
        <v>-4.5999999999999996</v>
      </c>
      <c r="D60" s="4">
        <v>-5.25</v>
      </c>
      <c r="E60" s="4">
        <v>0.14000000000000001</v>
      </c>
      <c r="F60" s="4"/>
      <c r="G60" s="4"/>
      <c r="H60" s="4"/>
    </row>
    <row r="61" spans="1:8" x14ac:dyDescent="0.2">
      <c r="A61" s="4">
        <v>193101</v>
      </c>
      <c r="B61" s="4">
        <v>6.24</v>
      </c>
      <c r="C61" s="4">
        <v>3.45</v>
      </c>
      <c r="D61" s="4">
        <v>7.12</v>
      </c>
      <c r="E61" s="4">
        <v>0.15</v>
      </c>
      <c r="F61" s="4"/>
      <c r="G61" s="4"/>
      <c r="H61" s="4"/>
    </row>
    <row r="62" spans="1:8" x14ac:dyDescent="0.2">
      <c r="A62" s="4">
        <v>193102</v>
      </c>
      <c r="B62" s="4">
        <v>10.88</v>
      </c>
      <c r="C62" s="4">
        <v>3.59</v>
      </c>
      <c r="D62" s="4">
        <v>1.92</v>
      </c>
      <c r="E62" s="4">
        <v>0.04</v>
      </c>
      <c r="F62" s="4"/>
      <c r="G62" s="4"/>
      <c r="H62" s="4"/>
    </row>
    <row r="63" spans="1:8" x14ac:dyDescent="0.2">
      <c r="A63" s="4">
        <v>193103</v>
      </c>
      <c r="B63" s="4">
        <v>-6.43</v>
      </c>
      <c r="C63" s="4">
        <v>2.98</v>
      </c>
      <c r="D63" s="4">
        <v>-3.44</v>
      </c>
      <c r="E63" s="4">
        <v>0.13</v>
      </c>
      <c r="F63" s="4"/>
      <c r="G63" s="4"/>
      <c r="H63" s="4"/>
    </row>
    <row r="64" spans="1:8" x14ac:dyDescent="0.2">
      <c r="A64" s="4">
        <v>193104</v>
      </c>
      <c r="B64" s="4">
        <v>-9.98</v>
      </c>
      <c r="C64" s="4">
        <v>-4.45</v>
      </c>
      <c r="D64" s="4">
        <v>-3.82</v>
      </c>
      <c r="E64" s="4">
        <v>0.08</v>
      </c>
      <c r="F64" s="4"/>
      <c r="G64" s="4"/>
      <c r="H64" s="4"/>
    </row>
    <row r="65" spans="1:8" x14ac:dyDescent="0.2">
      <c r="A65" s="4">
        <v>193105</v>
      </c>
      <c r="B65" s="4">
        <v>-13.24</v>
      </c>
      <c r="C65" s="4">
        <v>5.35</v>
      </c>
      <c r="D65" s="4">
        <v>-6.57</v>
      </c>
      <c r="E65" s="4">
        <v>0.09</v>
      </c>
      <c r="F65" s="4"/>
      <c r="G65" s="4"/>
      <c r="H65" s="4"/>
    </row>
    <row r="66" spans="1:8" x14ac:dyDescent="0.2">
      <c r="A66" s="4">
        <v>193106</v>
      </c>
      <c r="B66" s="4">
        <v>13.9</v>
      </c>
      <c r="C66" s="4">
        <v>-5.32</v>
      </c>
      <c r="D66" s="4">
        <v>11.29</v>
      </c>
      <c r="E66" s="4">
        <v>0.08</v>
      </c>
      <c r="F66" s="4"/>
      <c r="G66" s="4"/>
      <c r="H66" s="4"/>
    </row>
    <row r="67" spans="1:8" x14ac:dyDescent="0.2">
      <c r="A67" s="4">
        <v>193107</v>
      </c>
      <c r="B67" s="4">
        <v>-6.62</v>
      </c>
      <c r="C67" s="4">
        <v>1.42</v>
      </c>
      <c r="D67" s="4">
        <v>-2.11</v>
      </c>
      <c r="E67" s="4">
        <v>0.06</v>
      </c>
      <c r="F67" s="4"/>
      <c r="G67" s="4"/>
      <c r="H67" s="4"/>
    </row>
    <row r="68" spans="1:8" x14ac:dyDescent="0.2">
      <c r="A68" s="4">
        <v>193108</v>
      </c>
      <c r="B68" s="4">
        <v>0.41</v>
      </c>
      <c r="C68" s="4">
        <v>-1.95</v>
      </c>
      <c r="D68" s="4">
        <v>-1.47</v>
      </c>
      <c r="E68" s="4">
        <v>0.03</v>
      </c>
      <c r="F68" s="4"/>
      <c r="G68" s="4"/>
      <c r="H68" s="4"/>
    </row>
    <row r="69" spans="1:8" x14ac:dyDescent="0.2">
      <c r="A69" s="4">
        <v>193109</v>
      </c>
      <c r="B69" s="4">
        <v>-29.13</v>
      </c>
      <c r="C69" s="4">
        <v>0.54</v>
      </c>
      <c r="D69" s="4">
        <v>-6.77</v>
      </c>
      <c r="E69" s="4">
        <v>0.03</v>
      </c>
      <c r="F69" s="4"/>
      <c r="G69" s="4"/>
      <c r="H69" s="4"/>
    </row>
    <row r="70" spans="1:8" x14ac:dyDescent="0.2">
      <c r="A70" s="4">
        <v>193110</v>
      </c>
      <c r="B70" s="4">
        <v>8.0399999999999991</v>
      </c>
      <c r="C70" s="4">
        <v>-1.87</v>
      </c>
      <c r="D70" s="4">
        <v>1.7</v>
      </c>
      <c r="E70" s="4">
        <v>0.1</v>
      </c>
      <c r="F70" s="4"/>
      <c r="G70" s="4"/>
      <c r="H70" s="4"/>
    </row>
    <row r="71" spans="1:8" x14ac:dyDescent="0.2">
      <c r="A71" s="4">
        <v>193111</v>
      </c>
      <c r="B71" s="4">
        <v>-9.08</v>
      </c>
      <c r="C71" s="4">
        <v>4.3099999999999996</v>
      </c>
      <c r="D71" s="4">
        <v>-5.04</v>
      </c>
      <c r="E71" s="4">
        <v>0.17</v>
      </c>
      <c r="F71" s="4"/>
      <c r="G71" s="4"/>
      <c r="H71" s="4"/>
    </row>
    <row r="72" spans="1:8" x14ac:dyDescent="0.2">
      <c r="A72" s="4">
        <v>193112</v>
      </c>
      <c r="B72" s="4">
        <v>-13.53</v>
      </c>
      <c r="C72" s="4">
        <v>-0.55000000000000004</v>
      </c>
      <c r="D72" s="4">
        <v>-8.85</v>
      </c>
      <c r="E72" s="4">
        <v>0.12</v>
      </c>
      <c r="F72" s="4"/>
      <c r="G72" s="4"/>
      <c r="H72" s="4"/>
    </row>
    <row r="73" spans="1:8" x14ac:dyDescent="0.2">
      <c r="A73" s="4">
        <v>193201</v>
      </c>
      <c r="B73" s="4">
        <v>-1.58</v>
      </c>
      <c r="C73" s="4">
        <v>3.93</v>
      </c>
      <c r="D73" s="4">
        <v>9.0299999999999994</v>
      </c>
      <c r="E73" s="4">
        <v>0.23</v>
      </c>
      <c r="F73" s="4"/>
      <c r="G73" s="4"/>
      <c r="H73" s="4"/>
    </row>
    <row r="74" spans="1:8" x14ac:dyDescent="0.2">
      <c r="A74" s="4">
        <v>193202</v>
      </c>
      <c r="B74" s="4">
        <v>5.46</v>
      </c>
      <c r="C74" s="4">
        <v>-2.78</v>
      </c>
      <c r="D74" s="4">
        <v>-1.46</v>
      </c>
      <c r="E74" s="4">
        <v>0.23</v>
      </c>
      <c r="F74" s="4"/>
      <c r="G74" s="4"/>
      <c r="H74" s="4"/>
    </row>
    <row r="75" spans="1:8" x14ac:dyDescent="0.2">
      <c r="A75" s="4">
        <v>193203</v>
      </c>
      <c r="B75" s="4">
        <v>-11.21</v>
      </c>
      <c r="C75" s="4">
        <v>2.27</v>
      </c>
      <c r="D75" s="4">
        <v>-2.3199999999999998</v>
      </c>
      <c r="E75" s="4">
        <v>0.16</v>
      </c>
      <c r="F75" s="4"/>
      <c r="G75" s="4"/>
      <c r="H75" s="4"/>
    </row>
    <row r="76" spans="1:8" x14ac:dyDescent="0.2">
      <c r="A76" s="4">
        <v>193204</v>
      </c>
      <c r="B76" s="4">
        <v>-17.96</v>
      </c>
      <c r="C76" s="4">
        <v>1.45</v>
      </c>
      <c r="D76" s="4">
        <v>1.43</v>
      </c>
      <c r="E76" s="4">
        <v>0.11</v>
      </c>
      <c r="F76" s="4"/>
      <c r="G76" s="4"/>
      <c r="H76" s="4"/>
    </row>
    <row r="77" spans="1:8" x14ac:dyDescent="0.2">
      <c r="A77" s="4">
        <v>193205</v>
      </c>
      <c r="B77" s="4">
        <v>-20.51</v>
      </c>
      <c r="C77" s="4">
        <v>3.91</v>
      </c>
      <c r="D77" s="4">
        <v>-2.98</v>
      </c>
      <c r="E77" s="4">
        <v>0.06</v>
      </c>
      <c r="F77" s="4"/>
      <c r="G77" s="4"/>
      <c r="H77" s="4"/>
    </row>
    <row r="78" spans="1:8" x14ac:dyDescent="0.2">
      <c r="A78" s="4">
        <v>193206</v>
      </c>
      <c r="B78" s="4">
        <v>-0.7</v>
      </c>
      <c r="C78" s="4">
        <v>0.33</v>
      </c>
      <c r="D78" s="4">
        <v>5.3</v>
      </c>
      <c r="E78" s="4">
        <v>0.02</v>
      </c>
      <c r="F78" s="4"/>
      <c r="G78" s="4"/>
      <c r="H78" s="4"/>
    </row>
    <row r="79" spans="1:8" x14ac:dyDescent="0.2">
      <c r="A79" s="4">
        <v>193207</v>
      </c>
      <c r="B79" s="4">
        <v>33.840000000000003</v>
      </c>
      <c r="C79" s="4">
        <v>-4.59</v>
      </c>
      <c r="D79" s="4">
        <v>35.61</v>
      </c>
      <c r="E79" s="4">
        <v>0.03</v>
      </c>
      <c r="F79" s="4"/>
      <c r="G79" s="4"/>
      <c r="H79" s="4"/>
    </row>
    <row r="80" spans="1:8" x14ac:dyDescent="0.2">
      <c r="A80" s="4">
        <v>193208</v>
      </c>
      <c r="B80" s="4">
        <v>37.06</v>
      </c>
      <c r="C80" s="4">
        <v>13.41</v>
      </c>
      <c r="D80" s="4">
        <v>34.24</v>
      </c>
      <c r="E80" s="4">
        <v>0.03</v>
      </c>
      <c r="F80" s="4"/>
      <c r="G80" s="4"/>
      <c r="H80" s="4"/>
    </row>
    <row r="81" spans="1:8" x14ac:dyDescent="0.2">
      <c r="A81" s="4">
        <v>193209</v>
      </c>
      <c r="B81" s="4">
        <v>-2.94</v>
      </c>
      <c r="C81" s="4">
        <v>-2.08</v>
      </c>
      <c r="D81" s="4">
        <v>-7.36</v>
      </c>
      <c r="E81" s="4">
        <v>0.03</v>
      </c>
      <c r="F81" s="4"/>
      <c r="G81" s="4"/>
      <c r="H81" s="4"/>
    </row>
    <row r="82" spans="1:8" x14ac:dyDescent="0.2">
      <c r="A82" s="4">
        <v>193210</v>
      </c>
      <c r="B82" s="4">
        <v>-13.17</v>
      </c>
      <c r="C82" s="4">
        <v>-2.56</v>
      </c>
      <c r="D82" s="4">
        <v>-10.33</v>
      </c>
      <c r="E82" s="4">
        <v>0.02</v>
      </c>
      <c r="F82" s="4"/>
      <c r="G82" s="4"/>
      <c r="H82" s="4"/>
    </row>
    <row r="83" spans="1:8" x14ac:dyDescent="0.2">
      <c r="A83" s="4">
        <v>193211</v>
      </c>
      <c r="B83" s="4">
        <v>-5.88</v>
      </c>
      <c r="C83" s="4">
        <v>2</v>
      </c>
      <c r="D83" s="4">
        <v>-13.11</v>
      </c>
      <c r="E83" s="4">
        <v>0.02</v>
      </c>
      <c r="F83" s="4"/>
      <c r="G83" s="4"/>
      <c r="H83" s="4"/>
    </row>
    <row r="84" spans="1:8" x14ac:dyDescent="0.2">
      <c r="A84" s="4">
        <v>193212</v>
      </c>
      <c r="B84" s="4">
        <v>4.4000000000000004</v>
      </c>
      <c r="C84" s="4">
        <v>-8.64</v>
      </c>
      <c r="D84" s="4">
        <v>-7.72</v>
      </c>
      <c r="E84" s="4">
        <v>0.01</v>
      </c>
      <c r="F84" s="4"/>
      <c r="G84" s="4"/>
      <c r="H84" s="4"/>
    </row>
    <row r="85" spans="1:8" x14ac:dyDescent="0.2">
      <c r="A85" s="4">
        <v>193301</v>
      </c>
      <c r="B85" s="4">
        <v>1.25</v>
      </c>
      <c r="C85" s="4">
        <v>0.63</v>
      </c>
      <c r="D85" s="4">
        <v>6.36</v>
      </c>
      <c r="E85" s="4">
        <v>0.01</v>
      </c>
      <c r="F85" s="4"/>
      <c r="G85" s="4"/>
      <c r="H85" s="4"/>
    </row>
    <row r="86" spans="1:8" x14ac:dyDescent="0.2">
      <c r="A86" s="4">
        <v>193302</v>
      </c>
      <c r="B86" s="4">
        <v>-15.24</v>
      </c>
      <c r="C86" s="4">
        <v>-2.58</v>
      </c>
      <c r="D86" s="4">
        <v>-2.95</v>
      </c>
      <c r="E86" s="4">
        <v>-0.03</v>
      </c>
      <c r="F86" s="4"/>
      <c r="G86" s="4"/>
      <c r="H86" s="4"/>
    </row>
    <row r="87" spans="1:8" x14ac:dyDescent="0.2">
      <c r="A87" s="4">
        <v>193303</v>
      </c>
      <c r="B87" s="4">
        <v>3.29</v>
      </c>
      <c r="C87" s="4">
        <v>3.79</v>
      </c>
      <c r="D87" s="4">
        <v>7.54</v>
      </c>
      <c r="E87" s="4">
        <v>0.04</v>
      </c>
      <c r="F87" s="4"/>
      <c r="G87" s="4"/>
      <c r="H87" s="4"/>
    </row>
    <row r="88" spans="1:8" x14ac:dyDescent="0.2">
      <c r="A88" s="4">
        <v>193304</v>
      </c>
      <c r="B88" s="4">
        <v>38.85</v>
      </c>
      <c r="C88" s="4">
        <v>3.07</v>
      </c>
      <c r="D88" s="4">
        <v>19.649999999999999</v>
      </c>
      <c r="E88" s="4">
        <v>0.1</v>
      </c>
      <c r="F88" s="4"/>
      <c r="G88" s="4"/>
      <c r="H88" s="4"/>
    </row>
    <row r="89" spans="1:8" x14ac:dyDescent="0.2">
      <c r="A89" s="4">
        <v>193305</v>
      </c>
      <c r="B89" s="4">
        <v>21.43</v>
      </c>
      <c r="C89" s="4">
        <v>36.56</v>
      </c>
      <c r="D89" s="4">
        <v>19.190000000000001</v>
      </c>
      <c r="E89" s="4">
        <v>0.04</v>
      </c>
      <c r="F89" s="4"/>
      <c r="G89" s="4"/>
      <c r="H89" s="4"/>
    </row>
    <row r="90" spans="1:8" x14ac:dyDescent="0.2">
      <c r="A90" s="4">
        <v>193306</v>
      </c>
      <c r="B90" s="4">
        <v>13.11</v>
      </c>
      <c r="C90" s="4">
        <v>8.42</v>
      </c>
      <c r="D90" s="4">
        <v>-1.78</v>
      </c>
      <c r="E90" s="4">
        <v>0.02</v>
      </c>
      <c r="F90" s="4"/>
      <c r="G90" s="4"/>
      <c r="H90" s="4"/>
    </row>
    <row r="91" spans="1:8" x14ac:dyDescent="0.2">
      <c r="A91" s="4">
        <v>193307</v>
      </c>
      <c r="B91" s="4">
        <v>-9.6300000000000008</v>
      </c>
      <c r="C91" s="4">
        <v>-1.05</v>
      </c>
      <c r="D91" s="4">
        <v>3.27</v>
      </c>
      <c r="E91" s="4">
        <v>0.02</v>
      </c>
      <c r="F91" s="4"/>
      <c r="G91" s="4"/>
      <c r="H91" s="4"/>
    </row>
    <row r="92" spans="1:8" x14ac:dyDescent="0.2">
      <c r="A92" s="4">
        <v>193308</v>
      </c>
      <c r="B92" s="4">
        <v>12.05</v>
      </c>
      <c r="C92" s="4">
        <v>-5.39</v>
      </c>
      <c r="D92" s="4">
        <v>3</v>
      </c>
      <c r="E92" s="4">
        <v>0.03</v>
      </c>
      <c r="F92" s="4"/>
      <c r="G92" s="4"/>
      <c r="H92" s="4"/>
    </row>
    <row r="93" spans="1:8" x14ac:dyDescent="0.2">
      <c r="A93" s="4">
        <v>193309</v>
      </c>
      <c r="B93" s="4">
        <v>-10.65</v>
      </c>
      <c r="C93" s="4">
        <v>-0.4</v>
      </c>
      <c r="D93" s="4">
        <v>-11.74</v>
      </c>
      <c r="E93" s="4">
        <v>0.02</v>
      </c>
      <c r="F93" s="4"/>
      <c r="G93" s="4"/>
      <c r="H93" s="4"/>
    </row>
    <row r="94" spans="1:8" x14ac:dyDescent="0.2">
      <c r="A94" s="4">
        <v>193310</v>
      </c>
      <c r="B94" s="4">
        <v>-8.36</v>
      </c>
      <c r="C94" s="4">
        <v>-0.2</v>
      </c>
      <c r="D94" s="4">
        <v>-8.57</v>
      </c>
      <c r="E94" s="4">
        <v>0.01</v>
      </c>
      <c r="F94" s="4"/>
      <c r="G94" s="4"/>
      <c r="H94" s="4"/>
    </row>
    <row r="95" spans="1:8" x14ac:dyDescent="0.2">
      <c r="A95" s="4">
        <v>193311</v>
      </c>
      <c r="B95" s="4">
        <v>9.9700000000000006</v>
      </c>
      <c r="C95" s="4">
        <v>-6.47</v>
      </c>
      <c r="D95" s="4">
        <v>2.3199999999999998</v>
      </c>
      <c r="E95" s="4">
        <v>0.02</v>
      </c>
      <c r="F95" s="4"/>
      <c r="G95" s="4"/>
      <c r="H95" s="4"/>
    </row>
    <row r="96" spans="1:8" x14ac:dyDescent="0.2">
      <c r="A96" s="4">
        <v>193312</v>
      </c>
      <c r="B96" s="4">
        <v>1.83</v>
      </c>
      <c r="C96" s="4">
        <v>0.63</v>
      </c>
      <c r="D96" s="4">
        <v>-1.56</v>
      </c>
      <c r="E96" s="4">
        <v>0.02</v>
      </c>
      <c r="F96" s="4"/>
      <c r="G96" s="4"/>
      <c r="H96" s="4"/>
    </row>
    <row r="97" spans="1:8" x14ac:dyDescent="0.2">
      <c r="A97" s="4">
        <v>193401</v>
      </c>
      <c r="B97" s="4">
        <v>12.6</v>
      </c>
      <c r="C97" s="4">
        <v>12.69</v>
      </c>
      <c r="D97" s="4">
        <v>15.59</v>
      </c>
      <c r="E97" s="4">
        <v>0.05</v>
      </c>
      <c r="F97" s="4"/>
      <c r="G97" s="4"/>
      <c r="H97" s="4"/>
    </row>
    <row r="98" spans="1:8" x14ac:dyDescent="0.2">
      <c r="A98" s="4">
        <v>193402</v>
      </c>
      <c r="B98" s="4">
        <v>-2.5</v>
      </c>
      <c r="C98" s="4">
        <v>5.0999999999999996</v>
      </c>
      <c r="D98" s="4">
        <v>2</v>
      </c>
      <c r="E98" s="4">
        <v>0.02</v>
      </c>
      <c r="F98" s="4"/>
      <c r="G98" s="4"/>
      <c r="H98" s="4"/>
    </row>
    <row r="99" spans="1:8" x14ac:dyDescent="0.2">
      <c r="A99" s="4">
        <v>193403</v>
      </c>
      <c r="B99" s="4">
        <v>0.09</v>
      </c>
      <c r="C99" s="4">
        <v>2.5099999999999998</v>
      </c>
      <c r="D99" s="4">
        <v>-2.7</v>
      </c>
      <c r="E99" s="4">
        <v>0.02</v>
      </c>
      <c r="F99" s="4"/>
      <c r="G99" s="4"/>
      <c r="H99" s="4"/>
    </row>
    <row r="100" spans="1:8" x14ac:dyDescent="0.2">
      <c r="A100" s="4">
        <v>193404</v>
      </c>
      <c r="B100" s="4">
        <v>-1.79</v>
      </c>
      <c r="C100" s="4">
        <v>2.73</v>
      </c>
      <c r="D100" s="4">
        <v>-3.73</v>
      </c>
      <c r="E100" s="4">
        <v>0.01</v>
      </c>
      <c r="F100" s="4"/>
      <c r="G100" s="4"/>
      <c r="H100" s="4"/>
    </row>
    <row r="101" spans="1:8" x14ac:dyDescent="0.2">
      <c r="A101" s="4">
        <v>193405</v>
      </c>
      <c r="B101" s="4">
        <v>-7.25</v>
      </c>
      <c r="C101" s="4">
        <v>-0.28999999999999998</v>
      </c>
      <c r="D101" s="4">
        <v>-5.89</v>
      </c>
      <c r="E101" s="4">
        <v>0.01</v>
      </c>
      <c r="F101" s="4"/>
      <c r="G101" s="4"/>
      <c r="H101" s="4"/>
    </row>
    <row r="102" spans="1:8" x14ac:dyDescent="0.2">
      <c r="A102" s="4">
        <v>193406</v>
      </c>
      <c r="B102" s="4">
        <v>2.64</v>
      </c>
      <c r="C102" s="4">
        <v>-2.23</v>
      </c>
      <c r="D102" s="4">
        <v>-2.96</v>
      </c>
      <c r="E102" s="4">
        <v>0.01</v>
      </c>
      <c r="F102" s="4"/>
      <c r="G102" s="4"/>
      <c r="H102" s="4"/>
    </row>
    <row r="103" spans="1:8" x14ac:dyDescent="0.2">
      <c r="A103" s="4">
        <v>193407</v>
      </c>
      <c r="B103" s="4">
        <v>-10.96</v>
      </c>
      <c r="C103" s="4">
        <v>-6.95</v>
      </c>
      <c r="D103" s="4">
        <v>-10.7</v>
      </c>
      <c r="E103" s="4">
        <v>0.01</v>
      </c>
      <c r="F103" s="4"/>
      <c r="G103" s="4"/>
      <c r="H103" s="4"/>
    </row>
    <row r="104" spans="1:8" x14ac:dyDescent="0.2">
      <c r="A104" s="4">
        <v>193408</v>
      </c>
      <c r="B104" s="4">
        <v>5.58</v>
      </c>
      <c r="C104" s="4">
        <v>5.37</v>
      </c>
      <c r="D104" s="4">
        <v>0.09</v>
      </c>
      <c r="E104" s="4">
        <v>0.01</v>
      </c>
      <c r="F104" s="4"/>
      <c r="G104" s="4"/>
      <c r="H104" s="4"/>
    </row>
    <row r="105" spans="1:8" x14ac:dyDescent="0.2">
      <c r="A105" s="4">
        <v>193409</v>
      </c>
      <c r="B105" s="4">
        <v>-0.23</v>
      </c>
      <c r="C105" s="4">
        <v>-1.52</v>
      </c>
      <c r="D105" s="4">
        <v>-1.2</v>
      </c>
      <c r="E105" s="4">
        <v>0.01</v>
      </c>
      <c r="F105" s="4"/>
      <c r="G105" s="4"/>
      <c r="H105" s="4"/>
    </row>
    <row r="106" spans="1:8" x14ac:dyDescent="0.2">
      <c r="A106" s="4">
        <v>193410</v>
      </c>
      <c r="B106" s="4">
        <v>-1.66</v>
      </c>
      <c r="C106" s="4">
        <v>1.24</v>
      </c>
      <c r="D106" s="4">
        <v>-5.08</v>
      </c>
      <c r="E106" s="4">
        <v>0.01</v>
      </c>
      <c r="F106" s="4"/>
      <c r="G106" s="4"/>
      <c r="H106" s="4"/>
    </row>
    <row r="107" spans="1:8" x14ac:dyDescent="0.2">
      <c r="A107" s="4">
        <v>193411</v>
      </c>
      <c r="B107" s="4">
        <v>8.33</v>
      </c>
      <c r="C107" s="4">
        <v>6.48</v>
      </c>
      <c r="D107" s="4">
        <v>-2.15</v>
      </c>
      <c r="E107" s="4">
        <v>0.01</v>
      </c>
      <c r="F107" s="4"/>
      <c r="G107" s="4"/>
      <c r="H107" s="4"/>
    </row>
    <row r="108" spans="1:8" x14ac:dyDescent="0.2">
      <c r="A108" s="4">
        <v>193412</v>
      </c>
      <c r="B108" s="4">
        <v>0.36</v>
      </c>
      <c r="C108" s="4">
        <v>3.06</v>
      </c>
      <c r="D108" s="4">
        <v>-3.14</v>
      </c>
      <c r="E108" s="4">
        <v>0.01</v>
      </c>
      <c r="F108" s="4"/>
      <c r="G108" s="4"/>
      <c r="H108" s="4"/>
    </row>
    <row r="109" spans="1:8" x14ac:dyDescent="0.2">
      <c r="A109" s="4">
        <v>193501</v>
      </c>
      <c r="B109" s="4">
        <v>-3.45</v>
      </c>
      <c r="C109" s="4">
        <v>1.07</v>
      </c>
      <c r="D109" s="4">
        <v>-1.9</v>
      </c>
      <c r="E109" s="4">
        <v>0.01</v>
      </c>
      <c r="F109" s="4"/>
      <c r="G109" s="4"/>
      <c r="H109" s="4"/>
    </row>
    <row r="110" spans="1:8" x14ac:dyDescent="0.2">
      <c r="A110" s="4">
        <v>193502</v>
      </c>
      <c r="B110" s="4">
        <v>-1.94</v>
      </c>
      <c r="C110" s="4">
        <v>0.37</v>
      </c>
      <c r="D110" s="4">
        <v>-7.44</v>
      </c>
      <c r="E110" s="4">
        <v>0.02</v>
      </c>
      <c r="F110" s="4"/>
      <c r="G110" s="4"/>
      <c r="H110" s="4"/>
    </row>
    <row r="111" spans="1:8" x14ac:dyDescent="0.2">
      <c r="A111" s="4">
        <v>193503</v>
      </c>
      <c r="B111" s="4">
        <v>-3.68</v>
      </c>
      <c r="C111" s="4">
        <v>-3.59</v>
      </c>
      <c r="D111" s="4">
        <v>-5.12</v>
      </c>
      <c r="E111" s="4">
        <v>0.01</v>
      </c>
      <c r="F111" s="4"/>
      <c r="G111" s="4"/>
      <c r="H111" s="4"/>
    </row>
    <row r="112" spans="1:8" x14ac:dyDescent="0.2">
      <c r="A112" s="4">
        <v>193504</v>
      </c>
      <c r="B112" s="4">
        <v>9.06</v>
      </c>
      <c r="C112" s="4">
        <v>-1.47</v>
      </c>
      <c r="D112" s="4">
        <v>4.47</v>
      </c>
      <c r="E112" s="4">
        <v>0.01</v>
      </c>
      <c r="F112" s="4"/>
      <c r="G112" s="4"/>
      <c r="H112" s="4"/>
    </row>
    <row r="113" spans="1:8" x14ac:dyDescent="0.2">
      <c r="A113" s="4">
        <v>193505</v>
      </c>
      <c r="B113" s="4">
        <v>3.47</v>
      </c>
      <c r="C113" s="4">
        <v>-3.34</v>
      </c>
      <c r="D113" s="4">
        <v>2.65</v>
      </c>
      <c r="E113" s="4">
        <v>0.01</v>
      </c>
      <c r="F113" s="4"/>
      <c r="G113" s="4"/>
      <c r="H113" s="4"/>
    </row>
    <row r="114" spans="1:8" x14ac:dyDescent="0.2">
      <c r="A114" s="4">
        <v>193506</v>
      </c>
      <c r="B114" s="4">
        <v>5.93</v>
      </c>
      <c r="C114" s="4">
        <v>-2.57</v>
      </c>
      <c r="D114" s="4">
        <v>-1.69</v>
      </c>
      <c r="E114" s="4">
        <v>0.01</v>
      </c>
      <c r="F114" s="4"/>
      <c r="G114" s="4"/>
      <c r="H114" s="4"/>
    </row>
    <row r="115" spans="1:8" x14ac:dyDescent="0.2">
      <c r="A115" s="4">
        <v>193507</v>
      </c>
      <c r="B115" s="4">
        <v>7.51</v>
      </c>
      <c r="C115" s="4">
        <v>1.88</v>
      </c>
      <c r="D115" s="4">
        <v>6.93</v>
      </c>
      <c r="E115" s="4">
        <v>0.01</v>
      </c>
      <c r="F115" s="4"/>
      <c r="G115" s="4"/>
      <c r="H115" s="4"/>
    </row>
    <row r="116" spans="1:8" x14ac:dyDescent="0.2">
      <c r="A116" s="4">
        <v>193508</v>
      </c>
      <c r="B116" s="4">
        <v>2.65</v>
      </c>
      <c r="C116" s="4">
        <v>6.2</v>
      </c>
      <c r="D116" s="4">
        <v>6.08</v>
      </c>
      <c r="E116" s="4">
        <v>0.01</v>
      </c>
      <c r="F116" s="4"/>
      <c r="G116" s="4"/>
      <c r="H116" s="4"/>
    </row>
    <row r="117" spans="1:8" x14ac:dyDescent="0.2">
      <c r="A117" s="4">
        <v>193509</v>
      </c>
      <c r="B117" s="4">
        <v>2.63</v>
      </c>
      <c r="C117" s="4">
        <v>1.53</v>
      </c>
      <c r="D117" s="4">
        <v>-4.07</v>
      </c>
      <c r="E117" s="4">
        <v>0.01</v>
      </c>
      <c r="F117" s="4"/>
      <c r="G117" s="4"/>
      <c r="H117" s="4"/>
    </row>
    <row r="118" spans="1:8" x14ac:dyDescent="0.2">
      <c r="A118" s="4">
        <v>193510</v>
      </c>
      <c r="B118" s="4">
        <v>7.03</v>
      </c>
      <c r="C118" s="4">
        <v>2.72</v>
      </c>
      <c r="D118" s="4">
        <v>-2.37</v>
      </c>
      <c r="E118" s="4">
        <v>0.01</v>
      </c>
      <c r="F118" s="4"/>
      <c r="G118" s="4"/>
      <c r="H118" s="4"/>
    </row>
    <row r="119" spans="1:8" x14ac:dyDescent="0.2">
      <c r="A119" s="4">
        <v>193511</v>
      </c>
      <c r="B119" s="4">
        <v>4.88</v>
      </c>
      <c r="C119" s="4">
        <v>4.54</v>
      </c>
      <c r="D119" s="4">
        <v>12.06</v>
      </c>
      <c r="E119" s="4">
        <v>0.02</v>
      </c>
      <c r="F119" s="4"/>
      <c r="G119" s="4"/>
      <c r="H119" s="4"/>
    </row>
    <row r="120" spans="1:8" x14ac:dyDescent="0.2">
      <c r="A120" s="4">
        <v>193512</v>
      </c>
      <c r="B120" s="4">
        <v>4.5599999999999996</v>
      </c>
      <c r="C120" s="4">
        <v>0.17</v>
      </c>
      <c r="D120" s="4">
        <v>0.95</v>
      </c>
      <c r="E120" s="4">
        <v>0.01</v>
      </c>
      <c r="F120" s="4"/>
      <c r="G120" s="4"/>
      <c r="H120" s="4"/>
    </row>
    <row r="121" spans="1:8" x14ac:dyDescent="0.2">
      <c r="A121" s="4">
        <v>193601</v>
      </c>
      <c r="B121" s="4">
        <v>6.89</v>
      </c>
      <c r="C121" s="4">
        <v>5.23</v>
      </c>
      <c r="D121" s="4">
        <v>10.34</v>
      </c>
      <c r="E121" s="4">
        <v>0.01</v>
      </c>
      <c r="F121" s="4"/>
      <c r="G121" s="4"/>
      <c r="H121" s="4"/>
    </row>
    <row r="122" spans="1:8" x14ac:dyDescent="0.2">
      <c r="A122" s="4">
        <v>193602</v>
      </c>
      <c r="B122" s="4">
        <v>2.4900000000000002</v>
      </c>
      <c r="C122" s="4">
        <v>0.95</v>
      </c>
      <c r="D122" s="4">
        <v>4.51</v>
      </c>
      <c r="E122" s="4">
        <v>0.01</v>
      </c>
      <c r="F122" s="4"/>
      <c r="G122" s="4"/>
      <c r="H122" s="4"/>
    </row>
    <row r="123" spans="1:8" x14ac:dyDescent="0.2">
      <c r="A123" s="4">
        <v>193603</v>
      </c>
      <c r="B123" s="4">
        <v>0.99</v>
      </c>
      <c r="C123" s="4">
        <v>0.69</v>
      </c>
      <c r="D123" s="4">
        <v>-1.44</v>
      </c>
      <c r="E123" s="4">
        <v>0.02</v>
      </c>
      <c r="F123" s="4"/>
      <c r="G123" s="4"/>
      <c r="H123" s="4"/>
    </row>
    <row r="124" spans="1:8" x14ac:dyDescent="0.2">
      <c r="A124" s="4">
        <v>193604</v>
      </c>
      <c r="B124" s="4">
        <v>-8.14</v>
      </c>
      <c r="C124" s="4">
        <v>-6.06</v>
      </c>
      <c r="D124" s="4">
        <v>-2.15</v>
      </c>
      <c r="E124" s="4">
        <v>0.02</v>
      </c>
      <c r="F124" s="4"/>
      <c r="G124" s="4"/>
      <c r="H124" s="4"/>
    </row>
    <row r="125" spans="1:8" x14ac:dyDescent="0.2">
      <c r="A125" s="4">
        <v>193605</v>
      </c>
      <c r="B125" s="4">
        <v>5.19</v>
      </c>
      <c r="C125" s="4">
        <v>0.91</v>
      </c>
      <c r="D125" s="4">
        <v>2.61</v>
      </c>
      <c r="E125" s="4">
        <v>0.02</v>
      </c>
      <c r="F125" s="4"/>
      <c r="G125" s="4"/>
      <c r="H125" s="4"/>
    </row>
    <row r="126" spans="1:8" x14ac:dyDescent="0.2">
      <c r="A126" s="4">
        <v>193606</v>
      </c>
      <c r="B126" s="4">
        <v>2.4</v>
      </c>
      <c r="C126" s="4">
        <v>-3.2</v>
      </c>
      <c r="D126" s="4">
        <v>-1.2</v>
      </c>
      <c r="E126" s="4">
        <v>0.03</v>
      </c>
      <c r="F126" s="4"/>
      <c r="G126" s="4"/>
      <c r="H126" s="4"/>
    </row>
    <row r="127" spans="1:8" x14ac:dyDescent="0.2">
      <c r="A127" s="4">
        <v>193607</v>
      </c>
      <c r="B127" s="4">
        <v>6.67</v>
      </c>
      <c r="C127" s="4">
        <v>1</v>
      </c>
      <c r="D127" s="4">
        <v>2.4</v>
      </c>
      <c r="E127" s="4">
        <v>0.01</v>
      </c>
      <c r="F127" s="4"/>
      <c r="G127" s="4"/>
      <c r="H127" s="4"/>
    </row>
    <row r="128" spans="1:8" x14ac:dyDescent="0.2">
      <c r="A128" s="4">
        <v>193608</v>
      </c>
      <c r="B128" s="4">
        <v>0.99</v>
      </c>
      <c r="C128" s="4">
        <v>0.6</v>
      </c>
      <c r="D128" s="4">
        <v>3.82</v>
      </c>
      <c r="E128" s="4">
        <v>0.02</v>
      </c>
      <c r="F128" s="4"/>
      <c r="G128" s="4"/>
      <c r="H128" s="4"/>
    </row>
    <row r="129" spans="1:8" x14ac:dyDescent="0.2">
      <c r="A129" s="4">
        <v>193609</v>
      </c>
      <c r="B129" s="4">
        <v>0.98</v>
      </c>
      <c r="C129" s="4">
        <v>3.08</v>
      </c>
      <c r="D129" s="4">
        <v>0.9</v>
      </c>
      <c r="E129" s="4">
        <v>0.01</v>
      </c>
      <c r="F129" s="4"/>
      <c r="G129" s="4"/>
      <c r="H129" s="4"/>
    </row>
    <row r="130" spans="1:8" x14ac:dyDescent="0.2">
      <c r="A130" s="4">
        <v>193610</v>
      </c>
      <c r="B130" s="4">
        <v>7.12</v>
      </c>
      <c r="C130" s="4">
        <v>-2.4300000000000002</v>
      </c>
      <c r="D130" s="4">
        <v>2.4700000000000002</v>
      </c>
      <c r="E130" s="4">
        <v>0.02</v>
      </c>
      <c r="F130" s="4"/>
      <c r="G130" s="4"/>
      <c r="H130" s="4"/>
    </row>
    <row r="131" spans="1:8" x14ac:dyDescent="0.2">
      <c r="A131" s="4">
        <v>193611</v>
      </c>
      <c r="B131" s="4">
        <v>3.27</v>
      </c>
      <c r="C131" s="4">
        <v>8.77</v>
      </c>
      <c r="D131" s="4">
        <v>-1.21</v>
      </c>
      <c r="E131" s="4">
        <v>0.01</v>
      </c>
      <c r="F131" s="4"/>
      <c r="G131" s="4"/>
      <c r="H131" s="4"/>
    </row>
    <row r="132" spans="1:8" x14ac:dyDescent="0.2">
      <c r="A132" s="4">
        <v>193612</v>
      </c>
      <c r="B132" s="4">
        <v>0.21</v>
      </c>
      <c r="C132" s="4">
        <v>3.96</v>
      </c>
      <c r="D132" s="4">
        <v>4.3</v>
      </c>
      <c r="E132" s="4">
        <v>0</v>
      </c>
      <c r="F132" s="4"/>
      <c r="G132" s="4"/>
      <c r="H132" s="4"/>
    </row>
    <row r="133" spans="1:8" x14ac:dyDescent="0.2">
      <c r="A133" s="4">
        <v>193701</v>
      </c>
      <c r="B133" s="4">
        <v>3.35</v>
      </c>
      <c r="C133" s="4">
        <v>4.34</v>
      </c>
      <c r="D133" s="4">
        <v>2.61</v>
      </c>
      <c r="E133" s="4">
        <v>0.01</v>
      </c>
      <c r="F133" s="4"/>
      <c r="G133" s="4"/>
      <c r="H133" s="4"/>
    </row>
    <row r="134" spans="1:8" x14ac:dyDescent="0.2">
      <c r="A134" s="4">
        <v>193702</v>
      </c>
      <c r="B134" s="4">
        <v>1.0900000000000001</v>
      </c>
      <c r="C134" s="4">
        <v>1.05</v>
      </c>
      <c r="D134" s="4">
        <v>4.83</v>
      </c>
      <c r="E134" s="4">
        <v>0.02</v>
      </c>
      <c r="F134" s="4"/>
      <c r="G134" s="4"/>
      <c r="H134" s="4"/>
    </row>
    <row r="135" spans="1:8" x14ac:dyDescent="0.2">
      <c r="A135" s="4">
        <v>193703</v>
      </c>
      <c r="B135" s="4">
        <v>-0.27</v>
      </c>
      <c r="C135" s="4">
        <v>-1.69</v>
      </c>
      <c r="D135" s="4">
        <v>6.5</v>
      </c>
      <c r="E135" s="4">
        <v>0.01</v>
      </c>
      <c r="F135" s="4"/>
      <c r="G135" s="4"/>
      <c r="H135" s="4"/>
    </row>
    <row r="136" spans="1:8" x14ac:dyDescent="0.2">
      <c r="A136" s="4">
        <v>193704</v>
      </c>
      <c r="B136" s="4">
        <v>-7.36</v>
      </c>
      <c r="C136" s="4">
        <v>-3.83</v>
      </c>
      <c r="D136" s="4">
        <v>-3.66</v>
      </c>
      <c r="E136" s="4">
        <v>0.03</v>
      </c>
      <c r="F136" s="4"/>
      <c r="G136" s="4"/>
      <c r="H136" s="4"/>
    </row>
    <row r="137" spans="1:8" x14ac:dyDescent="0.2">
      <c r="A137" s="4">
        <v>193705</v>
      </c>
      <c r="B137" s="4">
        <v>-0.83</v>
      </c>
      <c r="C137" s="4">
        <v>-0.68</v>
      </c>
      <c r="D137" s="4">
        <v>-3.48</v>
      </c>
      <c r="E137" s="4">
        <v>0.06</v>
      </c>
      <c r="F137" s="4"/>
      <c r="G137" s="4"/>
      <c r="H137" s="4"/>
    </row>
    <row r="138" spans="1:8" x14ac:dyDescent="0.2">
      <c r="A138" s="4">
        <v>193706</v>
      </c>
      <c r="B138" s="4">
        <v>-4.21</v>
      </c>
      <c r="C138" s="4">
        <v>-3.76</v>
      </c>
      <c r="D138" s="4">
        <v>-3.33</v>
      </c>
      <c r="E138" s="4">
        <v>0.03</v>
      </c>
      <c r="F138" s="4"/>
      <c r="G138" s="4"/>
      <c r="H138" s="4"/>
    </row>
    <row r="139" spans="1:8" x14ac:dyDescent="0.2">
      <c r="A139" s="4">
        <v>193707</v>
      </c>
      <c r="B139" s="4">
        <v>8.91</v>
      </c>
      <c r="C139" s="4">
        <v>0.89</v>
      </c>
      <c r="D139" s="4">
        <v>0.81</v>
      </c>
      <c r="E139" s="4">
        <v>0.03</v>
      </c>
      <c r="F139" s="4"/>
      <c r="G139" s="4"/>
      <c r="H139" s="4"/>
    </row>
    <row r="140" spans="1:8" x14ac:dyDescent="0.2">
      <c r="A140" s="4">
        <v>193708</v>
      </c>
      <c r="B140" s="4">
        <v>-4.8600000000000003</v>
      </c>
      <c r="C140" s="4">
        <v>0.44</v>
      </c>
      <c r="D140" s="4">
        <v>-2.25</v>
      </c>
      <c r="E140" s="4">
        <v>0.02</v>
      </c>
      <c r="F140" s="4"/>
      <c r="G140" s="4"/>
      <c r="H140" s="4"/>
    </row>
    <row r="141" spans="1:8" x14ac:dyDescent="0.2">
      <c r="A141" s="4">
        <v>193709</v>
      </c>
      <c r="B141" s="4">
        <v>-13.61</v>
      </c>
      <c r="C141" s="4">
        <v>-6.98</v>
      </c>
      <c r="D141" s="4">
        <v>-4.57</v>
      </c>
      <c r="E141" s="4">
        <v>0.04</v>
      </c>
      <c r="F141" s="4"/>
      <c r="G141" s="4"/>
      <c r="H141" s="4"/>
    </row>
    <row r="142" spans="1:8" x14ac:dyDescent="0.2">
      <c r="A142" s="4">
        <v>193710</v>
      </c>
      <c r="B142" s="4">
        <v>-9.61</v>
      </c>
      <c r="C142" s="4">
        <v>0.41</v>
      </c>
      <c r="D142" s="4">
        <v>-1.55</v>
      </c>
      <c r="E142" s="4">
        <v>0.02</v>
      </c>
      <c r="F142" s="4"/>
      <c r="G142" s="4"/>
      <c r="H142" s="4"/>
    </row>
    <row r="143" spans="1:8" x14ac:dyDescent="0.2">
      <c r="A143" s="4">
        <v>193711</v>
      </c>
      <c r="B143" s="4">
        <v>-8.31</v>
      </c>
      <c r="C143" s="4">
        <v>-3.6</v>
      </c>
      <c r="D143" s="4">
        <v>0.15</v>
      </c>
      <c r="E143" s="4">
        <v>0.02</v>
      </c>
      <c r="F143" s="4"/>
      <c r="G143" s="4"/>
      <c r="H143" s="4"/>
    </row>
    <row r="144" spans="1:8" x14ac:dyDescent="0.2">
      <c r="A144" s="4">
        <v>193712</v>
      </c>
      <c r="B144" s="4">
        <v>-4.24</v>
      </c>
      <c r="C144" s="4">
        <v>-7.74</v>
      </c>
      <c r="D144" s="4">
        <v>-0.4</v>
      </c>
      <c r="E144" s="4">
        <v>0</v>
      </c>
      <c r="F144" s="4"/>
      <c r="G144" s="4"/>
      <c r="H144" s="4"/>
    </row>
    <row r="145" spans="1:8" x14ac:dyDescent="0.2">
      <c r="A145" s="4">
        <v>193801</v>
      </c>
      <c r="B145" s="4">
        <v>0.49</v>
      </c>
      <c r="C145" s="4">
        <v>4.84</v>
      </c>
      <c r="D145" s="4">
        <v>-1.61</v>
      </c>
      <c r="E145" s="4">
        <v>0</v>
      </c>
      <c r="F145" s="4"/>
      <c r="G145" s="4"/>
      <c r="H145" s="4"/>
    </row>
    <row r="146" spans="1:8" x14ac:dyDescent="0.2">
      <c r="A146" s="4">
        <v>193802</v>
      </c>
      <c r="B146" s="4">
        <v>5.84</v>
      </c>
      <c r="C146" s="4">
        <v>0.4</v>
      </c>
      <c r="D146" s="4">
        <v>-2.02</v>
      </c>
      <c r="E146" s="4">
        <v>0</v>
      </c>
      <c r="F146" s="4"/>
      <c r="G146" s="4"/>
      <c r="H146" s="4"/>
    </row>
    <row r="147" spans="1:8" x14ac:dyDescent="0.2">
      <c r="A147" s="4">
        <v>193803</v>
      </c>
      <c r="B147" s="4">
        <v>-23.82</v>
      </c>
      <c r="C147" s="4">
        <v>-4.34</v>
      </c>
      <c r="D147" s="4">
        <v>-3.54</v>
      </c>
      <c r="E147" s="4">
        <v>-0.01</v>
      </c>
      <c r="F147" s="4"/>
      <c r="G147" s="4"/>
      <c r="H147" s="4"/>
    </row>
    <row r="148" spans="1:8" x14ac:dyDescent="0.2">
      <c r="A148" s="4">
        <v>193804</v>
      </c>
      <c r="B148" s="4">
        <v>14.51</v>
      </c>
      <c r="C148" s="4">
        <v>6.46</v>
      </c>
      <c r="D148" s="4">
        <v>0.23</v>
      </c>
      <c r="E148" s="4">
        <v>0.01</v>
      </c>
      <c r="F148" s="4"/>
      <c r="G148" s="4"/>
      <c r="H148" s="4"/>
    </row>
    <row r="149" spans="1:8" x14ac:dyDescent="0.2">
      <c r="A149" s="4">
        <v>193805</v>
      </c>
      <c r="B149" s="4">
        <v>-3.83</v>
      </c>
      <c r="C149" s="4">
        <v>-2.5099999999999998</v>
      </c>
      <c r="D149" s="4">
        <v>-0.27</v>
      </c>
      <c r="E149" s="4">
        <v>0</v>
      </c>
      <c r="F149" s="4"/>
      <c r="G149" s="4"/>
      <c r="H149" s="4"/>
    </row>
    <row r="150" spans="1:8" x14ac:dyDescent="0.2">
      <c r="A150" s="4">
        <v>193806</v>
      </c>
      <c r="B150" s="4">
        <v>23.87</v>
      </c>
      <c r="C150" s="4">
        <v>4.3</v>
      </c>
      <c r="D150" s="4">
        <v>0.32</v>
      </c>
      <c r="E150" s="4">
        <v>0</v>
      </c>
      <c r="F150" s="4"/>
      <c r="G150" s="4"/>
      <c r="H150" s="4"/>
    </row>
    <row r="151" spans="1:8" x14ac:dyDescent="0.2">
      <c r="A151" s="4">
        <v>193807</v>
      </c>
      <c r="B151" s="4">
        <v>7.34</v>
      </c>
      <c r="C151" s="4">
        <v>6.64</v>
      </c>
      <c r="D151" s="4">
        <v>2.2000000000000002</v>
      </c>
      <c r="E151" s="4">
        <v>-0.01</v>
      </c>
      <c r="F151" s="4"/>
      <c r="G151" s="4"/>
      <c r="H151" s="4"/>
    </row>
    <row r="152" spans="1:8" x14ac:dyDescent="0.2">
      <c r="A152" s="4">
        <v>193808</v>
      </c>
      <c r="B152" s="4">
        <v>-2.67</v>
      </c>
      <c r="C152" s="4">
        <v>-2.4500000000000002</v>
      </c>
      <c r="D152" s="4">
        <v>-4.72</v>
      </c>
      <c r="E152" s="4">
        <v>0</v>
      </c>
      <c r="F152" s="4"/>
      <c r="G152" s="4"/>
      <c r="H152" s="4"/>
    </row>
    <row r="153" spans="1:8" x14ac:dyDescent="0.2">
      <c r="A153" s="4">
        <v>193809</v>
      </c>
      <c r="B153" s="4">
        <v>0.81</v>
      </c>
      <c r="C153" s="4">
        <v>-2.73</v>
      </c>
      <c r="D153" s="4">
        <v>-1.62</v>
      </c>
      <c r="E153" s="4">
        <v>0.02</v>
      </c>
      <c r="F153" s="4"/>
      <c r="G153" s="4"/>
      <c r="H153" s="4"/>
    </row>
    <row r="154" spans="1:8" x14ac:dyDescent="0.2">
      <c r="A154" s="4">
        <v>193810</v>
      </c>
      <c r="B154" s="4">
        <v>7.8</v>
      </c>
      <c r="C154" s="4">
        <v>5.81</v>
      </c>
      <c r="D154" s="4">
        <v>5.03</v>
      </c>
      <c r="E154" s="4">
        <v>0.01</v>
      </c>
      <c r="F154" s="4"/>
      <c r="G154" s="4"/>
      <c r="H154" s="4"/>
    </row>
    <row r="155" spans="1:8" x14ac:dyDescent="0.2">
      <c r="A155" s="4">
        <v>193811</v>
      </c>
      <c r="B155" s="4">
        <v>-1.72</v>
      </c>
      <c r="C155" s="4">
        <v>-2.57</v>
      </c>
      <c r="D155" s="4">
        <v>-1.22</v>
      </c>
      <c r="E155" s="4">
        <v>-0.06</v>
      </c>
      <c r="F155" s="4"/>
      <c r="G155" s="4"/>
      <c r="H155" s="4"/>
    </row>
    <row r="156" spans="1:8" x14ac:dyDescent="0.2">
      <c r="A156" s="4">
        <v>193812</v>
      </c>
      <c r="B156" s="4">
        <v>4.1900000000000004</v>
      </c>
      <c r="C156" s="4">
        <v>-1.82</v>
      </c>
      <c r="D156" s="4">
        <v>0.53</v>
      </c>
      <c r="E156" s="4">
        <v>0</v>
      </c>
      <c r="F156" s="4"/>
      <c r="G156" s="4"/>
      <c r="H156" s="4"/>
    </row>
    <row r="157" spans="1:8" x14ac:dyDescent="0.2">
      <c r="A157" s="4">
        <v>193901</v>
      </c>
      <c r="B157" s="4">
        <v>-5.96</v>
      </c>
      <c r="C157" s="4">
        <v>-1.55</v>
      </c>
      <c r="D157" s="4">
        <v>-3.94</v>
      </c>
      <c r="E157" s="4">
        <v>-0.01</v>
      </c>
      <c r="F157" s="4"/>
      <c r="G157" s="4"/>
      <c r="H157" s="4"/>
    </row>
    <row r="158" spans="1:8" x14ac:dyDescent="0.2">
      <c r="A158" s="4">
        <v>193902</v>
      </c>
      <c r="B158" s="4">
        <v>3.51</v>
      </c>
      <c r="C158" s="4">
        <v>0.63</v>
      </c>
      <c r="D158" s="4">
        <v>2.95</v>
      </c>
      <c r="E158" s="4">
        <v>0.01</v>
      </c>
      <c r="F158" s="4"/>
      <c r="G158" s="4"/>
      <c r="H158" s="4"/>
    </row>
    <row r="159" spans="1:8" x14ac:dyDescent="0.2">
      <c r="A159" s="4">
        <v>193903</v>
      </c>
      <c r="B159" s="4">
        <v>-11.99</v>
      </c>
      <c r="C159" s="4">
        <v>-4.75</v>
      </c>
      <c r="D159" s="4">
        <v>-8.31</v>
      </c>
      <c r="E159" s="4">
        <v>-0.01</v>
      </c>
      <c r="F159" s="4"/>
      <c r="G159" s="4"/>
      <c r="H159" s="4"/>
    </row>
    <row r="160" spans="1:8" x14ac:dyDescent="0.2">
      <c r="A160" s="4">
        <v>193904</v>
      </c>
      <c r="B160" s="4">
        <v>-0.18</v>
      </c>
      <c r="C160" s="4">
        <v>1.67</v>
      </c>
      <c r="D160" s="4">
        <v>-0.3</v>
      </c>
      <c r="E160" s="4">
        <v>0</v>
      </c>
      <c r="F160" s="4"/>
      <c r="G160" s="4"/>
      <c r="H160" s="4"/>
    </row>
    <row r="161" spans="1:8" x14ac:dyDescent="0.2">
      <c r="A161" s="4">
        <v>193905</v>
      </c>
      <c r="B161" s="4">
        <v>6.8</v>
      </c>
      <c r="C161" s="4">
        <v>2.8</v>
      </c>
      <c r="D161" s="4">
        <v>0.49</v>
      </c>
      <c r="E161" s="4">
        <v>0.01</v>
      </c>
      <c r="F161" s="4"/>
      <c r="G161" s="4"/>
      <c r="H161" s="4"/>
    </row>
    <row r="162" spans="1:8" x14ac:dyDescent="0.2">
      <c r="A162" s="4">
        <v>193906</v>
      </c>
      <c r="B162" s="4">
        <v>-5.31</v>
      </c>
      <c r="C162" s="4">
        <v>-1.01</v>
      </c>
      <c r="D162" s="4">
        <v>-5.42</v>
      </c>
      <c r="E162" s="4">
        <v>0.01</v>
      </c>
      <c r="F162" s="4"/>
      <c r="G162" s="4"/>
      <c r="H162" s="4"/>
    </row>
    <row r="163" spans="1:8" x14ac:dyDescent="0.2">
      <c r="A163" s="4">
        <v>193907</v>
      </c>
      <c r="B163" s="4">
        <v>10.24</v>
      </c>
      <c r="C163" s="4">
        <v>4.32</v>
      </c>
      <c r="D163" s="4">
        <v>-0.03</v>
      </c>
      <c r="E163" s="4">
        <v>0</v>
      </c>
      <c r="F163" s="4"/>
      <c r="G163" s="4"/>
      <c r="H163" s="4"/>
    </row>
    <row r="164" spans="1:8" x14ac:dyDescent="0.2">
      <c r="A164" s="4">
        <v>193908</v>
      </c>
      <c r="B164" s="4">
        <v>-6.68</v>
      </c>
      <c r="C164" s="4">
        <v>-4.6100000000000003</v>
      </c>
      <c r="D164" s="4">
        <v>-2.42</v>
      </c>
      <c r="E164" s="4">
        <v>-0.01</v>
      </c>
      <c r="F164" s="4"/>
      <c r="G164" s="4"/>
      <c r="H164" s="4"/>
    </row>
    <row r="165" spans="1:8" x14ac:dyDescent="0.2">
      <c r="A165" s="4">
        <v>193909</v>
      </c>
      <c r="B165" s="4">
        <v>16.88</v>
      </c>
      <c r="C165" s="4">
        <v>20.239999999999998</v>
      </c>
      <c r="D165" s="4">
        <v>22.22</v>
      </c>
      <c r="E165" s="4">
        <v>0.01</v>
      </c>
      <c r="F165" s="4"/>
      <c r="G165" s="4"/>
      <c r="H165" s="4"/>
    </row>
    <row r="166" spans="1:8" x14ac:dyDescent="0.2">
      <c r="A166" s="4">
        <v>193910</v>
      </c>
      <c r="B166" s="4">
        <v>-0.53</v>
      </c>
      <c r="C166" s="4">
        <v>-0.01</v>
      </c>
      <c r="D166" s="4">
        <v>-4.8899999999999997</v>
      </c>
      <c r="E166" s="4">
        <v>0</v>
      </c>
      <c r="F166" s="4"/>
      <c r="G166" s="4"/>
      <c r="H166" s="4"/>
    </row>
    <row r="167" spans="1:8" x14ac:dyDescent="0.2">
      <c r="A167" s="4">
        <v>193911</v>
      </c>
      <c r="B167" s="4">
        <v>-3.62</v>
      </c>
      <c r="C167" s="4">
        <v>-5.07</v>
      </c>
      <c r="D167" s="4">
        <v>-6.46</v>
      </c>
      <c r="E167" s="4">
        <v>0</v>
      </c>
      <c r="F167" s="4"/>
      <c r="G167" s="4"/>
      <c r="H167" s="4"/>
    </row>
    <row r="168" spans="1:8" x14ac:dyDescent="0.2">
      <c r="A168" s="4">
        <v>193912</v>
      </c>
      <c r="B168" s="4">
        <v>3.03</v>
      </c>
      <c r="C168" s="4">
        <v>0.79</v>
      </c>
      <c r="D168" s="4">
        <v>-4.0599999999999996</v>
      </c>
      <c r="E168" s="4">
        <v>0</v>
      </c>
      <c r="F168" s="4"/>
      <c r="G168" s="4"/>
      <c r="H168" s="4"/>
    </row>
    <row r="169" spans="1:8" x14ac:dyDescent="0.2">
      <c r="A169" s="4">
        <v>194001</v>
      </c>
      <c r="B169" s="4">
        <v>-2.41</v>
      </c>
      <c r="C169" s="4">
        <v>0.21</v>
      </c>
      <c r="D169" s="4">
        <v>-0.81</v>
      </c>
      <c r="E169" s="4">
        <v>0</v>
      </c>
      <c r="F169" s="4"/>
      <c r="G169" s="4"/>
      <c r="H169" s="4"/>
    </row>
    <row r="170" spans="1:8" x14ac:dyDescent="0.2">
      <c r="A170" s="4">
        <v>194002</v>
      </c>
      <c r="B170" s="4">
        <v>1.44</v>
      </c>
      <c r="C170" s="4">
        <v>2.5099999999999998</v>
      </c>
      <c r="D170" s="4">
        <v>-0.33</v>
      </c>
      <c r="E170" s="4">
        <v>0</v>
      </c>
      <c r="F170" s="4"/>
      <c r="G170" s="4"/>
      <c r="H170" s="4"/>
    </row>
    <row r="171" spans="1:8" x14ac:dyDescent="0.2">
      <c r="A171" s="4">
        <v>194003</v>
      </c>
      <c r="B171" s="4">
        <v>2.0499999999999998</v>
      </c>
      <c r="C171" s="4">
        <v>1.25</v>
      </c>
      <c r="D171" s="4">
        <v>-1.27</v>
      </c>
      <c r="E171" s="4">
        <v>0</v>
      </c>
      <c r="F171" s="4"/>
      <c r="G171" s="4"/>
      <c r="H171" s="4"/>
    </row>
    <row r="172" spans="1:8" x14ac:dyDescent="0.2">
      <c r="A172" s="4">
        <v>194004</v>
      </c>
      <c r="B172" s="4">
        <v>0.22</v>
      </c>
      <c r="C172" s="4">
        <v>3.92</v>
      </c>
      <c r="D172" s="4">
        <v>-0.13</v>
      </c>
      <c r="E172" s="4">
        <v>0</v>
      </c>
      <c r="F172" s="4"/>
      <c r="G172" s="4"/>
      <c r="H172" s="4"/>
    </row>
    <row r="173" spans="1:8" x14ac:dyDescent="0.2">
      <c r="A173" s="4">
        <v>194005</v>
      </c>
      <c r="B173" s="4">
        <v>-21.95</v>
      </c>
      <c r="C173" s="4">
        <v>-6.66</v>
      </c>
      <c r="D173" s="4">
        <v>-3.69</v>
      </c>
      <c r="E173" s="4">
        <v>-0.02</v>
      </c>
      <c r="F173" s="4"/>
      <c r="G173" s="4"/>
      <c r="H173" s="4"/>
    </row>
    <row r="174" spans="1:8" x14ac:dyDescent="0.2">
      <c r="A174" s="4">
        <v>194006</v>
      </c>
      <c r="B174" s="4">
        <v>6.67</v>
      </c>
      <c r="C174" s="4">
        <v>-2.13</v>
      </c>
      <c r="D174" s="4">
        <v>4.62</v>
      </c>
      <c r="E174" s="4">
        <v>0</v>
      </c>
      <c r="F174" s="4"/>
      <c r="G174" s="4"/>
      <c r="H174" s="4"/>
    </row>
    <row r="175" spans="1:8" x14ac:dyDescent="0.2">
      <c r="A175" s="4">
        <v>194007</v>
      </c>
      <c r="B175" s="4">
        <v>3.16</v>
      </c>
      <c r="C175" s="4">
        <v>1.01</v>
      </c>
      <c r="D175" s="4">
        <v>-0.74</v>
      </c>
      <c r="E175" s="4">
        <v>0.01</v>
      </c>
      <c r="F175" s="4"/>
      <c r="G175" s="4"/>
      <c r="H175" s="4"/>
    </row>
    <row r="176" spans="1:8" x14ac:dyDescent="0.2">
      <c r="A176" s="4">
        <v>194008</v>
      </c>
      <c r="B176" s="4">
        <v>2.19</v>
      </c>
      <c r="C176" s="4">
        <v>-0.11</v>
      </c>
      <c r="D176" s="4">
        <v>0.56000000000000005</v>
      </c>
      <c r="E176" s="4">
        <v>-0.01</v>
      </c>
      <c r="F176" s="4"/>
      <c r="G176" s="4"/>
      <c r="H176" s="4"/>
    </row>
    <row r="177" spans="1:8" x14ac:dyDescent="0.2">
      <c r="A177" s="4">
        <v>194009</v>
      </c>
      <c r="B177" s="4">
        <v>2.39</v>
      </c>
      <c r="C177" s="4">
        <v>3.22</v>
      </c>
      <c r="D177" s="4">
        <v>-1.1299999999999999</v>
      </c>
      <c r="E177" s="4">
        <v>0</v>
      </c>
      <c r="F177" s="4"/>
      <c r="G177" s="4"/>
      <c r="H177" s="4"/>
    </row>
    <row r="178" spans="1:8" x14ac:dyDescent="0.2">
      <c r="A178" s="4">
        <v>194010</v>
      </c>
      <c r="B178" s="4">
        <v>3.02</v>
      </c>
      <c r="C178" s="4">
        <v>0.28000000000000003</v>
      </c>
      <c r="D178" s="4">
        <v>4.6399999999999997</v>
      </c>
      <c r="E178" s="4">
        <v>0</v>
      </c>
      <c r="F178" s="4"/>
      <c r="G178" s="4"/>
      <c r="H178" s="4"/>
    </row>
    <row r="179" spans="1:8" x14ac:dyDescent="0.2">
      <c r="A179" s="4">
        <v>194011</v>
      </c>
      <c r="B179" s="4">
        <v>-1.61</v>
      </c>
      <c r="C179" s="4">
        <v>1.94</v>
      </c>
      <c r="D179" s="4">
        <v>0.12</v>
      </c>
      <c r="E179" s="4">
        <v>0</v>
      </c>
      <c r="F179" s="4"/>
      <c r="G179" s="4"/>
      <c r="H179" s="4"/>
    </row>
    <row r="180" spans="1:8" x14ac:dyDescent="0.2">
      <c r="A180" s="4">
        <v>194012</v>
      </c>
      <c r="B180" s="4">
        <v>0.69</v>
      </c>
      <c r="C180" s="4">
        <v>-2.15</v>
      </c>
      <c r="D180" s="4">
        <v>-0.89</v>
      </c>
      <c r="E180" s="4">
        <v>0</v>
      </c>
      <c r="F180" s="4"/>
      <c r="G180" s="4"/>
      <c r="H180" s="4"/>
    </row>
    <row r="181" spans="1:8" x14ac:dyDescent="0.2">
      <c r="A181" s="4">
        <v>194101</v>
      </c>
      <c r="B181" s="4">
        <v>-4.17</v>
      </c>
      <c r="C181" s="4">
        <v>1</v>
      </c>
      <c r="D181" s="4">
        <v>3.83</v>
      </c>
      <c r="E181" s="4">
        <v>-0.01</v>
      </c>
      <c r="F181" s="4"/>
      <c r="G181" s="4"/>
      <c r="H181" s="4"/>
    </row>
    <row r="182" spans="1:8" x14ac:dyDescent="0.2">
      <c r="A182" s="4">
        <v>194102</v>
      </c>
      <c r="B182" s="4">
        <v>-1.43</v>
      </c>
      <c r="C182" s="4">
        <v>-1.56</v>
      </c>
      <c r="D182" s="4">
        <v>0.89</v>
      </c>
      <c r="E182" s="4">
        <v>-0.01</v>
      </c>
      <c r="F182" s="4"/>
      <c r="G182" s="4"/>
      <c r="H182" s="4"/>
    </row>
    <row r="183" spans="1:8" x14ac:dyDescent="0.2">
      <c r="A183" s="4">
        <v>194103</v>
      </c>
      <c r="B183" s="4">
        <v>0.84</v>
      </c>
      <c r="C183" s="4">
        <v>0.1</v>
      </c>
      <c r="D183" s="4">
        <v>3.04</v>
      </c>
      <c r="E183" s="4">
        <v>0.01</v>
      </c>
      <c r="F183" s="4"/>
      <c r="G183" s="4"/>
      <c r="H183" s="4"/>
    </row>
    <row r="184" spans="1:8" x14ac:dyDescent="0.2">
      <c r="A184" s="4">
        <v>194104</v>
      </c>
      <c r="B184" s="4">
        <v>-5.46</v>
      </c>
      <c r="C184" s="4">
        <v>-1.68</v>
      </c>
      <c r="D184" s="4">
        <v>3.41</v>
      </c>
      <c r="E184" s="4">
        <v>-0.01</v>
      </c>
      <c r="F184" s="4"/>
      <c r="G184" s="4"/>
      <c r="H184" s="4"/>
    </row>
    <row r="185" spans="1:8" x14ac:dyDescent="0.2">
      <c r="A185" s="4">
        <v>194105</v>
      </c>
      <c r="B185" s="4">
        <v>1.39</v>
      </c>
      <c r="C185" s="4">
        <v>-0.65</v>
      </c>
      <c r="D185" s="4">
        <v>0.6</v>
      </c>
      <c r="E185" s="4">
        <v>0</v>
      </c>
      <c r="F185" s="4"/>
      <c r="G185" s="4"/>
      <c r="H185" s="4"/>
    </row>
    <row r="186" spans="1:8" x14ac:dyDescent="0.2">
      <c r="A186" s="4">
        <v>194106</v>
      </c>
      <c r="B186" s="4">
        <v>5.83</v>
      </c>
      <c r="C186" s="4">
        <v>1.32</v>
      </c>
      <c r="D186" s="4">
        <v>0.59</v>
      </c>
      <c r="E186" s="4">
        <v>0</v>
      </c>
      <c r="F186" s="4"/>
      <c r="G186" s="4"/>
      <c r="H186" s="4"/>
    </row>
    <row r="187" spans="1:8" x14ac:dyDescent="0.2">
      <c r="A187" s="4">
        <v>194107</v>
      </c>
      <c r="B187" s="4">
        <v>5.87</v>
      </c>
      <c r="C187" s="4">
        <v>5.71</v>
      </c>
      <c r="D187" s="4">
        <v>7.25</v>
      </c>
      <c r="E187" s="4">
        <v>0.03</v>
      </c>
      <c r="F187" s="4"/>
      <c r="G187" s="4"/>
      <c r="H187" s="4"/>
    </row>
    <row r="188" spans="1:8" x14ac:dyDescent="0.2">
      <c r="A188" s="4">
        <v>194108</v>
      </c>
      <c r="B188" s="4">
        <v>-0.17</v>
      </c>
      <c r="C188" s="4">
        <v>-0.42</v>
      </c>
      <c r="D188" s="4">
        <v>-1.1000000000000001</v>
      </c>
      <c r="E188" s="4">
        <v>0.01</v>
      </c>
      <c r="F188" s="4"/>
      <c r="G188" s="4"/>
      <c r="H188" s="4"/>
    </row>
    <row r="189" spans="1:8" x14ac:dyDescent="0.2">
      <c r="A189" s="4">
        <v>194109</v>
      </c>
      <c r="B189" s="4">
        <v>-0.87</v>
      </c>
      <c r="C189" s="4">
        <v>-0.99</v>
      </c>
      <c r="D189" s="4">
        <v>-0.28000000000000003</v>
      </c>
      <c r="E189" s="4">
        <v>0.01</v>
      </c>
      <c r="F189" s="4"/>
      <c r="G189" s="4"/>
      <c r="H189" s="4"/>
    </row>
    <row r="190" spans="1:8" x14ac:dyDescent="0.2">
      <c r="A190" s="4">
        <v>194110</v>
      </c>
      <c r="B190" s="4">
        <v>-5.25</v>
      </c>
      <c r="C190" s="4">
        <v>-2.02</v>
      </c>
      <c r="D190" s="4">
        <v>1.63</v>
      </c>
      <c r="E190" s="4">
        <v>0</v>
      </c>
      <c r="F190" s="4"/>
      <c r="G190" s="4"/>
      <c r="H190" s="4"/>
    </row>
    <row r="191" spans="1:8" x14ac:dyDescent="0.2">
      <c r="A191" s="4">
        <v>194111</v>
      </c>
      <c r="B191" s="4">
        <v>-1.92</v>
      </c>
      <c r="C191" s="4">
        <v>-1.21</v>
      </c>
      <c r="D191" s="4">
        <v>-0.64</v>
      </c>
      <c r="E191" s="4">
        <v>0</v>
      </c>
      <c r="F191" s="4"/>
      <c r="G191" s="4"/>
      <c r="H191" s="4"/>
    </row>
    <row r="192" spans="1:8" x14ac:dyDescent="0.2">
      <c r="A192" s="4">
        <v>194112</v>
      </c>
      <c r="B192" s="4">
        <v>-4.87</v>
      </c>
      <c r="C192" s="4">
        <v>-2.99</v>
      </c>
      <c r="D192" s="4">
        <v>-5.94</v>
      </c>
      <c r="E192" s="4">
        <v>0.01</v>
      </c>
      <c r="F192" s="4"/>
      <c r="G192" s="4"/>
      <c r="H192" s="4"/>
    </row>
    <row r="193" spans="1:8" x14ac:dyDescent="0.2">
      <c r="A193" s="4">
        <v>194201</v>
      </c>
      <c r="B193" s="4">
        <v>0.79</v>
      </c>
      <c r="C193" s="4">
        <v>7.53</v>
      </c>
      <c r="D193" s="4">
        <v>10.1</v>
      </c>
      <c r="E193" s="4">
        <v>0.02</v>
      </c>
      <c r="F193" s="4"/>
      <c r="G193" s="4"/>
      <c r="H193" s="4"/>
    </row>
    <row r="194" spans="1:8" x14ac:dyDescent="0.2">
      <c r="A194" s="4">
        <v>194202</v>
      </c>
      <c r="B194" s="4">
        <v>-2.46</v>
      </c>
      <c r="C194" s="4">
        <v>1.72</v>
      </c>
      <c r="D194" s="4">
        <v>-1.1299999999999999</v>
      </c>
      <c r="E194" s="4">
        <v>0.01</v>
      </c>
      <c r="F194" s="4"/>
      <c r="G194" s="4"/>
      <c r="H194" s="4"/>
    </row>
    <row r="195" spans="1:8" x14ac:dyDescent="0.2">
      <c r="A195" s="4">
        <v>194203</v>
      </c>
      <c r="B195" s="4">
        <v>-6.58</v>
      </c>
      <c r="C195" s="4">
        <v>1.77</v>
      </c>
      <c r="D195" s="4">
        <v>-0.62</v>
      </c>
      <c r="E195" s="4">
        <v>0.01</v>
      </c>
      <c r="F195" s="4"/>
      <c r="G195" s="4"/>
      <c r="H195" s="4"/>
    </row>
    <row r="196" spans="1:8" x14ac:dyDescent="0.2">
      <c r="A196" s="4">
        <v>194204</v>
      </c>
      <c r="B196" s="4">
        <v>-4.37</v>
      </c>
      <c r="C196" s="4">
        <v>-0.6</v>
      </c>
      <c r="D196" s="4">
        <v>2.09</v>
      </c>
      <c r="E196" s="4">
        <v>0.01</v>
      </c>
      <c r="F196" s="4"/>
      <c r="G196" s="4"/>
      <c r="H196" s="4"/>
    </row>
    <row r="197" spans="1:8" x14ac:dyDescent="0.2">
      <c r="A197" s="4">
        <v>194205</v>
      </c>
      <c r="B197" s="4">
        <v>5.94</v>
      </c>
      <c r="C197" s="4">
        <v>-3.05</v>
      </c>
      <c r="D197" s="4">
        <v>-2.65</v>
      </c>
      <c r="E197" s="4">
        <v>0.03</v>
      </c>
      <c r="F197" s="4"/>
      <c r="G197" s="4"/>
      <c r="H197" s="4"/>
    </row>
    <row r="198" spans="1:8" x14ac:dyDescent="0.2">
      <c r="A198" s="4">
        <v>194206</v>
      </c>
      <c r="B198" s="4">
        <v>2.69</v>
      </c>
      <c r="C198" s="4">
        <v>-1.22</v>
      </c>
      <c r="D198" s="4">
        <v>0.54</v>
      </c>
      <c r="E198" s="4">
        <v>0.02</v>
      </c>
      <c r="F198" s="4"/>
      <c r="G198" s="4"/>
      <c r="H198" s="4"/>
    </row>
    <row r="199" spans="1:8" x14ac:dyDescent="0.2">
      <c r="A199" s="4">
        <v>194207</v>
      </c>
      <c r="B199" s="4">
        <v>3.51</v>
      </c>
      <c r="C199" s="4">
        <v>-0.15</v>
      </c>
      <c r="D199" s="4">
        <v>2.4</v>
      </c>
      <c r="E199" s="4">
        <v>0.03</v>
      </c>
      <c r="F199" s="4"/>
      <c r="G199" s="4"/>
      <c r="H199" s="4"/>
    </row>
    <row r="200" spans="1:8" x14ac:dyDescent="0.2">
      <c r="A200" s="4">
        <v>194208</v>
      </c>
      <c r="B200" s="4">
        <v>1.8</v>
      </c>
      <c r="C200" s="4">
        <v>-0.09</v>
      </c>
      <c r="D200" s="4">
        <v>1.35</v>
      </c>
      <c r="E200" s="4">
        <v>0.03</v>
      </c>
      <c r="F200" s="4"/>
      <c r="G200" s="4"/>
      <c r="H200" s="4"/>
    </row>
    <row r="201" spans="1:8" x14ac:dyDescent="0.2">
      <c r="A201" s="4">
        <v>194209</v>
      </c>
      <c r="B201" s="4">
        <v>2.61</v>
      </c>
      <c r="C201" s="4">
        <v>0.63</v>
      </c>
      <c r="D201" s="4">
        <v>2.35</v>
      </c>
      <c r="E201" s="4">
        <v>0.03</v>
      </c>
      <c r="F201" s="4"/>
      <c r="G201" s="4"/>
      <c r="H201" s="4"/>
    </row>
    <row r="202" spans="1:8" x14ac:dyDescent="0.2">
      <c r="A202" s="4">
        <v>194210</v>
      </c>
      <c r="B202" s="4">
        <v>6.82</v>
      </c>
      <c r="C202" s="4">
        <v>1.75</v>
      </c>
      <c r="D202" s="4">
        <v>6.39</v>
      </c>
      <c r="E202" s="4">
        <v>0.03</v>
      </c>
      <c r="F202" s="4"/>
      <c r="G202" s="4"/>
      <c r="H202" s="4"/>
    </row>
    <row r="203" spans="1:8" x14ac:dyDescent="0.2">
      <c r="A203" s="4">
        <v>194211</v>
      </c>
      <c r="B203" s="4">
        <v>0.15</v>
      </c>
      <c r="C203" s="4">
        <v>-1.5</v>
      </c>
      <c r="D203" s="4">
        <v>-4.21</v>
      </c>
      <c r="E203" s="4">
        <v>0.03</v>
      </c>
      <c r="F203" s="4"/>
      <c r="G203" s="4"/>
      <c r="H203" s="4"/>
    </row>
    <row r="204" spans="1:8" x14ac:dyDescent="0.2">
      <c r="A204" s="4">
        <v>194212</v>
      </c>
      <c r="B204" s="4">
        <v>5.12</v>
      </c>
      <c r="C204" s="4">
        <v>-2.5099999999999998</v>
      </c>
      <c r="D204" s="4">
        <v>0.57999999999999996</v>
      </c>
      <c r="E204" s="4">
        <v>0.03</v>
      </c>
      <c r="F204" s="4"/>
      <c r="G204" s="4"/>
      <c r="H204" s="4"/>
    </row>
    <row r="205" spans="1:8" x14ac:dyDescent="0.2">
      <c r="A205" s="4">
        <v>194301</v>
      </c>
      <c r="B205" s="4">
        <v>7.13</v>
      </c>
      <c r="C205" s="4">
        <v>8.8000000000000007</v>
      </c>
      <c r="D205" s="4">
        <v>8.18</v>
      </c>
      <c r="E205" s="4">
        <v>0.03</v>
      </c>
      <c r="F205" s="4"/>
      <c r="G205" s="4"/>
      <c r="H205" s="4"/>
    </row>
    <row r="206" spans="1:8" x14ac:dyDescent="0.2">
      <c r="A206" s="4">
        <v>194302</v>
      </c>
      <c r="B206" s="4">
        <v>6.15</v>
      </c>
      <c r="C206" s="4">
        <v>4.75</v>
      </c>
      <c r="D206" s="4">
        <v>6.4</v>
      </c>
      <c r="E206" s="4">
        <v>0.03</v>
      </c>
      <c r="F206" s="4"/>
      <c r="G206" s="4"/>
      <c r="H206" s="4"/>
    </row>
    <row r="207" spans="1:8" x14ac:dyDescent="0.2">
      <c r="A207" s="4">
        <v>194303</v>
      </c>
      <c r="B207" s="4">
        <v>6.01</v>
      </c>
      <c r="C207" s="4">
        <v>4.99</v>
      </c>
      <c r="D207" s="4">
        <v>5.48</v>
      </c>
      <c r="E207" s="4">
        <v>0.03</v>
      </c>
      <c r="F207" s="4"/>
      <c r="G207" s="4"/>
      <c r="H207" s="4"/>
    </row>
    <row r="208" spans="1:8" x14ac:dyDescent="0.2">
      <c r="A208" s="4">
        <v>194304</v>
      </c>
      <c r="B208" s="4">
        <v>0.81</v>
      </c>
      <c r="C208" s="4">
        <v>2.0499999999999998</v>
      </c>
      <c r="D208" s="4">
        <v>5.82</v>
      </c>
      <c r="E208" s="4">
        <v>0.03</v>
      </c>
      <c r="F208" s="4"/>
      <c r="G208" s="4"/>
      <c r="H208" s="4"/>
    </row>
    <row r="209" spans="1:8" x14ac:dyDescent="0.2">
      <c r="A209" s="4">
        <v>194305</v>
      </c>
      <c r="B209" s="4">
        <v>5.74</v>
      </c>
      <c r="C209" s="4">
        <v>4.3499999999999996</v>
      </c>
      <c r="D209" s="4">
        <v>3.25</v>
      </c>
      <c r="E209" s="4">
        <v>0.03</v>
      </c>
      <c r="F209" s="4"/>
      <c r="G209" s="4"/>
      <c r="H209" s="4"/>
    </row>
    <row r="210" spans="1:8" x14ac:dyDescent="0.2">
      <c r="A210" s="4">
        <v>194306</v>
      </c>
      <c r="B210" s="4">
        <v>1.82</v>
      </c>
      <c r="C210" s="4">
        <v>-1.02</v>
      </c>
      <c r="D210" s="4">
        <v>-0.7</v>
      </c>
      <c r="E210" s="4">
        <v>0.03</v>
      </c>
      <c r="F210" s="4"/>
      <c r="G210" s="4"/>
      <c r="H210" s="4"/>
    </row>
    <row r="211" spans="1:8" x14ac:dyDescent="0.2">
      <c r="A211" s="4">
        <v>194307</v>
      </c>
      <c r="B211" s="4">
        <v>-4.7699999999999996</v>
      </c>
      <c r="C211" s="4">
        <v>-2.39</v>
      </c>
      <c r="D211" s="4">
        <v>-2.29</v>
      </c>
      <c r="E211" s="4">
        <v>0.03</v>
      </c>
      <c r="F211" s="4"/>
      <c r="G211" s="4"/>
      <c r="H211" s="4"/>
    </row>
    <row r="212" spans="1:8" x14ac:dyDescent="0.2">
      <c r="A212" s="4">
        <v>194308</v>
      </c>
      <c r="B212" s="4">
        <v>1.3</v>
      </c>
      <c r="C212" s="4">
        <v>-0.6</v>
      </c>
      <c r="D212" s="4">
        <v>-0.43</v>
      </c>
      <c r="E212" s="4">
        <v>0.03</v>
      </c>
      <c r="F212" s="4"/>
      <c r="G212" s="4"/>
      <c r="H212" s="4"/>
    </row>
    <row r="213" spans="1:8" x14ac:dyDescent="0.2">
      <c r="A213" s="4">
        <v>194309</v>
      </c>
      <c r="B213" s="4">
        <v>2.4</v>
      </c>
      <c r="C213" s="4">
        <v>1.29</v>
      </c>
      <c r="D213" s="4">
        <v>1.43</v>
      </c>
      <c r="E213" s="4">
        <v>0.03</v>
      </c>
      <c r="F213" s="4"/>
      <c r="G213" s="4"/>
      <c r="H213" s="4"/>
    </row>
    <row r="214" spans="1:8" x14ac:dyDescent="0.2">
      <c r="A214" s="4">
        <v>194310</v>
      </c>
      <c r="B214" s="4">
        <v>-1.1499999999999999</v>
      </c>
      <c r="C214" s="4">
        <v>0.57999999999999996</v>
      </c>
      <c r="D214" s="4">
        <v>1.64</v>
      </c>
      <c r="E214" s="4">
        <v>0.03</v>
      </c>
      <c r="F214" s="4"/>
      <c r="G214" s="4"/>
      <c r="H214" s="4"/>
    </row>
    <row r="215" spans="1:8" x14ac:dyDescent="0.2">
      <c r="A215" s="4">
        <v>194311</v>
      </c>
      <c r="B215" s="4">
        <v>-5.91</v>
      </c>
      <c r="C215" s="4">
        <v>-1.65</v>
      </c>
      <c r="D215" s="4">
        <v>-4.0199999999999996</v>
      </c>
      <c r="E215" s="4">
        <v>0.03</v>
      </c>
      <c r="F215" s="4"/>
      <c r="G215" s="4"/>
      <c r="H215" s="4"/>
    </row>
    <row r="216" spans="1:8" x14ac:dyDescent="0.2">
      <c r="A216" s="4">
        <v>194312</v>
      </c>
      <c r="B216" s="4">
        <v>6.36</v>
      </c>
      <c r="C216" s="4">
        <v>3.34</v>
      </c>
      <c r="D216" s="4">
        <v>3.24</v>
      </c>
      <c r="E216" s="4">
        <v>0.03</v>
      </c>
      <c r="F216" s="4"/>
      <c r="G216" s="4"/>
      <c r="H216" s="4"/>
    </row>
    <row r="217" spans="1:8" x14ac:dyDescent="0.2">
      <c r="A217" s="4">
        <v>194401</v>
      </c>
      <c r="B217" s="4">
        <v>1.74</v>
      </c>
      <c r="C217" s="4">
        <v>2.5499999999999998</v>
      </c>
      <c r="D217" s="4">
        <v>2.16</v>
      </c>
      <c r="E217" s="4">
        <v>0.03</v>
      </c>
      <c r="F217" s="4"/>
      <c r="G217" s="4"/>
      <c r="H217" s="4"/>
    </row>
    <row r="218" spans="1:8" x14ac:dyDescent="0.2">
      <c r="A218" s="4">
        <v>194402</v>
      </c>
      <c r="B218" s="4">
        <v>0.37</v>
      </c>
      <c r="C218" s="4">
        <v>-0.1</v>
      </c>
      <c r="D218" s="4">
        <v>0.84</v>
      </c>
      <c r="E218" s="4">
        <v>0.03</v>
      </c>
      <c r="F218" s="4"/>
      <c r="G218" s="4"/>
      <c r="H218" s="4"/>
    </row>
    <row r="219" spans="1:8" x14ac:dyDescent="0.2">
      <c r="A219" s="4">
        <v>194403</v>
      </c>
      <c r="B219" s="4">
        <v>2.46</v>
      </c>
      <c r="C219" s="4">
        <v>1.73</v>
      </c>
      <c r="D219" s="4">
        <v>3.43</v>
      </c>
      <c r="E219" s="4">
        <v>0.02</v>
      </c>
      <c r="F219" s="4"/>
      <c r="G219" s="4"/>
      <c r="H219" s="4"/>
    </row>
    <row r="220" spans="1:8" x14ac:dyDescent="0.2">
      <c r="A220" s="4">
        <v>194404</v>
      </c>
      <c r="B220" s="4">
        <v>-1.69</v>
      </c>
      <c r="C220" s="4">
        <v>-1.37</v>
      </c>
      <c r="D220" s="4">
        <v>-1.1399999999999999</v>
      </c>
      <c r="E220" s="4">
        <v>0.03</v>
      </c>
      <c r="F220" s="4"/>
      <c r="G220" s="4"/>
      <c r="H220" s="4"/>
    </row>
    <row r="221" spans="1:8" x14ac:dyDescent="0.2">
      <c r="A221" s="4">
        <v>194405</v>
      </c>
      <c r="B221" s="4">
        <v>5.07</v>
      </c>
      <c r="C221" s="4">
        <v>1.68</v>
      </c>
      <c r="D221" s="4">
        <v>1.04</v>
      </c>
      <c r="E221" s="4">
        <v>0.03</v>
      </c>
      <c r="F221" s="4"/>
      <c r="G221" s="4"/>
      <c r="H221" s="4"/>
    </row>
    <row r="222" spans="1:8" x14ac:dyDescent="0.2">
      <c r="A222" s="4">
        <v>194406</v>
      </c>
      <c r="B222" s="4">
        <v>5.49</v>
      </c>
      <c r="C222" s="4">
        <v>4.01</v>
      </c>
      <c r="D222" s="4">
        <v>1.75</v>
      </c>
      <c r="E222" s="4">
        <v>0.03</v>
      </c>
      <c r="F222" s="4"/>
      <c r="G222" s="4"/>
      <c r="H222" s="4"/>
    </row>
    <row r="223" spans="1:8" x14ac:dyDescent="0.2">
      <c r="A223" s="4">
        <v>194407</v>
      </c>
      <c r="B223" s="4">
        <v>-1.49</v>
      </c>
      <c r="C223" s="4">
        <v>0.57999999999999996</v>
      </c>
      <c r="D223" s="4">
        <v>-0.42</v>
      </c>
      <c r="E223" s="4">
        <v>0.03</v>
      </c>
      <c r="F223" s="4"/>
      <c r="G223" s="4"/>
      <c r="H223" s="4"/>
    </row>
    <row r="224" spans="1:8" x14ac:dyDescent="0.2">
      <c r="A224" s="4">
        <v>194408</v>
      </c>
      <c r="B224" s="4">
        <v>1.57</v>
      </c>
      <c r="C224" s="4">
        <v>2.33</v>
      </c>
      <c r="D224" s="4">
        <v>-1.49</v>
      </c>
      <c r="E224" s="4">
        <v>0.03</v>
      </c>
      <c r="F224" s="4"/>
      <c r="G224" s="4"/>
      <c r="H224" s="4"/>
    </row>
    <row r="225" spans="1:8" x14ac:dyDescent="0.2">
      <c r="A225" s="4">
        <v>194409</v>
      </c>
      <c r="B225" s="4">
        <v>0.01</v>
      </c>
      <c r="C225" s="4">
        <v>0.49</v>
      </c>
      <c r="D225" s="4">
        <v>-1.1599999999999999</v>
      </c>
      <c r="E225" s="4">
        <v>0.02</v>
      </c>
      <c r="F225" s="4"/>
      <c r="G225" s="4"/>
      <c r="H225" s="4"/>
    </row>
    <row r="226" spans="1:8" x14ac:dyDescent="0.2">
      <c r="A226" s="4">
        <v>194410</v>
      </c>
      <c r="B226" s="4">
        <v>0.16</v>
      </c>
      <c r="C226" s="4">
        <v>-0.15</v>
      </c>
      <c r="D226" s="4">
        <v>-0.33</v>
      </c>
      <c r="E226" s="4">
        <v>0.03</v>
      </c>
      <c r="F226" s="4"/>
      <c r="G226" s="4"/>
      <c r="H226" s="4"/>
    </row>
    <row r="227" spans="1:8" x14ac:dyDescent="0.2">
      <c r="A227" s="4">
        <v>194411</v>
      </c>
      <c r="B227" s="4">
        <v>1.71</v>
      </c>
      <c r="C227" s="4">
        <v>0.36</v>
      </c>
      <c r="D227" s="4">
        <v>2.38</v>
      </c>
      <c r="E227" s="4">
        <v>0.03</v>
      </c>
      <c r="F227" s="4"/>
      <c r="G227" s="4"/>
      <c r="H227" s="4"/>
    </row>
    <row r="228" spans="1:8" x14ac:dyDescent="0.2">
      <c r="A228" s="4">
        <v>194412</v>
      </c>
      <c r="B228" s="4">
        <v>4.03</v>
      </c>
      <c r="C228" s="4">
        <v>2.25</v>
      </c>
      <c r="D228" s="4">
        <v>5.91</v>
      </c>
      <c r="E228" s="4">
        <v>0.02</v>
      </c>
      <c r="F228" s="4"/>
      <c r="G228" s="4"/>
      <c r="H228" s="4"/>
    </row>
    <row r="229" spans="1:8" x14ac:dyDescent="0.2">
      <c r="A229" s="4">
        <v>194501</v>
      </c>
      <c r="B229" s="4">
        <v>2.0099999999999998</v>
      </c>
      <c r="C229" s="4">
        <v>2.46</v>
      </c>
      <c r="D229" s="4">
        <v>0.67</v>
      </c>
      <c r="E229" s="4">
        <v>0.03</v>
      </c>
      <c r="F229" s="4"/>
      <c r="G229" s="4"/>
      <c r="H229" s="4"/>
    </row>
    <row r="230" spans="1:8" x14ac:dyDescent="0.2">
      <c r="A230" s="4">
        <v>194502</v>
      </c>
      <c r="B230" s="4">
        <v>6.23</v>
      </c>
      <c r="C230" s="4">
        <v>1.55</v>
      </c>
      <c r="D230" s="4">
        <v>4.34</v>
      </c>
      <c r="E230" s="4">
        <v>0.02</v>
      </c>
      <c r="F230" s="4"/>
      <c r="G230" s="4"/>
      <c r="H230" s="4"/>
    </row>
    <row r="231" spans="1:8" x14ac:dyDescent="0.2">
      <c r="A231" s="4">
        <v>194503</v>
      </c>
      <c r="B231" s="4">
        <v>-3.89</v>
      </c>
      <c r="C231" s="4">
        <v>-1.6</v>
      </c>
      <c r="D231" s="4">
        <v>-1.74</v>
      </c>
      <c r="E231" s="4">
        <v>0.02</v>
      </c>
      <c r="F231" s="4"/>
      <c r="G231" s="4"/>
      <c r="H231" s="4"/>
    </row>
    <row r="232" spans="1:8" x14ac:dyDescent="0.2">
      <c r="A232" s="4">
        <v>194504</v>
      </c>
      <c r="B232" s="4">
        <v>7.8</v>
      </c>
      <c r="C232" s="4">
        <v>0.32</v>
      </c>
      <c r="D232" s="4">
        <v>3.24</v>
      </c>
      <c r="E232" s="4">
        <v>0.03</v>
      </c>
      <c r="F232" s="4"/>
      <c r="G232" s="4"/>
      <c r="H232" s="4"/>
    </row>
    <row r="233" spans="1:8" x14ac:dyDescent="0.2">
      <c r="A233" s="4">
        <v>194505</v>
      </c>
      <c r="B233" s="4">
        <v>1.73</v>
      </c>
      <c r="C233" s="4">
        <v>1.52</v>
      </c>
      <c r="D233" s="4">
        <v>0.36</v>
      </c>
      <c r="E233" s="4">
        <v>0.03</v>
      </c>
      <c r="F233" s="4"/>
      <c r="G233" s="4"/>
      <c r="H233" s="4"/>
    </row>
    <row r="234" spans="1:8" x14ac:dyDescent="0.2">
      <c r="A234" s="4">
        <v>194506</v>
      </c>
      <c r="B234" s="4">
        <v>0.39</v>
      </c>
      <c r="C234" s="4">
        <v>3.12</v>
      </c>
      <c r="D234" s="4">
        <v>4.21</v>
      </c>
      <c r="E234" s="4">
        <v>0.02</v>
      </c>
      <c r="F234" s="4"/>
      <c r="G234" s="4"/>
      <c r="H234" s="4"/>
    </row>
    <row r="235" spans="1:8" x14ac:dyDescent="0.2">
      <c r="A235" s="4">
        <v>194507</v>
      </c>
      <c r="B235" s="4">
        <v>-2.17</v>
      </c>
      <c r="C235" s="4">
        <v>-1.52</v>
      </c>
      <c r="D235" s="4">
        <v>-2.62</v>
      </c>
      <c r="E235" s="4">
        <v>0.03</v>
      </c>
      <c r="F235" s="4"/>
      <c r="G235" s="4"/>
      <c r="H235" s="4"/>
    </row>
    <row r="236" spans="1:8" x14ac:dyDescent="0.2">
      <c r="A236" s="4">
        <v>194508</v>
      </c>
      <c r="B236" s="4">
        <v>6.2</v>
      </c>
      <c r="C236" s="4">
        <v>1.5</v>
      </c>
      <c r="D236" s="4">
        <v>-4.2699999999999996</v>
      </c>
      <c r="E236" s="4">
        <v>0.03</v>
      </c>
      <c r="F236" s="4"/>
      <c r="G236" s="4"/>
      <c r="H236" s="4"/>
    </row>
    <row r="237" spans="1:8" x14ac:dyDescent="0.2">
      <c r="A237" s="4">
        <v>194509</v>
      </c>
      <c r="B237" s="4">
        <v>4.7699999999999996</v>
      </c>
      <c r="C237" s="4">
        <v>1.7</v>
      </c>
      <c r="D237" s="4">
        <v>0.42</v>
      </c>
      <c r="E237" s="4">
        <v>0.03</v>
      </c>
      <c r="F237" s="4"/>
      <c r="G237" s="4"/>
      <c r="H237" s="4"/>
    </row>
    <row r="238" spans="1:8" x14ac:dyDescent="0.2">
      <c r="A238" s="4">
        <v>194510</v>
      </c>
      <c r="B238" s="4">
        <v>3.89</v>
      </c>
      <c r="C238" s="4">
        <v>2.38</v>
      </c>
      <c r="D238" s="4">
        <v>2.13</v>
      </c>
      <c r="E238" s="4">
        <v>0.03</v>
      </c>
      <c r="F238" s="4"/>
      <c r="G238" s="4"/>
      <c r="H238" s="4"/>
    </row>
    <row r="239" spans="1:8" x14ac:dyDescent="0.2">
      <c r="A239" s="4">
        <v>194511</v>
      </c>
      <c r="B239" s="4">
        <v>5.39</v>
      </c>
      <c r="C239" s="4">
        <v>4.3099999999999996</v>
      </c>
      <c r="D239" s="4">
        <v>3.96</v>
      </c>
      <c r="E239" s="4">
        <v>0.02</v>
      </c>
      <c r="F239" s="4"/>
      <c r="G239" s="4"/>
      <c r="H239" s="4"/>
    </row>
    <row r="240" spans="1:8" x14ac:dyDescent="0.2">
      <c r="A240" s="4">
        <v>194512</v>
      </c>
      <c r="B240" s="4">
        <v>1.2</v>
      </c>
      <c r="C240" s="4">
        <v>2.1</v>
      </c>
      <c r="D240" s="4">
        <v>-2.2799999999999998</v>
      </c>
      <c r="E240" s="4">
        <v>0.03</v>
      </c>
      <c r="F240" s="4"/>
      <c r="G240" s="4"/>
      <c r="H240" s="4"/>
    </row>
    <row r="241" spans="1:8" x14ac:dyDescent="0.2">
      <c r="A241" s="4">
        <v>194601</v>
      </c>
      <c r="B241" s="4">
        <v>6.24</v>
      </c>
      <c r="C241" s="4">
        <v>3.91</v>
      </c>
      <c r="D241" s="4">
        <v>2.48</v>
      </c>
      <c r="E241" s="4">
        <v>0.03</v>
      </c>
      <c r="F241" s="4"/>
      <c r="G241" s="4"/>
      <c r="H241" s="4"/>
    </row>
    <row r="242" spans="1:8" x14ac:dyDescent="0.2">
      <c r="A242" s="4">
        <v>194602</v>
      </c>
      <c r="B242" s="4">
        <v>-5.83</v>
      </c>
      <c r="C242" s="4">
        <v>-0.71</v>
      </c>
      <c r="D242" s="4">
        <v>-1.46</v>
      </c>
      <c r="E242" s="4">
        <v>0.03</v>
      </c>
      <c r="F242" s="4"/>
      <c r="G242" s="4"/>
      <c r="H242" s="4"/>
    </row>
    <row r="243" spans="1:8" x14ac:dyDescent="0.2">
      <c r="A243" s="4">
        <v>194603</v>
      </c>
      <c r="B243" s="4">
        <v>5.87</v>
      </c>
      <c r="C243" s="4">
        <v>0.28999999999999998</v>
      </c>
      <c r="D243" s="4">
        <v>-0.54</v>
      </c>
      <c r="E243" s="4">
        <v>0.03</v>
      </c>
      <c r="F243" s="4"/>
      <c r="G243" s="4"/>
      <c r="H243" s="4"/>
    </row>
    <row r="244" spans="1:8" x14ac:dyDescent="0.2">
      <c r="A244" s="4">
        <v>194604</v>
      </c>
      <c r="B244" s="4">
        <v>4.2300000000000004</v>
      </c>
      <c r="C244" s="4">
        <v>2.35</v>
      </c>
      <c r="D244" s="4">
        <v>0.32</v>
      </c>
      <c r="E244" s="4">
        <v>0.03</v>
      </c>
      <c r="F244" s="4"/>
      <c r="G244" s="4"/>
      <c r="H244" s="4"/>
    </row>
    <row r="245" spans="1:8" x14ac:dyDescent="0.2">
      <c r="A245" s="4">
        <v>194605</v>
      </c>
      <c r="B245" s="4">
        <v>3.93</v>
      </c>
      <c r="C245" s="4">
        <v>1.46</v>
      </c>
      <c r="D245" s="4">
        <v>1.28</v>
      </c>
      <c r="E245" s="4">
        <v>0.03</v>
      </c>
      <c r="F245" s="4"/>
      <c r="G245" s="4"/>
      <c r="H245" s="4"/>
    </row>
    <row r="246" spans="1:8" x14ac:dyDescent="0.2">
      <c r="A246" s="4">
        <v>194606</v>
      </c>
      <c r="B246" s="4">
        <v>-3.89</v>
      </c>
      <c r="C246" s="4">
        <v>-1.58</v>
      </c>
      <c r="D246" s="4">
        <v>-0.39</v>
      </c>
      <c r="E246" s="4">
        <v>0.03</v>
      </c>
      <c r="F246" s="4"/>
      <c r="G246" s="4"/>
      <c r="H246" s="4"/>
    </row>
    <row r="247" spans="1:8" x14ac:dyDescent="0.2">
      <c r="A247" s="4">
        <v>194607</v>
      </c>
      <c r="B247" s="4">
        <v>-2.69</v>
      </c>
      <c r="C247" s="4">
        <v>-2.0699999999999998</v>
      </c>
      <c r="D247" s="4">
        <v>7.0000000000000007E-2</v>
      </c>
      <c r="E247" s="4">
        <v>0.03</v>
      </c>
      <c r="F247" s="4"/>
      <c r="G247" s="4"/>
      <c r="H247" s="4"/>
    </row>
    <row r="248" spans="1:8" x14ac:dyDescent="0.2">
      <c r="A248" s="4">
        <v>194608</v>
      </c>
      <c r="B248" s="4">
        <v>-6.44</v>
      </c>
      <c r="C248" s="4">
        <v>-1.84</v>
      </c>
      <c r="D248" s="4">
        <v>0.55000000000000004</v>
      </c>
      <c r="E248" s="4">
        <v>0.03</v>
      </c>
      <c r="F248" s="4"/>
      <c r="G248" s="4"/>
      <c r="H248" s="4"/>
    </row>
    <row r="249" spans="1:8" x14ac:dyDescent="0.2">
      <c r="A249" s="4">
        <v>194609</v>
      </c>
      <c r="B249" s="4">
        <v>-10.17</v>
      </c>
      <c r="C249" s="4">
        <v>-4.4000000000000004</v>
      </c>
      <c r="D249" s="4">
        <v>-1.92</v>
      </c>
      <c r="E249" s="4">
        <v>0.03</v>
      </c>
      <c r="F249" s="4"/>
      <c r="G249" s="4"/>
      <c r="H249" s="4"/>
    </row>
    <row r="250" spans="1:8" x14ac:dyDescent="0.2">
      <c r="A250" s="4">
        <v>194610</v>
      </c>
      <c r="B250" s="4">
        <v>-1.44</v>
      </c>
      <c r="C250" s="4">
        <v>0.1</v>
      </c>
      <c r="D250" s="4">
        <v>3.46</v>
      </c>
      <c r="E250" s="4">
        <v>0.03</v>
      </c>
      <c r="F250" s="4"/>
      <c r="G250" s="4"/>
      <c r="H250" s="4"/>
    </row>
    <row r="251" spans="1:8" x14ac:dyDescent="0.2">
      <c r="A251" s="4">
        <v>194611</v>
      </c>
      <c r="B251" s="4">
        <v>-0.01</v>
      </c>
      <c r="C251" s="4">
        <v>-0.44</v>
      </c>
      <c r="D251" s="4">
        <v>1.47</v>
      </c>
      <c r="E251" s="4">
        <v>0.03</v>
      </c>
      <c r="F251" s="4"/>
      <c r="G251" s="4"/>
      <c r="H251" s="4"/>
    </row>
    <row r="252" spans="1:8" x14ac:dyDescent="0.2">
      <c r="A252" s="4">
        <v>194612</v>
      </c>
      <c r="B252" s="4">
        <v>4.96</v>
      </c>
      <c r="C252" s="4">
        <v>0.08</v>
      </c>
      <c r="D252" s="4">
        <v>-1.36</v>
      </c>
      <c r="E252" s="4">
        <v>0.03</v>
      </c>
      <c r="F252" s="4"/>
      <c r="G252" s="4"/>
      <c r="H252" s="4"/>
    </row>
    <row r="253" spans="1:8" x14ac:dyDescent="0.2">
      <c r="A253" s="4">
        <v>194701</v>
      </c>
      <c r="B253" s="4">
        <v>1.25</v>
      </c>
      <c r="C253" s="4">
        <v>2.2000000000000002</v>
      </c>
      <c r="D253" s="4">
        <v>-0.73</v>
      </c>
      <c r="E253" s="4">
        <v>0.03</v>
      </c>
      <c r="F253" s="4"/>
      <c r="G253" s="4"/>
      <c r="H253" s="4"/>
    </row>
    <row r="254" spans="1:8" x14ac:dyDescent="0.2">
      <c r="A254" s="4">
        <v>194702</v>
      </c>
      <c r="B254" s="4">
        <v>-1.08</v>
      </c>
      <c r="C254" s="4">
        <v>0.68</v>
      </c>
      <c r="D254" s="4">
        <v>0.15</v>
      </c>
      <c r="E254" s="4">
        <v>0.03</v>
      </c>
      <c r="F254" s="4"/>
      <c r="G254" s="4"/>
      <c r="H254" s="4"/>
    </row>
    <row r="255" spans="1:8" x14ac:dyDescent="0.2">
      <c r="A255" s="4">
        <v>194703</v>
      </c>
      <c r="B255" s="4">
        <v>-1.67</v>
      </c>
      <c r="C255" s="4">
        <v>-1.62</v>
      </c>
      <c r="D255" s="4">
        <v>0.61</v>
      </c>
      <c r="E255" s="4">
        <v>0.03</v>
      </c>
      <c r="F255" s="4"/>
      <c r="G255" s="4"/>
      <c r="H255" s="4"/>
    </row>
    <row r="256" spans="1:8" x14ac:dyDescent="0.2">
      <c r="A256" s="4">
        <v>194704</v>
      </c>
      <c r="B256" s="4">
        <v>-4.8</v>
      </c>
      <c r="C256" s="4">
        <v>-3.96</v>
      </c>
      <c r="D256" s="4">
        <v>0.85</v>
      </c>
      <c r="E256" s="4">
        <v>0.03</v>
      </c>
      <c r="F256" s="4"/>
      <c r="G256" s="4"/>
      <c r="H256" s="4"/>
    </row>
    <row r="257" spans="1:8" x14ac:dyDescent="0.2">
      <c r="A257" s="4">
        <v>194705</v>
      </c>
      <c r="B257" s="4">
        <v>-0.97</v>
      </c>
      <c r="C257" s="4">
        <v>-3.26</v>
      </c>
      <c r="D257" s="4">
        <v>0.33</v>
      </c>
      <c r="E257" s="4">
        <v>0.03</v>
      </c>
      <c r="F257" s="4"/>
      <c r="G257" s="4"/>
      <c r="H257" s="4"/>
    </row>
    <row r="258" spans="1:8" x14ac:dyDescent="0.2">
      <c r="A258" s="4">
        <v>194706</v>
      </c>
      <c r="B258" s="4">
        <v>5.29</v>
      </c>
      <c r="C258" s="4">
        <v>-0.3</v>
      </c>
      <c r="D258" s="4">
        <v>-0.59</v>
      </c>
      <c r="E258" s="4">
        <v>0.03</v>
      </c>
      <c r="F258" s="4"/>
      <c r="G258" s="4"/>
      <c r="H258" s="4"/>
    </row>
    <row r="259" spans="1:8" x14ac:dyDescent="0.2">
      <c r="A259" s="4">
        <v>194707</v>
      </c>
      <c r="B259" s="4">
        <v>4.1399999999999997</v>
      </c>
      <c r="C259" s="4">
        <v>1.43</v>
      </c>
      <c r="D259" s="4">
        <v>2.82</v>
      </c>
      <c r="E259" s="4">
        <v>0.03</v>
      </c>
      <c r="F259" s="4"/>
      <c r="G259" s="4"/>
      <c r="H259" s="4"/>
    </row>
    <row r="260" spans="1:8" x14ac:dyDescent="0.2">
      <c r="A260" s="4">
        <v>194708</v>
      </c>
      <c r="B260" s="4">
        <v>-1.74</v>
      </c>
      <c r="C260" s="4">
        <v>0.32</v>
      </c>
      <c r="D260" s="4">
        <v>0.18</v>
      </c>
      <c r="E260" s="4">
        <v>0.03</v>
      </c>
      <c r="F260" s="4"/>
      <c r="G260" s="4"/>
      <c r="H260" s="4"/>
    </row>
    <row r="261" spans="1:8" x14ac:dyDescent="0.2">
      <c r="A261" s="4">
        <v>194709</v>
      </c>
      <c r="B261" s="4">
        <v>-0.54</v>
      </c>
      <c r="C261" s="4">
        <v>1.64</v>
      </c>
      <c r="D261" s="4">
        <v>1.36</v>
      </c>
      <c r="E261" s="4">
        <v>0.06</v>
      </c>
      <c r="F261" s="4"/>
      <c r="G261" s="4"/>
      <c r="H261" s="4"/>
    </row>
    <row r="262" spans="1:8" x14ac:dyDescent="0.2">
      <c r="A262" s="4">
        <v>194710</v>
      </c>
      <c r="B262" s="4">
        <v>2.4700000000000002</v>
      </c>
      <c r="C262" s="4">
        <v>0.51</v>
      </c>
      <c r="D262" s="4">
        <v>7.0000000000000007E-2</v>
      </c>
      <c r="E262" s="4">
        <v>0.06</v>
      </c>
      <c r="F262" s="4"/>
      <c r="G262" s="4"/>
      <c r="H262" s="4"/>
    </row>
    <row r="263" spans="1:8" x14ac:dyDescent="0.2">
      <c r="A263" s="4">
        <v>194711</v>
      </c>
      <c r="B263" s="4">
        <v>-1.97</v>
      </c>
      <c r="C263" s="4">
        <v>-1.71</v>
      </c>
      <c r="D263" s="4">
        <v>1.1000000000000001</v>
      </c>
      <c r="E263" s="4">
        <v>0.06</v>
      </c>
      <c r="F263" s="4"/>
      <c r="G263" s="4"/>
      <c r="H263" s="4"/>
    </row>
    <row r="264" spans="1:8" x14ac:dyDescent="0.2">
      <c r="A264" s="4">
        <v>194712</v>
      </c>
      <c r="B264" s="4">
        <v>3</v>
      </c>
      <c r="C264" s="4">
        <v>-2.46</v>
      </c>
      <c r="D264" s="4">
        <v>3.71</v>
      </c>
      <c r="E264" s="4">
        <v>0.08</v>
      </c>
      <c r="F264" s="4"/>
      <c r="G264" s="4"/>
      <c r="H264" s="4"/>
    </row>
    <row r="265" spans="1:8" x14ac:dyDescent="0.2">
      <c r="A265" s="4">
        <v>194801</v>
      </c>
      <c r="B265" s="4">
        <v>-3.93</v>
      </c>
      <c r="C265" s="4">
        <v>2.5</v>
      </c>
      <c r="D265" s="4">
        <v>1.39</v>
      </c>
      <c r="E265" s="4">
        <v>7.0000000000000007E-2</v>
      </c>
      <c r="F265" s="4"/>
      <c r="G265" s="4"/>
      <c r="H265" s="4"/>
    </row>
    <row r="266" spans="1:8" x14ac:dyDescent="0.2">
      <c r="A266" s="4">
        <v>194802</v>
      </c>
      <c r="B266" s="4">
        <v>-4.38</v>
      </c>
      <c r="C266" s="4">
        <v>-1.72</v>
      </c>
      <c r="D266" s="4">
        <v>7.0000000000000007E-2</v>
      </c>
      <c r="E266" s="4">
        <v>7.0000000000000007E-2</v>
      </c>
      <c r="F266" s="4"/>
      <c r="G266" s="4"/>
      <c r="H266" s="4"/>
    </row>
    <row r="267" spans="1:8" x14ac:dyDescent="0.2">
      <c r="A267" s="4">
        <v>194803</v>
      </c>
      <c r="B267" s="4">
        <v>8.07</v>
      </c>
      <c r="C267" s="4">
        <v>0.14000000000000001</v>
      </c>
      <c r="D267" s="4">
        <v>4.5</v>
      </c>
      <c r="E267" s="4">
        <v>0.09</v>
      </c>
      <c r="F267" s="4"/>
      <c r="G267" s="4"/>
      <c r="H267" s="4"/>
    </row>
    <row r="268" spans="1:8" x14ac:dyDescent="0.2">
      <c r="A268" s="4">
        <v>194804</v>
      </c>
      <c r="B268" s="4">
        <v>3.65</v>
      </c>
      <c r="C268" s="4">
        <v>-1.65</v>
      </c>
      <c r="D268" s="4">
        <v>4.1100000000000003</v>
      </c>
      <c r="E268" s="4">
        <v>0.08</v>
      </c>
      <c r="F268" s="4"/>
      <c r="G268" s="4"/>
      <c r="H268" s="4"/>
    </row>
    <row r="269" spans="1:8" x14ac:dyDescent="0.2">
      <c r="A269" s="4">
        <v>194805</v>
      </c>
      <c r="B269" s="4">
        <v>7.3</v>
      </c>
      <c r="C269" s="4">
        <v>0.91</v>
      </c>
      <c r="D269" s="4">
        <v>-1.27</v>
      </c>
      <c r="E269" s="4">
        <v>0.08</v>
      </c>
      <c r="F269" s="4"/>
      <c r="G269" s="4"/>
      <c r="H269" s="4"/>
    </row>
    <row r="270" spans="1:8" x14ac:dyDescent="0.2">
      <c r="A270" s="4">
        <v>194806</v>
      </c>
      <c r="B270" s="4">
        <v>-0.1</v>
      </c>
      <c r="C270" s="4">
        <v>-1.82</v>
      </c>
      <c r="D270" s="4">
        <v>2.81</v>
      </c>
      <c r="E270" s="4">
        <v>0.09</v>
      </c>
      <c r="F270" s="4"/>
      <c r="G270" s="4"/>
      <c r="H270" s="4"/>
    </row>
    <row r="271" spans="1:8" x14ac:dyDescent="0.2">
      <c r="A271" s="4">
        <v>194807</v>
      </c>
      <c r="B271" s="4">
        <v>-5.09</v>
      </c>
      <c r="C271" s="4">
        <v>-0.33</v>
      </c>
      <c r="D271" s="4">
        <v>0.14000000000000001</v>
      </c>
      <c r="E271" s="4">
        <v>0.08</v>
      </c>
      <c r="F271" s="4"/>
      <c r="G271" s="4"/>
      <c r="H271" s="4"/>
    </row>
    <row r="272" spans="1:8" x14ac:dyDescent="0.2">
      <c r="A272" s="4">
        <v>194808</v>
      </c>
      <c r="B272" s="4">
        <v>0.25</v>
      </c>
      <c r="C272" s="4">
        <v>-1.1100000000000001</v>
      </c>
      <c r="D272" s="4">
        <v>0.28000000000000003</v>
      </c>
      <c r="E272" s="4">
        <v>0.09</v>
      </c>
      <c r="F272" s="4"/>
      <c r="G272" s="4"/>
      <c r="H272" s="4"/>
    </row>
    <row r="273" spans="1:8" x14ac:dyDescent="0.2">
      <c r="A273" s="4">
        <v>194809</v>
      </c>
      <c r="B273" s="4">
        <v>-2.97</v>
      </c>
      <c r="C273" s="4">
        <v>-1.23</v>
      </c>
      <c r="D273" s="4">
        <v>-1.71</v>
      </c>
      <c r="E273" s="4">
        <v>0.04</v>
      </c>
      <c r="F273" s="4"/>
      <c r="G273" s="4"/>
      <c r="H273" s="4"/>
    </row>
    <row r="274" spans="1:8" x14ac:dyDescent="0.2">
      <c r="A274" s="4">
        <v>194810</v>
      </c>
      <c r="B274" s="4">
        <v>5.96</v>
      </c>
      <c r="C274" s="4">
        <v>-1.5</v>
      </c>
      <c r="D274" s="4">
        <v>0.57999999999999996</v>
      </c>
      <c r="E274" s="4">
        <v>0.04</v>
      </c>
      <c r="F274" s="4"/>
      <c r="G274" s="4"/>
      <c r="H274" s="4"/>
    </row>
    <row r="275" spans="1:8" x14ac:dyDescent="0.2">
      <c r="A275" s="4">
        <v>194811</v>
      </c>
      <c r="B275" s="4">
        <v>-9.3000000000000007</v>
      </c>
      <c r="C275" s="4">
        <v>-0.6</v>
      </c>
      <c r="D275" s="4">
        <v>-4.13</v>
      </c>
      <c r="E275" s="4">
        <v>0.04</v>
      </c>
      <c r="F275" s="4"/>
      <c r="G275" s="4"/>
      <c r="H275" s="4"/>
    </row>
    <row r="276" spans="1:8" x14ac:dyDescent="0.2">
      <c r="A276" s="4">
        <v>194812</v>
      </c>
      <c r="B276" s="4">
        <v>3.26</v>
      </c>
      <c r="C276" s="4">
        <v>-2.82</v>
      </c>
      <c r="D276" s="4">
        <v>-1.94</v>
      </c>
      <c r="E276" s="4">
        <v>0.04</v>
      </c>
      <c r="F276" s="4"/>
      <c r="G276" s="4"/>
      <c r="H276" s="4"/>
    </row>
    <row r="277" spans="1:8" x14ac:dyDescent="0.2">
      <c r="A277" s="4">
        <v>194901</v>
      </c>
      <c r="B277" s="4">
        <v>0.23</v>
      </c>
      <c r="C277" s="4">
        <v>1.77</v>
      </c>
      <c r="D277" s="4">
        <v>1.23</v>
      </c>
      <c r="E277" s="4">
        <v>0.1</v>
      </c>
      <c r="F277" s="4"/>
      <c r="G277" s="4"/>
      <c r="H277" s="4"/>
    </row>
    <row r="278" spans="1:8" x14ac:dyDescent="0.2">
      <c r="A278" s="4">
        <v>194902</v>
      </c>
      <c r="B278" s="4">
        <v>-2.93</v>
      </c>
      <c r="C278" s="4">
        <v>-1.9</v>
      </c>
      <c r="D278" s="4">
        <v>-0.86</v>
      </c>
      <c r="E278" s="4">
        <v>0.09</v>
      </c>
      <c r="F278" s="4"/>
      <c r="G278" s="4"/>
      <c r="H278" s="4"/>
    </row>
    <row r="279" spans="1:8" x14ac:dyDescent="0.2">
      <c r="A279" s="4">
        <v>194903</v>
      </c>
      <c r="B279" s="4">
        <v>4.04</v>
      </c>
      <c r="C279" s="4">
        <v>2.5</v>
      </c>
      <c r="D279" s="4">
        <v>1.29</v>
      </c>
      <c r="E279" s="4">
        <v>0.1</v>
      </c>
      <c r="F279" s="4"/>
      <c r="G279" s="4"/>
      <c r="H279" s="4"/>
    </row>
    <row r="280" spans="1:8" x14ac:dyDescent="0.2">
      <c r="A280" s="4">
        <v>194904</v>
      </c>
      <c r="B280" s="4">
        <v>-1.87</v>
      </c>
      <c r="C280" s="4">
        <v>-0.89</v>
      </c>
      <c r="D280" s="4">
        <v>-1.1299999999999999</v>
      </c>
      <c r="E280" s="4">
        <v>0.09</v>
      </c>
      <c r="F280" s="4"/>
      <c r="G280" s="4"/>
      <c r="H280" s="4"/>
    </row>
    <row r="281" spans="1:8" x14ac:dyDescent="0.2">
      <c r="A281" s="4">
        <v>194905</v>
      </c>
      <c r="B281" s="4">
        <v>-2.94</v>
      </c>
      <c r="C281" s="4">
        <v>-0.79</v>
      </c>
      <c r="D281" s="4">
        <v>-2.37</v>
      </c>
      <c r="E281" s="4">
        <v>0.1</v>
      </c>
      <c r="F281" s="4"/>
      <c r="G281" s="4"/>
      <c r="H281" s="4"/>
    </row>
    <row r="282" spans="1:8" x14ac:dyDescent="0.2">
      <c r="A282" s="4">
        <v>194906</v>
      </c>
      <c r="B282" s="4">
        <v>0.1</v>
      </c>
      <c r="C282" s="4">
        <v>-0.91</v>
      </c>
      <c r="D282" s="4">
        <v>-1.65</v>
      </c>
      <c r="E282" s="4">
        <v>0.1</v>
      </c>
      <c r="F282" s="4"/>
      <c r="G282" s="4"/>
      <c r="H282" s="4"/>
    </row>
    <row r="283" spans="1:8" x14ac:dyDescent="0.2">
      <c r="A283" s="4">
        <v>194907</v>
      </c>
      <c r="B283" s="4">
        <v>5.54</v>
      </c>
      <c r="C283" s="4">
        <v>0.55000000000000004</v>
      </c>
      <c r="D283" s="4">
        <v>0.37</v>
      </c>
      <c r="E283" s="4">
        <v>0.09</v>
      </c>
      <c r="F283" s="4"/>
      <c r="G283" s="4"/>
      <c r="H283" s="4"/>
    </row>
    <row r="284" spans="1:8" x14ac:dyDescent="0.2">
      <c r="A284" s="4">
        <v>194908</v>
      </c>
      <c r="B284" s="4">
        <v>2.6</v>
      </c>
      <c r="C284" s="4">
        <v>0.2</v>
      </c>
      <c r="D284" s="4">
        <v>-0.55000000000000004</v>
      </c>
      <c r="E284" s="4">
        <v>0.09</v>
      </c>
      <c r="F284" s="4"/>
      <c r="G284" s="4"/>
      <c r="H284" s="4"/>
    </row>
    <row r="285" spans="1:8" x14ac:dyDescent="0.2">
      <c r="A285" s="4">
        <v>194909</v>
      </c>
      <c r="B285" s="4">
        <v>3.09</v>
      </c>
      <c r="C285" s="4">
        <v>1</v>
      </c>
      <c r="D285" s="4">
        <v>0.19</v>
      </c>
      <c r="E285" s="4">
        <v>0.09</v>
      </c>
      <c r="F285" s="4"/>
      <c r="G285" s="4"/>
      <c r="H285" s="4"/>
    </row>
    <row r="286" spans="1:8" x14ac:dyDescent="0.2">
      <c r="A286" s="4">
        <v>194910</v>
      </c>
      <c r="B286" s="4">
        <v>3.14</v>
      </c>
      <c r="C286" s="4">
        <v>1.04</v>
      </c>
      <c r="D286" s="4">
        <v>-0.48</v>
      </c>
      <c r="E286" s="4">
        <v>0.09</v>
      </c>
      <c r="F286" s="4"/>
      <c r="G286" s="4"/>
      <c r="H286" s="4"/>
    </row>
    <row r="287" spans="1:8" x14ac:dyDescent="0.2">
      <c r="A287" s="4">
        <v>194911</v>
      </c>
      <c r="B287" s="4">
        <v>1.82</v>
      </c>
      <c r="C287" s="4">
        <v>-1.02</v>
      </c>
      <c r="D287" s="4">
        <v>-0.96</v>
      </c>
      <c r="E287" s="4">
        <v>0.08</v>
      </c>
      <c r="F287" s="4"/>
      <c r="G287" s="4"/>
      <c r="H287" s="4"/>
    </row>
    <row r="288" spans="1:8" x14ac:dyDescent="0.2">
      <c r="A288" s="4">
        <v>194912</v>
      </c>
      <c r="B288" s="4">
        <v>5.13</v>
      </c>
      <c r="C288" s="4">
        <v>2.06</v>
      </c>
      <c r="D288" s="4">
        <v>1.77</v>
      </c>
      <c r="E288" s="4">
        <v>0.09</v>
      </c>
      <c r="F288" s="4"/>
      <c r="G288" s="4"/>
      <c r="H288" s="4"/>
    </row>
    <row r="289" spans="1:8" x14ac:dyDescent="0.2">
      <c r="A289" s="4">
        <v>195001</v>
      </c>
      <c r="B289" s="4">
        <v>1.7</v>
      </c>
      <c r="C289" s="4">
        <v>3.33</v>
      </c>
      <c r="D289" s="4">
        <v>0.12</v>
      </c>
      <c r="E289" s="4">
        <v>0.09</v>
      </c>
      <c r="F289" s="4"/>
      <c r="G289" s="4"/>
      <c r="H289" s="4"/>
    </row>
    <row r="290" spans="1:8" x14ac:dyDescent="0.2">
      <c r="A290" s="4">
        <v>195002</v>
      </c>
      <c r="B290" s="4">
        <v>1.48</v>
      </c>
      <c r="C290" s="4">
        <v>0.03</v>
      </c>
      <c r="D290" s="4">
        <v>-0.79</v>
      </c>
      <c r="E290" s="4">
        <v>0.09</v>
      </c>
      <c r="F290" s="4"/>
      <c r="G290" s="4"/>
      <c r="H290" s="4"/>
    </row>
    <row r="291" spans="1:8" x14ac:dyDescent="0.2">
      <c r="A291" s="4">
        <v>195003</v>
      </c>
      <c r="B291" s="4">
        <v>1.26</v>
      </c>
      <c r="C291" s="4">
        <v>-1.44</v>
      </c>
      <c r="D291" s="4">
        <v>-2.81</v>
      </c>
      <c r="E291" s="4">
        <v>0.1</v>
      </c>
      <c r="F291" s="4"/>
      <c r="G291" s="4"/>
      <c r="H291" s="4"/>
    </row>
    <row r="292" spans="1:8" x14ac:dyDescent="0.2">
      <c r="A292" s="4">
        <v>195004</v>
      </c>
      <c r="B292" s="4">
        <v>3.94</v>
      </c>
      <c r="C292" s="4">
        <v>1.94</v>
      </c>
      <c r="D292" s="4">
        <v>1.3</v>
      </c>
      <c r="E292" s="4">
        <v>0.09</v>
      </c>
      <c r="F292" s="4"/>
      <c r="G292" s="4"/>
      <c r="H292" s="4"/>
    </row>
    <row r="293" spans="1:8" x14ac:dyDescent="0.2">
      <c r="A293" s="4">
        <v>195005</v>
      </c>
      <c r="B293" s="4">
        <v>4.3099999999999996</v>
      </c>
      <c r="C293" s="4">
        <v>-2.1</v>
      </c>
      <c r="D293" s="4">
        <v>0.46</v>
      </c>
      <c r="E293" s="4">
        <v>0.1</v>
      </c>
      <c r="F293" s="4"/>
      <c r="G293" s="4"/>
      <c r="H293" s="4"/>
    </row>
    <row r="294" spans="1:8" x14ac:dyDescent="0.2">
      <c r="A294" s="4">
        <v>195006</v>
      </c>
      <c r="B294" s="4">
        <v>-5.94</v>
      </c>
      <c r="C294" s="4">
        <v>-2.34</v>
      </c>
      <c r="D294" s="4">
        <v>-0.7</v>
      </c>
      <c r="E294" s="4">
        <v>0.1</v>
      </c>
      <c r="F294" s="4"/>
      <c r="G294" s="4"/>
      <c r="H294" s="4"/>
    </row>
    <row r="295" spans="1:8" x14ac:dyDescent="0.2">
      <c r="A295" s="4">
        <v>195007</v>
      </c>
      <c r="B295" s="4">
        <v>1.36</v>
      </c>
      <c r="C295" s="4">
        <v>0.69</v>
      </c>
      <c r="D295" s="4">
        <v>13.56</v>
      </c>
      <c r="E295" s="4">
        <v>0.1</v>
      </c>
      <c r="F295" s="4"/>
      <c r="G295" s="4"/>
      <c r="H295" s="4"/>
    </row>
    <row r="296" spans="1:8" x14ac:dyDescent="0.2">
      <c r="A296" s="4">
        <v>195008</v>
      </c>
      <c r="B296" s="4">
        <v>4.8499999999999996</v>
      </c>
      <c r="C296" s="4">
        <v>0.76</v>
      </c>
      <c r="D296" s="4">
        <v>-1.5</v>
      </c>
      <c r="E296" s="4">
        <v>0.1</v>
      </c>
      <c r="F296" s="4"/>
      <c r="G296" s="4"/>
      <c r="H296" s="4"/>
    </row>
    <row r="297" spans="1:8" x14ac:dyDescent="0.2">
      <c r="A297" s="4">
        <v>195009</v>
      </c>
      <c r="B297" s="4">
        <v>4.8099999999999996</v>
      </c>
      <c r="C297" s="4">
        <v>0.49</v>
      </c>
      <c r="D297" s="4">
        <v>-1.07</v>
      </c>
      <c r="E297" s="4">
        <v>0.1</v>
      </c>
      <c r="F297" s="4"/>
      <c r="G297" s="4"/>
      <c r="H297" s="4"/>
    </row>
    <row r="298" spans="1:8" x14ac:dyDescent="0.2">
      <c r="A298" s="4">
        <v>195010</v>
      </c>
      <c r="B298" s="4">
        <v>-0.18</v>
      </c>
      <c r="C298" s="4">
        <v>-0.47</v>
      </c>
      <c r="D298" s="4">
        <v>1.3</v>
      </c>
      <c r="E298" s="4">
        <v>0.12</v>
      </c>
      <c r="F298" s="4"/>
      <c r="G298" s="4"/>
      <c r="H298" s="4"/>
    </row>
    <row r="299" spans="1:8" x14ac:dyDescent="0.2">
      <c r="A299" s="4">
        <v>195011</v>
      </c>
      <c r="B299" s="4">
        <v>2.76</v>
      </c>
      <c r="C299" s="4">
        <v>-0.89</v>
      </c>
      <c r="D299" s="4">
        <v>3.33</v>
      </c>
      <c r="E299" s="4">
        <v>0.11</v>
      </c>
      <c r="F299" s="4"/>
      <c r="G299" s="4"/>
      <c r="H299" s="4"/>
    </row>
    <row r="300" spans="1:8" x14ac:dyDescent="0.2">
      <c r="A300" s="4">
        <v>195012</v>
      </c>
      <c r="B300" s="4">
        <v>5.54</v>
      </c>
      <c r="C300" s="4">
        <v>1.47</v>
      </c>
      <c r="D300" s="4">
        <v>7.36</v>
      </c>
      <c r="E300" s="4">
        <v>0.11</v>
      </c>
      <c r="F300" s="4"/>
      <c r="G300" s="4"/>
      <c r="H300" s="4"/>
    </row>
    <row r="301" spans="1:8" x14ac:dyDescent="0.2">
      <c r="A301" s="4">
        <v>195101</v>
      </c>
      <c r="B301" s="4">
        <v>5.7</v>
      </c>
      <c r="C301" s="4">
        <v>1.76</v>
      </c>
      <c r="D301" s="4">
        <v>3.64</v>
      </c>
      <c r="E301" s="4">
        <v>0.13</v>
      </c>
      <c r="F301" s="4"/>
      <c r="G301" s="4"/>
      <c r="H301" s="4"/>
    </row>
    <row r="302" spans="1:8" x14ac:dyDescent="0.2">
      <c r="A302" s="4">
        <v>195102</v>
      </c>
      <c r="B302" s="4">
        <v>1.41</v>
      </c>
      <c r="C302" s="4">
        <v>0.08</v>
      </c>
      <c r="D302" s="4">
        <v>-2.85</v>
      </c>
      <c r="E302" s="4">
        <v>0.1</v>
      </c>
      <c r="F302" s="4"/>
      <c r="G302" s="4"/>
      <c r="H302" s="4"/>
    </row>
    <row r="303" spans="1:8" x14ac:dyDescent="0.2">
      <c r="A303" s="4">
        <v>195103</v>
      </c>
      <c r="B303" s="4">
        <v>-2.15</v>
      </c>
      <c r="C303" s="4">
        <v>-0.77</v>
      </c>
      <c r="D303" s="4">
        <v>-4.0999999999999996</v>
      </c>
      <c r="E303" s="4">
        <v>0.11</v>
      </c>
      <c r="F303" s="4"/>
      <c r="G303" s="4"/>
      <c r="H303" s="4"/>
    </row>
    <row r="304" spans="1:8" x14ac:dyDescent="0.2">
      <c r="A304" s="4">
        <v>195104</v>
      </c>
      <c r="B304" s="4">
        <v>4.8600000000000003</v>
      </c>
      <c r="C304" s="4">
        <v>-1.45</v>
      </c>
      <c r="D304" s="4">
        <v>3.27</v>
      </c>
      <c r="E304" s="4">
        <v>0.13</v>
      </c>
      <c r="F304" s="4"/>
      <c r="G304" s="4"/>
      <c r="H304" s="4"/>
    </row>
    <row r="305" spans="1:8" x14ac:dyDescent="0.2">
      <c r="A305" s="4">
        <v>195105</v>
      </c>
      <c r="B305" s="4">
        <v>-2.34</v>
      </c>
      <c r="C305" s="4">
        <v>0</v>
      </c>
      <c r="D305" s="4">
        <v>-1.37</v>
      </c>
      <c r="E305" s="4">
        <v>0.12</v>
      </c>
      <c r="F305" s="4"/>
      <c r="G305" s="4"/>
      <c r="H305" s="4"/>
    </row>
    <row r="306" spans="1:8" x14ac:dyDescent="0.2">
      <c r="A306" s="4">
        <v>195106</v>
      </c>
      <c r="B306" s="4">
        <v>-2.62</v>
      </c>
      <c r="C306" s="4">
        <v>-2.06</v>
      </c>
      <c r="D306" s="4">
        <v>-3.75</v>
      </c>
      <c r="E306" s="4">
        <v>0.12</v>
      </c>
      <c r="F306" s="4"/>
      <c r="G306" s="4"/>
      <c r="H306" s="4"/>
    </row>
    <row r="307" spans="1:8" x14ac:dyDescent="0.2">
      <c r="A307" s="4">
        <v>195107</v>
      </c>
      <c r="B307" s="4">
        <v>6.94</v>
      </c>
      <c r="C307" s="4">
        <v>-1.99</v>
      </c>
      <c r="D307" s="4">
        <v>2.06</v>
      </c>
      <c r="E307" s="4">
        <v>0.13</v>
      </c>
      <c r="F307" s="4"/>
      <c r="G307" s="4"/>
      <c r="H307" s="4"/>
    </row>
    <row r="308" spans="1:8" x14ac:dyDescent="0.2">
      <c r="A308" s="4">
        <v>195108</v>
      </c>
      <c r="B308" s="4">
        <v>4.2699999999999996</v>
      </c>
      <c r="C308" s="4">
        <v>0.99</v>
      </c>
      <c r="D308" s="4">
        <v>-0.13</v>
      </c>
      <c r="E308" s="4">
        <v>0.13</v>
      </c>
      <c r="F308" s="4"/>
      <c r="G308" s="4"/>
      <c r="H308" s="4"/>
    </row>
    <row r="309" spans="1:8" x14ac:dyDescent="0.2">
      <c r="A309" s="4">
        <v>195109</v>
      </c>
      <c r="B309" s="4">
        <v>0.7</v>
      </c>
      <c r="C309" s="4">
        <v>1.87</v>
      </c>
      <c r="D309" s="4">
        <v>0.63</v>
      </c>
      <c r="E309" s="4">
        <v>0.12</v>
      </c>
      <c r="F309" s="4"/>
      <c r="G309" s="4"/>
      <c r="H309" s="4"/>
    </row>
    <row r="310" spans="1:8" x14ac:dyDescent="0.2">
      <c r="A310" s="4">
        <v>195110</v>
      </c>
      <c r="B310" s="4">
        <v>-2.5299999999999998</v>
      </c>
      <c r="C310" s="4">
        <v>-0.22</v>
      </c>
      <c r="D310" s="4">
        <v>0.23</v>
      </c>
      <c r="E310" s="4">
        <v>0.16</v>
      </c>
      <c r="F310" s="4"/>
      <c r="G310" s="4"/>
      <c r="H310" s="4"/>
    </row>
    <row r="311" spans="1:8" x14ac:dyDescent="0.2">
      <c r="A311" s="4">
        <v>195111</v>
      </c>
      <c r="B311" s="4">
        <v>0.56999999999999995</v>
      </c>
      <c r="C311" s="4">
        <v>-0.32</v>
      </c>
      <c r="D311" s="4">
        <v>-0.06</v>
      </c>
      <c r="E311" s="4">
        <v>0.11</v>
      </c>
      <c r="F311" s="4"/>
      <c r="G311" s="4"/>
      <c r="H311" s="4"/>
    </row>
    <row r="312" spans="1:8" x14ac:dyDescent="0.2">
      <c r="A312" s="4">
        <v>195112</v>
      </c>
      <c r="B312" s="4">
        <v>3.33</v>
      </c>
      <c r="C312" s="4">
        <v>-2.2599999999999998</v>
      </c>
      <c r="D312" s="4">
        <v>-1.59</v>
      </c>
      <c r="E312" s="4">
        <v>0.12</v>
      </c>
      <c r="F312" s="4"/>
      <c r="G312" s="4"/>
      <c r="H312" s="4"/>
    </row>
    <row r="313" spans="1:8" x14ac:dyDescent="0.2">
      <c r="A313" s="4">
        <v>195201</v>
      </c>
      <c r="B313" s="4">
        <v>1.45</v>
      </c>
      <c r="C313" s="4">
        <v>-0.61</v>
      </c>
      <c r="D313" s="4">
        <v>1.55</v>
      </c>
      <c r="E313" s="4">
        <v>0.15</v>
      </c>
      <c r="F313" s="4"/>
      <c r="G313" s="4"/>
      <c r="H313" s="4"/>
    </row>
    <row r="314" spans="1:8" x14ac:dyDescent="0.2">
      <c r="A314" s="4">
        <v>195202</v>
      </c>
      <c r="B314" s="4">
        <v>-2.62</v>
      </c>
      <c r="C314" s="4">
        <v>0.82</v>
      </c>
      <c r="D314" s="4">
        <v>-0.61</v>
      </c>
      <c r="E314" s="4">
        <v>0.12</v>
      </c>
      <c r="F314" s="4"/>
      <c r="G314" s="4"/>
      <c r="H314" s="4"/>
    </row>
    <row r="315" spans="1:8" x14ac:dyDescent="0.2">
      <c r="A315" s="4">
        <v>195203</v>
      </c>
      <c r="B315" s="4">
        <v>4.4400000000000004</v>
      </c>
      <c r="C315" s="4">
        <v>-2.99</v>
      </c>
      <c r="D315" s="4">
        <v>2.17</v>
      </c>
      <c r="E315" s="4">
        <v>0.11</v>
      </c>
      <c r="F315" s="4"/>
      <c r="G315" s="4"/>
      <c r="H315" s="4"/>
    </row>
    <row r="316" spans="1:8" x14ac:dyDescent="0.2">
      <c r="A316" s="4">
        <v>195204</v>
      </c>
      <c r="B316" s="4">
        <v>-4.97</v>
      </c>
      <c r="C316" s="4">
        <v>0.46</v>
      </c>
      <c r="D316" s="4">
        <v>-0.1</v>
      </c>
      <c r="E316" s="4">
        <v>0.12</v>
      </c>
      <c r="F316" s="4"/>
      <c r="G316" s="4"/>
      <c r="H316" s="4"/>
    </row>
    <row r="317" spans="1:8" x14ac:dyDescent="0.2">
      <c r="A317" s="4">
        <v>195205</v>
      </c>
      <c r="B317" s="4">
        <v>3.2</v>
      </c>
      <c r="C317" s="4">
        <v>-1</v>
      </c>
      <c r="D317" s="4">
        <v>0.04</v>
      </c>
      <c r="E317" s="4">
        <v>0.13</v>
      </c>
      <c r="F317" s="4"/>
      <c r="G317" s="4"/>
      <c r="H317" s="4"/>
    </row>
    <row r="318" spans="1:8" x14ac:dyDescent="0.2">
      <c r="A318" s="4">
        <v>195206</v>
      </c>
      <c r="B318" s="4">
        <v>3.83</v>
      </c>
      <c r="C318" s="4">
        <v>-1.64</v>
      </c>
      <c r="D318" s="4">
        <v>1.24</v>
      </c>
      <c r="E318" s="4">
        <v>0.15</v>
      </c>
      <c r="F318" s="4"/>
      <c r="G318" s="4"/>
      <c r="H318" s="4"/>
    </row>
    <row r="319" spans="1:8" x14ac:dyDescent="0.2">
      <c r="A319" s="4">
        <v>195207</v>
      </c>
      <c r="B319" s="4">
        <v>0.91</v>
      </c>
      <c r="C319" s="4">
        <v>-0.4</v>
      </c>
      <c r="D319" s="4">
        <v>-0.35</v>
      </c>
      <c r="E319" s="4">
        <v>0.15</v>
      </c>
      <c r="F319" s="4"/>
      <c r="G319" s="4"/>
      <c r="H319" s="4"/>
    </row>
    <row r="320" spans="1:8" x14ac:dyDescent="0.2">
      <c r="A320" s="4">
        <v>195208</v>
      </c>
      <c r="B320" s="4">
        <v>-0.76</v>
      </c>
      <c r="C320" s="4">
        <v>1.1499999999999999</v>
      </c>
      <c r="D320" s="4">
        <v>0.01</v>
      </c>
      <c r="E320" s="4">
        <v>0.15</v>
      </c>
      <c r="F320" s="4"/>
      <c r="G320" s="4"/>
      <c r="H320" s="4"/>
    </row>
    <row r="321" spans="1:8" x14ac:dyDescent="0.2">
      <c r="A321" s="4">
        <v>195209</v>
      </c>
      <c r="B321" s="4">
        <v>-2.0299999999999998</v>
      </c>
      <c r="C321" s="4">
        <v>1.1100000000000001</v>
      </c>
      <c r="D321" s="4">
        <v>-1.52</v>
      </c>
      <c r="E321" s="4">
        <v>0.16</v>
      </c>
      <c r="F321" s="4"/>
      <c r="G321" s="4"/>
      <c r="H321" s="4"/>
    </row>
    <row r="322" spans="1:8" x14ac:dyDescent="0.2">
      <c r="A322" s="4">
        <v>195210</v>
      </c>
      <c r="B322" s="4">
        <v>-0.66</v>
      </c>
      <c r="C322" s="4">
        <v>-1.05</v>
      </c>
      <c r="D322" s="4">
        <v>-0.46</v>
      </c>
      <c r="E322" s="4">
        <v>0.14000000000000001</v>
      </c>
      <c r="F322" s="4"/>
      <c r="G322" s="4"/>
      <c r="H322" s="4"/>
    </row>
    <row r="323" spans="1:8" x14ac:dyDescent="0.2">
      <c r="A323" s="4">
        <v>195211</v>
      </c>
      <c r="B323" s="4">
        <v>5.94</v>
      </c>
      <c r="C323" s="4">
        <v>-0.72</v>
      </c>
      <c r="D323" s="4">
        <v>0.97</v>
      </c>
      <c r="E323" s="4">
        <v>0.1</v>
      </c>
      <c r="F323" s="4"/>
      <c r="G323" s="4"/>
      <c r="H323" s="4"/>
    </row>
    <row r="324" spans="1:8" x14ac:dyDescent="0.2">
      <c r="A324" s="4">
        <v>195212</v>
      </c>
      <c r="B324" s="4">
        <v>2.93</v>
      </c>
      <c r="C324" s="4">
        <v>-1.48</v>
      </c>
      <c r="D324" s="4">
        <v>0.19</v>
      </c>
      <c r="E324" s="4">
        <v>0.16</v>
      </c>
      <c r="F324" s="4"/>
      <c r="G324" s="4"/>
      <c r="H324" s="4"/>
    </row>
    <row r="325" spans="1:8" x14ac:dyDescent="0.2">
      <c r="A325" s="4">
        <v>195301</v>
      </c>
      <c r="B325" s="4">
        <v>-0.34</v>
      </c>
      <c r="C325" s="4">
        <v>3.61</v>
      </c>
      <c r="D325" s="4">
        <v>1.32</v>
      </c>
      <c r="E325" s="4">
        <v>0.16</v>
      </c>
      <c r="F325" s="4"/>
      <c r="G325" s="4"/>
      <c r="H325" s="4"/>
    </row>
    <row r="326" spans="1:8" x14ac:dyDescent="0.2">
      <c r="A326" s="4">
        <v>195302</v>
      </c>
      <c r="B326" s="4">
        <v>-0.27</v>
      </c>
      <c r="C326" s="4">
        <v>2.15</v>
      </c>
      <c r="D326" s="4">
        <v>-0.09</v>
      </c>
      <c r="E326" s="4">
        <v>0.14000000000000001</v>
      </c>
      <c r="F326" s="4"/>
      <c r="G326" s="4"/>
      <c r="H326" s="4"/>
    </row>
    <row r="327" spans="1:8" x14ac:dyDescent="0.2">
      <c r="A327" s="4">
        <v>195303</v>
      </c>
      <c r="B327" s="4">
        <v>-1.43</v>
      </c>
      <c r="C327" s="4">
        <v>-0.22</v>
      </c>
      <c r="D327" s="4">
        <v>-0.85</v>
      </c>
      <c r="E327" s="4">
        <v>0.18</v>
      </c>
      <c r="F327" s="4"/>
      <c r="G327" s="4"/>
      <c r="H327" s="4"/>
    </row>
    <row r="328" spans="1:8" x14ac:dyDescent="0.2">
      <c r="A328" s="4">
        <v>195304</v>
      </c>
      <c r="B328" s="4">
        <v>-2.83</v>
      </c>
      <c r="C328" s="4">
        <v>0.3</v>
      </c>
      <c r="D328" s="4">
        <v>1.57</v>
      </c>
      <c r="E328" s="4">
        <v>0.16</v>
      </c>
      <c r="F328" s="4"/>
      <c r="G328" s="4"/>
      <c r="H328" s="4"/>
    </row>
    <row r="329" spans="1:8" x14ac:dyDescent="0.2">
      <c r="A329" s="4">
        <v>195305</v>
      </c>
      <c r="B329" s="4">
        <v>0.52</v>
      </c>
      <c r="C329" s="4">
        <v>-7.0000000000000007E-2</v>
      </c>
      <c r="D329" s="4">
        <v>0.23</v>
      </c>
      <c r="E329" s="4">
        <v>0.17</v>
      </c>
      <c r="F329" s="4"/>
      <c r="G329" s="4"/>
      <c r="H329" s="4"/>
    </row>
    <row r="330" spans="1:8" x14ac:dyDescent="0.2">
      <c r="A330" s="4">
        <v>195306</v>
      </c>
      <c r="B330" s="4">
        <v>-1.89</v>
      </c>
      <c r="C330" s="4">
        <v>-1.87</v>
      </c>
      <c r="D330" s="4">
        <v>-0.47</v>
      </c>
      <c r="E330" s="4">
        <v>0.18</v>
      </c>
      <c r="F330" s="4"/>
      <c r="G330" s="4"/>
      <c r="H330" s="4"/>
    </row>
    <row r="331" spans="1:8" x14ac:dyDescent="0.2">
      <c r="A331" s="4">
        <v>195307</v>
      </c>
      <c r="B331" s="4">
        <v>2.4</v>
      </c>
      <c r="C331" s="4">
        <v>-1</v>
      </c>
      <c r="D331" s="4">
        <v>-0.22</v>
      </c>
      <c r="E331" s="4">
        <v>0.15</v>
      </c>
      <c r="F331" s="4"/>
      <c r="G331" s="4"/>
      <c r="H331" s="4"/>
    </row>
    <row r="332" spans="1:8" x14ac:dyDescent="0.2">
      <c r="A332" s="4">
        <v>195308</v>
      </c>
      <c r="B332" s="4">
        <v>-4.5199999999999996</v>
      </c>
      <c r="C332" s="4">
        <v>0.28999999999999998</v>
      </c>
      <c r="D332" s="4">
        <v>-3.53</v>
      </c>
      <c r="E332" s="4">
        <v>0.17</v>
      </c>
      <c r="F332" s="4"/>
      <c r="G332" s="4"/>
      <c r="H332" s="4"/>
    </row>
    <row r="333" spans="1:8" x14ac:dyDescent="0.2">
      <c r="A333" s="4">
        <v>195309</v>
      </c>
      <c r="B333" s="4">
        <v>0.2</v>
      </c>
      <c r="C333" s="4">
        <v>-0.84</v>
      </c>
      <c r="D333" s="4">
        <v>-2.44</v>
      </c>
      <c r="E333" s="4">
        <v>0.16</v>
      </c>
      <c r="F333" s="4"/>
      <c r="G333" s="4"/>
      <c r="H333" s="4"/>
    </row>
    <row r="334" spans="1:8" x14ac:dyDescent="0.2">
      <c r="A334" s="4">
        <v>195310</v>
      </c>
      <c r="B334" s="4">
        <v>4.5999999999999996</v>
      </c>
      <c r="C334" s="4">
        <v>-1.35</v>
      </c>
      <c r="D334" s="4">
        <v>-0.25</v>
      </c>
      <c r="E334" s="4">
        <v>0.13</v>
      </c>
      <c r="F334" s="4"/>
      <c r="G334" s="4"/>
      <c r="H334" s="4"/>
    </row>
    <row r="335" spans="1:8" x14ac:dyDescent="0.2">
      <c r="A335" s="4">
        <v>195311</v>
      </c>
      <c r="B335" s="4">
        <v>2.83</v>
      </c>
      <c r="C335" s="4">
        <v>-1.3</v>
      </c>
      <c r="D335" s="4">
        <v>-0.15</v>
      </c>
      <c r="E335" s="4">
        <v>0.08</v>
      </c>
      <c r="F335" s="4"/>
      <c r="G335" s="4"/>
      <c r="H335" s="4"/>
    </row>
    <row r="336" spans="1:8" x14ac:dyDescent="0.2">
      <c r="A336" s="4">
        <v>195312</v>
      </c>
      <c r="B336" s="4">
        <v>0.03</v>
      </c>
      <c r="C336" s="4">
        <v>-0.85</v>
      </c>
      <c r="D336" s="4">
        <v>-2.84</v>
      </c>
      <c r="E336" s="4">
        <v>0.13</v>
      </c>
      <c r="F336" s="4"/>
      <c r="G336" s="4"/>
      <c r="H336" s="4"/>
    </row>
    <row r="337" spans="1:8" x14ac:dyDescent="0.2">
      <c r="A337" s="4">
        <v>195401</v>
      </c>
      <c r="B337" s="4">
        <v>5.13</v>
      </c>
      <c r="C337" s="4">
        <v>0.48</v>
      </c>
      <c r="D337" s="4">
        <v>3.44</v>
      </c>
      <c r="E337" s="4">
        <v>0.11</v>
      </c>
      <c r="F337" s="4"/>
      <c r="G337" s="4"/>
      <c r="H337" s="4"/>
    </row>
    <row r="338" spans="1:8" x14ac:dyDescent="0.2">
      <c r="A338" s="4">
        <v>195402</v>
      </c>
      <c r="B338" s="4">
        <v>1.67</v>
      </c>
      <c r="C338" s="4">
        <v>-0.19</v>
      </c>
      <c r="D338" s="4">
        <v>-0.28999999999999998</v>
      </c>
      <c r="E338" s="4">
        <v>7.0000000000000007E-2</v>
      </c>
      <c r="F338" s="4"/>
      <c r="G338" s="4"/>
      <c r="H338" s="4"/>
    </row>
    <row r="339" spans="1:8" x14ac:dyDescent="0.2">
      <c r="A339" s="4">
        <v>195403</v>
      </c>
      <c r="B339" s="4">
        <v>3.65</v>
      </c>
      <c r="C339" s="4">
        <v>-0.54</v>
      </c>
      <c r="D339" s="4">
        <v>-1.5</v>
      </c>
      <c r="E339" s="4">
        <v>0.08</v>
      </c>
      <c r="F339" s="4"/>
      <c r="G339" s="4"/>
      <c r="H339" s="4"/>
    </row>
    <row r="340" spans="1:8" x14ac:dyDescent="0.2">
      <c r="A340" s="4">
        <v>195404</v>
      </c>
      <c r="B340" s="4">
        <v>4.2699999999999996</v>
      </c>
      <c r="C340" s="4">
        <v>-3.44</v>
      </c>
      <c r="D340" s="4">
        <v>-0.34</v>
      </c>
      <c r="E340" s="4">
        <v>0.09</v>
      </c>
      <c r="F340" s="4"/>
      <c r="G340" s="4"/>
      <c r="H340" s="4"/>
    </row>
    <row r="341" spans="1:8" x14ac:dyDescent="0.2">
      <c r="A341" s="4">
        <v>195405</v>
      </c>
      <c r="B341" s="4">
        <v>3.09</v>
      </c>
      <c r="C341" s="4">
        <v>0.41</v>
      </c>
      <c r="D341" s="4">
        <v>2.4500000000000002</v>
      </c>
      <c r="E341" s="4">
        <v>0.05</v>
      </c>
      <c r="F341" s="4"/>
      <c r="G341" s="4"/>
      <c r="H341" s="4"/>
    </row>
    <row r="342" spans="1:8" x14ac:dyDescent="0.2">
      <c r="A342" s="4">
        <v>195406</v>
      </c>
      <c r="B342" s="4">
        <v>1.07</v>
      </c>
      <c r="C342" s="4">
        <v>0.38</v>
      </c>
      <c r="D342" s="4">
        <v>0.01</v>
      </c>
      <c r="E342" s="4">
        <v>0.06</v>
      </c>
      <c r="F342" s="4"/>
      <c r="G342" s="4"/>
      <c r="H342" s="4"/>
    </row>
    <row r="343" spans="1:8" x14ac:dyDescent="0.2">
      <c r="A343" s="4">
        <v>195407</v>
      </c>
      <c r="B343" s="4">
        <v>4.99</v>
      </c>
      <c r="C343" s="4">
        <v>1.06</v>
      </c>
      <c r="D343" s="4">
        <v>4.13</v>
      </c>
      <c r="E343" s="4">
        <v>0.05</v>
      </c>
      <c r="F343" s="4"/>
      <c r="G343" s="4"/>
      <c r="H343" s="4"/>
    </row>
    <row r="344" spans="1:8" x14ac:dyDescent="0.2">
      <c r="A344" s="4">
        <v>195408</v>
      </c>
      <c r="B344" s="4">
        <v>-2.34</v>
      </c>
      <c r="C344" s="4">
        <v>2.69</v>
      </c>
      <c r="D344" s="4">
        <v>-1.38</v>
      </c>
      <c r="E344" s="4">
        <v>0.05</v>
      </c>
      <c r="F344" s="4"/>
      <c r="G344" s="4"/>
      <c r="H344" s="4"/>
    </row>
    <row r="345" spans="1:8" x14ac:dyDescent="0.2">
      <c r="A345" s="4">
        <v>195409</v>
      </c>
      <c r="B345" s="4">
        <v>6.39</v>
      </c>
      <c r="C345" s="4">
        <v>-2.5299999999999998</v>
      </c>
      <c r="D345" s="4">
        <v>0.68</v>
      </c>
      <c r="E345" s="4">
        <v>0.09</v>
      </c>
      <c r="F345" s="4"/>
      <c r="G345" s="4"/>
      <c r="H345" s="4"/>
    </row>
    <row r="346" spans="1:8" x14ac:dyDescent="0.2">
      <c r="A346" s="4">
        <v>195410</v>
      </c>
      <c r="B346" s="4">
        <v>-1.67</v>
      </c>
      <c r="C346" s="4">
        <v>0.62</v>
      </c>
      <c r="D346" s="4">
        <v>0.67</v>
      </c>
      <c r="E346" s="4">
        <v>7.0000000000000007E-2</v>
      </c>
      <c r="F346" s="4"/>
      <c r="G346" s="4"/>
      <c r="H346" s="4"/>
    </row>
    <row r="347" spans="1:8" x14ac:dyDescent="0.2">
      <c r="A347" s="4">
        <v>195411</v>
      </c>
      <c r="B347" s="4">
        <v>9.3800000000000008</v>
      </c>
      <c r="C347" s="4">
        <v>-2.62</v>
      </c>
      <c r="D347" s="4">
        <v>4.4000000000000004</v>
      </c>
      <c r="E347" s="4">
        <v>0.06</v>
      </c>
      <c r="F347" s="4"/>
      <c r="G347" s="4"/>
      <c r="H347" s="4"/>
    </row>
    <row r="348" spans="1:8" x14ac:dyDescent="0.2">
      <c r="A348" s="4">
        <v>195412</v>
      </c>
      <c r="B348" s="4">
        <v>5.48</v>
      </c>
      <c r="C348" s="4">
        <v>2.12</v>
      </c>
      <c r="D348" s="4">
        <v>5.66</v>
      </c>
      <c r="E348" s="4">
        <v>0.08</v>
      </c>
      <c r="F348" s="4"/>
      <c r="G348" s="4"/>
      <c r="H348" s="4"/>
    </row>
    <row r="349" spans="1:8" x14ac:dyDescent="0.2">
      <c r="A349" s="4">
        <v>195501</v>
      </c>
      <c r="B349" s="4">
        <v>0.6</v>
      </c>
      <c r="C349" s="4">
        <v>0.36</v>
      </c>
      <c r="D349" s="4">
        <v>2.14</v>
      </c>
      <c r="E349" s="4">
        <v>0.08</v>
      </c>
      <c r="F349" s="4"/>
      <c r="G349" s="4"/>
      <c r="H349" s="4"/>
    </row>
    <row r="350" spans="1:8" x14ac:dyDescent="0.2">
      <c r="A350" s="4">
        <v>195502</v>
      </c>
      <c r="B350" s="4">
        <v>3.02</v>
      </c>
      <c r="C350" s="4">
        <v>1.59</v>
      </c>
      <c r="D350" s="4">
        <v>0.57999999999999996</v>
      </c>
      <c r="E350" s="4">
        <v>0.09</v>
      </c>
      <c r="F350" s="4"/>
      <c r="G350" s="4"/>
      <c r="H350" s="4"/>
    </row>
    <row r="351" spans="1:8" x14ac:dyDescent="0.2">
      <c r="A351" s="4">
        <v>195503</v>
      </c>
      <c r="B351" s="4">
        <v>-0.16</v>
      </c>
      <c r="C351" s="4">
        <v>-0.74</v>
      </c>
      <c r="D351" s="4">
        <v>1.97</v>
      </c>
      <c r="E351" s="4">
        <v>0.1</v>
      </c>
      <c r="F351" s="4"/>
      <c r="G351" s="4"/>
      <c r="H351" s="4"/>
    </row>
    <row r="352" spans="1:8" x14ac:dyDescent="0.2">
      <c r="A352" s="4">
        <v>195504</v>
      </c>
      <c r="B352" s="4">
        <v>3.11</v>
      </c>
      <c r="C352" s="4">
        <v>-1.62</v>
      </c>
      <c r="D352" s="4">
        <v>0.68</v>
      </c>
      <c r="E352" s="4">
        <v>0.1</v>
      </c>
      <c r="F352" s="4"/>
      <c r="G352" s="4"/>
      <c r="H352" s="4"/>
    </row>
    <row r="353" spans="1:8" x14ac:dyDescent="0.2">
      <c r="A353" s="4">
        <v>195505</v>
      </c>
      <c r="B353" s="4">
        <v>0.93</v>
      </c>
      <c r="C353" s="4">
        <v>-0.28000000000000003</v>
      </c>
      <c r="D353" s="4">
        <v>-0.96</v>
      </c>
      <c r="E353" s="4">
        <v>0.14000000000000001</v>
      </c>
      <c r="F353" s="4"/>
      <c r="G353" s="4"/>
      <c r="H353" s="4"/>
    </row>
    <row r="354" spans="1:8" x14ac:dyDescent="0.2">
      <c r="A354" s="4">
        <v>195506</v>
      </c>
      <c r="B354" s="4">
        <v>6.55</v>
      </c>
      <c r="C354" s="4">
        <v>-4.6500000000000004</v>
      </c>
      <c r="D354" s="4">
        <v>1.84</v>
      </c>
      <c r="E354" s="4">
        <v>0.1</v>
      </c>
      <c r="F354" s="4"/>
      <c r="G354" s="4"/>
      <c r="H354" s="4"/>
    </row>
    <row r="355" spans="1:8" x14ac:dyDescent="0.2">
      <c r="A355" s="4">
        <v>195507</v>
      </c>
      <c r="B355" s="4">
        <v>1.9</v>
      </c>
      <c r="C355" s="4">
        <v>-1.17</v>
      </c>
      <c r="D355" s="4">
        <v>0.35</v>
      </c>
      <c r="E355" s="4">
        <v>0.1</v>
      </c>
      <c r="F355" s="4"/>
      <c r="G355" s="4"/>
      <c r="H355" s="4"/>
    </row>
    <row r="356" spans="1:8" x14ac:dyDescent="0.2">
      <c r="A356" s="4">
        <v>195508</v>
      </c>
      <c r="B356" s="4">
        <v>0.21</v>
      </c>
      <c r="C356" s="4">
        <v>-0.44</v>
      </c>
      <c r="D356" s="4">
        <v>0.72</v>
      </c>
      <c r="E356" s="4">
        <v>0.16</v>
      </c>
      <c r="F356" s="4"/>
      <c r="G356" s="4"/>
      <c r="H356" s="4"/>
    </row>
    <row r="357" spans="1:8" x14ac:dyDescent="0.2">
      <c r="A357" s="4">
        <v>195509</v>
      </c>
      <c r="B357" s="4">
        <v>-0.36</v>
      </c>
      <c r="C357" s="4">
        <v>0.35</v>
      </c>
      <c r="D357" s="4">
        <v>-0.99</v>
      </c>
      <c r="E357" s="4">
        <v>0.16</v>
      </c>
      <c r="F357" s="4"/>
      <c r="G357" s="4"/>
      <c r="H357" s="4"/>
    </row>
    <row r="358" spans="1:8" x14ac:dyDescent="0.2">
      <c r="A358" s="4">
        <v>195510</v>
      </c>
      <c r="B358" s="4">
        <v>-2.68</v>
      </c>
      <c r="C358" s="4">
        <v>1.48</v>
      </c>
      <c r="D358" s="4">
        <v>-0.15</v>
      </c>
      <c r="E358" s="4">
        <v>0.18</v>
      </c>
      <c r="F358" s="4"/>
      <c r="G358" s="4"/>
      <c r="H358" s="4"/>
    </row>
    <row r="359" spans="1:8" x14ac:dyDescent="0.2">
      <c r="A359" s="4">
        <v>195511</v>
      </c>
      <c r="B359" s="4">
        <v>7.03</v>
      </c>
      <c r="C359" s="4">
        <v>-2.2200000000000002</v>
      </c>
      <c r="D359" s="4">
        <v>0.33</v>
      </c>
      <c r="E359" s="4">
        <v>0.17</v>
      </c>
      <c r="F359" s="4"/>
      <c r="G359" s="4"/>
      <c r="H359" s="4"/>
    </row>
    <row r="360" spans="1:8" x14ac:dyDescent="0.2">
      <c r="A360" s="4">
        <v>195512</v>
      </c>
      <c r="B360" s="4">
        <v>1.49</v>
      </c>
      <c r="C360" s="4">
        <v>2.16</v>
      </c>
      <c r="D360" s="4">
        <v>-2.2999999999999998</v>
      </c>
      <c r="E360" s="4">
        <v>0.18</v>
      </c>
      <c r="F360" s="4"/>
      <c r="G360" s="4"/>
      <c r="H360" s="4"/>
    </row>
    <row r="361" spans="1:8" x14ac:dyDescent="0.2">
      <c r="A361" s="4">
        <v>195601</v>
      </c>
      <c r="B361" s="4">
        <v>-3.03</v>
      </c>
      <c r="C361" s="4">
        <v>0.37</v>
      </c>
      <c r="D361" s="4">
        <v>0.95</v>
      </c>
      <c r="E361" s="4">
        <v>0.22</v>
      </c>
      <c r="F361" s="4"/>
      <c r="G361" s="4"/>
      <c r="H361" s="4"/>
    </row>
    <row r="362" spans="1:8" x14ac:dyDescent="0.2">
      <c r="A362" s="4">
        <v>195602</v>
      </c>
      <c r="B362" s="4">
        <v>3.77</v>
      </c>
      <c r="C362" s="4">
        <v>-0.98</v>
      </c>
      <c r="D362" s="4">
        <v>-0.43</v>
      </c>
      <c r="E362" s="4">
        <v>0.19</v>
      </c>
      <c r="F362" s="4"/>
      <c r="G362" s="4"/>
      <c r="H362" s="4"/>
    </row>
    <row r="363" spans="1:8" x14ac:dyDescent="0.2">
      <c r="A363" s="4">
        <v>195603</v>
      </c>
      <c r="B363" s="4">
        <v>6.64</v>
      </c>
      <c r="C363" s="4">
        <v>-2.09</v>
      </c>
      <c r="D363" s="4">
        <v>-0.46</v>
      </c>
      <c r="E363" s="4">
        <v>0.15</v>
      </c>
      <c r="F363" s="4"/>
      <c r="G363" s="4"/>
      <c r="H363" s="4"/>
    </row>
    <row r="364" spans="1:8" x14ac:dyDescent="0.2">
      <c r="A364" s="4">
        <v>195604</v>
      </c>
      <c r="B364" s="4">
        <v>0.28000000000000003</v>
      </c>
      <c r="C364" s="4">
        <v>0.01</v>
      </c>
      <c r="D364" s="4">
        <v>-0.24</v>
      </c>
      <c r="E364" s="4">
        <v>0.19</v>
      </c>
      <c r="F364" s="4"/>
      <c r="G364" s="4"/>
      <c r="H364" s="4"/>
    </row>
    <row r="365" spans="1:8" x14ac:dyDescent="0.2">
      <c r="A365" s="4">
        <v>195605</v>
      </c>
      <c r="B365" s="4">
        <v>-5.2</v>
      </c>
      <c r="C365" s="4">
        <v>1.45</v>
      </c>
      <c r="D365" s="4">
        <v>-1.31</v>
      </c>
      <c r="E365" s="4">
        <v>0.23</v>
      </c>
      <c r="F365" s="4"/>
      <c r="G365" s="4"/>
      <c r="H365" s="4"/>
    </row>
    <row r="366" spans="1:8" x14ac:dyDescent="0.2">
      <c r="A366" s="4">
        <v>195606</v>
      </c>
      <c r="B366" s="4">
        <v>3.48</v>
      </c>
      <c r="C366" s="4">
        <v>-1.48</v>
      </c>
      <c r="D366" s="4">
        <v>-1.1299999999999999</v>
      </c>
      <c r="E366" s="4">
        <v>0.2</v>
      </c>
      <c r="F366" s="4"/>
      <c r="G366" s="4"/>
      <c r="H366" s="4"/>
    </row>
    <row r="367" spans="1:8" x14ac:dyDescent="0.2">
      <c r="A367" s="4">
        <v>195607</v>
      </c>
      <c r="B367" s="4">
        <v>4.84</v>
      </c>
      <c r="C367" s="4">
        <v>-1.66</v>
      </c>
      <c r="D367" s="4">
        <v>-0.04</v>
      </c>
      <c r="E367" s="4">
        <v>0.22</v>
      </c>
      <c r="F367" s="4"/>
      <c r="G367" s="4"/>
      <c r="H367" s="4"/>
    </row>
    <row r="368" spans="1:8" x14ac:dyDescent="0.2">
      <c r="A368" s="4">
        <v>195608</v>
      </c>
      <c r="B368" s="4">
        <v>-3.18</v>
      </c>
      <c r="C368" s="4">
        <v>1.89</v>
      </c>
      <c r="D368" s="4">
        <v>-0.74</v>
      </c>
      <c r="E368" s="4">
        <v>0.17</v>
      </c>
      <c r="F368" s="4"/>
      <c r="G368" s="4"/>
      <c r="H368" s="4"/>
    </row>
    <row r="369" spans="1:8" x14ac:dyDescent="0.2">
      <c r="A369" s="4">
        <v>195609</v>
      </c>
      <c r="B369" s="4">
        <v>-5.14</v>
      </c>
      <c r="C369" s="4">
        <v>1.57</v>
      </c>
      <c r="D369" s="4">
        <v>1.76</v>
      </c>
      <c r="E369" s="4">
        <v>0.18</v>
      </c>
      <c r="F369" s="4"/>
      <c r="G369" s="4"/>
      <c r="H369" s="4"/>
    </row>
    <row r="370" spans="1:8" x14ac:dyDescent="0.2">
      <c r="A370" s="4">
        <v>195610</v>
      </c>
      <c r="B370" s="4">
        <v>0.52</v>
      </c>
      <c r="C370" s="4">
        <v>-0.1</v>
      </c>
      <c r="D370" s="4">
        <v>-0.06</v>
      </c>
      <c r="E370" s="4">
        <v>0.25</v>
      </c>
      <c r="F370" s="4"/>
      <c r="G370" s="4"/>
      <c r="H370" s="4"/>
    </row>
    <row r="371" spans="1:8" x14ac:dyDescent="0.2">
      <c r="A371" s="4">
        <v>195611</v>
      </c>
      <c r="B371" s="4">
        <v>0.36</v>
      </c>
      <c r="C371" s="4">
        <v>-0.21</v>
      </c>
      <c r="D371" s="4">
        <v>1.78</v>
      </c>
      <c r="E371" s="4">
        <v>0.2</v>
      </c>
      <c r="F371" s="4"/>
      <c r="G371" s="4"/>
      <c r="H371" s="4"/>
    </row>
    <row r="372" spans="1:8" x14ac:dyDescent="0.2">
      <c r="A372" s="4">
        <v>195612</v>
      </c>
      <c r="B372" s="4">
        <v>3.16</v>
      </c>
      <c r="C372" s="4">
        <v>-0.01</v>
      </c>
      <c r="D372" s="4">
        <v>-2.15</v>
      </c>
      <c r="E372" s="4">
        <v>0.24</v>
      </c>
      <c r="F372" s="4"/>
      <c r="G372" s="4"/>
      <c r="H372" s="4"/>
    </row>
    <row r="373" spans="1:8" x14ac:dyDescent="0.2">
      <c r="A373" s="4">
        <v>195701</v>
      </c>
      <c r="B373" s="4">
        <v>-3.58</v>
      </c>
      <c r="C373" s="4">
        <v>3.37</v>
      </c>
      <c r="D373" s="4">
        <v>2.81</v>
      </c>
      <c r="E373" s="4">
        <v>0.27</v>
      </c>
      <c r="F373" s="4"/>
      <c r="G373" s="4"/>
      <c r="H373" s="4"/>
    </row>
    <row r="374" spans="1:8" x14ac:dyDescent="0.2">
      <c r="A374" s="4">
        <v>195702</v>
      </c>
      <c r="B374" s="4">
        <v>-2.06</v>
      </c>
      <c r="C374" s="4">
        <v>-0.72</v>
      </c>
      <c r="D374" s="4">
        <v>-0.72</v>
      </c>
      <c r="E374" s="4">
        <v>0.24</v>
      </c>
      <c r="F374" s="4"/>
      <c r="G374" s="4"/>
      <c r="H374" s="4"/>
    </row>
    <row r="375" spans="1:8" x14ac:dyDescent="0.2">
      <c r="A375" s="4">
        <v>195703</v>
      </c>
      <c r="B375" s="4">
        <v>2.13</v>
      </c>
      <c r="C375" s="4">
        <v>0.26</v>
      </c>
      <c r="D375" s="4">
        <v>-0.48</v>
      </c>
      <c r="E375" s="4">
        <v>0.23</v>
      </c>
      <c r="F375" s="4"/>
      <c r="G375" s="4"/>
      <c r="H375" s="4"/>
    </row>
    <row r="376" spans="1:8" x14ac:dyDescent="0.2">
      <c r="A376" s="4">
        <v>195704</v>
      </c>
      <c r="B376" s="4">
        <v>4.26</v>
      </c>
      <c r="C376" s="4">
        <v>-1.59</v>
      </c>
      <c r="D376" s="4">
        <v>-1.45</v>
      </c>
      <c r="E376" s="4">
        <v>0.25</v>
      </c>
      <c r="F376" s="4"/>
      <c r="G376" s="4"/>
      <c r="H376" s="4"/>
    </row>
    <row r="377" spans="1:8" x14ac:dyDescent="0.2">
      <c r="A377" s="4">
        <v>195705</v>
      </c>
      <c r="B377" s="4">
        <v>3.45</v>
      </c>
      <c r="C377" s="4">
        <v>-1.05</v>
      </c>
      <c r="D377" s="4">
        <v>-2.1</v>
      </c>
      <c r="E377" s="4">
        <v>0.26</v>
      </c>
      <c r="F377" s="4"/>
      <c r="G377" s="4"/>
      <c r="H377" s="4"/>
    </row>
    <row r="378" spans="1:8" x14ac:dyDescent="0.2">
      <c r="A378" s="4">
        <v>195706</v>
      </c>
      <c r="B378" s="4">
        <v>-0.74</v>
      </c>
      <c r="C378" s="4">
        <v>0.54</v>
      </c>
      <c r="D378" s="4">
        <v>0.01</v>
      </c>
      <c r="E378" s="4">
        <v>0.24</v>
      </c>
      <c r="F378" s="4"/>
      <c r="G378" s="4"/>
      <c r="H378" s="4"/>
    </row>
    <row r="379" spans="1:8" x14ac:dyDescent="0.2">
      <c r="A379" s="4">
        <v>195707</v>
      </c>
      <c r="B379" s="4">
        <v>0.66</v>
      </c>
      <c r="C379" s="4">
        <v>-0.76</v>
      </c>
      <c r="D379" s="4">
        <v>0.43</v>
      </c>
      <c r="E379" s="4">
        <v>0.3</v>
      </c>
      <c r="F379" s="4"/>
      <c r="G379" s="4"/>
      <c r="H379" s="4"/>
    </row>
    <row r="380" spans="1:8" x14ac:dyDescent="0.2">
      <c r="A380" s="4">
        <v>195708</v>
      </c>
      <c r="B380" s="4">
        <v>-5.1100000000000003</v>
      </c>
      <c r="C380" s="4">
        <v>0.05</v>
      </c>
      <c r="D380" s="4">
        <v>-0.41</v>
      </c>
      <c r="E380" s="4">
        <v>0.25</v>
      </c>
      <c r="F380" s="4"/>
      <c r="G380" s="4"/>
      <c r="H380" s="4"/>
    </row>
    <row r="381" spans="1:8" x14ac:dyDescent="0.2">
      <c r="A381" s="4">
        <v>195709</v>
      </c>
      <c r="B381" s="4">
        <v>-5.98</v>
      </c>
      <c r="C381" s="4">
        <v>0.08</v>
      </c>
      <c r="D381" s="4">
        <v>0.92</v>
      </c>
      <c r="E381" s="4">
        <v>0.26</v>
      </c>
      <c r="F381" s="4"/>
      <c r="G381" s="4"/>
      <c r="H381" s="4"/>
    </row>
    <row r="382" spans="1:8" x14ac:dyDescent="0.2">
      <c r="A382" s="4">
        <v>195710</v>
      </c>
      <c r="B382" s="4">
        <v>-4.32</v>
      </c>
      <c r="C382" s="4">
        <v>-2.52</v>
      </c>
      <c r="D382" s="4">
        <v>-1.8</v>
      </c>
      <c r="E382" s="4">
        <v>0.28999999999999998</v>
      </c>
      <c r="F382" s="4"/>
      <c r="G382" s="4"/>
      <c r="H382" s="4"/>
    </row>
    <row r="383" spans="1:8" x14ac:dyDescent="0.2">
      <c r="A383" s="4">
        <v>195711</v>
      </c>
      <c r="B383" s="4">
        <v>2.2999999999999998</v>
      </c>
      <c r="C383" s="4">
        <v>0.4</v>
      </c>
      <c r="D383" s="4">
        <v>-2.87</v>
      </c>
      <c r="E383" s="4">
        <v>0.28000000000000003</v>
      </c>
      <c r="F383" s="4"/>
      <c r="G383" s="4"/>
      <c r="H383" s="4"/>
    </row>
    <row r="384" spans="1:8" x14ac:dyDescent="0.2">
      <c r="A384" s="4">
        <v>195712</v>
      </c>
      <c r="B384" s="4">
        <v>-3.91</v>
      </c>
      <c r="C384" s="4">
        <v>-0.98</v>
      </c>
      <c r="D384" s="4">
        <v>-1.62</v>
      </c>
      <c r="E384" s="4">
        <v>0.24</v>
      </c>
      <c r="F384" s="4"/>
      <c r="G384" s="4"/>
      <c r="H384" s="4"/>
    </row>
    <row r="385" spans="1:8" x14ac:dyDescent="0.2">
      <c r="A385" s="4">
        <v>195801</v>
      </c>
      <c r="B385" s="4">
        <v>4.66</v>
      </c>
      <c r="C385" s="4">
        <v>4.3899999999999997</v>
      </c>
      <c r="D385" s="4">
        <v>4.1900000000000004</v>
      </c>
      <c r="E385" s="4">
        <v>0.28000000000000003</v>
      </c>
      <c r="F385" s="4"/>
      <c r="G385" s="4"/>
      <c r="H385" s="4"/>
    </row>
    <row r="386" spans="1:8" x14ac:dyDescent="0.2">
      <c r="A386" s="4">
        <v>195802</v>
      </c>
      <c r="B386" s="4">
        <v>-1.52</v>
      </c>
      <c r="C386" s="4">
        <v>0.65</v>
      </c>
      <c r="D386" s="4">
        <v>0.33</v>
      </c>
      <c r="E386" s="4">
        <v>0.12</v>
      </c>
      <c r="F386" s="4"/>
      <c r="G386" s="4"/>
      <c r="H386" s="4"/>
    </row>
    <row r="387" spans="1:8" x14ac:dyDescent="0.2">
      <c r="A387" s="4">
        <v>195803</v>
      </c>
      <c r="B387" s="4">
        <v>3.27</v>
      </c>
      <c r="C387" s="4">
        <v>0.65</v>
      </c>
      <c r="D387" s="4">
        <v>-0.97</v>
      </c>
      <c r="E387" s="4">
        <v>0.09</v>
      </c>
      <c r="F387" s="4"/>
      <c r="G387" s="4"/>
      <c r="H387" s="4"/>
    </row>
    <row r="388" spans="1:8" x14ac:dyDescent="0.2">
      <c r="A388" s="4">
        <v>195804</v>
      </c>
      <c r="B388" s="4">
        <v>3.09</v>
      </c>
      <c r="C388" s="4">
        <v>-0.62</v>
      </c>
      <c r="D388" s="4">
        <v>1.61</v>
      </c>
      <c r="E388" s="4">
        <v>0.08</v>
      </c>
      <c r="F388" s="4"/>
      <c r="G388" s="4"/>
      <c r="H388" s="4"/>
    </row>
    <row r="389" spans="1:8" x14ac:dyDescent="0.2">
      <c r="A389" s="4">
        <v>195805</v>
      </c>
      <c r="B389" s="4">
        <v>2.31</v>
      </c>
      <c r="C389" s="4">
        <v>2.16</v>
      </c>
      <c r="D389" s="4">
        <v>-0.26</v>
      </c>
      <c r="E389" s="4">
        <v>0.11</v>
      </c>
      <c r="F389" s="4"/>
      <c r="G389" s="4"/>
      <c r="H389" s="4"/>
    </row>
    <row r="390" spans="1:8" x14ac:dyDescent="0.2">
      <c r="A390" s="4">
        <v>195806</v>
      </c>
      <c r="B390" s="4">
        <v>2.93</v>
      </c>
      <c r="C390" s="4">
        <v>-0.19</v>
      </c>
      <c r="D390" s="4">
        <v>0.4</v>
      </c>
      <c r="E390" s="4">
        <v>0.03</v>
      </c>
      <c r="F390" s="4"/>
      <c r="G390" s="4"/>
      <c r="H390" s="4"/>
    </row>
    <row r="391" spans="1:8" x14ac:dyDescent="0.2">
      <c r="A391" s="4">
        <v>195807</v>
      </c>
      <c r="B391" s="4">
        <v>4.3899999999999997</v>
      </c>
      <c r="C391" s="4">
        <v>0.47</v>
      </c>
      <c r="D391" s="4">
        <v>3.06</v>
      </c>
      <c r="E391" s="4">
        <v>7.0000000000000007E-2</v>
      </c>
      <c r="F391" s="4"/>
      <c r="G391" s="4"/>
      <c r="H391" s="4"/>
    </row>
    <row r="392" spans="1:8" x14ac:dyDescent="0.2">
      <c r="A392" s="4">
        <v>195808</v>
      </c>
      <c r="B392" s="4">
        <v>1.91</v>
      </c>
      <c r="C392" s="4">
        <v>1.18</v>
      </c>
      <c r="D392" s="4">
        <v>0.36</v>
      </c>
      <c r="E392" s="4">
        <v>0.04</v>
      </c>
      <c r="F392" s="4"/>
      <c r="G392" s="4"/>
      <c r="H392" s="4"/>
    </row>
    <row r="393" spans="1:8" x14ac:dyDescent="0.2">
      <c r="A393" s="4">
        <v>195809</v>
      </c>
      <c r="B393" s="4">
        <v>4.66</v>
      </c>
      <c r="C393" s="4">
        <v>0.12</v>
      </c>
      <c r="D393" s="4">
        <v>2.85</v>
      </c>
      <c r="E393" s="4">
        <v>0.19</v>
      </c>
      <c r="F393" s="4"/>
      <c r="G393" s="4"/>
      <c r="H393" s="4"/>
    </row>
    <row r="394" spans="1:8" x14ac:dyDescent="0.2">
      <c r="A394" s="4">
        <v>195810</v>
      </c>
      <c r="B394" s="4">
        <v>2.5299999999999998</v>
      </c>
      <c r="C394" s="4">
        <v>1.0900000000000001</v>
      </c>
      <c r="D394" s="4">
        <v>-1.18</v>
      </c>
      <c r="E394" s="4">
        <v>0.18</v>
      </c>
      <c r="F394" s="4"/>
      <c r="G394" s="4"/>
      <c r="H394" s="4"/>
    </row>
    <row r="395" spans="1:8" x14ac:dyDescent="0.2">
      <c r="A395" s="4">
        <v>195811</v>
      </c>
      <c r="B395" s="4">
        <v>3.01</v>
      </c>
      <c r="C395" s="4">
        <v>1.97</v>
      </c>
      <c r="D395" s="4">
        <v>-1.18</v>
      </c>
      <c r="E395" s="4">
        <v>0.11</v>
      </c>
      <c r="F395" s="4"/>
      <c r="G395" s="4"/>
      <c r="H395" s="4"/>
    </row>
    <row r="396" spans="1:8" x14ac:dyDescent="0.2">
      <c r="A396" s="4">
        <v>195812</v>
      </c>
      <c r="B396" s="4">
        <v>5.15</v>
      </c>
      <c r="C396" s="4">
        <v>-2.0299999999999998</v>
      </c>
      <c r="D396" s="4">
        <v>0.03</v>
      </c>
      <c r="E396" s="4">
        <v>0.22</v>
      </c>
      <c r="F396" s="4"/>
      <c r="G396" s="4"/>
      <c r="H396" s="4"/>
    </row>
    <row r="397" spans="1:8" x14ac:dyDescent="0.2">
      <c r="A397" s="4">
        <v>195901</v>
      </c>
      <c r="B397" s="4">
        <v>0.71</v>
      </c>
      <c r="C397" s="4">
        <v>3.02</v>
      </c>
      <c r="D397" s="4">
        <v>2.91</v>
      </c>
      <c r="E397" s="4">
        <v>0.21</v>
      </c>
      <c r="F397" s="4"/>
      <c r="G397" s="4"/>
      <c r="H397" s="4"/>
    </row>
    <row r="398" spans="1:8" x14ac:dyDescent="0.2">
      <c r="A398" s="4">
        <v>195902</v>
      </c>
      <c r="B398" s="4">
        <v>0.95</v>
      </c>
      <c r="C398" s="4">
        <v>1.46</v>
      </c>
      <c r="D398" s="4">
        <v>1.1599999999999999</v>
      </c>
      <c r="E398" s="4">
        <v>0.19</v>
      </c>
      <c r="F398" s="4"/>
      <c r="G398" s="4"/>
      <c r="H398" s="4"/>
    </row>
    <row r="399" spans="1:8" x14ac:dyDescent="0.2">
      <c r="A399" s="4">
        <v>195903</v>
      </c>
      <c r="B399" s="4">
        <v>0.28000000000000003</v>
      </c>
      <c r="C399" s="4">
        <v>1.49</v>
      </c>
      <c r="D399" s="4">
        <v>-0.34</v>
      </c>
      <c r="E399" s="4">
        <v>0.22</v>
      </c>
      <c r="F399" s="4"/>
      <c r="G399" s="4"/>
      <c r="H399" s="4"/>
    </row>
    <row r="400" spans="1:8" x14ac:dyDescent="0.2">
      <c r="A400" s="4">
        <v>195904</v>
      </c>
      <c r="B400" s="4">
        <v>3.66</v>
      </c>
      <c r="C400" s="4">
        <v>-0.6</v>
      </c>
      <c r="D400" s="4">
        <v>-1.23</v>
      </c>
      <c r="E400" s="4">
        <v>0.2</v>
      </c>
      <c r="F400" s="4"/>
      <c r="G400" s="4"/>
      <c r="H400" s="4"/>
    </row>
    <row r="401" spans="1:8" x14ac:dyDescent="0.2">
      <c r="A401" s="4">
        <v>195905</v>
      </c>
      <c r="B401" s="4">
        <v>1.73</v>
      </c>
      <c r="C401" s="4">
        <v>-2.16</v>
      </c>
      <c r="D401" s="4">
        <v>1.79</v>
      </c>
      <c r="E401" s="4">
        <v>0.22</v>
      </c>
      <c r="F401" s="4"/>
      <c r="G401" s="4"/>
      <c r="H401" s="4"/>
    </row>
    <row r="402" spans="1:8" x14ac:dyDescent="0.2">
      <c r="A402" s="4">
        <v>195906</v>
      </c>
      <c r="B402" s="4">
        <v>-0.25</v>
      </c>
      <c r="C402" s="4">
        <v>0.67</v>
      </c>
      <c r="D402" s="4">
        <v>1.31</v>
      </c>
      <c r="E402" s="4">
        <v>0.25</v>
      </c>
      <c r="F402" s="4"/>
      <c r="G402" s="4"/>
      <c r="H402" s="4"/>
    </row>
    <row r="403" spans="1:8" x14ac:dyDescent="0.2">
      <c r="A403" s="4">
        <v>195907</v>
      </c>
      <c r="B403" s="4">
        <v>3.17</v>
      </c>
      <c r="C403" s="4">
        <v>-0.3</v>
      </c>
      <c r="D403" s="4">
        <v>0.23</v>
      </c>
      <c r="E403" s="4">
        <v>0.25</v>
      </c>
      <c r="F403" s="4"/>
      <c r="G403" s="4"/>
      <c r="H403" s="4"/>
    </row>
    <row r="404" spans="1:8" x14ac:dyDescent="0.2">
      <c r="A404" s="4">
        <v>195908</v>
      </c>
      <c r="B404" s="4">
        <v>-1.39</v>
      </c>
      <c r="C404" s="4">
        <v>-0.76</v>
      </c>
      <c r="D404" s="4">
        <v>0.44</v>
      </c>
      <c r="E404" s="4">
        <v>0.19</v>
      </c>
      <c r="F404" s="4"/>
      <c r="G404" s="4"/>
      <c r="H404" s="4"/>
    </row>
    <row r="405" spans="1:8" x14ac:dyDescent="0.2">
      <c r="A405" s="4">
        <v>195909</v>
      </c>
      <c r="B405" s="4">
        <v>-4.8</v>
      </c>
      <c r="C405" s="4">
        <v>-0.09</v>
      </c>
      <c r="D405" s="4">
        <v>0.55000000000000004</v>
      </c>
      <c r="E405" s="4">
        <v>0.31</v>
      </c>
      <c r="F405" s="4"/>
      <c r="G405" s="4"/>
      <c r="H405" s="4"/>
    </row>
    <row r="406" spans="1:8" x14ac:dyDescent="0.2">
      <c r="A406" s="4">
        <v>195910</v>
      </c>
      <c r="B406" s="4">
        <v>1.28</v>
      </c>
      <c r="C406" s="4">
        <v>1.44</v>
      </c>
      <c r="D406" s="4">
        <v>-2.1</v>
      </c>
      <c r="E406" s="4">
        <v>0.3</v>
      </c>
      <c r="F406" s="4"/>
      <c r="G406" s="4"/>
      <c r="H406" s="4"/>
    </row>
    <row r="407" spans="1:8" x14ac:dyDescent="0.2">
      <c r="A407" s="4">
        <v>195911</v>
      </c>
      <c r="B407" s="4">
        <v>1.6</v>
      </c>
      <c r="C407" s="4">
        <v>1.23</v>
      </c>
      <c r="D407" s="4">
        <v>-3.21</v>
      </c>
      <c r="E407" s="4">
        <v>0.26</v>
      </c>
      <c r="F407" s="4"/>
      <c r="G407" s="4"/>
      <c r="H407" s="4"/>
    </row>
    <row r="408" spans="1:8" x14ac:dyDescent="0.2">
      <c r="A408" s="4">
        <v>195912</v>
      </c>
      <c r="B408" s="4">
        <v>2.4500000000000002</v>
      </c>
      <c r="C408" s="4">
        <v>-0.57999999999999996</v>
      </c>
      <c r="D408" s="4">
        <v>-7.0000000000000007E-2</v>
      </c>
      <c r="E408" s="4">
        <v>0.34</v>
      </c>
      <c r="F408" s="4"/>
      <c r="G408" s="4"/>
      <c r="H408" s="4"/>
    </row>
    <row r="409" spans="1:8" x14ac:dyDescent="0.2">
      <c r="A409" s="4">
        <v>196001</v>
      </c>
      <c r="B409" s="4">
        <v>-6.98</v>
      </c>
      <c r="C409" s="4">
        <v>2.09</v>
      </c>
      <c r="D409" s="4">
        <v>2.78</v>
      </c>
      <c r="E409" s="4">
        <v>0.33</v>
      </c>
      <c r="F409" s="4"/>
      <c r="G409" s="4"/>
      <c r="H409" s="4"/>
    </row>
    <row r="410" spans="1:8" x14ac:dyDescent="0.2">
      <c r="A410" s="4">
        <v>196002</v>
      </c>
      <c r="B410" s="4">
        <v>1.17</v>
      </c>
      <c r="C410" s="4">
        <v>0.51</v>
      </c>
      <c r="D410" s="4">
        <v>-1.93</v>
      </c>
      <c r="E410" s="4">
        <v>0.28999999999999998</v>
      </c>
      <c r="F410" s="4"/>
      <c r="G410" s="4"/>
      <c r="H410" s="4"/>
    </row>
    <row r="411" spans="1:8" x14ac:dyDescent="0.2">
      <c r="A411" s="4">
        <v>196003</v>
      </c>
      <c r="B411" s="4">
        <v>-1.63</v>
      </c>
      <c r="C411" s="4">
        <v>-0.49</v>
      </c>
      <c r="D411" s="4">
        <v>-2.94</v>
      </c>
      <c r="E411" s="4">
        <v>0.35</v>
      </c>
      <c r="F411" s="4"/>
      <c r="G411" s="4"/>
      <c r="H411" s="4"/>
    </row>
    <row r="412" spans="1:8" x14ac:dyDescent="0.2">
      <c r="A412" s="4">
        <v>196004</v>
      </c>
      <c r="B412" s="4">
        <v>-1.71</v>
      </c>
      <c r="C412" s="4">
        <v>0.32</v>
      </c>
      <c r="D412" s="4">
        <v>-2.2799999999999998</v>
      </c>
      <c r="E412" s="4">
        <v>0.19</v>
      </c>
      <c r="F412" s="4"/>
      <c r="G412" s="4"/>
      <c r="H412" s="4"/>
    </row>
    <row r="413" spans="1:8" x14ac:dyDescent="0.2">
      <c r="A413" s="4">
        <v>196005</v>
      </c>
      <c r="B413" s="4">
        <v>3.12</v>
      </c>
      <c r="C413" s="4">
        <v>1.21</v>
      </c>
      <c r="D413" s="4">
        <v>-3.7</v>
      </c>
      <c r="E413" s="4">
        <v>0.27</v>
      </c>
      <c r="F413" s="4"/>
      <c r="G413" s="4"/>
      <c r="H413" s="4"/>
    </row>
    <row r="414" spans="1:8" x14ac:dyDescent="0.2">
      <c r="A414" s="4">
        <v>196006</v>
      </c>
      <c r="B414" s="4">
        <v>2.08</v>
      </c>
      <c r="C414" s="4">
        <v>-0.21</v>
      </c>
      <c r="D414" s="4">
        <v>-0.34</v>
      </c>
      <c r="E414" s="4">
        <v>0.24</v>
      </c>
      <c r="F414" s="4"/>
      <c r="G414" s="4"/>
      <c r="H414" s="4"/>
    </row>
    <row r="415" spans="1:8" x14ac:dyDescent="0.2">
      <c r="A415" s="4">
        <v>196007</v>
      </c>
      <c r="B415" s="4">
        <v>-2.37</v>
      </c>
      <c r="C415" s="4">
        <v>-0.51</v>
      </c>
      <c r="D415" s="4">
        <v>1.98</v>
      </c>
      <c r="E415" s="4">
        <v>0.13</v>
      </c>
      <c r="F415" s="4"/>
      <c r="G415" s="4"/>
      <c r="H415" s="4"/>
    </row>
    <row r="416" spans="1:8" x14ac:dyDescent="0.2">
      <c r="A416" s="4">
        <v>196008</v>
      </c>
      <c r="B416" s="4">
        <v>3.01</v>
      </c>
      <c r="C416" s="4">
        <v>0.87</v>
      </c>
      <c r="D416" s="4">
        <v>-0.18</v>
      </c>
      <c r="E416" s="4">
        <v>0.17</v>
      </c>
      <c r="F416" s="4"/>
      <c r="G416" s="4"/>
      <c r="H416" s="4"/>
    </row>
    <row r="417" spans="1:8" x14ac:dyDescent="0.2">
      <c r="A417" s="4">
        <v>196009</v>
      </c>
      <c r="B417" s="4">
        <v>-5.99</v>
      </c>
      <c r="C417" s="4">
        <v>-1.1100000000000001</v>
      </c>
      <c r="D417" s="4">
        <v>1.62</v>
      </c>
      <c r="E417" s="4">
        <v>0.16</v>
      </c>
      <c r="F417" s="4"/>
      <c r="G417" s="4"/>
      <c r="H417" s="4"/>
    </row>
    <row r="418" spans="1:8" x14ac:dyDescent="0.2">
      <c r="A418" s="4">
        <v>196010</v>
      </c>
      <c r="B418" s="4">
        <v>-0.71</v>
      </c>
      <c r="C418" s="4">
        <v>-4.08</v>
      </c>
      <c r="D418" s="4">
        <v>2.83</v>
      </c>
      <c r="E418" s="4">
        <v>0.22</v>
      </c>
      <c r="F418" s="4"/>
      <c r="G418" s="4"/>
      <c r="H418" s="4"/>
    </row>
    <row r="419" spans="1:8" x14ac:dyDescent="0.2">
      <c r="A419" s="4">
        <v>196011</v>
      </c>
      <c r="B419" s="4">
        <v>4.6900000000000004</v>
      </c>
      <c r="C419" s="4">
        <v>0.4</v>
      </c>
      <c r="D419" s="4">
        <v>-2.4300000000000002</v>
      </c>
      <c r="E419" s="4">
        <v>0.13</v>
      </c>
      <c r="F419" s="4"/>
      <c r="G419" s="4"/>
      <c r="H419" s="4"/>
    </row>
    <row r="420" spans="1:8" x14ac:dyDescent="0.2">
      <c r="A420" s="4">
        <v>196012</v>
      </c>
      <c r="B420" s="4">
        <v>4.71</v>
      </c>
      <c r="C420" s="4">
        <v>-1.55</v>
      </c>
      <c r="D420" s="4">
        <v>-0.81</v>
      </c>
      <c r="E420" s="4">
        <v>0.16</v>
      </c>
      <c r="F420" s="4"/>
      <c r="G420" s="4"/>
      <c r="H420" s="4"/>
    </row>
    <row r="421" spans="1:8" x14ac:dyDescent="0.2">
      <c r="A421" s="4">
        <v>196101</v>
      </c>
      <c r="B421" s="4">
        <v>6.2</v>
      </c>
      <c r="C421" s="4">
        <v>0.64</v>
      </c>
      <c r="D421" s="4">
        <v>3.72</v>
      </c>
      <c r="E421" s="4">
        <v>0.19</v>
      </c>
      <c r="F421" s="4"/>
      <c r="G421" s="4"/>
      <c r="H421" s="4"/>
    </row>
    <row r="422" spans="1:8" x14ac:dyDescent="0.2">
      <c r="A422" s="4">
        <v>196102</v>
      </c>
      <c r="B422" s="4">
        <v>3.57</v>
      </c>
      <c r="C422" s="4">
        <v>3.93</v>
      </c>
      <c r="D422" s="4">
        <v>-0.66</v>
      </c>
      <c r="E422" s="4">
        <v>0.14000000000000001</v>
      </c>
      <c r="F422" s="4"/>
      <c r="G422" s="4"/>
      <c r="H422" s="4"/>
    </row>
    <row r="423" spans="1:8" x14ac:dyDescent="0.2">
      <c r="A423" s="4">
        <v>196103</v>
      </c>
      <c r="B423" s="4">
        <v>2.89</v>
      </c>
      <c r="C423" s="4">
        <v>3.3</v>
      </c>
      <c r="D423" s="4">
        <v>-0.73</v>
      </c>
      <c r="E423" s="4">
        <v>0.2</v>
      </c>
      <c r="F423" s="4"/>
      <c r="G423" s="4"/>
      <c r="H423" s="4"/>
    </row>
    <row r="424" spans="1:8" x14ac:dyDescent="0.2">
      <c r="A424" s="4">
        <v>196104</v>
      </c>
      <c r="B424" s="4">
        <v>0.28999999999999998</v>
      </c>
      <c r="C424" s="4">
        <v>7.0000000000000007E-2</v>
      </c>
      <c r="D424" s="4">
        <v>2.12</v>
      </c>
      <c r="E424" s="4">
        <v>0.17</v>
      </c>
      <c r="F424" s="4"/>
      <c r="G424" s="4"/>
      <c r="H424" s="4"/>
    </row>
    <row r="425" spans="1:8" x14ac:dyDescent="0.2">
      <c r="A425" s="4">
        <v>196105</v>
      </c>
      <c r="B425" s="4">
        <v>2.4</v>
      </c>
      <c r="C425" s="4">
        <v>2.0099999999999998</v>
      </c>
      <c r="D425" s="4">
        <v>0.37</v>
      </c>
      <c r="E425" s="4">
        <v>0.18</v>
      </c>
      <c r="F425" s="4"/>
      <c r="G425" s="4"/>
      <c r="H425" s="4"/>
    </row>
    <row r="426" spans="1:8" x14ac:dyDescent="0.2">
      <c r="A426" s="4">
        <v>196106</v>
      </c>
      <c r="B426" s="4">
        <v>-3.08</v>
      </c>
      <c r="C426" s="4">
        <v>-2.4900000000000002</v>
      </c>
      <c r="D426" s="4">
        <v>-0.14000000000000001</v>
      </c>
      <c r="E426" s="4">
        <v>0.2</v>
      </c>
      <c r="F426" s="4"/>
      <c r="G426" s="4"/>
      <c r="H426" s="4"/>
    </row>
    <row r="427" spans="1:8" x14ac:dyDescent="0.2">
      <c r="A427" s="4">
        <v>196107</v>
      </c>
      <c r="B427" s="4">
        <v>2.83</v>
      </c>
      <c r="C427" s="4">
        <v>-1.9</v>
      </c>
      <c r="D427" s="4">
        <v>-0.09</v>
      </c>
      <c r="E427" s="4">
        <v>0.18</v>
      </c>
      <c r="F427" s="4"/>
      <c r="G427" s="4"/>
      <c r="H427" s="4"/>
    </row>
    <row r="428" spans="1:8" x14ac:dyDescent="0.2">
      <c r="A428" s="4">
        <v>196108</v>
      </c>
      <c r="B428" s="4">
        <v>2.57</v>
      </c>
      <c r="C428" s="4">
        <v>-1.75</v>
      </c>
      <c r="D428" s="4">
        <v>-0.28000000000000003</v>
      </c>
      <c r="E428" s="4">
        <v>0.14000000000000001</v>
      </c>
      <c r="F428" s="4"/>
      <c r="G428" s="4"/>
      <c r="H428" s="4"/>
    </row>
    <row r="429" spans="1:8" x14ac:dyDescent="0.2">
      <c r="A429" s="4">
        <v>196109</v>
      </c>
      <c r="B429" s="4">
        <v>-2.15</v>
      </c>
      <c r="C429" s="4">
        <v>-1.07</v>
      </c>
      <c r="D429" s="4">
        <v>-0.61</v>
      </c>
      <c r="E429" s="4">
        <v>0.17</v>
      </c>
      <c r="F429" s="4"/>
      <c r="G429" s="4"/>
      <c r="H429" s="4"/>
    </row>
    <row r="430" spans="1:8" x14ac:dyDescent="0.2">
      <c r="A430" s="4">
        <v>196110</v>
      </c>
      <c r="B430" s="4">
        <v>2.57</v>
      </c>
      <c r="C430" s="4">
        <v>-1.65</v>
      </c>
      <c r="D430" s="4">
        <v>0.15</v>
      </c>
      <c r="E430" s="4">
        <v>0.19</v>
      </c>
      <c r="F430" s="4"/>
      <c r="G430" s="4"/>
      <c r="H430" s="4"/>
    </row>
    <row r="431" spans="1:8" x14ac:dyDescent="0.2">
      <c r="A431" s="4">
        <v>196111</v>
      </c>
      <c r="B431" s="4">
        <v>4.45</v>
      </c>
      <c r="C431" s="4">
        <v>1.26</v>
      </c>
      <c r="D431" s="4">
        <v>-1.23</v>
      </c>
      <c r="E431" s="4">
        <v>0.15</v>
      </c>
      <c r="F431" s="4"/>
      <c r="G431" s="4"/>
      <c r="H431" s="4"/>
    </row>
    <row r="432" spans="1:8" x14ac:dyDescent="0.2">
      <c r="A432" s="4">
        <v>196112</v>
      </c>
      <c r="B432" s="4">
        <v>-0.18</v>
      </c>
      <c r="C432" s="4">
        <v>-0.85</v>
      </c>
      <c r="D432" s="4">
        <v>1.79</v>
      </c>
      <c r="E432" s="4">
        <v>0.19</v>
      </c>
      <c r="F432" s="4"/>
      <c r="G432" s="4"/>
      <c r="H432" s="4"/>
    </row>
    <row r="433" spans="1:8" x14ac:dyDescent="0.2">
      <c r="A433" s="4">
        <v>196201</v>
      </c>
      <c r="B433" s="4">
        <v>-3.87</v>
      </c>
      <c r="C433" s="4">
        <v>1.77</v>
      </c>
      <c r="D433" s="4">
        <v>5.13</v>
      </c>
      <c r="E433" s="4">
        <v>0.24</v>
      </c>
      <c r="F433" s="4"/>
      <c r="G433" s="4"/>
      <c r="H433" s="4"/>
    </row>
    <row r="434" spans="1:8" x14ac:dyDescent="0.2">
      <c r="A434" s="4">
        <v>196202</v>
      </c>
      <c r="B434" s="4">
        <v>1.81</v>
      </c>
      <c r="C434" s="4">
        <v>-1.1499999999999999</v>
      </c>
      <c r="D434" s="4">
        <v>0.82</v>
      </c>
      <c r="E434" s="4">
        <v>0.2</v>
      </c>
      <c r="F434" s="4"/>
      <c r="G434" s="4"/>
      <c r="H434" s="4"/>
    </row>
    <row r="435" spans="1:8" x14ac:dyDescent="0.2">
      <c r="A435" s="4">
        <v>196203</v>
      </c>
      <c r="B435" s="4">
        <v>-0.68</v>
      </c>
      <c r="C435" s="4">
        <v>0.52</v>
      </c>
      <c r="D435" s="4">
        <v>-1.38</v>
      </c>
      <c r="E435" s="4">
        <v>0.2</v>
      </c>
      <c r="F435" s="4"/>
      <c r="G435" s="4"/>
      <c r="H435" s="4"/>
    </row>
    <row r="436" spans="1:8" x14ac:dyDescent="0.2">
      <c r="A436" s="4">
        <v>196204</v>
      </c>
      <c r="B436" s="4">
        <v>-6.59</v>
      </c>
      <c r="C436" s="4">
        <v>-0.7</v>
      </c>
      <c r="D436" s="4">
        <v>0.03</v>
      </c>
      <c r="E436" s="4">
        <v>0.22</v>
      </c>
      <c r="F436" s="4"/>
      <c r="G436" s="4"/>
      <c r="H436" s="4"/>
    </row>
    <row r="437" spans="1:8" x14ac:dyDescent="0.2">
      <c r="A437" s="4">
        <v>196205</v>
      </c>
      <c r="B437" s="4">
        <v>-8.65</v>
      </c>
      <c r="C437" s="4">
        <v>-3.34</v>
      </c>
      <c r="D437" s="4">
        <v>2.77</v>
      </c>
      <c r="E437" s="4">
        <v>0.24</v>
      </c>
      <c r="F437" s="4"/>
      <c r="G437" s="4"/>
      <c r="H437" s="4"/>
    </row>
    <row r="438" spans="1:8" x14ac:dyDescent="0.2">
      <c r="A438" s="4">
        <v>196206</v>
      </c>
      <c r="B438" s="4">
        <v>-8.4700000000000006</v>
      </c>
      <c r="C438" s="4">
        <v>-0.59</v>
      </c>
      <c r="D438" s="4">
        <v>2.5499999999999998</v>
      </c>
      <c r="E438" s="4">
        <v>0.2</v>
      </c>
      <c r="F438" s="4"/>
      <c r="G438" s="4"/>
      <c r="H438" s="4"/>
    </row>
    <row r="439" spans="1:8" x14ac:dyDescent="0.2">
      <c r="A439" s="4">
        <v>196207</v>
      </c>
      <c r="B439" s="4">
        <v>6.28</v>
      </c>
      <c r="C439" s="4">
        <v>1.52</v>
      </c>
      <c r="D439" s="4">
        <v>-3.41</v>
      </c>
      <c r="E439" s="4">
        <v>0.27</v>
      </c>
      <c r="F439" s="4"/>
      <c r="G439" s="4"/>
      <c r="H439" s="4"/>
    </row>
    <row r="440" spans="1:8" x14ac:dyDescent="0.2">
      <c r="A440" s="4">
        <v>196208</v>
      </c>
      <c r="B440" s="4">
        <v>2.13</v>
      </c>
      <c r="C440" s="4">
        <v>1.22</v>
      </c>
      <c r="D440" s="4">
        <v>-1.2</v>
      </c>
      <c r="E440" s="4">
        <v>0.23</v>
      </c>
      <c r="F440" s="4"/>
      <c r="G440" s="4"/>
      <c r="H440" s="4"/>
    </row>
    <row r="441" spans="1:8" x14ac:dyDescent="0.2">
      <c r="A441" s="4">
        <v>196209</v>
      </c>
      <c r="B441" s="4">
        <v>-5.22</v>
      </c>
      <c r="C441" s="4">
        <v>-2.42</v>
      </c>
      <c r="D441" s="4">
        <v>1.28</v>
      </c>
      <c r="E441" s="4">
        <v>0.21</v>
      </c>
      <c r="F441" s="4"/>
      <c r="G441" s="4"/>
      <c r="H441" s="4"/>
    </row>
    <row r="442" spans="1:8" x14ac:dyDescent="0.2">
      <c r="A442" s="4">
        <v>196210</v>
      </c>
      <c r="B442" s="4">
        <v>-0.05</v>
      </c>
      <c r="C442" s="4">
        <v>-3.97</v>
      </c>
      <c r="D442" s="4">
        <v>1.3</v>
      </c>
      <c r="E442" s="4">
        <v>0.25</v>
      </c>
      <c r="F442" s="4"/>
      <c r="G442" s="4"/>
      <c r="H442" s="4"/>
    </row>
    <row r="443" spans="1:8" x14ac:dyDescent="0.2">
      <c r="A443" s="4">
        <v>196211</v>
      </c>
      <c r="B443" s="4">
        <v>10.87</v>
      </c>
      <c r="C443" s="4">
        <v>2.61</v>
      </c>
      <c r="D443" s="4">
        <v>0.95</v>
      </c>
      <c r="E443" s="4">
        <v>0.2</v>
      </c>
      <c r="F443" s="4"/>
      <c r="G443" s="4"/>
      <c r="H443" s="4"/>
    </row>
    <row r="444" spans="1:8" x14ac:dyDescent="0.2">
      <c r="A444" s="4">
        <v>196212</v>
      </c>
      <c r="B444" s="4">
        <v>1.01</v>
      </c>
      <c r="C444" s="4">
        <v>-3.8</v>
      </c>
      <c r="D444" s="4">
        <v>0.36</v>
      </c>
      <c r="E444" s="4">
        <v>0.23</v>
      </c>
      <c r="F444" s="4"/>
      <c r="G444" s="4"/>
      <c r="H444" s="4"/>
    </row>
    <row r="445" spans="1:8" x14ac:dyDescent="0.2">
      <c r="A445" s="4">
        <v>196301</v>
      </c>
      <c r="B445" s="4">
        <v>4.93</v>
      </c>
      <c r="C445" s="4">
        <v>3.08</v>
      </c>
      <c r="D445" s="4">
        <v>2.21</v>
      </c>
      <c r="E445" s="4">
        <v>0.25</v>
      </c>
      <c r="F445" s="4"/>
      <c r="G445" s="4"/>
      <c r="H445" s="4"/>
    </row>
    <row r="446" spans="1:8" x14ac:dyDescent="0.2">
      <c r="A446" s="4">
        <v>196302</v>
      </c>
      <c r="B446" s="4">
        <v>-2.38</v>
      </c>
      <c r="C446" s="4">
        <v>0.48</v>
      </c>
      <c r="D446" s="4">
        <v>2.1800000000000002</v>
      </c>
      <c r="E446" s="4">
        <v>0.23</v>
      </c>
      <c r="F446" s="4"/>
      <c r="G446" s="4"/>
      <c r="H446" s="4"/>
    </row>
    <row r="447" spans="1:8" x14ac:dyDescent="0.2">
      <c r="A447" s="4">
        <v>196303</v>
      </c>
      <c r="B447" s="4">
        <v>3.08</v>
      </c>
      <c r="C447" s="4">
        <v>-2.59</v>
      </c>
      <c r="D447" s="4">
        <v>2.06</v>
      </c>
      <c r="E447" s="4">
        <v>0.23</v>
      </c>
      <c r="F447" s="4"/>
      <c r="G447" s="4"/>
      <c r="H447" s="4"/>
    </row>
    <row r="448" spans="1:8" x14ac:dyDescent="0.2">
      <c r="A448" s="4">
        <v>196304</v>
      </c>
      <c r="B448" s="4">
        <v>4.51</v>
      </c>
      <c r="C448" s="4">
        <v>-1.34</v>
      </c>
      <c r="D448" s="4">
        <v>1</v>
      </c>
      <c r="E448" s="4">
        <v>0.25</v>
      </c>
      <c r="F448" s="4"/>
      <c r="G448" s="4"/>
      <c r="H448" s="4"/>
    </row>
    <row r="449" spans="1:8" x14ac:dyDescent="0.2">
      <c r="A449" s="4">
        <v>196305</v>
      </c>
      <c r="B449" s="4">
        <v>1.76</v>
      </c>
      <c r="C449" s="4">
        <v>1.1299999999999999</v>
      </c>
      <c r="D449" s="4">
        <v>2.54</v>
      </c>
      <c r="E449" s="4">
        <v>0.24</v>
      </c>
      <c r="F449" s="4"/>
      <c r="G449" s="4"/>
      <c r="H449" s="4"/>
    </row>
    <row r="450" spans="1:8" x14ac:dyDescent="0.2">
      <c r="A450" s="4">
        <v>196306</v>
      </c>
      <c r="B450" s="4">
        <v>-2</v>
      </c>
      <c r="C450" s="4">
        <v>-0.27</v>
      </c>
      <c r="D450" s="4">
        <v>0.75</v>
      </c>
      <c r="E450" s="4">
        <v>0.23</v>
      </c>
      <c r="F450" s="4"/>
      <c r="G450" s="4"/>
      <c r="H450" s="4"/>
    </row>
    <row r="451" spans="1:8" x14ac:dyDescent="0.2">
      <c r="A451" s="4">
        <v>196307</v>
      </c>
      <c r="B451" s="4">
        <v>-0.39</v>
      </c>
      <c r="C451" s="4">
        <v>-0.45</v>
      </c>
      <c r="D451" s="4">
        <v>-0.97</v>
      </c>
      <c r="E451" s="4">
        <v>0.27</v>
      </c>
      <c r="F451" s="4"/>
      <c r="G451" s="4"/>
      <c r="H451" s="4"/>
    </row>
    <row r="452" spans="1:8" x14ac:dyDescent="0.2">
      <c r="A452" s="4">
        <v>196308</v>
      </c>
      <c r="B452" s="4">
        <v>5.07</v>
      </c>
      <c r="C452" s="4">
        <v>-0.98</v>
      </c>
      <c r="D452" s="4">
        <v>1.8</v>
      </c>
      <c r="E452" s="4">
        <v>0.25</v>
      </c>
      <c r="F452" s="4"/>
      <c r="G452" s="4"/>
      <c r="H452" s="4"/>
    </row>
    <row r="453" spans="1:8" x14ac:dyDescent="0.2">
      <c r="A453" s="4">
        <v>196309</v>
      </c>
      <c r="B453" s="4">
        <v>-1.57</v>
      </c>
      <c r="C453" s="4">
        <v>-0.33</v>
      </c>
      <c r="D453" s="4">
        <v>0.13</v>
      </c>
      <c r="E453" s="4">
        <v>0.27</v>
      </c>
      <c r="F453" s="4"/>
      <c r="G453" s="4"/>
      <c r="H453" s="4"/>
    </row>
    <row r="454" spans="1:8" x14ac:dyDescent="0.2">
      <c r="A454" s="4">
        <v>196310</v>
      </c>
      <c r="B454" s="4">
        <v>2.5299999999999998</v>
      </c>
      <c r="C454" s="4">
        <v>-0.57999999999999996</v>
      </c>
      <c r="D454" s="4">
        <v>-0.1</v>
      </c>
      <c r="E454" s="4">
        <v>0.28999999999999998</v>
      </c>
      <c r="F454" s="4"/>
      <c r="G454" s="4"/>
      <c r="H454" s="4"/>
    </row>
    <row r="455" spans="1:8" x14ac:dyDescent="0.2">
      <c r="A455" s="4">
        <v>196311</v>
      </c>
      <c r="B455" s="4">
        <v>-0.85</v>
      </c>
      <c r="C455" s="4">
        <v>-1.17</v>
      </c>
      <c r="D455" s="4">
        <v>1.75</v>
      </c>
      <c r="E455" s="4">
        <v>0.27</v>
      </c>
      <c r="F455" s="4"/>
      <c r="G455" s="4"/>
      <c r="H455" s="4"/>
    </row>
    <row r="456" spans="1:8" x14ac:dyDescent="0.2">
      <c r="A456" s="4">
        <v>196312</v>
      </c>
      <c r="B456" s="4">
        <v>1.83</v>
      </c>
      <c r="C456" s="4">
        <v>-2.16</v>
      </c>
      <c r="D456" s="4">
        <v>-0.02</v>
      </c>
      <c r="E456" s="4">
        <v>0.28999999999999998</v>
      </c>
      <c r="F456" s="4"/>
      <c r="G456" s="4"/>
      <c r="H456" s="4"/>
    </row>
    <row r="457" spans="1:8" x14ac:dyDescent="0.2">
      <c r="A457" s="4">
        <v>196401</v>
      </c>
      <c r="B457" s="4">
        <v>2.2400000000000002</v>
      </c>
      <c r="C457" s="4">
        <v>-0.11</v>
      </c>
      <c r="D457" s="4">
        <v>1.48</v>
      </c>
      <c r="E457" s="4">
        <v>0.3</v>
      </c>
      <c r="F457" s="4"/>
      <c r="G457" s="4"/>
      <c r="H457" s="4"/>
    </row>
    <row r="458" spans="1:8" x14ac:dyDescent="0.2">
      <c r="A458" s="4">
        <v>196402</v>
      </c>
      <c r="B458" s="4">
        <v>1.54</v>
      </c>
      <c r="C458" s="4">
        <v>0.11</v>
      </c>
      <c r="D458" s="4">
        <v>2.81</v>
      </c>
      <c r="E458" s="4">
        <v>0.26</v>
      </c>
      <c r="F458" s="4"/>
      <c r="G458" s="4"/>
      <c r="H458" s="4"/>
    </row>
    <row r="459" spans="1:8" x14ac:dyDescent="0.2">
      <c r="A459" s="4">
        <v>196403</v>
      </c>
      <c r="B459" s="4">
        <v>1.41</v>
      </c>
      <c r="C459" s="4">
        <v>0.87</v>
      </c>
      <c r="D459" s="4">
        <v>3.4</v>
      </c>
      <c r="E459" s="4">
        <v>0.31</v>
      </c>
      <c r="F459" s="4"/>
      <c r="G459" s="4"/>
      <c r="H459" s="4"/>
    </row>
    <row r="460" spans="1:8" x14ac:dyDescent="0.2">
      <c r="A460" s="4">
        <v>196404</v>
      </c>
      <c r="B460" s="4">
        <v>0.1</v>
      </c>
      <c r="C460" s="4">
        <v>-1.35</v>
      </c>
      <c r="D460" s="4">
        <v>-0.67</v>
      </c>
      <c r="E460" s="4">
        <v>0.28999999999999998</v>
      </c>
      <c r="F460" s="4"/>
      <c r="G460" s="4"/>
      <c r="H460" s="4"/>
    </row>
    <row r="461" spans="1:8" x14ac:dyDescent="0.2">
      <c r="A461" s="4">
        <v>196405</v>
      </c>
      <c r="B461" s="4">
        <v>1.42</v>
      </c>
      <c r="C461" s="4">
        <v>-0.86</v>
      </c>
      <c r="D461" s="4">
        <v>1.86</v>
      </c>
      <c r="E461" s="4">
        <v>0.26</v>
      </c>
      <c r="F461" s="4"/>
      <c r="G461" s="4"/>
      <c r="H461" s="4"/>
    </row>
    <row r="462" spans="1:8" x14ac:dyDescent="0.2">
      <c r="A462" s="4">
        <v>196406</v>
      </c>
      <c r="B462" s="4">
        <v>1.27</v>
      </c>
      <c r="C462" s="4">
        <v>-0.12</v>
      </c>
      <c r="D462" s="4">
        <v>0.62</v>
      </c>
      <c r="E462" s="4">
        <v>0.3</v>
      </c>
      <c r="F462" s="4"/>
      <c r="G462" s="4"/>
      <c r="H462" s="4"/>
    </row>
    <row r="463" spans="1:8" x14ac:dyDescent="0.2">
      <c r="A463" s="4">
        <v>196407</v>
      </c>
      <c r="B463" s="4">
        <v>1.74</v>
      </c>
      <c r="C463" s="4">
        <v>0.24</v>
      </c>
      <c r="D463" s="4">
        <v>0.75</v>
      </c>
      <c r="E463" s="4">
        <v>0.3</v>
      </c>
      <c r="F463" s="4"/>
      <c r="G463" s="4"/>
      <c r="H463" s="4"/>
    </row>
    <row r="464" spans="1:8" x14ac:dyDescent="0.2">
      <c r="A464" s="4">
        <v>196408</v>
      </c>
      <c r="B464" s="4">
        <v>-1.44</v>
      </c>
      <c r="C464" s="4">
        <v>0.16</v>
      </c>
      <c r="D464" s="4">
        <v>0.08</v>
      </c>
      <c r="E464" s="4">
        <v>0.28000000000000003</v>
      </c>
      <c r="F464" s="4"/>
      <c r="G464" s="4"/>
      <c r="H464" s="4"/>
    </row>
    <row r="465" spans="1:8" x14ac:dyDescent="0.2">
      <c r="A465" s="4">
        <v>196409</v>
      </c>
      <c r="B465" s="4">
        <v>2.69</v>
      </c>
      <c r="C465" s="4">
        <v>-0.54</v>
      </c>
      <c r="D465" s="4">
        <v>1.7</v>
      </c>
      <c r="E465" s="4">
        <v>0.28000000000000003</v>
      </c>
      <c r="F465" s="4"/>
      <c r="G465" s="4"/>
      <c r="H465" s="4"/>
    </row>
    <row r="466" spans="1:8" x14ac:dyDescent="0.2">
      <c r="A466" s="4">
        <v>196410</v>
      </c>
      <c r="B466" s="4">
        <v>0.59</v>
      </c>
      <c r="C466" s="4">
        <v>0.42</v>
      </c>
      <c r="D466" s="4">
        <v>1.17</v>
      </c>
      <c r="E466" s="4">
        <v>0.28999999999999998</v>
      </c>
      <c r="F466" s="4"/>
      <c r="G466" s="4"/>
      <c r="H466" s="4"/>
    </row>
    <row r="467" spans="1:8" x14ac:dyDescent="0.2">
      <c r="A467" s="4">
        <v>196411</v>
      </c>
      <c r="B467" s="4">
        <v>0</v>
      </c>
      <c r="C467" s="4">
        <v>0.69</v>
      </c>
      <c r="D467" s="4">
        <v>-1.96</v>
      </c>
      <c r="E467" s="4">
        <v>0.28999999999999998</v>
      </c>
      <c r="F467" s="4"/>
      <c r="G467" s="4"/>
      <c r="H467" s="4"/>
    </row>
    <row r="468" spans="1:8" x14ac:dyDescent="0.2">
      <c r="A468" s="4">
        <v>196412</v>
      </c>
      <c r="B468" s="4">
        <v>0.03</v>
      </c>
      <c r="C468" s="4">
        <v>-0.35</v>
      </c>
      <c r="D468" s="4">
        <v>-2.48</v>
      </c>
      <c r="E468" s="4">
        <v>0.31</v>
      </c>
      <c r="F468" s="4"/>
      <c r="G468" s="4"/>
      <c r="H468" s="4"/>
    </row>
    <row r="469" spans="1:8" x14ac:dyDescent="0.2">
      <c r="A469" s="4">
        <v>196501</v>
      </c>
      <c r="B469" s="4">
        <v>3.54</v>
      </c>
      <c r="C469" s="4">
        <v>2.7</v>
      </c>
      <c r="D469" s="4">
        <v>0.12</v>
      </c>
      <c r="E469" s="4">
        <v>0.28000000000000003</v>
      </c>
      <c r="F469" s="4"/>
      <c r="G469" s="4"/>
      <c r="H469" s="4"/>
    </row>
    <row r="470" spans="1:8" x14ac:dyDescent="0.2">
      <c r="A470" s="4">
        <v>196502</v>
      </c>
      <c r="B470" s="4">
        <v>0.44</v>
      </c>
      <c r="C470" s="4">
        <v>3.55</v>
      </c>
      <c r="D470" s="4">
        <v>0.11</v>
      </c>
      <c r="E470" s="4">
        <v>0.3</v>
      </c>
      <c r="F470" s="4"/>
      <c r="G470" s="4"/>
      <c r="H470" s="4"/>
    </row>
    <row r="471" spans="1:8" x14ac:dyDescent="0.2">
      <c r="A471" s="4">
        <v>196503</v>
      </c>
      <c r="B471" s="4">
        <v>-1.34</v>
      </c>
      <c r="C471" s="4">
        <v>1.89</v>
      </c>
      <c r="D471" s="4">
        <v>1.03</v>
      </c>
      <c r="E471" s="4">
        <v>0.36</v>
      </c>
      <c r="F471" s="4"/>
      <c r="G471" s="4"/>
      <c r="H471" s="4"/>
    </row>
    <row r="472" spans="1:8" x14ac:dyDescent="0.2">
      <c r="A472" s="4">
        <v>196504</v>
      </c>
      <c r="B472" s="4">
        <v>3.11</v>
      </c>
      <c r="C472" s="4">
        <v>1.1000000000000001</v>
      </c>
      <c r="D472" s="4">
        <v>0.66</v>
      </c>
      <c r="E472" s="4">
        <v>0.31</v>
      </c>
      <c r="F472" s="4"/>
      <c r="G472" s="4"/>
      <c r="H472" s="4"/>
    </row>
    <row r="473" spans="1:8" x14ac:dyDescent="0.2">
      <c r="A473" s="4">
        <v>196505</v>
      </c>
      <c r="B473" s="4">
        <v>-0.77</v>
      </c>
      <c r="C473" s="4">
        <v>0.11</v>
      </c>
      <c r="D473" s="4">
        <v>-1.61</v>
      </c>
      <c r="E473" s="4">
        <v>0.31</v>
      </c>
      <c r="F473" s="4"/>
      <c r="G473" s="4"/>
      <c r="H473" s="4"/>
    </row>
    <row r="474" spans="1:8" x14ac:dyDescent="0.2">
      <c r="A474" s="4">
        <v>196506</v>
      </c>
      <c r="B474" s="4">
        <v>-5.51</v>
      </c>
      <c r="C474" s="4">
        <v>-4.34</v>
      </c>
      <c r="D474" s="4">
        <v>0.59</v>
      </c>
      <c r="E474" s="4">
        <v>0.35</v>
      </c>
      <c r="F474" s="4"/>
      <c r="G474" s="4"/>
      <c r="H474" s="4"/>
    </row>
    <row r="475" spans="1:8" x14ac:dyDescent="0.2">
      <c r="A475" s="4">
        <v>196507</v>
      </c>
      <c r="B475" s="4">
        <v>1.43</v>
      </c>
      <c r="C475" s="4">
        <v>0.89</v>
      </c>
      <c r="D475" s="4">
        <v>2.2000000000000002</v>
      </c>
      <c r="E475" s="4">
        <v>0.31</v>
      </c>
      <c r="F475" s="4"/>
      <c r="G475" s="4"/>
      <c r="H475" s="4"/>
    </row>
    <row r="476" spans="1:8" x14ac:dyDescent="0.2">
      <c r="A476" s="4">
        <v>196508</v>
      </c>
      <c r="B476" s="4">
        <v>2.73</v>
      </c>
      <c r="C476" s="4">
        <v>2.84</v>
      </c>
      <c r="D476" s="4">
        <v>-1</v>
      </c>
      <c r="E476" s="4">
        <v>0.33</v>
      </c>
      <c r="F476" s="4"/>
      <c r="G476" s="4"/>
      <c r="H476" s="4"/>
    </row>
    <row r="477" spans="1:8" x14ac:dyDescent="0.2">
      <c r="A477" s="4">
        <v>196509</v>
      </c>
      <c r="B477" s="4">
        <v>2.86</v>
      </c>
      <c r="C477" s="4">
        <v>0.64</v>
      </c>
      <c r="D477" s="4">
        <v>-0.13</v>
      </c>
      <c r="E477" s="4">
        <v>0.31</v>
      </c>
      <c r="F477" s="4"/>
      <c r="G477" s="4"/>
      <c r="H477" s="4"/>
    </row>
    <row r="478" spans="1:8" x14ac:dyDescent="0.2">
      <c r="A478" s="4">
        <v>196510</v>
      </c>
      <c r="B478" s="4">
        <v>2.6</v>
      </c>
      <c r="C478" s="4">
        <v>2.52</v>
      </c>
      <c r="D478" s="4">
        <v>1.56</v>
      </c>
      <c r="E478" s="4">
        <v>0.31</v>
      </c>
      <c r="F478" s="4"/>
      <c r="G478" s="4"/>
      <c r="H478" s="4"/>
    </row>
    <row r="479" spans="1:8" x14ac:dyDescent="0.2">
      <c r="A479" s="4">
        <v>196511</v>
      </c>
      <c r="B479" s="4">
        <v>-0.03</v>
      </c>
      <c r="C479" s="4">
        <v>4.68</v>
      </c>
      <c r="D479" s="4">
        <v>0.15</v>
      </c>
      <c r="E479" s="4">
        <v>0.35</v>
      </c>
      <c r="F479" s="4"/>
      <c r="G479" s="4"/>
      <c r="H479" s="4"/>
    </row>
    <row r="480" spans="1:8" x14ac:dyDescent="0.2">
      <c r="A480" s="4">
        <v>196512</v>
      </c>
      <c r="B480" s="4">
        <v>1.01</v>
      </c>
      <c r="C480" s="4">
        <v>2.06</v>
      </c>
      <c r="D480" s="4">
        <v>2.0299999999999998</v>
      </c>
      <c r="E480" s="4">
        <v>0.33</v>
      </c>
      <c r="F480" s="4"/>
      <c r="G480" s="4"/>
      <c r="H480" s="4"/>
    </row>
    <row r="481" spans="1:8" x14ac:dyDescent="0.2">
      <c r="A481" s="4">
        <v>196601</v>
      </c>
      <c r="B481" s="4">
        <v>0.72</v>
      </c>
      <c r="C481" s="4">
        <v>3.84</v>
      </c>
      <c r="D481" s="4">
        <v>3.56</v>
      </c>
      <c r="E481" s="4">
        <v>0.38</v>
      </c>
      <c r="F481" s="4"/>
      <c r="G481" s="4"/>
      <c r="H481" s="4"/>
    </row>
    <row r="482" spans="1:8" x14ac:dyDescent="0.2">
      <c r="A482" s="4">
        <v>196602</v>
      </c>
      <c r="B482" s="4">
        <v>-1.21</v>
      </c>
      <c r="C482" s="4">
        <v>4.4000000000000004</v>
      </c>
      <c r="D482" s="4">
        <v>0.33</v>
      </c>
      <c r="E482" s="4">
        <v>0.35</v>
      </c>
      <c r="F482" s="4"/>
      <c r="G482" s="4"/>
      <c r="H482" s="4"/>
    </row>
    <row r="483" spans="1:8" x14ac:dyDescent="0.2">
      <c r="A483" s="4">
        <v>196603</v>
      </c>
      <c r="B483" s="4">
        <v>-2.5099999999999998</v>
      </c>
      <c r="C483" s="4">
        <v>0.99</v>
      </c>
      <c r="D483" s="4">
        <v>-1.98</v>
      </c>
      <c r="E483" s="4">
        <v>0.38</v>
      </c>
      <c r="F483" s="4"/>
      <c r="G483" s="4"/>
      <c r="H483" s="4"/>
    </row>
    <row r="484" spans="1:8" x14ac:dyDescent="0.2">
      <c r="A484" s="4">
        <v>196604</v>
      </c>
      <c r="B484" s="4">
        <v>2.14</v>
      </c>
      <c r="C484" s="4">
        <v>3.43</v>
      </c>
      <c r="D484" s="4">
        <v>-0.46</v>
      </c>
      <c r="E484" s="4">
        <v>0.34</v>
      </c>
      <c r="F484" s="4"/>
      <c r="G484" s="4"/>
      <c r="H484" s="4"/>
    </row>
    <row r="485" spans="1:8" x14ac:dyDescent="0.2">
      <c r="A485" s="4">
        <v>196605</v>
      </c>
      <c r="B485" s="4">
        <v>-5.66</v>
      </c>
      <c r="C485" s="4">
        <v>-4.5999999999999996</v>
      </c>
      <c r="D485" s="4">
        <v>-1.63</v>
      </c>
      <c r="E485" s="4">
        <v>0.41</v>
      </c>
      <c r="F485" s="4"/>
      <c r="G485" s="4"/>
      <c r="H485" s="4"/>
    </row>
    <row r="486" spans="1:8" x14ac:dyDescent="0.2">
      <c r="A486" s="4">
        <v>196606</v>
      </c>
      <c r="B486" s="4">
        <v>-1.44</v>
      </c>
      <c r="C486" s="4">
        <v>1.03</v>
      </c>
      <c r="D486" s="4">
        <v>0.5</v>
      </c>
      <c r="E486" s="4">
        <v>0.38</v>
      </c>
      <c r="F486" s="4"/>
      <c r="G486" s="4"/>
      <c r="H486" s="4"/>
    </row>
    <row r="487" spans="1:8" x14ac:dyDescent="0.2">
      <c r="A487" s="4">
        <v>196607</v>
      </c>
      <c r="B487" s="4">
        <v>-1.63</v>
      </c>
      <c r="C487" s="4">
        <v>-0.36</v>
      </c>
      <c r="D487" s="4">
        <v>0.95</v>
      </c>
      <c r="E487" s="4">
        <v>0.35</v>
      </c>
      <c r="F487" s="4"/>
      <c r="G487" s="4"/>
      <c r="H487" s="4"/>
    </row>
    <row r="488" spans="1:8" x14ac:dyDescent="0.2">
      <c r="A488" s="4">
        <v>196608</v>
      </c>
      <c r="B488" s="4">
        <v>-7.91</v>
      </c>
      <c r="C488" s="4">
        <v>-3.27</v>
      </c>
      <c r="D488" s="4">
        <v>0.43</v>
      </c>
      <c r="E488" s="4">
        <v>0.41</v>
      </c>
      <c r="F488" s="4"/>
      <c r="G488" s="4"/>
      <c r="H488" s="4"/>
    </row>
    <row r="489" spans="1:8" x14ac:dyDescent="0.2">
      <c r="A489" s="4">
        <v>196609</v>
      </c>
      <c r="B489" s="4">
        <v>-1.06</v>
      </c>
      <c r="C489" s="4">
        <v>-1.04</v>
      </c>
      <c r="D489" s="4">
        <v>0.56000000000000005</v>
      </c>
      <c r="E489" s="4">
        <v>0.4</v>
      </c>
      <c r="F489" s="4"/>
      <c r="G489" s="4"/>
      <c r="H489" s="4"/>
    </row>
    <row r="490" spans="1:8" x14ac:dyDescent="0.2">
      <c r="A490" s="4">
        <v>196610</v>
      </c>
      <c r="B490" s="4">
        <v>3.86</v>
      </c>
      <c r="C490" s="4">
        <v>-6.52</v>
      </c>
      <c r="D490" s="4">
        <v>2.69</v>
      </c>
      <c r="E490" s="4">
        <v>0.45</v>
      </c>
      <c r="F490" s="4"/>
      <c r="G490" s="4"/>
      <c r="H490" s="4"/>
    </row>
    <row r="491" spans="1:8" x14ac:dyDescent="0.2">
      <c r="A491" s="4">
        <v>196611</v>
      </c>
      <c r="B491" s="4">
        <v>1.4</v>
      </c>
      <c r="C491" s="4">
        <v>4.24</v>
      </c>
      <c r="D491" s="4">
        <v>-4.6900000000000004</v>
      </c>
      <c r="E491" s="4">
        <v>0.4</v>
      </c>
      <c r="F491" s="4"/>
      <c r="G491" s="4"/>
      <c r="H491" s="4"/>
    </row>
    <row r="492" spans="1:8" x14ac:dyDescent="0.2">
      <c r="A492" s="4">
        <v>196612</v>
      </c>
      <c r="B492" s="4">
        <v>0.13</v>
      </c>
      <c r="C492" s="4">
        <v>1.97</v>
      </c>
      <c r="D492" s="4">
        <v>-1.19</v>
      </c>
      <c r="E492" s="4">
        <v>0.4</v>
      </c>
      <c r="F492" s="4"/>
      <c r="G492" s="4"/>
      <c r="H492" s="4"/>
    </row>
    <row r="493" spans="1:8" x14ac:dyDescent="0.2">
      <c r="A493" s="4">
        <v>196701</v>
      </c>
      <c r="B493" s="4">
        <v>8.15</v>
      </c>
      <c r="C493" s="4">
        <v>8.32</v>
      </c>
      <c r="D493" s="4">
        <v>2.27</v>
      </c>
      <c r="E493" s="4">
        <v>0.43</v>
      </c>
      <c r="F493" s="4"/>
      <c r="G493" s="4"/>
      <c r="H493" s="4"/>
    </row>
    <row r="494" spans="1:8" x14ac:dyDescent="0.2">
      <c r="A494" s="4">
        <v>196702</v>
      </c>
      <c r="B494" s="4">
        <v>0.78</v>
      </c>
      <c r="C494" s="4">
        <v>3.35</v>
      </c>
      <c r="D494" s="4">
        <v>-2.2200000000000002</v>
      </c>
      <c r="E494" s="4">
        <v>0.36</v>
      </c>
      <c r="F494" s="4"/>
      <c r="G494" s="4"/>
      <c r="H494" s="4"/>
    </row>
    <row r="495" spans="1:8" x14ac:dyDescent="0.2">
      <c r="A495" s="4">
        <v>196703</v>
      </c>
      <c r="B495" s="4">
        <v>3.99</v>
      </c>
      <c r="C495" s="4">
        <v>1.55</v>
      </c>
      <c r="D495" s="4">
        <v>0.37</v>
      </c>
      <c r="E495" s="4">
        <v>0.39</v>
      </c>
      <c r="F495" s="4"/>
      <c r="G495" s="4"/>
      <c r="H495" s="4"/>
    </row>
    <row r="496" spans="1:8" x14ac:dyDescent="0.2">
      <c r="A496" s="4">
        <v>196704</v>
      </c>
      <c r="B496" s="4">
        <v>3.89</v>
      </c>
      <c r="C496" s="4">
        <v>0.63</v>
      </c>
      <c r="D496" s="4">
        <v>-2.48</v>
      </c>
      <c r="E496" s="4">
        <v>0.32</v>
      </c>
      <c r="F496" s="4"/>
      <c r="G496" s="4"/>
      <c r="H496" s="4"/>
    </row>
    <row r="497" spans="1:8" x14ac:dyDescent="0.2">
      <c r="A497" s="4">
        <v>196705</v>
      </c>
      <c r="B497" s="4">
        <v>-4.33</v>
      </c>
      <c r="C497" s="4">
        <v>1.9</v>
      </c>
      <c r="D497" s="4">
        <v>1.0900000000000001</v>
      </c>
      <c r="E497" s="4">
        <v>0.33</v>
      </c>
      <c r="F497" s="4"/>
      <c r="G497" s="4"/>
      <c r="H497" s="4"/>
    </row>
    <row r="498" spans="1:8" x14ac:dyDescent="0.2">
      <c r="A498" s="4">
        <v>196706</v>
      </c>
      <c r="B498" s="4">
        <v>2.41</v>
      </c>
      <c r="C498" s="4">
        <v>5.93</v>
      </c>
      <c r="D498" s="4">
        <v>0.85</v>
      </c>
      <c r="E498" s="4">
        <v>0.27</v>
      </c>
      <c r="F498" s="4"/>
      <c r="G498" s="4"/>
      <c r="H498" s="4"/>
    </row>
    <row r="499" spans="1:8" x14ac:dyDescent="0.2">
      <c r="A499" s="4">
        <v>196707</v>
      </c>
      <c r="B499" s="4">
        <v>4.58</v>
      </c>
      <c r="C499" s="4">
        <v>3.12</v>
      </c>
      <c r="D499" s="4">
        <v>2.73</v>
      </c>
      <c r="E499" s="4">
        <v>0.31</v>
      </c>
      <c r="F499" s="4"/>
      <c r="G499" s="4"/>
      <c r="H499" s="4"/>
    </row>
    <row r="500" spans="1:8" x14ac:dyDescent="0.2">
      <c r="A500" s="4">
        <v>196708</v>
      </c>
      <c r="B500" s="4">
        <v>-0.89</v>
      </c>
      <c r="C500" s="4">
        <v>0.42</v>
      </c>
      <c r="D500" s="4">
        <v>1.44</v>
      </c>
      <c r="E500" s="4">
        <v>0.31</v>
      </c>
      <c r="F500" s="4"/>
      <c r="G500" s="4"/>
      <c r="H500" s="4"/>
    </row>
    <row r="501" spans="1:8" x14ac:dyDescent="0.2">
      <c r="A501" s="4">
        <v>196709</v>
      </c>
      <c r="B501" s="4">
        <v>3.11</v>
      </c>
      <c r="C501" s="4">
        <v>3.06</v>
      </c>
      <c r="D501" s="4">
        <v>-2.5</v>
      </c>
      <c r="E501" s="4">
        <v>0.32</v>
      </c>
      <c r="F501" s="4"/>
      <c r="G501" s="4"/>
      <c r="H501" s="4"/>
    </row>
    <row r="502" spans="1:8" x14ac:dyDescent="0.2">
      <c r="A502" s="4">
        <v>196710</v>
      </c>
      <c r="B502" s="4">
        <v>-3.09</v>
      </c>
      <c r="C502" s="4">
        <v>1.46</v>
      </c>
      <c r="D502" s="4">
        <v>-3.3</v>
      </c>
      <c r="E502" s="4">
        <v>0.39</v>
      </c>
      <c r="F502" s="4"/>
      <c r="G502" s="4"/>
      <c r="H502" s="4"/>
    </row>
    <row r="503" spans="1:8" x14ac:dyDescent="0.2">
      <c r="A503" s="4">
        <v>196711</v>
      </c>
      <c r="B503" s="4">
        <v>0.37</v>
      </c>
      <c r="C503" s="4">
        <v>0.21</v>
      </c>
      <c r="D503" s="4">
        <v>-1.7</v>
      </c>
      <c r="E503" s="4">
        <v>0.36</v>
      </c>
      <c r="F503" s="4"/>
      <c r="G503" s="4"/>
      <c r="H503" s="4"/>
    </row>
    <row r="504" spans="1:8" x14ac:dyDescent="0.2">
      <c r="A504" s="4">
        <v>196712</v>
      </c>
      <c r="B504" s="4">
        <v>3.05</v>
      </c>
      <c r="C504" s="4">
        <v>5.73</v>
      </c>
      <c r="D504" s="4">
        <v>-0.53</v>
      </c>
      <c r="E504" s="4">
        <v>0.33</v>
      </c>
      <c r="F504" s="4"/>
      <c r="G504" s="4"/>
      <c r="H504" s="4"/>
    </row>
    <row r="505" spans="1:8" x14ac:dyDescent="0.2">
      <c r="A505" s="4">
        <v>196801</v>
      </c>
      <c r="B505" s="4">
        <v>-4.0599999999999996</v>
      </c>
      <c r="C505" s="4">
        <v>3.92</v>
      </c>
      <c r="D505" s="4">
        <v>4.8</v>
      </c>
      <c r="E505" s="4">
        <v>0.4</v>
      </c>
      <c r="F505" s="4"/>
      <c r="G505" s="4"/>
      <c r="H505" s="4"/>
    </row>
    <row r="506" spans="1:8" x14ac:dyDescent="0.2">
      <c r="A506" s="4">
        <v>196802</v>
      </c>
      <c r="B506" s="4">
        <v>-3.75</v>
      </c>
      <c r="C506" s="4">
        <v>-2.94</v>
      </c>
      <c r="D506" s="4">
        <v>1.28</v>
      </c>
      <c r="E506" s="4">
        <v>0.39</v>
      </c>
      <c r="F506" s="4"/>
      <c r="G506" s="4"/>
      <c r="H506" s="4"/>
    </row>
    <row r="507" spans="1:8" x14ac:dyDescent="0.2">
      <c r="A507" s="4">
        <v>196803</v>
      </c>
      <c r="B507" s="4">
        <v>0.2</v>
      </c>
      <c r="C507" s="4">
        <v>-1.34</v>
      </c>
      <c r="D507" s="4">
        <v>-0.59</v>
      </c>
      <c r="E507" s="4">
        <v>0.38</v>
      </c>
      <c r="F507" s="4"/>
      <c r="G507" s="4"/>
      <c r="H507" s="4"/>
    </row>
    <row r="508" spans="1:8" x14ac:dyDescent="0.2">
      <c r="A508" s="4">
        <v>196804</v>
      </c>
      <c r="B508" s="4">
        <v>9.0500000000000007</v>
      </c>
      <c r="C508" s="4">
        <v>5.68</v>
      </c>
      <c r="D508" s="4">
        <v>-1.1299999999999999</v>
      </c>
      <c r="E508" s="4">
        <v>0.43</v>
      </c>
      <c r="F508" s="4"/>
      <c r="G508" s="4"/>
      <c r="H508" s="4"/>
    </row>
    <row r="509" spans="1:8" x14ac:dyDescent="0.2">
      <c r="A509" s="4">
        <v>196805</v>
      </c>
      <c r="B509" s="4">
        <v>2.2799999999999998</v>
      </c>
      <c r="C509" s="4">
        <v>6.4</v>
      </c>
      <c r="D509" s="4">
        <v>0.85</v>
      </c>
      <c r="E509" s="4">
        <v>0.45</v>
      </c>
      <c r="F509" s="4"/>
      <c r="G509" s="4"/>
      <c r="H509" s="4"/>
    </row>
    <row r="510" spans="1:8" x14ac:dyDescent="0.2">
      <c r="A510" s="4">
        <v>196806</v>
      </c>
      <c r="B510" s="4">
        <v>0.69</v>
      </c>
      <c r="C510" s="4">
        <v>-0.19</v>
      </c>
      <c r="D510" s="4">
        <v>0.73</v>
      </c>
      <c r="E510" s="4">
        <v>0.43</v>
      </c>
      <c r="F510" s="4"/>
      <c r="G510" s="4"/>
      <c r="H510" s="4"/>
    </row>
    <row r="511" spans="1:8" x14ac:dyDescent="0.2">
      <c r="A511" s="4">
        <v>196807</v>
      </c>
      <c r="B511" s="4">
        <v>-2.72</v>
      </c>
      <c r="C511" s="4">
        <v>-1.36</v>
      </c>
      <c r="D511" s="4">
        <v>5.39</v>
      </c>
      <c r="E511" s="4">
        <v>0.48</v>
      </c>
      <c r="F511" s="4"/>
      <c r="G511" s="4"/>
      <c r="H511" s="4"/>
    </row>
    <row r="512" spans="1:8" x14ac:dyDescent="0.2">
      <c r="A512" s="4">
        <v>196808</v>
      </c>
      <c r="B512" s="4">
        <v>1.34</v>
      </c>
      <c r="C512" s="4">
        <v>2.34</v>
      </c>
      <c r="D512" s="4">
        <v>1.01</v>
      </c>
      <c r="E512" s="4">
        <v>0.42</v>
      </c>
      <c r="F512" s="4"/>
      <c r="G512" s="4"/>
      <c r="H512" s="4"/>
    </row>
    <row r="513" spans="1:8" x14ac:dyDescent="0.2">
      <c r="A513" s="4">
        <v>196809</v>
      </c>
      <c r="B513" s="4">
        <v>4.03</v>
      </c>
      <c r="C513" s="4">
        <v>2.8</v>
      </c>
      <c r="D513" s="4">
        <v>0.3</v>
      </c>
      <c r="E513" s="4">
        <v>0.43</v>
      </c>
      <c r="F513" s="4"/>
      <c r="G513" s="4"/>
      <c r="H513" s="4"/>
    </row>
    <row r="514" spans="1:8" x14ac:dyDescent="0.2">
      <c r="A514" s="4">
        <v>196810</v>
      </c>
      <c r="B514" s="4">
        <v>0.42</v>
      </c>
      <c r="C514" s="4">
        <v>-0.48</v>
      </c>
      <c r="D514" s="4">
        <v>2.86</v>
      </c>
      <c r="E514" s="4">
        <v>0.44</v>
      </c>
      <c r="F514" s="4"/>
      <c r="G514" s="4"/>
      <c r="H514" s="4"/>
    </row>
    <row r="515" spans="1:8" x14ac:dyDescent="0.2">
      <c r="A515" s="4">
        <v>196811</v>
      </c>
      <c r="B515" s="4">
        <v>5.43</v>
      </c>
      <c r="C515" s="4">
        <v>2.34</v>
      </c>
      <c r="D515" s="4">
        <v>-0.92</v>
      </c>
      <c r="E515" s="4">
        <v>0.42</v>
      </c>
      <c r="F515" s="4"/>
      <c r="G515" s="4"/>
      <c r="H515" s="4"/>
    </row>
    <row r="516" spans="1:8" x14ac:dyDescent="0.2">
      <c r="A516" s="4">
        <v>196812</v>
      </c>
      <c r="B516" s="4">
        <v>-3.94</v>
      </c>
      <c r="C516" s="4">
        <v>3.37</v>
      </c>
      <c r="D516" s="4">
        <v>-0.01</v>
      </c>
      <c r="E516" s="4">
        <v>0.43</v>
      </c>
      <c r="F516" s="4"/>
      <c r="G516" s="4"/>
      <c r="H516" s="4"/>
    </row>
    <row r="517" spans="1:8" x14ac:dyDescent="0.2">
      <c r="A517" s="4">
        <v>196901</v>
      </c>
      <c r="B517" s="4">
        <v>-1.25</v>
      </c>
      <c r="C517" s="4">
        <v>-0.74</v>
      </c>
      <c r="D517" s="4">
        <v>1.67</v>
      </c>
      <c r="E517" s="4">
        <v>0.53</v>
      </c>
      <c r="F517" s="4"/>
      <c r="G517" s="4"/>
      <c r="H517" s="4"/>
    </row>
    <row r="518" spans="1:8" x14ac:dyDescent="0.2">
      <c r="A518" s="4">
        <v>196902</v>
      </c>
      <c r="B518" s="4">
        <v>-5.84</v>
      </c>
      <c r="C518" s="4">
        <v>-3.92</v>
      </c>
      <c r="D518" s="4">
        <v>0.91</v>
      </c>
      <c r="E518" s="4">
        <v>0.46</v>
      </c>
      <c r="F518" s="4"/>
      <c r="G518" s="4"/>
      <c r="H518" s="4"/>
    </row>
    <row r="519" spans="1:8" x14ac:dyDescent="0.2">
      <c r="A519" s="4">
        <v>196903</v>
      </c>
      <c r="B519" s="4">
        <v>2.64</v>
      </c>
      <c r="C519" s="4">
        <v>-0.3</v>
      </c>
      <c r="D519" s="4">
        <v>-0.51</v>
      </c>
      <c r="E519" s="4">
        <v>0.46</v>
      </c>
      <c r="F519" s="4"/>
      <c r="G519" s="4"/>
      <c r="H519" s="4"/>
    </row>
    <row r="520" spans="1:8" x14ac:dyDescent="0.2">
      <c r="A520" s="4">
        <v>196904</v>
      </c>
      <c r="B520" s="4">
        <v>1.46</v>
      </c>
      <c r="C520" s="4">
        <v>-0.86</v>
      </c>
      <c r="D520" s="4">
        <v>-0.03</v>
      </c>
      <c r="E520" s="4">
        <v>0.53</v>
      </c>
      <c r="F520" s="4"/>
      <c r="G520" s="4"/>
      <c r="H520" s="4"/>
    </row>
    <row r="521" spans="1:8" x14ac:dyDescent="0.2">
      <c r="A521" s="4">
        <v>196905</v>
      </c>
      <c r="B521" s="4">
        <v>-0.1</v>
      </c>
      <c r="C521" s="4">
        <v>-0.21</v>
      </c>
      <c r="D521" s="4">
        <v>0.7</v>
      </c>
      <c r="E521" s="4">
        <v>0.48</v>
      </c>
      <c r="F521" s="4"/>
      <c r="G521" s="4"/>
      <c r="H521" s="4"/>
    </row>
    <row r="522" spans="1:8" x14ac:dyDescent="0.2">
      <c r="A522" s="4">
        <v>196906</v>
      </c>
      <c r="B522" s="4">
        <v>-7.18</v>
      </c>
      <c r="C522" s="4">
        <v>-5.37</v>
      </c>
      <c r="D522" s="4">
        <v>-1.08</v>
      </c>
      <c r="E522" s="4">
        <v>0.51</v>
      </c>
      <c r="F522" s="4"/>
      <c r="G522" s="4"/>
      <c r="H522" s="4"/>
    </row>
    <row r="523" spans="1:8" x14ac:dyDescent="0.2">
      <c r="A523" s="4">
        <v>196907</v>
      </c>
      <c r="B523" s="4">
        <v>-7</v>
      </c>
      <c r="C523" s="4">
        <v>-3.24</v>
      </c>
      <c r="D523" s="4">
        <v>1.2</v>
      </c>
      <c r="E523" s="4">
        <v>0.53</v>
      </c>
      <c r="F523" s="4"/>
      <c r="G523" s="4"/>
      <c r="H523" s="4"/>
    </row>
    <row r="524" spans="1:8" x14ac:dyDescent="0.2">
      <c r="A524" s="4">
        <v>196908</v>
      </c>
      <c r="B524" s="4">
        <v>4.68</v>
      </c>
      <c r="C524" s="4">
        <v>0.93</v>
      </c>
      <c r="D524" s="4">
        <v>-3.79</v>
      </c>
      <c r="E524" s="4">
        <v>0.5</v>
      </c>
      <c r="F524" s="4"/>
      <c r="G524" s="4"/>
      <c r="H524" s="4"/>
    </row>
    <row r="525" spans="1:8" x14ac:dyDescent="0.2">
      <c r="A525" s="4">
        <v>196909</v>
      </c>
      <c r="B525" s="4">
        <v>-2.98</v>
      </c>
      <c r="C525" s="4">
        <v>1.18</v>
      </c>
      <c r="D525" s="4">
        <v>-3.27</v>
      </c>
      <c r="E525" s="4">
        <v>0.62</v>
      </c>
      <c r="F525" s="4"/>
      <c r="G525" s="4"/>
      <c r="H525" s="4"/>
    </row>
    <row r="526" spans="1:8" x14ac:dyDescent="0.2">
      <c r="A526" s="4">
        <v>196910</v>
      </c>
      <c r="B526" s="4">
        <v>5.0599999999999996</v>
      </c>
      <c r="C526" s="4">
        <v>3.91</v>
      </c>
      <c r="D526" s="4">
        <v>-3.16</v>
      </c>
      <c r="E526" s="4">
        <v>0.6</v>
      </c>
      <c r="F526" s="4"/>
      <c r="G526" s="4"/>
      <c r="H526" s="4"/>
    </row>
    <row r="527" spans="1:8" x14ac:dyDescent="0.2">
      <c r="A527" s="4">
        <v>196911</v>
      </c>
      <c r="B527" s="4">
        <v>-3.79</v>
      </c>
      <c r="C527" s="4">
        <v>-2.58</v>
      </c>
      <c r="D527" s="4">
        <v>-1.19</v>
      </c>
      <c r="E527" s="4">
        <v>0.52</v>
      </c>
      <c r="F527" s="4"/>
      <c r="G527" s="4"/>
      <c r="H527" s="4"/>
    </row>
    <row r="528" spans="1:8" x14ac:dyDescent="0.2">
      <c r="A528" s="4">
        <v>196912</v>
      </c>
      <c r="B528" s="4">
        <v>-2.63</v>
      </c>
      <c r="C528" s="4">
        <v>-3.71</v>
      </c>
      <c r="D528" s="4">
        <v>-2.86</v>
      </c>
      <c r="E528" s="4">
        <v>0.64</v>
      </c>
      <c r="F528" s="4"/>
      <c r="G528" s="4"/>
      <c r="H528" s="4"/>
    </row>
    <row r="529" spans="1:8" x14ac:dyDescent="0.2">
      <c r="A529" s="4">
        <v>197001</v>
      </c>
      <c r="B529" s="4">
        <v>-8.1</v>
      </c>
      <c r="C529" s="4">
        <v>2.93</v>
      </c>
      <c r="D529" s="4">
        <v>3.13</v>
      </c>
      <c r="E529" s="4">
        <v>0.6</v>
      </c>
      <c r="F529" s="4"/>
      <c r="G529" s="4"/>
      <c r="H529" s="4"/>
    </row>
    <row r="530" spans="1:8" x14ac:dyDescent="0.2">
      <c r="A530" s="4">
        <v>197002</v>
      </c>
      <c r="B530" s="4">
        <v>5.13</v>
      </c>
      <c r="C530" s="4">
        <v>-2.58</v>
      </c>
      <c r="D530" s="4">
        <v>3.93</v>
      </c>
      <c r="E530" s="4">
        <v>0.62</v>
      </c>
      <c r="F530" s="4"/>
      <c r="G530" s="4"/>
      <c r="H530" s="4"/>
    </row>
    <row r="531" spans="1:8" x14ac:dyDescent="0.2">
      <c r="A531" s="4">
        <v>197003</v>
      </c>
      <c r="B531" s="4">
        <v>-1.06</v>
      </c>
      <c r="C531" s="4">
        <v>-2.3199999999999998</v>
      </c>
      <c r="D531" s="4">
        <v>3.99</v>
      </c>
      <c r="E531" s="4">
        <v>0.56999999999999995</v>
      </c>
      <c r="F531" s="4"/>
      <c r="G531" s="4"/>
      <c r="H531" s="4"/>
    </row>
    <row r="532" spans="1:8" x14ac:dyDescent="0.2">
      <c r="A532" s="4">
        <v>197004</v>
      </c>
      <c r="B532" s="4">
        <v>-11</v>
      </c>
      <c r="C532" s="4">
        <v>-6.15</v>
      </c>
      <c r="D532" s="4">
        <v>6.18</v>
      </c>
      <c r="E532" s="4">
        <v>0.5</v>
      </c>
      <c r="F532" s="4"/>
      <c r="G532" s="4"/>
      <c r="H532" s="4"/>
    </row>
    <row r="533" spans="1:8" x14ac:dyDescent="0.2">
      <c r="A533" s="4">
        <v>197005</v>
      </c>
      <c r="B533" s="4">
        <v>-6.92</v>
      </c>
      <c r="C533" s="4">
        <v>-4.59</v>
      </c>
      <c r="D533" s="4">
        <v>3.33</v>
      </c>
      <c r="E533" s="4">
        <v>0.53</v>
      </c>
      <c r="F533" s="4"/>
      <c r="G533" s="4"/>
      <c r="H533" s="4"/>
    </row>
    <row r="534" spans="1:8" x14ac:dyDescent="0.2">
      <c r="A534" s="4">
        <v>197006</v>
      </c>
      <c r="B534" s="4">
        <v>-5.79</v>
      </c>
      <c r="C534" s="4">
        <v>-2.13</v>
      </c>
      <c r="D534" s="4">
        <v>0.6</v>
      </c>
      <c r="E534" s="4">
        <v>0.57999999999999996</v>
      </c>
      <c r="F534" s="4"/>
      <c r="G534" s="4"/>
      <c r="H534" s="4"/>
    </row>
    <row r="535" spans="1:8" x14ac:dyDescent="0.2">
      <c r="A535" s="4">
        <v>197007</v>
      </c>
      <c r="B535" s="4">
        <v>6.93</v>
      </c>
      <c r="C535" s="4">
        <v>-0.5</v>
      </c>
      <c r="D535" s="4">
        <v>0.9</v>
      </c>
      <c r="E535" s="4">
        <v>0.52</v>
      </c>
      <c r="F535" s="4"/>
      <c r="G535" s="4"/>
      <c r="H535" s="4"/>
    </row>
    <row r="536" spans="1:8" x14ac:dyDescent="0.2">
      <c r="A536" s="4">
        <v>197008</v>
      </c>
      <c r="B536" s="4">
        <v>4.49</v>
      </c>
      <c r="C536" s="4">
        <v>1.52</v>
      </c>
      <c r="D536" s="4">
        <v>1.1499999999999999</v>
      </c>
      <c r="E536" s="4">
        <v>0.53</v>
      </c>
      <c r="F536" s="4"/>
      <c r="G536" s="4"/>
      <c r="H536" s="4"/>
    </row>
    <row r="537" spans="1:8" x14ac:dyDescent="0.2">
      <c r="A537" s="4">
        <v>197009</v>
      </c>
      <c r="B537" s="4">
        <v>4.18</v>
      </c>
      <c r="C537" s="4">
        <v>8.59</v>
      </c>
      <c r="D537" s="4">
        <v>-5.47</v>
      </c>
      <c r="E537" s="4">
        <v>0.54</v>
      </c>
      <c r="F537" s="4"/>
      <c r="G537" s="4"/>
      <c r="H537" s="4"/>
    </row>
    <row r="538" spans="1:8" x14ac:dyDescent="0.2">
      <c r="A538" s="4">
        <v>197010</v>
      </c>
      <c r="B538" s="4">
        <v>-2.2799999999999998</v>
      </c>
      <c r="C538" s="4">
        <v>-4.21</v>
      </c>
      <c r="D538" s="4">
        <v>0.22</v>
      </c>
      <c r="E538" s="4">
        <v>0.46</v>
      </c>
      <c r="F538" s="4"/>
      <c r="G538" s="4"/>
      <c r="H538" s="4"/>
    </row>
    <row r="539" spans="1:8" x14ac:dyDescent="0.2">
      <c r="A539" s="4">
        <v>197011</v>
      </c>
      <c r="B539" s="4">
        <v>4.5999999999999996</v>
      </c>
      <c r="C539" s="4">
        <v>-3.94</v>
      </c>
      <c r="D539" s="4">
        <v>1.69</v>
      </c>
      <c r="E539" s="4">
        <v>0.46</v>
      </c>
      <c r="F539" s="4"/>
      <c r="G539" s="4"/>
      <c r="H539" s="4"/>
    </row>
    <row r="540" spans="1:8" x14ac:dyDescent="0.2">
      <c r="A540" s="4">
        <v>197012</v>
      </c>
      <c r="B540" s="4">
        <v>5.72</v>
      </c>
      <c r="C540" s="4">
        <v>2.92</v>
      </c>
      <c r="D540" s="4">
        <v>1</v>
      </c>
      <c r="E540" s="4">
        <v>0.42</v>
      </c>
      <c r="F540" s="4"/>
      <c r="G540" s="4"/>
      <c r="H540" s="4"/>
    </row>
    <row r="541" spans="1:8" x14ac:dyDescent="0.2">
      <c r="A541" s="4">
        <v>197101</v>
      </c>
      <c r="B541" s="4">
        <v>4.84</v>
      </c>
      <c r="C541" s="4">
        <v>7.36</v>
      </c>
      <c r="D541" s="4">
        <v>1.33</v>
      </c>
      <c r="E541" s="4">
        <v>0.38</v>
      </c>
      <c r="F541" s="4"/>
      <c r="G541" s="4"/>
      <c r="H541" s="4"/>
    </row>
    <row r="542" spans="1:8" x14ac:dyDescent="0.2">
      <c r="A542" s="4">
        <v>197102</v>
      </c>
      <c r="B542" s="4">
        <v>1.41</v>
      </c>
      <c r="C542" s="4">
        <v>1.86</v>
      </c>
      <c r="D542" s="4">
        <v>-1.23</v>
      </c>
      <c r="E542" s="4">
        <v>0.33</v>
      </c>
      <c r="F542" s="4"/>
      <c r="G542" s="4"/>
      <c r="H542" s="4"/>
    </row>
    <row r="543" spans="1:8" x14ac:dyDescent="0.2">
      <c r="A543" s="4">
        <v>197103</v>
      </c>
      <c r="B543" s="4">
        <v>4.13</v>
      </c>
      <c r="C543" s="4">
        <v>2.62</v>
      </c>
      <c r="D543" s="4">
        <v>-3.95</v>
      </c>
      <c r="E543" s="4">
        <v>0.3</v>
      </c>
      <c r="F543" s="4"/>
      <c r="G543" s="4"/>
      <c r="H543" s="4"/>
    </row>
    <row r="544" spans="1:8" x14ac:dyDescent="0.2">
      <c r="A544" s="4">
        <v>197104</v>
      </c>
      <c r="B544" s="4">
        <v>3.15</v>
      </c>
      <c r="C544" s="4">
        <v>-0.49</v>
      </c>
      <c r="D544" s="4">
        <v>0.69</v>
      </c>
      <c r="E544" s="4">
        <v>0.28000000000000003</v>
      </c>
      <c r="F544" s="4"/>
      <c r="G544" s="4"/>
      <c r="H544" s="4"/>
    </row>
    <row r="545" spans="1:8" x14ac:dyDescent="0.2">
      <c r="A545" s="4">
        <v>197105</v>
      </c>
      <c r="B545" s="4">
        <v>-3.98</v>
      </c>
      <c r="C545" s="4">
        <v>-1.04</v>
      </c>
      <c r="D545" s="4">
        <v>-1.44</v>
      </c>
      <c r="E545" s="4">
        <v>0.28999999999999998</v>
      </c>
      <c r="F545" s="4"/>
      <c r="G545" s="4"/>
      <c r="H545" s="4"/>
    </row>
    <row r="546" spans="1:8" x14ac:dyDescent="0.2">
      <c r="A546" s="4">
        <v>197106</v>
      </c>
      <c r="B546" s="4">
        <v>-0.1</v>
      </c>
      <c r="C546" s="4">
        <v>-1.47</v>
      </c>
      <c r="D546" s="4">
        <v>-1.87</v>
      </c>
      <c r="E546" s="4">
        <v>0.37</v>
      </c>
      <c r="F546" s="4"/>
      <c r="G546" s="4"/>
      <c r="H546" s="4"/>
    </row>
    <row r="547" spans="1:8" x14ac:dyDescent="0.2">
      <c r="A547" s="4">
        <v>197107</v>
      </c>
      <c r="B547" s="4">
        <v>-4.5</v>
      </c>
      <c r="C547" s="4">
        <v>-1.48</v>
      </c>
      <c r="D547" s="4">
        <v>0.02</v>
      </c>
      <c r="E547" s="4">
        <v>0.4</v>
      </c>
      <c r="F547" s="4"/>
      <c r="G547" s="4"/>
      <c r="H547" s="4"/>
    </row>
    <row r="548" spans="1:8" x14ac:dyDescent="0.2">
      <c r="A548" s="4">
        <v>197108</v>
      </c>
      <c r="B548" s="4">
        <v>3.79</v>
      </c>
      <c r="C548" s="4">
        <v>-0.17</v>
      </c>
      <c r="D548" s="4">
        <v>2.63</v>
      </c>
      <c r="E548" s="4">
        <v>0.47</v>
      </c>
      <c r="F548" s="4"/>
      <c r="G548" s="4"/>
      <c r="H548" s="4"/>
    </row>
    <row r="549" spans="1:8" x14ac:dyDescent="0.2">
      <c r="A549" s="4">
        <v>197109</v>
      </c>
      <c r="B549" s="4">
        <v>-0.85</v>
      </c>
      <c r="C549" s="4">
        <v>0.51</v>
      </c>
      <c r="D549" s="4">
        <v>-2.91</v>
      </c>
      <c r="E549" s="4">
        <v>0.37</v>
      </c>
      <c r="F549" s="4"/>
      <c r="G549" s="4"/>
      <c r="H549" s="4"/>
    </row>
    <row r="550" spans="1:8" x14ac:dyDescent="0.2">
      <c r="A550" s="4">
        <v>197110</v>
      </c>
      <c r="B550" s="4">
        <v>-4.42</v>
      </c>
      <c r="C550" s="4">
        <v>-1.76</v>
      </c>
      <c r="D550" s="4">
        <v>-0.48</v>
      </c>
      <c r="E550" s="4">
        <v>0.37</v>
      </c>
      <c r="F550" s="4"/>
      <c r="G550" s="4"/>
      <c r="H550" s="4"/>
    </row>
    <row r="551" spans="1:8" x14ac:dyDescent="0.2">
      <c r="A551" s="4">
        <v>197111</v>
      </c>
      <c r="B551" s="4">
        <v>-0.46</v>
      </c>
      <c r="C551" s="4">
        <v>-2.77</v>
      </c>
      <c r="D551" s="4">
        <v>-1.68</v>
      </c>
      <c r="E551" s="4">
        <v>0.37</v>
      </c>
      <c r="F551" s="4"/>
      <c r="G551" s="4"/>
      <c r="H551" s="4"/>
    </row>
    <row r="552" spans="1:8" x14ac:dyDescent="0.2">
      <c r="A552" s="4">
        <v>197112</v>
      </c>
      <c r="B552" s="4">
        <v>8.7100000000000009</v>
      </c>
      <c r="C552" s="4">
        <v>3.29</v>
      </c>
      <c r="D552" s="4">
        <v>-0.4</v>
      </c>
      <c r="E552" s="4">
        <v>0.37</v>
      </c>
      <c r="F552" s="4"/>
      <c r="G552" s="4"/>
      <c r="H552" s="4"/>
    </row>
    <row r="553" spans="1:8" x14ac:dyDescent="0.2">
      <c r="A553" s="4">
        <v>197201</v>
      </c>
      <c r="B553" s="4">
        <v>2.4900000000000002</v>
      </c>
      <c r="C553" s="4">
        <v>5.85</v>
      </c>
      <c r="D553" s="4">
        <v>2.2400000000000002</v>
      </c>
      <c r="E553" s="4">
        <v>0.28999999999999998</v>
      </c>
      <c r="F553" s="4"/>
      <c r="G553" s="4"/>
      <c r="H553" s="4"/>
    </row>
    <row r="554" spans="1:8" x14ac:dyDescent="0.2">
      <c r="A554" s="4">
        <v>197202</v>
      </c>
      <c r="B554" s="4">
        <v>2.87</v>
      </c>
      <c r="C554" s="4">
        <v>1.3</v>
      </c>
      <c r="D554" s="4">
        <v>-2.79</v>
      </c>
      <c r="E554" s="4">
        <v>0.25</v>
      </c>
      <c r="F554" s="4"/>
      <c r="G554" s="4"/>
      <c r="H554" s="4"/>
    </row>
    <row r="555" spans="1:8" x14ac:dyDescent="0.2">
      <c r="A555" s="4">
        <v>197203</v>
      </c>
      <c r="B555" s="4">
        <v>0.63</v>
      </c>
      <c r="C555" s="4">
        <v>-0.24</v>
      </c>
      <c r="D555" s="4">
        <v>-1.61</v>
      </c>
      <c r="E555" s="4">
        <v>0.27</v>
      </c>
      <c r="F555" s="4"/>
      <c r="G555" s="4"/>
      <c r="H555" s="4"/>
    </row>
    <row r="556" spans="1:8" x14ac:dyDescent="0.2">
      <c r="A556" s="4">
        <v>197204</v>
      </c>
      <c r="B556" s="4">
        <v>0.28999999999999998</v>
      </c>
      <c r="C556" s="4">
        <v>0.11</v>
      </c>
      <c r="D556" s="4">
        <v>0.12</v>
      </c>
      <c r="E556" s="4">
        <v>0.28999999999999998</v>
      </c>
      <c r="F556" s="4"/>
      <c r="G556" s="4"/>
      <c r="H556" s="4"/>
    </row>
    <row r="557" spans="1:8" x14ac:dyDescent="0.2">
      <c r="A557" s="4">
        <v>197205</v>
      </c>
      <c r="B557" s="4">
        <v>1.25</v>
      </c>
      <c r="C557" s="4">
        <v>-2.69</v>
      </c>
      <c r="D557" s="4">
        <v>-2.7</v>
      </c>
      <c r="E557" s="4">
        <v>0.3</v>
      </c>
      <c r="F557" s="4"/>
      <c r="G557" s="4"/>
      <c r="H557" s="4"/>
    </row>
    <row r="558" spans="1:8" x14ac:dyDescent="0.2">
      <c r="A558" s="4">
        <v>197206</v>
      </c>
      <c r="B558" s="4">
        <v>-2.4300000000000002</v>
      </c>
      <c r="C558" s="4">
        <v>0.27</v>
      </c>
      <c r="D558" s="4">
        <v>-2.48</v>
      </c>
      <c r="E558" s="4">
        <v>0.28999999999999998</v>
      </c>
      <c r="F558" s="4"/>
      <c r="G558" s="4"/>
      <c r="H558" s="4"/>
    </row>
    <row r="559" spans="1:8" x14ac:dyDescent="0.2">
      <c r="A559" s="4">
        <v>197207</v>
      </c>
      <c r="B559" s="4">
        <v>-0.8</v>
      </c>
      <c r="C559" s="4">
        <v>-2.87</v>
      </c>
      <c r="D559" s="4">
        <v>0.66</v>
      </c>
      <c r="E559" s="4">
        <v>0.31</v>
      </c>
      <c r="F559" s="4"/>
      <c r="G559" s="4"/>
      <c r="H559" s="4"/>
    </row>
    <row r="560" spans="1:8" x14ac:dyDescent="0.2">
      <c r="A560" s="4">
        <v>197208</v>
      </c>
      <c r="B560" s="4">
        <v>3.26</v>
      </c>
      <c r="C560" s="4">
        <v>-4.03</v>
      </c>
      <c r="D560" s="4">
        <v>4.54</v>
      </c>
      <c r="E560" s="4">
        <v>0.28999999999999998</v>
      </c>
      <c r="F560" s="4"/>
      <c r="G560" s="4"/>
      <c r="H560" s="4"/>
    </row>
    <row r="561" spans="1:8" x14ac:dyDescent="0.2">
      <c r="A561" s="4">
        <v>197209</v>
      </c>
      <c r="B561" s="4">
        <v>-1.1399999999999999</v>
      </c>
      <c r="C561" s="4">
        <v>-2.65</v>
      </c>
      <c r="D561" s="4">
        <v>0.46</v>
      </c>
      <c r="E561" s="4">
        <v>0.34</v>
      </c>
      <c r="F561" s="4"/>
      <c r="G561" s="4"/>
      <c r="H561" s="4"/>
    </row>
    <row r="562" spans="1:8" x14ac:dyDescent="0.2">
      <c r="A562" s="4">
        <v>197210</v>
      </c>
      <c r="B562" s="4">
        <v>0.52</v>
      </c>
      <c r="C562" s="4">
        <v>-2.73</v>
      </c>
      <c r="D562" s="4">
        <v>1.34</v>
      </c>
      <c r="E562" s="4">
        <v>0.4</v>
      </c>
      <c r="F562" s="4"/>
      <c r="G562" s="4"/>
      <c r="H562" s="4"/>
    </row>
    <row r="563" spans="1:8" x14ac:dyDescent="0.2">
      <c r="A563" s="4">
        <v>197211</v>
      </c>
      <c r="B563" s="4">
        <v>4.5999999999999996</v>
      </c>
      <c r="C563" s="4">
        <v>-1.2</v>
      </c>
      <c r="D563" s="4">
        <v>4.8499999999999996</v>
      </c>
      <c r="E563" s="4">
        <v>0.37</v>
      </c>
      <c r="F563" s="4"/>
      <c r="G563" s="4"/>
      <c r="H563" s="4"/>
    </row>
    <row r="564" spans="1:8" x14ac:dyDescent="0.2">
      <c r="A564" s="4">
        <v>197212</v>
      </c>
      <c r="B564" s="4">
        <v>0.62</v>
      </c>
      <c r="C564" s="4">
        <v>-1.95</v>
      </c>
      <c r="D564" s="4">
        <v>-2.19</v>
      </c>
      <c r="E564" s="4">
        <v>0.37</v>
      </c>
      <c r="F564" s="4"/>
      <c r="G564" s="4"/>
      <c r="H564" s="4"/>
    </row>
    <row r="565" spans="1:8" x14ac:dyDescent="0.2">
      <c r="A565" s="4">
        <v>197301</v>
      </c>
      <c r="B565" s="4">
        <v>-3.29</v>
      </c>
      <c r="C565" s="4">
        <v>-3.49</v>
      </c>
      <c r="D565" s="4">
        <v>2.68</v>
      </c>
      <c r="E565" s="4">
        <v>0.44</v>
      </c>
      <c r="F565" s="4"/>
      <c r="G565" s="4"/>
      <c r="H565" s="4"/>
    </row>
    <row r="566" spans="1:8" x14ac:dyDescent="0.2">
      <c r="A566" s="4">
        <v>197302</v>
      </c>
      <c r="B566" s="4">
        <v>-4.8499999999999996</v>
      </c>
      <c r="C566" s="4">
        <v>-3.87</v>
      </c>
      <c r="D566" s="4">
        <v>1.6</v>
      </c>
      <c r="E566" s="4">
        <v>0.41</v>
      </c>
      <c r="F566" s="4"/>
      <c r="G566" s="4"/>
      <c r="H566" s="4"/>
    </row>
    <row r="567" spans="1:8" x14ac:dyDescent="0.2">
      <c r="A567" s="4">
        <v>197303</v>
      </c>
      <c r="B567" s="4">
        <v>-1.3</v>
      </c>
      <c r="C567" s="4">
        <v>-2.82</v>
      </c>
      <c r="D567" s="4">
        <v>2.62</v>
      </c>
      <c r="E567" s="4">
        <v>0.46</v>
      </c>
      <c r="F567" s="4"/>
      <c r="G567" s="4"/>
      <c r="H567" s="4"/>
    </row>
    <row r="568" spans="1:8" x14ac:dyDescent="0.2">
      <c r="A568" s="4">
        <v>197304</v>
      </c>
      <c r="B568" s="4">
        <v>-5.68</v>
      </c>
      <c r="C568" s="4">
        <v>-3.85</v>
      </c>
      <c r="D568" s="4">
        <v>5.41</v>
      </c>
      <c r="E568" s="4">
        <v>0.52</v>
      </c>
      <c r="F568" s="4"/>
      <c r="G568" s="4"/>
      <c r="H568" s="4"/>
    </row>
    <row r="569" spans="1:8" x14ac:dyDescent="0.2">
      <c r="A569" s="4">
        <v>197305</v>
      </c>
      <c r="B569" s="4">
        <v>-2.94</v>
      </c>
      <c r="C569" s="4">
        <v>-6.3</v>
      </c>
      <c r="D569" s="4">
        <v>0.41</v>
      </c>
      <c r="E569" s="4">
        <v>0.51</v>
      </c>
      <c r="F569" s="4"/>
      <c r="G569" s="4"/>
      <c r="H569" s="4"/>
    </row>
    <row r="570" spans="1:8" x14ac:dyDescent="0.2">
      <c r="A570" s="4">
        <v>197306</v>
      </c>
      <c r="B570" s="4">
        <v>-1.57</v>
      </c>
      <c r="C570" s="4">
        <v>-2.86</v>
      </c>
      <c r="D570" s="4">
        <v>1.2</v>
      </c>
      <c r="E570" s="4">
        <v>0.51</v>
      </c>
      <c r="F570" s="4"/>
      <c r="G570" s="4"/>
      <c r="H570" s="4"/>
    </row>
    <row r="571" spans="1:8" x14ac:dyDescent="0.2">
      <c r="A571" s="4">
        <v>197307</v>
      </c>
      <c r="B571" s="4">
        <v>5.05</v>
      </c>
      <c r="C571" s="4">
        <v>7.97</v>
      </c>
      <c r="D571" s="4">
        <v>-5.31</v>
      </c>
      <c r="E571" s="4">
        <v>0.64</v>
      </c>
      <c r="F571" s="4"/>
      <c r="G571" s="4"/>
      <c r="H571" s="4"/>
    </row>
    <row r="572" spans="1:8" x14ac:dyDescent="0.2">
      <c r="A572" s="4">
        <v>197308</v>
      </c>
      <c r="B572" s="4">
        <v>-3.82</v>
      </c>
      <c r="C572" s="4">
        <v>-2.13</v>
      </c>
      <c r="D572" s="4">
        <v>1.24</v>
      </c>
      <c r="E572" s="4">
        <v>0.7</v>
      </c>
      <c r="F572" s="4"/>
      <c r="G572" s="4"/>
      <c r="H572" s="4"/>
    </row>
    <row r="573" spans="1:8" x14ac:dyDescent="0.2">
      <c r="A573" s="4">
        <v>197309</v>
      </c>
      <c r="B573" s="4">
        <v>4.75</v>
      </c>
      <c r="C573" s="4">
        <v>3.04</v>
      </c>
      <c r="D573" s="4">
        <v>2.0099999999999998</v>
      </c>
      <c r="E573" s="4">
        <v>0.68</v>
      </c>
      <c r="F573" s="4"/>
      <c r="G573" s="4"/>
      <c r="H573" s="4"/>
    </row>
    <row r="574" spans="1:8" x14ac:dyDescent="0.2">
      <c r="A574" s="4">
        <v>197310</v>
      </c>
      <c r="B574" s="4">
        <v>-0.83</v>
      </c>
      <c r="C574" s="4">
        <v>-0.45</v>
      </c>
      <c r="D574" s="4">
        <v>1.94</v>
      </c>
      <c r="E574" s="4">
        <v>0.65</v>
      </c>
      <c r="F574" s="4"/>
      <c r="G574" s="4"/>
      <c r="H574" s="4"/>
    </row>
    <row r="575" spans="1:8" x14ac:dyDescent="0.2">
      <c r="A575" s="4">
        <v>197311</v>
      </c>
      <c r="B575" s="4">
        <v>-12.75</v>
      </c>
      <c r="C575" s="4">
        <v>-7.67</v>
      </c>
      <c r="D575" s="4">
        <v>3.87</v>
      </c>
      <c r="E575" s="4">
        <v>0.56000000000000005</v>
      </c>
      <c r="F575" s="4"/>
      <c r="G575" s="4"/>
      <c r="H575" s="4"/>
    </row>
    <row r="576" spans="1:8" x14ac:dyDescent="0.2">
      <c r="A576" s="4">
        <v>197312</v>
      </c>
      <c r="B576" s="4">
        <v>0.61</v>
      </c>
      <c r="C576" s="4">
        <v>-5.35</v>
      </c>
      <c r="D576" s="4">
        <v>3.85</v>
      </c>
      <c r="E576" s="4">
        <v>0.64</v>
      </c>
      <c r="F576" s="4"/>
      <c r="G576" s="4"/>
      <c r="H576" s="4"/>
    </row>
    <row r="577" spans="1:8" x14ac:dyDescent="0.2">
      <c r="A577" s="4">
        <v>197401</v>
      </c>
      <c r="B577" s="4">
        <v>-0.17</v>
      </c>
      <c r="C577" s="4">
        <v>9.68</v>
      </c>
      <c r="D577" s="4">
        <v>6.02</v>
      </c>
      <c r="E577" s="4">
        <v>0.63</v>
      </c>
      <c r="F577" s="4"/>
      <c r="G577" s="4"/>
      <c r="H577" s="4"/>
    </row>
    <row r="578" spans="1:8" x14ac:dyDescent="0.2">
      <c r="A578" s="4">
        <v>197402</v>
      </c>
      <c r="B578" s="4">
        <v>-0.47</v>
      </c>
      <c r="C578" s="4">
        <v>-0.18</v>
      </c>
      <c r="D578" s="4">
        <v>2.81</v>
      </c>
      <c r="E578" s="4">
        <v>0.57999999999999996</v>
      </c>
      <c r="F578" s="4"/>
      <c r="G578" s="4"/>
      <c r="H578" s="4"/>
    </row>
    <row r="579" spans="1:8" x14ac:dyDescent="0.2">
      <c r="A579" s="4">
        <v>197403</v>
      </c>
      <c r="B579" s="4">
        <v>-2.81</v>
      </c>
      <c r="C579" s="4">
        <v>2.6</v>
      </c>
      <c r="D579" s="4">
        <v>-0.32</v>
      </c>
      <c r="E579" s="4">
        <v>0.56000000000000005</v>
      </c>
      <c r="F579" s="4"/>
      <c r="G579" s="4"/>
      <c r="H579" s="4"/>
    </row>
    <row r="580" spans="1:8" x14ac:dyDescent="0.2">
      <c r="A580" s="4">
        <v>197404</v>
      </c>
      <c r="B580" s="4">
        <v>-5.29</v>
      </c>
      <c r="C580" s="4">
        <v>-0.74</v>
      </c>
      <c r="D580" s="4">
        <v>0.85</v>
      </c>
      <c r="E580" s="4">
        <v>0.75</v>
      </c>
      <c r="F580" s="4"/>
      <c r="G580" s="4"/>
      <c r="H580" s="4"/>
    </row>
    <row r="581" spans="1:8" x14ac:dyDescent="0.2">
      <c r="A581" s="4">
        <v>197405</v>
      </c>
      <c r="B581" s="4">
        <v>-4.68</v>
      </c>
      <c r="C581" s="4">
        <v>-2.96</v>
      </c>
      <c r="D581" s="4">
        <v>-2.02</v>
      </c>
      <c r="E581" s="4">
        <v>0.75</v>
      </c>
      <c r="F581" s="4"/>
      <c r="G581" s="4"/>
      <c r="H581" s="4"/>
    </row>
    <row r="582" spans="1:8" x14ac:dyDescent="0.2">
      <c r="A582" s="4">
        <v>197406</v>
      </c>
      <c r="B582" s="4">
        <v>-2.83</v>
      </c>
      <c r="C582" s="4">
        <v>-0.17</v>
      </c>
      <c r="D582" s="4">
        <v>0.77</v>
      </c>
      <c r="E582" s="4">
        <v>0.6</v>
      </c>
      <c r="F582" s="4"/>
      <c r="G582" s="4"/>
      <c r="H582" s="4"/>
    </row>
    <row r="583" spans="1:8" x14ac:dyDescent="0.2">
      <c r="A583" s="4">
        <v>197407</v>
      </c>
      <c r="B583" s="4">
        <v>-8.0500000000000007</v>
      </c>
      <c r="C583" s="4">
        <v>0.84</v>
      </c>
      <c r="D583" s="4">
        <v>5.16</v>
      </c>
      <c r="E583" s="4">
        <v>0.7</v>
      </c>
      <c r="F583" s="4"/>
      <c r="G583" s="4"/>
      <c r="H583" s="4"/>
    </row>
    <row r="584" spans="1:8" x14ac:dyDescent="0.2">
      <c r="A584" s="4">
        <v>197408</v>
      </c>
      <c r="B584" s="4">
        <v>-9.35</v>
      </c>
      <c r="C584" s="4">
        <v>-0.73</v>
      </c>
      <c r="D584" s="4">
        <v>2.64</v>
      </c>
      <c r="E584" s="4">
        <v>0.6</v>
      </c>
      <c r="F584" s="4"/>
      <c r="G584" s="4"/>
      <c r="H584" s="4"/>
    </row>
    <row r="585" spans="1:8" x14ac:dyDescent="0.2">
      <c r="A585" s="4">
        <v>197409</v>
      </c>
      <c r="B585" s="4">
        <v>-11.77</v>
      </c>
      <c r="C585" s="4">
        <v>0.27</v>
      </c>
      <c r="D585" s="4">
        <v>5.58</v>
      </c>
      <c r="E585" s="4">
        <v>0.81</v>
      </c>
      <c r="F585" s="4"/>
      <c r="G585" s="4"/>
      <c r="H585" s="4"/>
    </row>
    <row r="586" spans="1:8" x14ac:dyDescent="0.2">
      <c r="A586" s="4">
        <v>197410</v>
      </c>
      <c r="B586" s="4">
        <v>16.100000000000001</v>
      </c>
      <c r="C586" s="4">
        <v>-3.45</v>
      </c>
      <c r="D586" s="4">
        <v>-9.8699999999999992</v>
      </c>
      <c r="E586" s="4">
        <v>0.51</v>
      </c>
      <c r="F586" s="4"/>
      <c r="G586" s="4"/>
      <c r="H586" s="4"/>
    </row>
    <row r="587" spans="1:8" x14ac:dyDescent="0.2">
      <c r="A587" s="4">
        <v>197411</v>
      </c>
      <c r="B587" s="4">
        <v>-4.51</v>
      </c>
      <c r="C587" s="4">
        <v>-1.21</v>
      </c>
      <c r="D587" s="4">
        <v>-0.2</v>
      </c>
      <c r="E587" s="4">
        <v>0.54</v>
      </c>
      <c r="F587" s="4"/>
      <c r="G587" s="4"/>
      <c r="H587" s="4"/>
    </row>
    <row r="588" spans="1:8" x14ac:dyDescent="0.2">
      <c r="A588" s="4">
        <v>197412</v>
      </c>
      <c r="B588" s="4">
        <v>-3.45</v>
      </c>
      <c r="C588" s="4">
        <v>-4.83</v>
      </c>
      <c r="D588" s="4">
        <v>0.11</v>
      </c>
      <c r="E588" s="4">
        <v>0.7</v>
      </c>
      <c r="F588" s="4"/>
      <c r="G588" s="4"/>
      <c r="H588" s="4"/>
    </row>
    <row r="589" spans="1:8" x14ac:dyDescent="0.2">
      <c r="A589" s="4">
        <v>197501</v>
      </c>
      <c r="B589" s="4">
        <v>13.66</v>
      </c>
      <c r="C589" s="4">
        <v>11.14</v>
      </c>
      <c r="D589" s="4">
        <v>8.2799999999999994</v>
      </c>
      <c r="E589" s="4">
        <v>0.57999999999999996</v>
      </c>
      <c r="F589" s="4"/>
      <c r="G589" s="4"/>
      <c r="H589" s="4"/>
    </row>
    <row r="590" spans="1:8" x14ac:dyDescent="0.2">
      <c r="A590" s="4">
        <v>197502</v>
      </c>
      <c r="B590" s="4">
        <v>5.56</v>
      </c>
      <c r="C590" s="4">
        <v>0.16</v>
      </c>
      <c r="D590" s="4">
        <v>-4.45</v>
      </c>
      <c r="E590" s="4">
        <v>0.43</v>
      </c>
      <c r="F590" s="4"/>
      <c r="G590" s="4"/>
      <c r="H590" s="4"/>
    </row>
    <row r="591" spans="1:8" x14ac:dyDescent="0.2">
      <c r="A591" s="4">
        <v>197503</v>
      </c>
      <c r="B591" s="4">
        <v>2.66</v>
      </c>
      <c r="C591" s="4">
        <v>3.79</v>
      </c>
      <c r="D591" s="4">
        <v>2.38</v>
      </c>
      <c r="E591" s="4">
        <v>0.41</v>
      </c>
      <c r="F591" s="4"/>
      <c r="G591" s="4"/>
      <c r="H591" s="4"/>
    </row>
    <row r="592" spans="1:8" x14ac:dyDescent="0.2">
      <c r="A592" s="4">
        <v>197504</v>
      </c>
      <c r="B592" s="4">
        <v>4.2300000000000004</v>
      </c>
      <c r="C592" s="4">
        <v>-0.65</v>
      </c>
      <c r="D592" s="4">
        <v>-1.1399999999999999</v>
      </c>
      <c r="E592" s="4">
        <v>0.44</v>
      </c>
      <c r="F592" s="4"/>
      <c r="G592" s="4"/>
      <c r="H592" s="4"/>
    </row>
    <row r="593" spans="1:8" x14ac:dyDescent="0.2">
      <c r="A593" s="4">
        <v>197505</v>
      </c>
      <c r="B593" s="4">
        <v>5.19</v>
      </c>
      <c r="C593" s="4">
        <v>3.83</v>
      </c>
      <c r="D593" s="4">
        <v>-4.0999999999999996</v>
      </c>
      <c r="E593" s="4">
        <v>0.44</v>
      </c>
      <c r="F593" s="4"/>
      <c r="G593" s="4"/>
      <c r="H593" s="4"/>
    </row>
    <row r="594" spans="1:8" x14ac:dyDescent="0.2">
      <c r="A594" s="4">
        <v>197506</v>
      </c>
      <c r="B594" s="4">
        <v>4.83</v>
      </c>
      <c r="C594" s="4">
        <v>0.87</v>
      </c>
      <c r="D594" s="4">
        <v>1.38</v>
      </c>
      <c r="E594" s="4">
        <v>0.41</v>
      </c>
      <c r="F594" s="4"/>
      <c r="G594" s="4"/>
      <c r="H594" s="4"/>
    </row>
    <row r="595" spans="1:8" x14ac:dyDescent="0.2">
      <c r="A595" s="4">
        <v>197507</v>
      </c>
      <c r="B595" s="4">
        <v>-6.59</v>
      </c>
      <c r="C595" s="4">
        <v>2.7</v>
      </c>
      <c r="D595" s="4">
        <v>1.69</v>
      </c>
      <c r="E595" s="4">
        <v>0.48</v>
      </c>
      <c r="F595" s="4"/>
      <c r="G595" s="4"/>
      <c r="H595" s="4"/>
    </row>
    <row r="596" spans="1:8" x14ac:dyDescent="0.2">
      <c r="A596" s="4">
        <v>197508</v>
      </c>
      <c r="B596" s="4">
        <v>-2.85</v>
      </c>
      <c r="C596" s="4">
        <v>-3.25</v>
      </c>
      <c r="D596" s="4">
        <v>-0.95</v>
      </c>
      <c r="E596" s="4">
        <v>0.48</v>
      </c>
      <c r="F596" s="4"/>
      <c r="G596" s="4"/>
      <c r="H596" s="4"/>
    </row>
    <row r="597" spans="1:8" x14ac:dyDescent="0.2">
      <c r="A597" s="4">
        <v>197509</v>
      </c>
      <c r="B597" s="4">
        <v>-4.26</v>
      </c>
      <c r="C597" s="4">
        <v>-0.1</v>
      </c>
      <c r="D597" s="4">
        <v>0.39</v>
      </c>
      <c r="E597" s="4">
        <v>0.53</v>
      </c>
      <c r="F597" s="4"/>
      <c r="G597" s="4"/>
      <c r="H597" s="4"/>
    </row>
    <row r="598" spans="1:8" x14ac:dyDescent="0.2">
      <c r="A598" s="4">
        <v>197510</v>
      </c>
      <c r="B598" s="4">
        <v>5.31</v>
      </c>
      <c r="C598" s="4">
        <v>-4.03</v>
      </c>
      <c r="D598" s="4">
        <v>0.28000000000000003</v>
      </c>
      <c r="E598" s="4">
        <v>0.56000000000000005</v>
      </c>
      <c r="F598" s="4"/>
      <c r="G598" s="4"/>
      <c r="H598" s="4"/>
    </row>
    <row r="599" spans="1:8" x14ac:dyDescent="0.2">
      <c r="A599" s="4">
        <v>197511</v>
      </c>
      <c r="B599" s="4">
        <v>2.64</v>
      </c>
      <c r="C599" s="4">
        <v>-1.2</v>
      </c>
      <c r="D599" s="4">
        <v>2.0299999999999998</v>
      </c>
      <c r="E599" s="4">
        <v>0.41</v>
      </c>
      <c r="F599" s="4"/>
      <c r="G599" s="4"/>
      <c r="H599" s="4"/>
    </row>
    <row r="600" spans="1:8" x14ac:dyDescent="0.2">
      <c r="A600" s="4">
        <v>197512</v>
      </c>
      <c r="B600" s="4">
        <v>-1.6</v>
      </c>
      <c r="C600" s="4">
        <v>-0.78</v>
      </c>
      <c r="D600" s="4">
        <v>1.69</v>
      </c>
      <c r="E600" s="4">
        <v>0.48</v>
      </c>
      <c r="F600" s="4"/>
      <c r="G600" s="4"/>
      <c r="H600" s="4"/>
    </row>
    <row r="601" spans="1:8" x14ac:dyDescent="0.2">
      <c r="A601" s="4">
        <v>197601</v>
      </c>
      <c r="B601" s="4">
        <v>12.16</v>
      </c>
      <c r="C601" s="4">
        <v>4.8099999999999996</v>
      </c>
      <c r="D601" s="4">
        <v>8.6300000000000008</v>
      </c>
      <c r="E601" s="4">
        <v>0.47</v>
      </c>
      <c r="F601" s="4"/>
      <c r="G601" s="4"/>
      <c r="H601" s="4"/>
    </row>
    <row r="602" spans="1:8" x14ac:dyDescent="0.2">
      <c r="A602" s="4">
        <v>197602</v>
      </c>
      <c r="B602" s="4">
        <v>0.32</v>
      </c>
      <c r="C602" s="4">
        <v>7.06</v>
      </c>
      <c r="D602" s="4">
        <v>5.87</v>
      </c>
      <c r="E602" s="4">
        <v>0.34</v>
      </c>
      <c r="F602" s="4"/>
      <c r="G602" s="4"/>
      <c r="H602" s="4"/>
    </row>
    <row r="603" spans="1:8" x14ac:dyDescent="0.2">
      <c r="A603" s="4">
        <v>197603</v>
      </c>
      <c r="B603" s="4">
        <v>2.3199999999999998</v>
      </c>
      <c r="C603" s="4">
        <v>-1.1599999999999999</v>
      </c>
      <c r="D603" s="4">
        <v>-0.12</v>
      </c>
      <c r="E603" s="4">
        <v>0.4</v>
      </c>
      <c r="F603" s="4"/>
      <c r="G603" s="4"/>
      <c r="H603" s="4"/>
    </row>
    <row r="604" spans="1:8" x14ac:dyDescent="0.2">
      <c r="A604" s="4">
        <v>197604</v>
      </c>
      <c r="B604" s="4">
        <v>-1.49</v>
      </c>
      <c r="C604" s="4">
        <v>-0.11</v>
      </c>
      <c r="D604" s="4">
        <v>-0.16</v>
      </c>
      <c r="E604" s="4">
        <v>0.42</v>
      </c>
      <c r="F604" s="4"/>
      <c r="G604" s="4"/>
      <c r="H604" s="4"/>
    </row>
    <row r="605" spans="1:8" x14ac:dyDescent="0.2">
      <c r="A605" s="4">
        <v>197605</v>
      </c>
      <c r="B605" s="4">
        <v>-1.34</v>
      </c>
      <c r="C605" s="4">
        <v>-1.23</v>
      </c>
      <c r="D605" s="4">
        <v>-1.36</v>
      </c>
      <c r="E605" s="4">
        <v>0.37</v>
      </c>
      <c r="F605" s="4"/>
      <c r="G605" s="4"/>
      <c r="H605" s="4"/>
    </row>
    <row r="606" spans="1:8" x14ac:dyDescent="0.2">
      <c r="A606" s="4">
        <v>197606</v>
      </c>
      <c r="B606" s="4">
        <v>4.05</v>
      </c>
      <c r="C606" s="4">
        <v>-1.32</v>
      </c>
      <c r="D606" s="4">
        <v>0.71</v>
      </c>
      <c r="E606" s="4">
        <v>0.43</v>
      </c>
      <c r="F606" s="4"/>
      <c r="G606" s="4"/>
      <c r="H606" s="4"/>
    </row>
    <row r="607" spans="1:8" x14ac:dyDescent="0.2">
      <c r="A607" s="4">
        <v>197607</v>
      </c>
      <c r="B607" s="4">
        <v>-1.07</v>
      </c>
      <c r="C607" s="4">
        <v>0.28999999999999998</v>
      </c>
      <c r="D607" s="4">
        <v>1.73</v>
      </c>
      <c r="E607" s="4">
        <v>0.47</v>
      </c>
      <c r="F607" s="4"/>
      <c r="G607" s="4"/>
      <c r="H607" s="4"/>
    </row>
    <row r="608" spans="1:8" x14ac:dyDescent="0.2">
      <c r="A608" s="4">
        <v>197608</v>
      </c>
      <c r="B608" s="4">
        <v>-0.56000000000000005</v>
      </c>
      <c r="C608" s="4">
        <v>-2</v>
      </c>
      <c r="D608" s="4">
        <v>0.81</v>
      </c>
      <c r="E608" s="4">
        <v>0.42</v>
      </c>
      <c r="F608" s="4"/>
      <c r="G608" s="4"/>
      <c r="H608" s="4"/>
    </row>
    <row r="609" spans="1:8" x14ac:dyDescent="0.2">
      <c r="A609" s="4">
        <v>197609</v>
      </c>
      <c r="B609" s="4">
        <v>2.0699999999999998</v>
      </c>
      <c r="C609" s="4">
        <v>-0.02</v>
      </c>
      <c r="D609" s="4">
        <v>-0.28999999999999998</v>
      </c>
      <c r="E609" s="4">
        <v>0.44</v>
      </c>
      <c r="F609" s="4"/>
      <c r="G609" s="4"/>
      <c r="H609" s="4"/>
    </row>
    <row r="610" spans="1:8" x14ac:dyDescent="0.2">
      <c r="A610" s="4">
        <v>197610</v>
      </c>
      <c r="B610" s="4">
        <v>-2.42</v>
      </c>
      <c r="C610" s="4">
        <v>0.22</v>
      </c>
      <c r="D610" s="4">
        <v>-0.18</v>
      </c>
      <c r="E610" s="4">
        <v>0.41</v>
      </c>
      <c r="F610" s="4"/>
      <c r="G610" s="4"/>
      <c r="H610" s="4"/>
    </row>
    <row r="611" spans="1:8" x14ac:dyDescent="0.2">
      <c r="A611" s="4">
        <v>197611</v>
      </c>
      <c r="B611" s="4">
        <v>0.36</v>
      </c>
      <c r="C611" s="4">
        <v>2.3199999999999998</v>
      </c>
      <c r="D611" s="4">
        <v>1.51</v>
      </c>
      <c r="E611" s="4">
        <v>0.4</v>
      </c>
      <c r="F611" s="4"/>
      <c r="G611" s="4"/>
      <c r="H611" s="4"/>
    </row>
    <row r="612" spans="1:8" x14ac:dyDescent="0.2">
      <c r="A612" s="4">
        <v>197612</v>
      </c>
      <c r="B612" s="4">
        <v>5.65</v>
      </c>
      <c r="C612" s="4">
        <v>3.03</v>
      </c>
      <c r="D612" s="4">
        <v>2.27</v>
      </c>
      <c r="E612" s="4">
        <v>0.4</v>
      </c>
      <c r="F612" s="4"/>
      <c r="G612" s="4"/>
      <c r="H612" s="4"/>
    </row>
    <row r="613" spans="1:8" x14ac:dyDescent="0.2">
      <c r="A613" s="4">
        <v>197701</v>
      </c>
      <c r="B613" s="4">
        <v>-4.05</v>
      </c>
      <c r="C613" s="4">
        <v>4.76</v>
      </c>
      <c r="D613" s="4">
        <v>4.2699999999999996</v>
      </c>
      <c r="E613" s="4">
        <v>0.36</v>
      </c>
      <c r="F613" s="4"/>
      <c r="G613" s="4"/>
      <c r="H613" s="4"/>
    </row>
    <row r="614" spans="1:8" x14ac:dyDescent="0.2">
      <c r="A614" s="4">
        <v>197702</v>
      </c>
      <c r="B614" s="4">
        <v>-1.94</v>
      </c>
      <c r="C614" s="4">
        <v>1.04</v>
      </c>
      <c r="D614" s="4">
        <v>0.47</v>
      </c>
      <c r="E614" s="4">
        <v>0.35</v>
      </c>
      <c r="F614" s="4"/>
      <c r="G614" s="4"/>
      <c r="H614" s="4"/>
    </row>
    <row r="615" spans="1:8" x14ac:dyDescent="0.2">
      <c r="A615" s="4">
        <v>197703</v>
      </c>
      <c r="B615" s="4">
        <v>-1.37</v>
      </c>
      <c r="C615" s="4">
        <v>1</v>
      </c>
      <c r="D615" s="4">
        <v>1.0900000000000001</v>
      </c>
      <c r="E615" s="4">
        <v>0.38</v>
      </c>
      <c r="F615" s="4"/>
      <c r="G615" s="4"/>
      <c r="H615" s="4"/>
    </row>
    <row r="616" spans="1:8" x14ac:dyDescent="0.2">
      <c r="A616" s="4">
        <v>197704</v>
      </c>
      <c r="B616" s="4">
        <v>0.15</v>
      </c>
      <c r="C616" s="4">
        <v>-0.12</v>
      </c>
      <c r="D616" s="4">
        <v>3.38</v>
      </c>
      <c r="E616" s="4">
        <v>0.38</v>
      </c>
      <c r="F616" s="4"/>
      <c r="G616" s="4"/>
      <c r="H616" s="4"/>
    </row>
    <row r="617" spans="1:8" x14ac:dyDescent="0.2">
      <c r="A617" s="4">
        <v>197705</v>
      </c>
      <c r="B617" s="4">
        <v>-1.45</v>
      </c>
      <c r="C617" s="4">
        <v>1.18</v>
      </c>
      <c r="D617" s="4">
        <v>0.85</v>
      </c>
      <c r="E617" s="4">
        <v>0.37</v>
      </c>
      <c r="F617" s="4"/>
      <c r="G617" s="4"/>
      <c r="H617" s="4"/>
    </row>
    <row r="618" spans="1:8" x14ac:dyDescent="0.2">
      <c r="A618" s="4">
        <v>197706</v>
      </c>
      <c r="B618" s="4">
        <v>4.71</v>
      </c>
      <c r="C618" s="4">
        <v>2.09</v>
      </c>
      <c r="D618" s="4">
        <v>-0.74</v>
      </c>
      <c r="E618" s="4">
        <v>0.4</v>
      </c>
      <c r="F618" s="4"/>
      <c r="G618" s="4"/>
      <c r="H618" s="4"/>
    </row>
    <row r="619" spans="1:8" x14ac:dyDescent="0.2">
      <c r="A619" s="4">
        <v>197707</v>
      </c>
      <c r="B619" s="4">
        <v>-1.69</v>
      </c>
      <c r="C619" s="4">
        <v>2.16</v>
      </c>
      <c r="D619" s="4">
        <v>-0.56000000000000005</v>
      </c>
      <c r="E619" s="4">
        <v>0.42</v>
      </c>
      <c r="F619" s="4"/>
      <c r="G619" s="4"/>
      <c r="H619" s="4"/>
    </row>
    <row r="620" spans="1:8" x14ac:dyDescent="0.2">
      <c r="A620" s="4">
        <v>197708</v>
      </c>
      <c r="B620" s="4">
        <v>-1.75</v>
      </c>
      <c r="C620" s="4">
        <v>1.48</v>
      </c>
      <c r="D620" s="4">
        <v>-2.7</v>
      </c>
      <c r="E620" s="4">
        <v>0.44</v>
      </c>
      <c r="F620" s="4"/>
      <c r="G620" s="4"/>
      <c r="H620" s="4"/>
    </row>
    <row r="621" spans="1:8" x14ac:dyDescent="0.2">
      <c r="A621" s="4">
        <v>197709</v>
      </c>
      <c r="B621" s="4">
        <v>-0.27</v>
      </c>
      <c r="C621" s="4">
        <v>1.34</v>
      </c>
      <c r="D621" s="4">
        <v>-0.52</v>
      </c>
      <c r="E621" s="4">
        <v>0.43</v>
      </c>
      <c r="F621" s="4"/>
      <c r="G621" s="4"/>
      <c r="H621" s="4"/>
    </row>
    <row r="622" spans="1:8" x14ac:dyDescent="0.2">
      <c r="A622" s="4">
        <v>197710</v>
      </c>
      <c r="B622" s="4">
        <v>-4.38</v>
      </c>
      <c r="C622" s="4">
        <v>1.25</v>
      </c>
      <c r="D622" s="4">
        <v>1.75</v>
      </c>
      <c r="E622" s="4">
        <v>0.49</v>
      </c>
      <c r="F622" s="4"/>
      <c r="G622" s="4"/>
      <c r="H622" s="4"/>
    </row>
    <row r="623" spans="1:8" x14ac:dyDescent="0.2">
      <c r="A623" s="4">
        <v>197711</v>
      </c>
      <c r="B623" s="4">
        <v>4</v>
      </c>
      <c r="C623" s="4">
        <v>3.73</v>
      </c>
      <c r="D623" s="4">
        <v>0.26</v>
      </c>
      <c r="E623" s="4">
        <v>0.5</v>
      </c>
      <c r="F623" s="4"/>
      <c r="G623" s="4"/>
      <c r="H623" s="4"/>
    </row>
    <row r="624" spans="1:8" x14ac:dyDescent="0.2">
      <c r="A624" s="4">
        <v>197712</v>
      </c>
      <c r="B624" s="4">
        <v>0.27</v>
      </c>
      <c r="C624" s="4">
        <v>1.32</v>
      </c>
      <c r="D624" s="4">
        <v>-0.28999999999999998</v>
      </c>
      <c r="E624" s="4">
        <v>0.49</v>
      </c>
      <c r="F624" s="4"/>
      <c r="G624" s="4"/>
      <c r="H624" s="4"/>
    </row>
    <row r="625" spans="1:8" x14ac:dyDescent="0.2">
      <c r="A625" s="4">
        <v>197801</v>
      </c>
      <c r="B625" s="4">
        <v>-6.01</v>
      </c>
      <c r="C625" s="4">
        <v>2.2400000000000002</v>
      </c>
      <c r="D625" s="4">
        <v>3.36</v>
      </c>
      <c r="E625" s="4">
        <v>0.49</v>
      </c>
      <c r="F625" s="4"/>
      <c r="G625" s="4"/>
      <c r="H625" s="4"/>
    </row>
    <row r="626" spans="1:8" x14ac:dyDescent="0.2">
      <c r="A626" s="4">
        <v>197802</v>
      </c>
      <c r="B626" s="4">
        <v>-1.38</v>
      </c>
      <c r="C626" s="4">
        <v>3.59</v>
      </c>
      <c r="D626" s="4">
        <v>0.83</v>
      </c>
      <c r="E626" s="4">
        <v>0.46</v>
      </c>
      <c r="F626" s="4"/>
      <c r="G626" s="4"/>
      <c r="H626" s="4"/>
    </row>
    <row r="627" spans="1:8" x14ac:dyDescent="0.2">
      <c r="A627" s="4">
        <v>197803</v>
      </c>
      <c r="B627" s="4">
        <v>2.85</v>
      </c>
      <c r="C627" s="4">
        <v>3.49</v>
      </c>
      <c r="D627" s="4">
        <v>1.18</v>
      </c>
      <c r="E627" s="4">
        <v>0.53</v>
      </c>
      <c r="F627" s="4"/>
      <c r="G627" s="4"/>
      <c r="H627" s="4"/>
    </row>
    <row r="628" spans="1:8" x14ac:dyDescent="0.2">
      <c r="A628" s="4">
        <v>197804</v>
      </c>
      <c r="B628" s="4">
        <v>7.88</v>
      </c>
      <c r="C628" s="4">
        <v>0.45</v>
      </c>
      <c r="D628" s="4">
        <v>-3.54</v>
      </c>
      <c r="E628" s="4">
        <v>0.54</v>
      </c>
      <c r="F628" s="4"/>
      <c r="G628" s="4"/>
      <c r="H628" s="4"/>
    </row>
    <row r="629" spans="1:8" x14ac:dyDescent="0.2">
      <c r="A629" s="4">
        <v>197805</v>
      </c>
      <c r="B629" s="4">
        <v>1.76</v>
      </c>
      <c r="C629" s="4">
        <v>4.5599999999999996</v>
      </c>
      <c r="D629" s="4">
        <v>-0.52</v>
      </c>
      <c r="E629" s="4">
        <v>0.51</v>
      </c>
      <c r="F629" s="4"/>
      <c r="G629" s="4"/>
      <c r="H629" s="4"/>
    </row>
    <row r="630" spans="1:8" x14ac:dyDescent="0.2">
      <c r="A630" s="4">
        <v>197806</v>
      </c>
      <c r="B630" s="4">
        <v>-1.69</v>
      </c>
      <c r="C630" s="4">
        <v>1.66</v>
      </c>
      <c r="D630" s="4">
        <v>0.56999999999999995</v>
      </c>
      <c r="E630" s="4">
        <v>0.54</v>
      </c>
      <c r="F630" s="4"/>
      <c r="G630" s="4"/>
      <c r="H630" s="4"/>
    </row>
    <row r="631" spans="1:8" x14ac:dyDescent="0.2">
      <c r="A631" s="4">
        <v>197807</v>
      </c>
      <c r="B631" s="4">
        <v>5.1100000000000003</v>
      </c>
      <c r="C631" s="4">
        <v>0.23</v>
      </c>
      <c r="D631" s="4">
        <v>-1.1499999999999999</v>
      </c>
      <c r="E631" s="4">
        <v>0.56000000000000005</v>
      </c>
      <c r="F631" s="4"/>
      <c r="G631" s="4"/>
      <c r="H631" s="4"/>
    </row>
    <row r="632" spans="1:8" x14ac:dyDescent="0.2">
      <c r="A632" s="4">
        <v>197808</v>
      </c>
      <c r="B632" s="4">
        <v>3.75</v>
      </c>
      <c r="C632" s="4">
        <v>5.0599999999999996</v>
      </c>
      <c r="D632" s="4">
        <v>-0.51</v>
      </c>
      <c r="E632" s="4">
        <v>0.56000000000000005</v>
      </c>
      <c r="F632" s="4"/>
      <c r="G632" s="4"/>
      <c r="H632" s="4"/>
    </row>
    <row r="633" spans="1:8" x14ac:dyDescent="0.2">
      <c r="A633" s="4">
        <v>197809</v>
      </c>
      <c r="B633" s="4">
        <v>-1.43</v>
      </c>
      <c r="C633" s="4">
        <v>-0.43</v>
      </c>
      <c r="D633" s="4">
        <v>1.89</v>
      </c>
      <c r="E633" s="4">
        <v>0.62</v>
      </c>
      <c r="F633" s="4"/>
      <c r="G633" s="4"/>
      <c r="H633" s="4"/>
    </row>
    <row r="634" spans="1:8" x14ac:dyDescent="0.2">
      <c r="A634" s="4">
        <v>197810</v>
      </c>
      <c r="B634" s="4">
        <v>-11.91</v>
      </c>
      <c r="C634" s="4">
        <v>-9.86</v>
      </c>
      <c r="D634" s="4">
        <v>1.38</v>
      </c>
      <c r="E634" s="4">
        <v>0.68</v>
      </c>
      <c r="F634" s="4"/>
      <c r="G634" s="4"/>
      <c r="H634" s="4"/>
    </row>
    <row r="635" spans="1:8" x14ac:dyDescent="0.2">
      <c r="A635" s="4">
        <v>197811</v>
      </c>
      <c r="B635" s="4">
        <v>2.71</v>
      </c>
      <c r="C635" s="4">
        <v>2.97</v>
      </c>
      <c r="D635" s="4">
        <v>-2.15</v>
      </c>
      <c r="E635" s="4">
        <v>0.7</v>
      </c>
      <c r="F635" s="4"/>
      <c r="G635" s="4"/>
      <c r="H635" s="4"/>
    </row>
    <row r="636" spans="1:8" x14ac:dyDescent="0.2">
      <c r="A636" s="4">
        <v>197812</v>
      </c>
      <c r="B636" s="4">
        <v>0.88</v>
      </c>
      <c r="C636" s="4">
        <v>1.29</v>
      </c>
      <c r="D636" s="4">
        <v>-2.13</v>
      </c>
      <c r="E636" s="4">
        <v>0.78</v>
      </c>
      <c r="F636" s="4"/>
      <c r="G636" s="4"/>
      <c r="H636" s="4"/>
    </row>
    <row r="637" spans="1:8" x14ac:dyDescent="0.2">
      <c r="A637" s="4">
        <v>197901</v>
      </c>
      <c r="B637" s="4">
        <v>4.2300000000000004</v>
      </c>
      <c r="C637" s="4">
        <v>3.62</v>
      </c>
      <c r="D637" s="4">
        <v>2.19</v>
      </c>
      <c r="E637" s="4">
        <v>0.77</v>
      </c>
      <c r="F637" s="4"/>
      <c r="G637" s="4"/>
      <c r="H637" s="4"/>
    </row>
    <row r="638" spans="1:8" x14ac:dyDescent="0.2">
      <c r="A638" s="4">
        <v>197902</v>
      </c>
      <c r="B638" s="4">
        <v>-3.56</v>
      </c>
      <c r="C638" s="4">
        <v>0.45</v>
      </c>
      <c r="D638" s="4">
        <v>1.17</v>
      </c>
      <c r="E638" s="4">
        <v>0.73</v>
      </c>
      <c r="F638" s="4"/>
      <c r="G638" s="4"/>
      <c r="H638" s="4"/>
    </row>
    <row r="639" spans="1:8" x14ac:dyDescent="0.2">
      <c r="A639" s="4">
        <v>197903</v>
      </c>
      <c r="B639" s="4">
        <v>5.68</v>
      </c>
      <c r="C639" s="4">
        <v>3.26</v>
      </c>
      <c r="D639" s="4">
        <v>-0.71</v>
      </c>
      <c r="E639" s="4">
        <v>0.81</v>
      </c>
      <c r="F639" s="4"/>
      <c r="G639" s="4"/>
      <c r="H639" s="4"/>
    </row>
    <row r="640" spans="1:8" x14ac:dyDescent="0.2">
      <c r="A640" s="4">
        <v>197904</v>
      </c>
      <c r="B640" s="4">
        <v>-0.06</v>
      </c>
      <c r="C640" s="4">
        <v>2.15</v>
      </c>
      <c r="D640" s="4">
        <v>1.1200000000000001</v>
      </c>
      <c r="E640" s="4">
        <v>0.8</v>
      </c>
      <c r="F640" s="4"/>
      <c r="G640" s="4"/>
      <c r="H640" s="4"/>
    </row>
    <row r="641" spans="1:8" x14ac:dyDescent="0.2">
      <c r="A641" s="4">
        <v>197905</v>
      </c>
      <c r="B641" s="4">
        <v>-2.21</v>
      </c>
      <c r="C641" s="4">
        <v>0.21</v>
      </c>
      <c r="D641" s="4">
        <v>1.31</v>
      </c>
      <c r="E641" s="4">
        <v>0.82</v>
      </c>
      <c r="F641" s="4"/>
      <c r="G641" s="4"/>
      <c r="H641" s="4"/>
    </row>
    <row r="642" spans="1:8" x14ac:dyDescent="0.2">
      <c r="A642" s="4">
        <v>197906</v>
      </c>
      <c r="B642" s="4">
        <v>3.85</v>
      </c>
      <c r="C642" s="4">
        <v>1.17</v>
      </c>
      <c r="D642" s="4">
        <v>1.44</v>
      </c>
      <c r="E642" s="4">
        <v>0.81</v>
      </c>
      <c r="F642" s="4"/>
      <c r="G642" s="4"/>
      <c r="H642" s="4"/>
    </row>
    <row r="643" spans="1:8" x14ac:dyDescent="0.2">
      <c r="A643" s="4">
        <v>197907</v>
      </c>
      <c r="B643" s="4">
        <v>0.82</v>
      </c>
      <c r="C643" s="4">
        <v>1.28</v>
      </c>
      <c r="D643" s="4">
        <v>1.86</v>
      </c>
      <c r="E643" s="4">
        <v>0.77</v>
      </c>
      <c r="F643" s="4"/>
      <c r="G643" s="4"/>
      <c r="H643" s="4"/>
    </row>
    <row r="644" spans="1:8" x14ac:dyDescent="0.2">
      <c r="A644" s="4">
        <v>197908</v>
      </c>
      <c r="B644" s="4">
        <v>5.53</v>
      </c>
      <c r="C644" s="4">
        <v>2.0499999999999998</v>
      </c>
      <c r="D644" s="4">
        <v>-1.58</v>
      </c>
      <c r="E644" s="4">
        <v>0.77</v>
      </c>
      <c r="F644" s="4"/>
      <c r="G644" s="4"/>
      <c r="H644" s="4"/>
    </row>
    <row r="645" spans="1:8" x14ac:dyDescent="0.2">
      <c r="A645" s="4">
        <v>197909</v>
      </c>
      <c r="B645" s="4">
        <v>-0.82</v>
      </c>
      <c r="C645" s="4">
        <v>-0.27</v>
      </c>
      <c r="D645" s="4">
        <v>-0.9</v>
      </c>
      <c r="E645" s="4">
        <v>0.83</v>
      </c>
      <c r="F645" s="4"/>
      <c r="G645" s="4"/>
      <c r="H645" s="4"/>
    </row>
    <row r="646" spans="1:8" x14ac:dyDescent="0.2">
      <c r="A646" s="4">
        <v>197910</v>
      </c>
      <c r="B646" s="4">
        <v>-8.1</v>
      </c>
      <c r="C646" s="4">
        <v>-3.37</v>
      </c>
      <c r="D646" s="4">
        <v>-1.84</v>
      </c>
      <c r="E646" s="4">
        <v>0.87</v>
      </c>
      <c r="F646" s="4"/>
      <c r="G646" s="4"/>
      <c r="H646" s="4"/>
    </row>
    <row r="647" spans="1:8" x14ac:dyDescent="0.2">
      <c r="A647" s="4">
        <v>197911</v>
      </c>
      <c r="B647" s="4">
        <v>5.21</v>
      </c>
      <c r="C647" s="4">
        <v>2.87</v>
      </c>
      <c r="D647" s="4">
        <v>-3.29</v>
      </c>
      <c r="E647" s="4">
        <v>0.99</v>
      </c>
      <c r="F647" s="4"/>
      <c r="G647" s="4"/>
      <c r="H647" s="4"/>
    </row>
    <row r="648" spans="1:8" x14ac:dyDescent="0.2">
      <c r="A648" s="4">
        <v>197912</v>
      </c>
      <c r="B648" s="4">
        <v>1.79</v>
      </c>
      <c r="C648" s="4">
        <v>4.17</v>
      </c>
      <c r="D648" s="4">
        <v>-2.1</v>
      </c>
      <c r="E648" s="4">
        <v>0.95</v>
      </c>
      <c r="F648" s="4"/>
      <c r="G648" s="4"/>
      <c r="H648" s="4"/>
    </row>
    <row r="649" spans="1:8" x14ac:dyDescent="0.2">
      <c r="A649" s="4">
        <v>198001</v>
      </c>
      <c r="B649" s="4">
        <v>5.51</v>
      </c>
      <c r="C649" s="4">
        <v>1.62</v>
      </c>
      <c r="D649" s="4">
        <v>1.75</v>
      </c>
      <c r="E649" s="4">
        <v>0.8</v>
      </c>
      <c r="F649" s="4"/>
      <c r="G649" s="4"/>
      <c r="H649" s="4"/>
    </row>
    <row r="650" spans="1:8" x14ac:dyDescent="0.2">
      <c r="A650" s="4">
        <v>198002</v>
      </c>
      <c r="B650" s="4">
        <v>-1.22</v>
      </c>
      <c r="C650" s="4">
        <v>-1.85</v>
      </c>
      <c r="D650" s="4">
        <v>0.61</v>
      </c>
      <c r="E650" s="4">
        <v>0.89</v>
      </c>
      <c r="F650" s="4"/>
      <c r="G650" s="4"/>
      <c r="H650" s="4"/>
    </row>
    <row r="651" spans="1:8" x14ac:dyDescent="0.2">
      <c r="A651" s="4">
        <v>198003</v>
      </c>
      <c r="B651" s="4">
        <v>-12.9</v>
      </c>
      <c r="C651" s="4">
        <v>-6.64</v>
      </c>
      <c r="D651" s="4">
        <v>-1.01</v>
      </c>
      <c r="E651" s="4">
        <v>1.21</v>
      </c>
      <c r="F651" s="4"/>
      <c r="G651" s="4"/>
      <c r="H651" s="4"/>
    </row>
    <row r="652" spans="1:8" x14ac:dyDescent="0.2">
      <c r="A652" s="4">
        <v>198004</v>
      </c>
      <c r="B652" s="4">
        <v>3.97</v>
      </c>
      <c r="C652" s="4">
        <v>1.05</v>
      </c>
      <c r="D652" s="4">
        <v>1.06</v>
      </c>
      <c r="E652" s="4">
        <v>1.26</v>
      </c>
      <c r="F652" s="4"/>
      <c r="G652" s="4"/>
      <c r="H652" s="4"/>
    </row>
    <row r="653" spans="1:8" x14ac:dyDescent="0.2">
      <c r="A653" s="4">
        <v>198005</v>
      </c>
      <c r="B653" s="4">
        <v>5.26</v>
      </c>
      <c r="C653" s="4">
        <v>2.13</v>
      </c>
      <c r="D653" s="4">
        <v>0.38</v>
      </c>
      <c r="E653" s="4">
        <v>0.81</v>
      </c>
      <c r="F653" s="4"/>
      <c r="G653" s="4"/>
      <c r="H653" s="4"/>
    </row>
    <row r="654" spans="1:8" x14ac:dyDescent="0.2">
      <c r="A654" s="4">
        <v>198006</v>
      </c>
      <c r="B654" s="4">
        <v>3.06</v>
      </c>
      <c r="C654" s="4">
        <v>1.66</v>
      </c>
      <c r="D654" s="4">
        <v>-0.76</v>
      </c>
      <c r="E654" s="4">
        <v>0.61</v>
      </c>
      <c r="F654" s="4"/>
      <c r="G654" s="4"/>
      <c r="H654" s="4"/>
    </row>
    <row r="655" spans="1:8" x14ac:dyDescent="0.2">
      <c r="A655" s="4">
        <v>198007</v>
      </c>
      <c r="B655" s="4">
        <v>6.49</v>
      </c>
      <c r="C655" s="4">
        <v>4.1399999999999997</v>
      </c>
      <c r="D655" s="4">
        <v>-6.41</v>
      </c>
      <c r="E655" s="4">
        <v>0.53</v>
      </c>
      <c r="F655" s="4"/>
      <c r="G655" s="4"/>
      <c r="H655" s="4"/>
    </row>
    <row r="656" spans="1:8" x14ac:dyDescent="0.2">
      <c r="A656" s="4">
        <v>198008</v>
      </c>
      <c r="B656" s="4">
        <v>1.8</v>
      </c>
      <c r="C656" s="4">
        <v>3.92</v>
      </c>
      <c r="D656" s="4">
        <v>-2.6</v>
      </c>
      <c r="E656" s="4">
        <v>0.64</v>
      </c>
      <c r="F656" s="4"/>
      <c r="G656" s="4"/>
      <c r="H656" s="4"/>
    </row>
    <row r="657" spans="1:8" x14ac:dyDescent="0.2">
      <c r="A657" s="4">
        <v>198009</v>
      </c>
      <c r="B657" s="4">
        <v>2.19</v>
      </c>
      <c r="C657" s="4">
        <v>0.98</v>
      </c>
      <c r="D657" s="4">
        <v>-4.59</v>
      </c>
      <c r="E657" s="4">
        <v>0.75</v>
      </c>
      <c r="F657" s="4"/>
      <c r="G657" s="4"/>
      <c r="H657" s="4"/>
    </row>
    <row r="658" spans="1:8" x14ac:dyDescent="0.2">
      <c r="A658" s="4">
        <v>198010</v>
      </c>
      <c r="B658" s="4">
        <v>1.06</v>
      </c>
      <c r="C658" s="4">
        <v>2.4700000000000002</v>
      </c>
      <c r="D658" s="4">
        <v>-2.76</v>
      </c>
      <c r="E658" s="4">
        <v>0.95</v>
      </c>
      <c r="F658" s="4"/>
      <c r="G658" s="4"/>
      <c r="H658" s="4"/>
    </row>
    <row r="659" spans="1:8" x14ac:dyDescent="0.2">
      <c r="A659" s="4">
        <v>198011</v>
      </c>
      <c r="B659" s="4">
        <v>9.59</v>
      </c>
      <c r="C659" s="4">
        <v>-3.36</v>
      </c>
      <c r="D659" s="4">
        <v>-8.33</v>
      </c>
      <c r="E659" s="4">
        <v>0.96</v>
      </c>
      <c r="F659" s="4"/>
      <c r="G659" s="4"/>
      <c r="H659" s="4"/>
    </row>
    <row r="660" spans="1:8" x14ac:dyDescent="0.2">
      <c r="A660" s="4">
        <v>198012</v>
      </c>
      <c r="B660" s="4">
        <v>-4.5199999999999996</v>
      </c>
      <c r="C660" s="4">
        <v>-0.26</v>
      </c>
      <c r="D660" s="4">
        <v>2.79</v>
      </c>
      <c r="E660" s="4">
        <v>1.31</v>
      </c>
      <c r="F660" s="4"/>
      <c r="G660" s="4"/>
      <c r="H660" s="4"/>
    </row>
    <row r="661" spans="1:8" x14ac:dyDescent="0.2">
      <c r="A661" s="4">
        <v>198101</v>
      </c>
      <c r="B661" s="4">
        <v>-5.04</v>
      </c>
      <c r="C661" s="4">
        <v>2.92</v>
      </c>
      <c r="D661" s="4">
        <v>6.72</v>
      </c>
      <c r="E661" s="4">
        <v>1.04</v>
      </c>
      <c r="F661" s="4"/>
      <c r="G661" s="4"/>
      <c r="H661" s="4"/>
    </row>
    <row r="662" spans="1:8" x14ac:dyDescent="0.2">
      <c r="A662" s="4">
        <v>198102</v>
      </c>
      <c r="B662" s="4">
        <v>0.56999999999999995</v>
      </c>
      <c r="C662" s="4">
        <v>-0.34</v>
      </c>
      <c r="D662" s="4">
        <v>1.02</v>
      </c>
      <c r="E662" s="4">
        <v>1.07</v>
      </c>
      <c r="F662" s="4"/>
      <c r="G662" s="4"/>
      <c r="H662" s="4"/>
    </row>
    <row r="663" spans="1:8" x14ac:dyDescent="0.2">
      <c r="A663" s="4">
        <v>198103</v>
      </c>
      <c r="B663" s="4">
        <v>3.56</v>
      </c>
      <c r="C663" s="4">
        <v>3.54</v>
      </c>
      <c r="D663" s="4">
        <v>0.64</v>
      </c>
      <c r="E663" s="4">
        <v>1.21</v>
      </c>
      <c r="F663" s="4"/>
      <c r="G663" s="4"/>
      <c r="H663" s="4"/>
    </row>
    <row r="664" spans="1:8" x14ac:dyDescent="0.2">
      <c r="A664" s="4">
        <v>198104</v>
      </c>
      <c r="B664" s="4">
        <v>-2.11</v>
      </c>
      <c r="C664" s="4">
        <v>4.4000000000000004</v>
      </c>
      <c r="D664" s="4">
        <v>2.2799999999999998</v>
      </c>
      <c r="E664" s="4">
        <v>1.08</v>
      </c>
      <c r="F664" s="4"/>
      <c r="G664" s="4"/>
      <c r="H664" s="4"/>
    </row>
    <row r="665" spans="1:8" x14ac:dyDescent="0.2">
      <c r="A665" s="4">
        <v>198105</v>
      </c>
      <c r="B665" s="4">
        <v>0.11</v>
      </c>
      <c r="C665" s="4">
        <v>2</v>
      </c>
      <c r="D665" s="4">
        <v>-0.42</v>
      </c>
      <c r="E665" s="4">
        <v>1.1499999999999999</v>
      </c>
      <c r="F665" s="4"/>
      <c r="G665" s="4"/>
      <c r="H665" s="4"/>
    </row>
    <row r="666" spans="1:8" x14ac:dyDescent="0.2">
      <c r="A666" s="4">
        <v>198106</v>
      </c>
      <c r="B666" s="4">
        <v>-2.36</v>
      </c>
      <c r="C666" s="4">
        <v>-0.83</v>
      </c>
      <c r="D666" s="4">
        <v>5.13</v>
      </c>
      <c r="E666" s="4">
        <v>1.35</v>
      </c>
      <c r="F666" s="4"/>
      <c r="G666" s="4"/>
      <c r="H666" s="4"/>
    </row>
    <row r="667" spans="1:8" x14ac:dyDescent="0.2">
      <c r="A667" s="4">
        <v>198107</v>
      </c>
      <c r="B667" s="4">
        <v>-1.54</v>
      </c>
      <c r="C667" s="4">
        <v>-2.19</v>
      </c>
      <c r="D667" s="4">
        <v>-0.5</v>
      </c>
      <c r="E667" s="4">
        <v>1.24</v>
      </c>
      <c r="F667" s="4"/>
      <c r="G667" s="4"/>
      <c r="H667" s="4"/>
    </row>
    <row r="668" spans="1:8" x14ac:dyDescent="0.2">
      <c r="A668" s="4">
        <v>198108</v>
      </c>
      <c r="B668" s="4">
        <v>-7.04</v>
      </c>
      <c r="C668" s="4">
        <v>-1.95</v>
      </c>
      <c r="D668" s="4">
        <v>4.76</v>
      </c>
      <c r="E668" s="4">
        <v>1.28</v>
      </c>
      <c r="F668" s="4"/>
      <c r="G668" s="4"/>
      <c r="H668" s="4"/>
    </row>
    <row r="669" spans="1:8" x14ac:dyDescent="0.2">
      <c r="A669" s="4">
        <v>198109</v>
      </c>
      <c r="B669" s="4">
        <v>-7.17</v>
      </c>
      <c r="C669" s="4">
        <v>-2.65</v>
      </c>
      <c r="D669" s="4">
        <v>5.17</v>
      </c>
      <c r="E669" s="4">
        <v>1.24</v>
      </c>
      <c r="F669" s="4"/>
      <c r="G669" s="4"/>
      <c r="H669" s="4"/>
    </row>
    <row r="670" spans="1:8" x14ac:dyDescent="0.2">
      <c r="A670" s="4">
        <v>198110</v>
      </c>
      <c r="B670" s="4">
        <v>4.92</v>
      </c>
      <c r="C670" s="4">
        <v>2.23</v>
      </c>
      <c r="D670" s="4">
        <v>-4.21</v>
      </c>
      <c r="E670" s="4">
        <v>1.21</v>
      </c>
      <c r="F670" s="4"/>
      <c r="G670" s="4"/>
      <c r="H670" s="4"/>
    </row>
    <row r="671" spans="1:8" x14ac:dyDescent="0.2">
      <c r="A671" s="4">
        <v>198111</v>
      </c>
      <c r="B671" s="4">
        <v>3.36</v>
      </c>
      <c r="C671" s="4">
        <v>-1.03</v>
      </c>
      <c r="D671" s="4">
        <v>1.83</v>
      </c>
      <c r="E671" s="4">
        <v>1.07</v>
      </c>
      <c r="F671" s="4"/>
      <c r="G671" s="4"/>
      <c r="H671" s="4"/>
    </row>
    <row r="672" spans="1:8" x14ac:dyDescent="0.2">
      <c r="A672" s="4">
        <v>198112</v>
      </c>
      <c r="B672" s="4">
        <v>-3.65</v>
      </c>
      <c r="C672" s="4">
        <v>1.2</v>
      </c>
      <c r="D672" s="4">
        <v>0.81</v>
      </c>
      <c r="E672" s="4">
        <v>0.87</v>
      </c>
      <c r="F672" s="4"/>
      <c r="G672" s="4"/>
      <c r="H672" s="4"/>
    </row>
    <row r="673" spans="1:8" x14ac:dyDescent="0.2">
      <c r="A673" s="4">
        <v>198201</v>
      </c>
      <c r="B673" s="4">
        <v>-3.24</v>
      </c>
      <c r="C673" s="4">
        <v>-1.28</v>
      </c>
      <c r="D673" s="4">
        <v>3.19</v>
      </c>
      <c r="E673" s="4">
        <v>0.8</v>
      </c>
      <c r="F673" s="4"/>
      <c r="G673" s="4"/>
      <c r="H673" s="4"/>
    </row>
    <row r="674" spans="1:8" x14ac:dyDescent="0.2">
      <c r="A674" s="4">
        <v>198202</v>
      </c>
      <c r="B674" s="4">
        <v>-5.86</v>
      </c>
      <c r="C674" s="4">
        <v>0.44</v>
      </c>
      <c r="D674" s="4">
        <v>6.05</v>
      </c>
      <c r="E674" s="4">
        <v>0.92</v>
      </c>
      <c r="F674" s="4"/>
      <c r="G674" s="4"/>
      <c r="H674" s="4"/>
    </row>
    <row r="675" spans="1:8" x14ac:dyDescent="0.2">
      <c r="A675" s="4">
        <v>198203</v>
      </c>
      <c r="B675" s="4">
        <v>-1.87</v>
      </c>
      <c r="C675" s="4">
        <v>-0.21</v>
      </c>
      <c r="D675" s="4">
        <v>3.81</v>
      </c>
      <c r="E675" s="4">
        <v>0.98</v>
      </c>
      <c r="F675" s="4"/>
      <c r="G675" s="4"/>
      <c r="H675" s="4"/>
    </row>
    <row r="676" spans="1:8" x14ac:dyDescent="0.2">
      <c r="A676" s="4">
        <v>198204</v>
      </c>
      <c r="B676" s="4">
        <v>3.27</v>
      </c>
      <c r="C676" s="4">
        <v>1.47</v>
      </c>
      <c r="D676" s="4">
        <v>-2.7</v>
      </c>
      <c r="E676" s="4">
        <v>1.1299999999999999</v>
      </c>
      <c r="F676" s="4"/>
      <c r="G676" s="4"/>
      <c r="H676" s="4"/>
    </row>
    <row r="677" spans="1:8" x14ac:dyDescent="0.2">
      <c r="A677" s="4">
        <v>198205</v>
      </c>
      <c r="B677" s="4">
        <v>-3.99</v>
      </c>
      <c r="C677" s="4">
        <v>0.52</v>
      </c>
      <c r="D677" s="4">
        <v>1.75</v>
      </c>
      <c r="E677" s="4">
        <v>1.06</v>
      </c>
      <c r="F677" s="4"/>
      <c r="G677" s="4"/>
      <c r="H677" s="4"/>
    </row>
    <row r="678" spans="1:8" x14ac:dyDescent="0.2">
      <c r="A678" s="4">
        <v>198206</v>
      </c>
      <c r="B678" s="4">
        <v>-3.09</v>
      </c>
      <c r="C678" s="4">
        <v>-0.4</v>
      </c>
      <c r="D678" s="4">
        <v>1.53</v>
      </c>
      <c r="E678" s="4">
        <v>0.96</v>
      </c>
      <c r="F678" s="4"/>
      <c r="G678" s="4"/>
      <c r="H678" s="4"/>
    </row>
    <row r="679" spans="1:8" x14ac:dyDescent="0.2">
      <c r="A679" s="4">
        <v>198207</v>
      </c>
      <c r="B679" s="4">
        <v>-3.19</v>
      </c>
      <c r="C679" s="4">
        <v>0.83</v>
      </c>
      <c r="D679" s="4">
        <v>0.09</v>
      </c>
      <c r="E679" s="4">
        <v>1.05</v>
      </c>
      <c r="F679" s="4"/>
      <c r="G679" s="4"/>
      <c r="H679" s="4"/>
    </row>
    <row r="680" spans="1:8" x14ac:dyDescent="0.2">
      <c r="A680" s="4">
        <v>198208</v>
      </c>
      <c r="B680" s="4">
        <v>11.14</v>
      </c>
      <c r="C680" s="4">
        <v>-4.1399999999999997</v>
      </c>
      <c r="D680" s="4">
        <v>0.95</v>
      </c>
      <c r="E680" s="4">
        <v>0.76</v>
      </c>
      <c r="F680" s="4"/>
      <c r="G680" s="4"/>
      <c r="H680" s="4"/>
    </row>
    <row r="681" spans="1:8" x14ac:dyDescent="0.2">
      <c r="A681" s="4">
        <v>198209</v>
      </c>
      <c r="B681" s="4">
        <v>1.29</v>
      </c>
      <c r="C681" s="4">
        <v>2.95</v>
      </c>
      <c r="D681" s="4">
        <v>0.28000000000000003</v>
      </c>
      <c r="E681" s="4">
        <v>0.51</v>
      </c>
      <c r="F681" s="4"/>
      <c r="G681" s="4"/>
      <c r="H681" s="4"/>
    </row>
    <row r="682" spans="1:8" x14ac:dyDescent="0.2">
      <c r="A682" s="4">
        <v>198210</v>
      </c>
      <c r="B682" s="4">
        <v>11.3</v>
      </c>
      <c r="C682" s="4">
        <v>2.34</v>
      </c>
      <c r="D682" s="4">
        <v>-3.66</v>
      </c>
      <c r="E682" s="4">
        <v>0.59</v>
      </c>
      <c r="F682" s="4"/>
      <c r="G682" s="4"/>
      <c r="H682" s="4"/>
    </row>
    <row r="683" spans="1:8" x14ac:dyDescent="0.2">
      <c r="A683" s="4">
        <v>198211</v>
      </c>
      <c r="B683" s="4">
        <v>4.67</v>
      </c>
      <c r="C683" s="4">
        <v>4.67</v>
      </c>
      <c r="D683" s="4">
        <v>-1.87</v>
      </c>
      <c r="E683" s="4">
        <v>0.63</v>
      </c>
      <c r="F683" s="4"/>
      <c r="G683" s="4"/>
      <c r="H683" s="4"/>
    </row>
    <row r="684" spans="1:8" x14ac:dyDescent="0.2">
      <c r="A684" s="4">
        <v>198212</v>
      </c>
      <c r="B684" s="4">
        <v>0.55000000000000004</v>
      </c>
      <c r="C684" s="4">
        <v>-0.22</v>
      </c>
      <c r="D684" s="4">
        <v>-0.02</v>
      </c>
      <c r="E684" s="4">
        <v>0.67</v>
      </c>
      <c r="F684" s="4"/>
      <c r="G684" s="4"/>
      <c r="H684" s="4"/>
    </row>
    <row r="685" spans="1:8" x14ac:dyDescent="0.2">
      <c r="A685" s="4">
        <v>198301</v>
      </c>
      <c r="B685" s="4">
        <v>3.6</v>
      </c>
      <c r="C685" s="4">
        <v>2.73</v>
      </c>
      <c r="D685" s="4">
        <v>-0.75</v>
      </c>
      <c r="E685" s="4">
        <v>0.69</v>
      </c>
      <c r="F685" s="4"/>
      <c r="G685" s="4"/>
      <c r="H685" s="4"/>
    </row>
    <row r="686" spans="1:8" x14ac:dyDescent="0.2">
      <c r="A686" s="4">
        <v>198302</v>
      </c>
      <c r="B686" s="4">
        <v>2.59</v>
      </c>
      <c r="C686" s="4">
        <v>3.27</v>
      </c>
      <c r="D686" s="4">
        <v>0.7</v>
      </c>
      <c r="E686" s="4">
        <v>0.62</v>
      </c>
      <c r="F686" s="4"/>
      <c r="G686" s="4"/>
      <c r="H686" s="4"/>
    </row>
    <row r="687" spans="1:8" x14ac:dyDescent="0.2">
      <c r="A687" s="4">
        <v>198303</v>
      </c>
      <c r="B687" s="4">
        <v>2.82</v>
      </c>
      <c r="C687" s="4">
        <v>1.73</v>
      </c>
      <c r="D687" s="4">
        <v>2.02</v>
      </c>
      <c r="E687" s="4">
        <v>0.63</v>
      </c>
      <c r="F687" s="4"/>
      <c r="G687" s="4"/>
      <c r="H687" s="4"/>
    </row>
    <row r="688" spans="1:8" x14ac:dyDescent="0.2">
      <c r="A688" s="4">
        <v>198304</v>
      </c>
      <c r="B688" s="4">
        <v>6.67</v>
      </c>
      <c r="C688" s="4">
        <v>0.5</v>
      </c>
      <c r="D688" s="4">
        <v>0.49</v>
      </c>
      <c r="E688" s="4">
        <v>0.71</v>
      </c>
      <c r="F688" s="4"/>
      <c r="G688" s="4"/>
      <c r="H688" s="4"/>
    </row>
    <row r="689" spans="1:8" x14ac:dyDescent="0.2">
      <c r="A689" s="4">
        <v>198305</v>
      </c>
      <c r="B689" s="4">
        <v>0.52</v>
      </c>
      <c r="C689" s="4">
        <v>6.24</v>
      </c>
      <c r="D689" s="4">
        <v>-1.4</v>
      </c>
      <c r="E689" s="4">
        <v>0.69</v>
      </c>
      <c r="F689" s="4"/>
      <c r="G689" s="4"/>
      <c r="H689" s="4"/>
    </row>
    <row r="690" spans="1:8" x14ac:dyDescent="0.2">
      <c r="A690" s="4">
        <v>198306</v>
      </c>
      <c r="B690" s="4">
        <v>3.07</v>
      </c>
      <c r="C690" s="4">
        <v>0.95</v>
      </c>
      <c r="D690" s="4">
        <v>-3.9</v>
      </c>
      <c r="E690" s="4">
        <v>0.67</v>
      </c>
      <c r="F690" s="4"/>
      <c r="G690" s="4"/>
      <c r="H690" s="4"/>
    </row>
    <row r="691" spans="1:8" x14ac:dyDescent="0.2">
      <c r="A691" s="4">
        <v>198307</v>
      </c>
      <c r="B691" s="4">
        <v>-4.07</v>
      </c>
      <c r="C691" s="4">
        <v>1.5</v>
      </c>
      <c r="D691" s="4">
        <v>5.62</v>
      </c>
      <c r="E691" s="4">
        <v>0.74</v>
      </c>
      <c r="F691" s="4"/>
      <c r="G691" s="4"/>
      <c r="H691" s="4"/>
    </row>
    <row r="692" spans="1:8" x14ac:dyDescent="0.2">
      <c r="A692" s="4">
        <v>198308</v>
      </c>
      <c r="B692" s="4">
        <v>-0.5</v>
      </c>
      <c r="C692" s="4">
        <v>-4.28</v>
      </c>
      <c r="D692" s="4">
        <v>5.54</v>
      </c>
      <c r="E692" s="4">
        <v>0.76</v>
      </c>
      <c r="F692" s="4"/>
      <c r="G692" s="4"/>
      <c r="H692" s="4"/>
    </row>
    <row r="693" spans="1:8" x14ac:dyDescent="0.2">
      <c r="A693" s="4">
        <v>198309</v>
      </c>
      <c r="B693" s="4">
        <v>0.91</v>
      </c>
      <c r="C693" s="4">
        <v>0.61</v>
      </c>
      <c r="D693" s="4">
        <v>1.01</v>
      </c>
      <c r="E693" s="4">
        <v>0.76</v>
      </c>
      <c r="F693" s="4"/>
      <c r="G693" s="4"/>
      <c r="H693" s="4"/>
    </row>
    <row r="694" spans="1:8" x14ac:dyDescent="0.2">
      <c r="A694" s="4">
        <v>198310</v>
      </c>
      <c r="B694" s="4">
        <v>-3.44</v>
      </c>
      <c r="C694" s="4">
        <v>-3.57</v>
      </c>
      <c r="D694" s="4">
        <v>4.97</v>
      </c>
      <c r="E694" s="4">
        <v>0.76</v>
      </c>
      <c r="F694" s="4"/>
      <c r="G694" s="4"/>
      <c r="H694" s="4"/>
    </row>
    <row r="695" spans="1:8" x14ac:dyDescent="0.2">
      <c r="A695" s="4">
        <v>198311</v>
      </c>
      <c r="B695" s="4">
        <v>2.16</v>
      </c>
      <c r="C695" s="4">
        <v>2.0099999999999998</v>
      </c>
      <c r="D695" s="4">
        <v>-0.72</v>
      </c>
      <c r="E695" s="4">
        <v>0.7</v>
      </c>
      <c r="F695" s="4"/>
      <c r="G695" s="4"/>
      <c r="H695" s="4"/>
    </row>
    <row r="696" spans="1:8" x14ac:dyDescent="0.2">
      <c r="A696" s="4">
        <v>198312</v>
      </c>
      <c r="B696" s="4">
        <v>-1.78</v>
      </c>
      <c r="C696" s="4">
        <v>-0.27</v>
      </c>
      <c r="D696" s="4">
        <v>1.73</v>
      </c>
      <c r="E696" s="4">
        <v>0.73</v>
      </c>
      <c r="F696" s="4"/>
      <c r="G696" s="4"/>
      <c r="H696" s="4"/>
    </row>
    <row r="697" spans="1:8" x14ac:dyDescent="0.2">
      <c r="A697" s="4">
        <v>198401</v>
      </c>
      <c r="B697" s="4">
        <v>-1.92</v>
      </c>
      <c r="C697" s="4">
        <v>-0.38</v>
      </c>
      <c r="D697" s="4">
        <v>7.58</v>
      </c>
      <c r="E697" s="4">
        <v>0.76</v>
      </c>
      <c r="F697" s="4"/>
      <c r="G697" s="4"/>
      <c r="H697" s="4"/>
    </row>
    <row r="698" spans="1:8" x14ac:dyDescent="0.2">
      <c r="A698" s="4">
        <v>198402</v>
      </c>
      <c r="B698" s="4">
        <v>-4.82</v>
      </c>
      <c r="C698" s="4">
        <v>-1.69</v>
      </c>
      <c r="D698" s="4">
        <v>3.33</v>
      </c>
      <c r="E698" s="4">
        <v>0.71</v>
      </c>
      <c r="F698" s="4"/>
      <c r="G698" s="4"/>
      <c r="H698" s="4"/>
    </row>
    <row r="699" spans="1:8" x14ac:dyDescent="0.2">
      <c r="A699" s="4">
        <v>198403</v>
      </c>
      <c r="B699" s="4">
        <v>0.63</v>
      </c>
      <c r="C699" s="4">
        <v>7.0000000000000007E-2</v>
      </c>
      <c r="D699" s="4">
        <v>0.46</v>
      </c>
      <c r="E699" s="4">
        <v>0.73</v>
      </c>
      <c r="F699" s="4"/>
      <c r="G699" s="4"/>
      <c r="H699" s="4"/>
    </row>
    <row r="700" spans="1:8" x14ac:dyDescent="0.2">
      <c r="A700" s="4">
        <v>198404</v>
      </c>
      <c r="B700" s="4">
        <v>-0.51</v>
      </c>
      <c r="C700" s="4">
        <v>-1.1599999999999999</v>
      </c>
      <c r="D700" s="4">
        <v>1.2</v>
      </c>
      <c r="E700" s="4">
        <v>0.81</v>
      </c>
      <c r="F700" s="4"/>
      <c r="G700" s="4"/>
      <c r="H700" s="4"/>
    </row>
    <row r="701" spans="1:8" x14ac:dyDescent="0.2">
      <c r="A701" s="4">
        <v>198405</v>
      </c>
      <c r="B701" s="4">
        <v>-5.97</v>
      </c>
      <c r="C701" s="4">
        <v>0.06</v>
      </c>
      <c r="D701" s="4">
        <v>0.31</v>
      </c>
      <c r="E701" s="4">
        <v>0.78</v>
      </c>
      <c r="F701" s="4"/>
      <c r="G701" s="4"/>
      <c r="H701" s="4"/>
    </row>
    <row r="702" spans="1:8" x14ac:dyDescent="0.2">
      <c r="A702" s="4">
        <v>198406</v>
      </c>
      <c r="B702" s="4">
        <v>1.82</v>
      </c>
      <c r="C702" s="4">
        <v>-0.3</v>
      </c>
      <c r="D702" s="4">
        <v>-2.66</v>
      </c>
      <c r="E702" s="4">
        <v>0.75</v>
      </c>
      <c r="F702" s="4"/>
      <c r="G702" s="4"/>
      <c r="H702" s="4"/>
    </row>
    <row r="703" spans="1:8" x14ac:dyDescent="0.2">
      <c r="A703" s="4">
        <v>198407</v>
      </c>
      <c r="B703" s="4">
        <v>-2.74</v>
      </c>
      <c r="C703" s="4">
        <v>-2.21</v>
      </c>
      <c r="D703" s="4">
        <v>0.36</v>
      </c>
      <c r="E703" s="4">
        <v>0.82</v>
      </c>
      <c r="F703" s="4"/>
      <c r="G703" s="4"/>
      <c r="H703" s="4"/>
    </row>
    <row r="704" spans="1:8" x14ac:dyDescent="0.2">
      <c r="A704" s="4">
        <v>198408</v>
      </c>
      <c r="B704" s="4">
        <v>10.28</v>
      </c>
      <c r="C704" s="4">
        <v>-0.24</v>
      </c>
      <c r="D704" s="4">
        <v>-1.82</v>
      </c>
      <c r="E704" s="4">
        <v>0.83</v>
      </c>
      <c r="F704" s="4"/>
      <c r="G704" s="4"/>
      <c r="H704" s="4"/>
    </row>
    <row r="705" spans="1:8" x14ac:dyDescent="0.2">
      <c r="A705" s="4">
        <v>198409</v>
      </c>
      <c r="B705" s="4">
        <v>-0.8</v>
      </c>
      <c r="C705" s="4">
        <v>0.17</v>
      </c>
      <c r="D705" s="4">
        <v>5.28</v>
      </c>
      <c r="E705" s="4">
        <v>0.86</v>
      </c>
      <c r="F705" s="4"/>
      <c r="G705" s="4"/>
      <c r="H705" s="4"/>
    </row>
    <row r="706" spans="1:8" x14ac:dyDescent="0.2">
      <c r="A706" s="4">
        <v>198410</v>
      </c>
      <c r="B706" s="4">
        <v>-0.84</v>
      </c>
      <c r="C706" s="4">
        <v>-1.23</v>
      </c>
      <c r="D706" s="4">
        <v>0.45</v>
      </c>
      <c r="E706" s="4">
        <v>1</v>
      </c>
      <c r="F706" s="4"/>
      <c r="G706" s="4"/>
      <c r="H706" s="4"/>
    </row>
    <row r="707" spans="1:8" x14ac:dyDescent="0.2">
      <c r="A707" s="4">
        <v>198411</v>
      </c>
      <c r="B707" s="4">
        <v>-1.76</v>
      </c>
      <c r="C707" s="4">
        <v>-0.65</v>
      </c>
      <c r="D707" s="4">
        <v>4.0599999999999996</v>
      </c>
      <c r="E707" s="4">
        <v>0.73</v>
      </c>
      <c r="F707" s="4"/>
      <c r="G707" s="4"/>
      <c r="H707" s="4"/>
    </row>
    <row r="708" spans="1:8" x14ac:dyDescent="0.2">
      <c r="A708" s="4">
        <v>198412</v>
      </c>
      <c r="B708" s="4">
        <v>1.84</v>
      </c>
      <c r="C708" s="4">
        <v>-0.56000000000000005</v>
      </c>
      <c r="D708" s="4">
        <v>-0.26</v>
      </c>
      <c r="E708" s="4">
        <v>0.64</v>
      </c>
      <c r="F708" s="4"/>
      <c r="G708" s="4"/>
      <c r="H708" s="4"/>
    </row>
    <row r="709" spans="1:8" x14ac:dyDescent="0.2">
      <c r="A709" s="4">
        <v>198501</v>
      </c>
      <c r="B709" s="4">
        <v>7.99</v>
      </c>
      <c r="C709" s="4">
        <v>3.31</v>
      </c>
      <c r="D709" s="4">
        <v>-5.35</v>
      </c>
      <c r="E709" s="4">
        <v>0.65</v>
      </c>
      <c r="F709" s="4"/>
      <c r="G709" s="4"/>
      <c r="H709" s="4"/>
    </row>
    <row r="710" spans="1:8" x14ac:dyDescent="0.2">
      <c r="A710" s="4">
        <v>198502</v>
      </c>
      <c r="B710" s="4">
        <v>1.22</v>
      </c>
      <c r="C710" s="4">
        <v>0.79</v>
      </c>
      <c r="D710" s="4">
        <v>-0.1</v>
      </c>
      <c r="E710" s="4">
        <v>0.57999999999999996</v>
      </c>
      <c r="F710" s="4"/>
      <c r="G710" s="4"/>
      <c r="H710" s="4"/>
    </row>
    <row r="711" spans="1:8" x14ac:dyDescent="0.2">
      <c r="A711" s="4">
        <v>198503</v>
      </c>
      <c r="B711" s="4">
        <v>-0.84</v>
      </c>
      <c r="C711" s="4">
        <v>-1.08</v>
      </c>
      <c r="D711" s="4">
        <v>4.07</v>
      </c>
      <c r="E711" s="4">
        <v>0.62</v>
      </c>
      <c r="F711" s="4"/>
      <c r="G711" s="4"/>
      <c r="H711" s="4"/>
    </row>
    <row r="712" spans="1:8" x14ac:dyDescent="0.2">
      <c r="A712" s="4">
        <v>198504</v>
      </c>
      <c r="B712" s="4">
        <v>-0.96</v>
      </c>
      <c r="C712" s="4">
        <v>0.14000000000000001</v>
      </c>
      <c r="D712" s="4">
        <v>3.72</v>
      </c>
      <c r="E712" s="4">
        <v>0.72</v>
      </c>
      <c r="F712" s="4"/>
      <c r="G712" s="4"/>
      <c r="H712" s="4"/>
    </row>
    <row r="713" spans="1:8" x14ac:dyDescent="0.2">
      <c r="A713" s="4">
        <v>198505</v>
      </c>
      <c r="B713" s="4">
        <v>5.09</v>
      </c>
      <c r="C713" s="4">
        <v>-2.2200000000000002</v>
      </c>
      <c r="D713" s="4">
        <v>-0.96</v>
      </c>
      <c r="E713" s="4">
        <v>0.66</v>
      </c>
      <c r="F713" s="4"/>
      <c r="G713" s="4"/>
      <c r="H713" s="4"/>
    </row>
    <row r="714" spans="1:8" x14ac:dyDescent="0.2">
      <c r="A714" s="4">
        <v>198506</v>
      </c>
      <c r="B714" s="4">
        <v>1.27</v>
      </c>
      <c r="C714" s="4">
        <v>0.52</v>
      </c>
      <c r="D714" s="4">
        <v>0.38</v>
      </c>
      <c r="E714" s="4">
        <v>0.55000000000000004</v>
      </c>
      <c r="F714" s="4"/>
      <c r="G714" s="4"/>
      <c r="H714" s="4"/>
    </row>
    <row r="715" spans="1:8" x14ac:dyDescent="0.2">
      <c r="A715" s="4">
        <v>198507</v>
      </c>
      <c r="B715" s="4">
        <v>-0.74</v>
      </c>
      <c r="C715" s="4">
        <v>2.84</v>
      </c>
      <c r="D715" s="4">
        <v>-1.62</v>
      </c>
      <c r="E715" s="4">
        <v>0.62</v>
      </c>
      <c r="F715" s="4"/>
      <c r="G715" s="4"/>
      <c r="H715" s="4"/>
    </row>
    <row r="716" spans="1:8" x14ac:dyDescent="0.2">
      <c r="A716" s="4">
        <v>198508</v>
      </c>
      <c r="B716" s="4">
        <v>-1.02</v>
      </c>
      <c r="C716" s="4">
        <v>-0.3</v>
      </c>
      <c r="D716" s="4">
        <v>2.3199999999999998</v>
      </c>
      <c r="E716" s="4">
        <v>0.55000000000000004</v>
      </c>
      <c r="F716" s="4"/>
      <c r="G716" s="4"/>
      <c r="H716" s="4"/>
    </row>
    <row r="717" spans="1:8" x14ac:dyDescent="0.2">
      <c r="A717" s="4">
        <v>198509</v>
      </c>
      <c r="B717" s="4">
        <v>-4.54</v>
      </c>
      <c r="C717" s="4">
        <v>-1.59</v>
      </c>
      <c r="D717" s="4">
        <v>1.29</v>
      </c>
      <c r="E717" s="4">
        <v>0.6</v>
      </c>
      <c r="F717" s="4"/>
      <c r="G717" s="4"/>
      <c r="H717" s="4"/>
    </row>
    <row r="718" spans="1:8" x14ac:dyDescent="0.2">
      <c r="A718" s="4">
        <v>198510</v>
      </c>
      <c r="B718" s="4">
        <v>4.0199999999999996</v>
      </c>
      <c r="C718" s="4">
        <v>-1.51</v>
      </c>
      <c r="D718" s="4">
        <v>0.75</v>
      </c>
      <c r="E718" s="4">
        <v>0.65</v>
      </c>
      <c r="F718" s="4"/>
      <c r="G718" s="4"/>
      <c r="H718" s="4"/>
    </row>
    <row r="719" spans="1:8" x14ac:dyDescent="0.2">
      <c r="A719" s="4">
        <v>198511</v>
      </c>
      <c r="B719" s="4">
        <v>6.48</v>
      </c>
      <c r="C719" s="4">
        <v>0.25</v>
      </c>
      <c r="D719" s="4">
        <v>-2.85</v>
      </c>
      <c r="E719" s="4">
        <v>0.61</v>
      </c>
      <c r="F719" s="4"/>
      <c r="G719" s="4"/>
      <c r="H719" s="4"/>
    </row>
    <row r="720" spans="1:8" x14ac:dyDescent="0.2">
      <c r="A720" s="4">
        <v>198512</v>
      </c>
      <c r="B720" s="4">
        <v>3.88</v>
      </c>
      <c r="C720" s="4">
        <v>-0.51</v>
      </c>
      <c r="D720" s="4">
        <v>-1.54</v>
      </c>
      <c r="E720" s="4">
        <v>0.65</v>
      </c>
      <c r="F720" s="4"/>
      <c r="G720" s="4"/>
      <c r="H720" s="4"/>
    </row>
    <row r="721" spans="1:8" x14ac:dyDescent="0.2">
      <c r="A721" s="4">
        <v>198601</v>
      </c>
      <c r="B721" s="4">
        <v>0.65</v>
      </c>
      <c r="C721" s="4">
        <v>1.21</v>
      </c>
      <c r="D721" s="4">
        <v>0.44</v>
      </c>
      <c r="E721" s="4">
        <v>0.56000000000000005</v>
      </c>
      <c r="F721" s="4"/>
      <c r="G721" s="4"/>
      <c r="H721" s="4"/>
    </row>
    <row r="722" spans="1:8" x14ac:dyDescent="0.2">
      <c r="A722" s="4">
        <v>198602</v>
      </c>
      <c r="B722" s="4">
        <v>7.13</v>
      </c>
      <c r="C722" s="4">
        <v>-0.54</v>
      </c>
      <c r="D722" s="4">
        <v>-0.72</v>
      </c>
      <c r="E722" s="4">
        <v>0.53</v>
      </c>
      <c r="F722" s="4"/>
      <c r="G722" s="4"/>
      <c r="H722" s="4"/>
    </row>
    <row r="723" spans="1:8" x14ac:dyDescent="0.2">
      <c r="A723" s="4">
        <v>198603</v>
      </c>
      <c r="B723" s="4">
        <v>4.88</v>
      </c>
      <c r="C723" s="4">
        <v>-0.59</v>
      </c>
      <c r="D723" s="4">
        <v>-0.39</v>
      </c>
      <c r="E723" s="4">
        <v>0.6</v>
      </c>
      <c r="F723" s="4"/>
      <c r="G723" s="4"/>
      <c r="H723" s="4"/>
    </row>
    <row r="724" spans="1:8" x14ac:dyDescent="0.2">
      <c r="A724" s="4">
        <v>198604</v>
      </c>
      <c r="B724" s="4">
        <v>-1.31</v>
      </c>
      <c r="C724" s="4">
        <v>2.78</v>
      </c>
      <c r="D724" s="4">
        <v>-2.87</v>
      </c>
      <c r="E724" s="4">
        <v>0.52</v>
      </c>
      <c r="F724" s="4"/>
      <c r="G724" s="4"/>
      <c r="H724" s="4"/>
    </row>
    <row r="725" spans="1:8" x14ac:dyDescent="0.2">
      <c r="A725" s="4">
        <v>198605</v>
      </c>
      <c r="B725" s="4">
        <v>4.62</v>
      </c>
      <c r="C725" s="4">
        <v>-1.35</v>
      </c>
      <c r="D725" s="4">
        <v>-0.21</v>
      </c>
      <c r="E725" s="4">
        <v>0.49</v>
      </c>
      <c r="F725" s="4"/>
      <c r="G725" s="4"/>
      <c r="H725" s="4"/>
    </row>
    <row r="726" spans="1:8" x14ac:dyDescent="0.2">
      <c r="A726" s="4">
        <v>198606</v>
      </c>
      <c r="B726" s="4">
        <v>1.03</v>
      </c>
      <c r="C726" s="4">
        <v>-0.96</v>
      </c>
      <c r="D726" s="4">
        <v>1.28</v>
      </c>
      <c r="E726" s="4">
        <v>0.52</v>
      </c>
      <c r="F726" s="4"/>
      <c r="G726" s="4"/>
      <c r="H726" s="4"/>
    </row>
    <row r="727" spans="1:8" x14ac:dyDescent="0.2">
      <c r="A727" s="4">
        <v>198607</v>
      </c>
      <c r="B727" s="4">
        <v>-6.45</v>
      </c>
      <c r="C727" s="4">
        <v>-3.36</v>
      </c>
      <c r="D727" s="4">
        <v>4.7</v>
      </c>
      <c r="E727" s="4">
        <v>0.52</v>
      </c>
      <c r="F727" s="4"/>
      <c r="G727" s="4"/>
      <c r="H727" s="4"/>
    </row>
    <row r="728" spans="1:8" x14ac:dyDescent="0.2">
      <c r="A728" s="4">
        <v>198608</v>
      </c>
      <c r="B728" s="4">
        <v>6.07</v>
      </c>
      <c r="C728" s="4">
        <v>-4.17</v>
      </c>
      <c r="D728" s="4">
        <v>3.51</v>
      </c>
      <c r="E728" s="4">
        <v>0.46</v>
      </c>
      <c r="F728" s="4"/>
      <c r="G728" s="4"/>
      <c r="H728" s="4"/>
    </row>
    <row r="729" spans="1:8" x14ac:dyDescent="0.2">
      <c r="A729" s="4">
        <v>198609</v>
      </c>
      <c r="B729" s="4">
        <v>-8.6</v>
      </c>
      <c r="C729" s="4">
        <v>2.36</v>
      </c>
      <c r="D729" s="4">
        <v>3.22</v>
      </c>
      <c r="E729" s="4">
        <v>0.45</v>
      </c>
      <c r="F729" s="4"/>
      <c r="G729" s="4"/>
      <c r="H729" s="4"/>
    </row>
    <row r="730" spans="1:8" x14ac:dyDescent="0.2">
      <c r="A730" s="4">
        <v>198610</v>
      </c>
      <c r="B730" s="4">
        <v>4.66</v>
      </c>
      <c r="C730" s="4">
        <v>-2.5</v>
      </c>
      <c r="D730" s="4">
        <v>-1.42</v>
      </c>
      <c r="E730" s="4">
        <v>0.46</v>
      </c>
      <c r="F730" s="4"/>
      <c r="G730" s="4"/>
      <c r="H730" s="4"/>
    </row>
    <row r="731" spans="1:8" x14ac:dyDescent="0.2">
      <c r="A731" s="4">
        <v>198611</v>
      </c>
      <c r="B731" s="4">
        <v>1.17</v>
      </c>
      <c r="C731" s="4">
        <v>-1.91</v>
      </c>
      <c r="D731" s="4">
        <v>-7.0000000000000007E-2</v>
      </c>
      <c r="E731" s="4">
        <v>0.39</v>
      </c>
      <c r="F731" s="4"/>
      <c r="G731" s="4"/>
      <c r="H731" s="4"/>
    </row>
    <row r="732" spans="1:8" x14ac:dyDescent="0.2">
      <c r="A732" s="4">
        <v>198612</v>
      </c>
      <c r="B732" s="4">
        <v>-3.27</v>
      </c>
      <c r="C732" s="4">
        <v>0.13</v>
      </c>
      <c r="D732" s="4">
        <v>0.36</v>
      </c>
      <c r="E732" s="4">
        <v>0.49</v>
      </c>
      <c r="F732" s="4"/>
      <c r="G732" s="4"/>
      <c r="H732" s="4"/>
    </row>
    <row r="733" spans="1:8" x14ac:dyDescent="0.2">
      <c r="A733" s="4">
        <v>198701</v>
      </c>
      <c r="B733" s="4">
        <v>12.47</v>
      </c>
      <c r="C733" s="4">
        <v>-1.81</v>
      </c>
      <c r="D733" s="4">
        <v>-3.16</v>
      </c>
      <c r="E733" s="4">
        <v>0.42</v>
      </c>
      <c r="F733" s="4"/>
      <c r="G733" s="4"/>
      <c r="H733" s="4"/>
    </row>
    <row r="734" spans="1:8" x14ac:dyDescent="0.2">
      <c r="A734" s="4">
        <v>198702</v>
      </c>
      <c r="B734" s="4">
        <v>4.3899999999999997</v>
      </c>
      <c r="C734" s="4">
        <v>3.49</v>
      </c>
      <c r="D734" s="4">
        <v>-5.91</v>
      </c>
      <c r="E734" s="4">
        <v>0.43</v>
      </c>
      <c r="F734" s="4"/>
      <c r="G734" s="4"/>
      <c r="H734" s="4"/>
    </row>
    <row r="735" spans="1:8" x14ac:dyDescent="0.2">
      <c r="A735" s="4">
        <v>198703</v>
      </c>
      <c r="B735" s="4">
        <v>1.64</v>
      </c>
      <c r="C735" s="4">
        <v>0.45</v>
      </c>
      <c r="D735" s="4">
        <v>1.61</v>
      </c>
      <c r="E735" s="4">
        <v>0.47</v>
      </c>
      <c r="F735" s="4"/>
      <c r="G735" s="4"/>
      <c r="H735" s="4"/>
    </row>
    <row r="736" spans="1:8" x14ac:dyDescent="0.2">
      <c r="A736" s="4">
        <v>198704</v>
      </c>
      <c r="B736" s="4">
        <v>-2.11</v>
      </c>
      <c r="C736" s="4">
        <v>-1.69</v>
      </c>
      <c r="D736" s="4">
        <v>-0.39</v>
      </c>
      <c r="E736" s="4">
        <v>0.44</v>
      </c>
      <c r="F736" s="4"/>
      <c r="G736" s="4"/>
      <c r="H736" s="4"/>
    </row>
    <row r="737" spans="1:8" x14ac:dyDescent="0.2">
      <c r="A737" s="4">
        <v>198705</v>
      </c>
      <c r="B737" s="4">
        <v>0.11</v>
      </c>
      <c r="C737" s="4">
        <v>-0.5</v>
      </c>
      <c r="D737" s="4">
        <v>0.23</v>
      </c>
      <c r="E737" s="4">
        <v>0.38</v>
      </c>
      <c r="F737" s="4"/>
      <c r="G737" s="4"/>
      <c r="H737" s="4"/>
    </row>
    <row r="738" spans="1:8" x14ac:dyDescent="0.2">
      <c r="A738" s="4">
        <v>198706</v>
      </c>
      <c r="B738" s="4">
        <v>3.94</v>
      </c>
      <c r="C738" s="4">
        <v>-2.12</v>
      </c>
      <c r="D738" s="4">
        <v>1.04</v>
      </c>
      <c r="E738" s="4">
        <v>0.48</v>
      </c>
      <c r="F738" s="4"/>
      <c r="G738" s="4"/>
      <c r="H738" s="4"/>
    </row>
    <row r="739" spans="1:8" x14ac:dyDescent="0.2">
      <c r="A739" s="4">
        <v>198707</v>
      </c>
      <c r="B739" s="4">
        <v>3.85</v>
      </c>
      <c r="C739" s="4">
        <v>-0.69</v>
      </c>
      <c r="D739" s="4">
        <v>0.68</v>
      </c>
      <c r="E739" s="4">
        <v>0.46</v>
      </c>
      <c r="F739" s="4"/>
      <c r="G739" s="4"/>
      <c r="H739" s="4"/>
    </row>
    <row r="740" spans="1:8" x14ac:dyDescent="0.2">
      <c r="A740" s="4">
        <v>198708</v>
      </c>
      <c r="B740" s="4">
        <v>3.52</v>
      </c>
      <c r="C740" s="4">
        <v>-0.77</v>
      </c>
      <c r="D740" s="4">
        <v>-0.93</v>
      </c>
      <c r="E740" s="4">
        <v>0.47</v>
      </c>
      <c r="F740" s="4"/>
      <c r="G740" s="4"/>
      <c r="H740" s="4"/>
    </row>
    <row r="741" spans="1:8" x14ac:dyDescent="0.2">
      <c r="A741" s="4">
        <v>198709</v>
      </c>
      <c r="B741" s="4">
        <v>-2.59</v>
      </c>
      <c r="C741" s="4">
        <v>0.54</v>
      </c>
      <c r="D741" s="4">
        <v>0.27</v>
      </c>
      <c r="E741" s="4">
        <v>0.45</v>
      </c>
      <c r="F741" s="4"/>
      <c r="G741" s="4"/>
      <c r="H741" s="4"/>
    </row>
    <row r="742" spans="1:8" x14ac:dyDescent="0.2">
      <c r="A742" s="4">
        <v>198710</v>
      </c>
      <c r="B742" s="4">
        <v>-23.24</v>
      </c>
      <c r="C742" s="4">
        <v>-8.43</v>
      </c>
      <c r="D742" s="4">
        <v>4.24</v>
      </c>
      <c r="E742" s="4">
        <v>0.6</v>
      </c>
      <c r="F742" s="4"/>
      <c r="G742" s="4"/>
      <c r="H742" s="4"/>
    </row>
    <row r="743" spans="1:8" x14ac:dyDescent="0.2">
      <c r="A743" s="4">
        <v>198711</v>
      </c>
      <c r="B743" s="4">
        <v>-7.77</v>
      </c>
      <c r="C743" s="4">
        <v>2.72</v>
      </c>
      <c r="D743" s="4">
        <v>2.95</v>
      </c>
      <c r="E743" s="4">
        <v>0.35</v>
      </c>
      <c r="F743" s="4"/>
      <c r="G743" s="4"/>
      <c r="H743" s="4"/>
    </row>
    <row r="744" spans="1:8" x14ac:dyDescent="0.2">
      <c r="A744" s="4">
        <v>198712</v>
      </c>
      <c r="B744" s="4">
        <v>6.81</v>
      </c>
      <c r="C744" s="4">
        <v>0.13</v>
      </c>
      <c r="D744" s="4">
        <v>-4.43</v>
      </c>
      <c r="E744" s="4">
        <v>0.39</v>
      </c>
      <c r="F744" s="4"/>
      <c r="G744" s="4"/>
      <c r="H744" s="4"/>
    </row>
    <row r="745" spans="1:8" x14ac:dyDescent="0.2">
      <c r="A745" s="4">
        <v>198801</v>
      </c>
      <c r="B745" s="4">
        <v>4.21</v>
      </c>
      <c r="C745" s="4">
        <v>-0.72</v>
      </c>
      <c r="D745" s="4">
        <v>5.01</v>
      </c>
      <c r="E745" s="4">
        <v>0.28999999999999998</v>
      </c>
      <c r="F745" s="4"/>
      <c r="G745" s="4"/>
      <c r="H745" s="4"/>
    </row>
    <row r="746" spans="1:8" x14ac:dyDescent="0.2">
      <c r="A746" s="4">
        <v>198802</v>
      </c>
      <c r="B746" s="4">
        <v>4.75</v>
      </c>
      <c r="C746" s="4">
        <v>3.34</v>
      </c>
      <c r="D746" s="4">
        <v>-1.71</v>
      </c>
      <c r="E746" s="4">
        <v>0.46</v>
      </c>
      <c r="F746" s="4"/>
      <c r="G746" s="4"/>
      <c r="H746" s="4"/>
    </row>
    <row r="747" spans="1:8" x14ac:dyDescent="0.2">
      <c r="A747" s="4">
        <v>198803</v>
      </c>
      <c r="B747" s="4">
        <v>-2.27</v>
      </c>
      <c r="C747" s="4">
        <v>6.15</v>
      </c>
      <c r="D747" s="4">
        <v>0.73</v>
      </c>
      <c r="E747" s="4">
        <v>0.44</v>
      </c>
      <c r="F747" s="4"/>
      <c r="G747" s="4"/>
      <c r="H747" s="4"/>
    </row>
    <row r="748" spans="1:8" x14ac:dyDescent="0.2">
      <c r="A748" s="4">
        <v>198804</v>
      </c>
      <c r="B748" s="4">
        <v>0.56000000000000005</v>
      </c>
      <c r="C748" s="4">
        <v>1</v>
      </c>
      <c r="D748" s="4">
        <v>1.67</v>
      </c>
      <c r="E748" s="4">
        <v>0.46</v>
      </c>
      <c r="F748" s="4"/>
      <c r="G748" s="4"/>
      <c r="H748" s="4"/>
    </row>
    <row r="749" spans="1:8" x14ac:dyDescent="0.2">
      <c r="A749" s="4">
        <v>198805</v>
      </c>
      <c r="B749" s="4">
        <v>-0.28999999999999998</v>
      </c>
      <c r="C749" s="4">
        <v>-2.6</v>
      </c>
      <c r="D749" s="4">
        <v>2.42</v>
      </c>
      <c r="E749" s="4">
        <v>0.51</v>
      </c>
      <c r="F749" s="4"/>
      <c r="G749" s="4"/>
      <c r="H749" s="4"/>
    </row>
    <row r="750" spans="1:8" x14ac:dyDescent="0.2">
      <c r="A750" s="4">
        <v>198806</v>
      </c>
      <c r="B750" s="4">
        <v>4.79</v>
      </c>
      <c r="C750" s="4">
        <v>2.11</v>
      </c>
      <c r="D750" s="4">
        <v>-1.24</v>
      </c>
      <c r="E750" s="4">
        <v>0.49</v>
      </c>
      <c r="F750" s="4"/>
      <c r="G750" s="4"/>
      <c r="H750" s="4"/>
    </row>
    <row r="751" spans="1:8" x14ac:dyDescent="0.2">
      <c r="A751" s="4">
        <v>198807</v>
      </c>
      <c r="B751" s="4">
        <v>-1.25</v>
      </c>
      <c r="C751" s="4">
        <v>-0.25</v>
      </c>
      <c r="D751" s="4">
        <v>2.2200000000000002</v>
      </c>
      <c r="E751" s="4">
        <v>0.51</v>
      </c>
      <c r="F751" s="4"/>
      <c r="G751" s="4"/>
      <c r="H751" s="4"/>
    </row>
    <row r="752" spans="1:8" x14ac:dyDescent="0.2">
      <c r="A752" s="4">
        <v>198808</v>
      </c>
      <c r="B752" s="4">
        <v>-3.31</v>
      </c>
      <c r="C752" s="4">
        <v>0.04</v>
      </c>
      <c r="D752" s="4">
        <v>2.15</v>
      </c>
      <c r="E752" s="4">
        <v>0.59</v>
      </c>
      <c r="F752" s="4"/>
      <c r="G752" s="4"/>
      <c r="H752" s="4"/>
    </row>
    <row r="753" spans="1:8" x14ac:dyDescent="0.2">
      <c r="A753" s="4">
        <v>198809</v>
      </c>
      <c r="B753" s="4">
        <v>3.3</v>
      </c>
      <c r="C753" s="4">
        <v>-1.31</v>
      </c>
      <c r="D753" s="4">
        <v>-0.75</v>
      </c>
      <c r="E753" s="4">
        <v>0.62</v>
      </c>
      <c r="F753" s="4"/>
      <c r="G753" s="4"/>
      <c r="H753" s="4"/>
    </row>
    <row r="754" spans="1:8" x14ac:dyDescent="0.2">
      <c r="A754" s="4">
        <v>198810</v>
      </c>
      <c r="B754" s="4">
        <v>1.1499999999999999</v>
      </c>
      <c r="C754" s="4">
        <v>-2.93</v>
      </c>
      <c r="D754" s="4">
        <v>2.0499999999999998</v>
      </c>
      <c r="E754" s="4">
        <v>0.61</v>
      </c>
      <c r="F754" s="4"/>
      <c r="G754" s="4"/>
      <c r="H754" s="4"/>
    </row>
    <row r="755" spans="1:8" x14ac:dyDescent="0.2">
      <c r="A755" s="4">
        <v>198811</v>
      </c>
      <c r="B755" s="4">
        <v>-2.29</v>
      </c>
      <c r="C755" s="4">
        <v>-1.72</v>
      </c>
      <c r="D755" s="4">
        <v>1.41</v>
      </c>
      <c r="E755" s="4">
        <v>0.56999999999999995</v>
      </c>
      <c r="F755" s="4"/>
      <c r="G755" s="4"/>
      <c r="H755" s="4"/>
    </row>
    <row r="756" spans="1:8" x14ac:dyDescent="0.2">
      <c r="A756" s="4">
        <v>198812</v>
      </c>
      <c r="B756" s="4">
        <v>1.49</v>
      </c>
      <c r="C756" s="4">
        <v>1.95</v>
      </c>
      <c r="D756" s="4">
        <v>-1.69</v>
      </c>
      <c r="E756" s="4">
        <v>0.63</v>
      </c>
      <c r="F756" s="4"/>
      <c r="G756" s="4"/>
      <c r="H756" s="4"/>
    </row>
    <row r="757" spans="1:8" x14ac:dyDescent="0.2">
      <c r="A757" s="4">
        <v>198901</v>
      </c>
      <c r="B757" s="4">
        <v>6.1</v>
      </c>
      <c r="C757" s="4">
        <v>-2.23</v>
      </c>
      <c r="D757" s="4">
        <v>0.6</v>
      </c>
      <c r="E757" s="4">
        <v>0.55000000000000004</v>
      </c>
      <c r="F757" s="4"/>
      <c r="G757" s="4"/>
      <c r="H757" s="4"/>
    </row>
    <row r="758" spans="1:8" x14ac:dyDescent="0.2">
      <c r="A758" s="4">
        <v>198902</v>
      </c>
      <c r="B758" s="4">
        <v>-2.25</v>
      </c>
      <c r="C758" s="4">
        <v>2.82</v>
      </c>
      <c r="D758" s="4">
        <v>1.01</v>
      </c>
      <c r="E758" s="4">
        <v>0.61</v>
      </c>
      <c r="F758" s="4"/>
      <c r="G758" s="4"/>
      <c r="H758" s="4"/>
    </row>
    <row r="759" spans="1:8" x14ac:dyDescent="0.2">
      <c r="A759" s="4">
        <v>198903</v>
      </c>
      <c r="B759" s="4">
        <v>1.57</v>
      </c>
      <c r="C759" s="4">
        <v>0.67</v>
      </c>
      <c r="D759" s="4">
        <v>0.57999999999999996</v>
      </c>
      <c r="E759" s="4">
        <v>0.67</v>
      </c>
      <c r="F759" s="4"/>
      <c r="G759" s="4"/>
      <c r="H759" s="4"/>
    </row>
    <row r="760" spans="1:8" x14ac:dyDescent="0.2">
      <c r="A760" s="4">
        <v>198904</v>
      </c>
      <c r="B760" s="4">
        <v>4.33</v>
      </c>
      <c r="C760" s="4">
        <v>-0.68</v>
      </c>
      <c r="D760" s="4">
        <v>-1.42</v>
      </c>
      <c r="E760" s="4">
        <v>0.67</v>
      </c>
      <c r="F760" s="4"/>
      <c r="G760" s="4"/>
      <c r="H760" s="4"/>
    </row>
    <row r="761" spans="1:8" x14ac:dyDescent="0.2">
      <c r="A761" s="4">
        <v>198905</v>
      </c>
      <c r="B761" s="4">
        <v>3.35</v>
      </c>
      <c r="C761" s="4">
        <v>-0.05</v>
      </c>
      <c r="D761" s="4">
        <v>-0.88</v>
      </c>
      <c r="E761" s="4">
        <v>0.79</v>
      </c>
      <c r="F761" s="4"/>
      <c r="G761" s="4"/>
      <c r="H761" s="4"/>
    </row>
    <row r="762" spans="1:8" x14ac:dyDescent="0.2">
      <c r="A762" s="4">
        <v>198906</v>
      </c>
      <c r="B762" s="4">
        <v>-1.35</v>
      </c>
      <c r="C762" s="4">
        <v>-1.02</v>
      </c>
      <c r="D762" s="4">
        <v>2.25</v>
      </c>
      <c r="E762" s="4">
        <v>0.71</v>
      </c>
      <c r="F762" s="4"/>
      <c r="G762" s="4"/>
      <c r="H762" s="4"/>
    </row>
    <row r="763" spans="1:8" x14ac:dyDescent="0.2">
      <c r="A763" s="4">
        <v>198907</v>
      </c>
      <c r="B763" s="4">
        <v>7.2</v>
      </c>
      <c r="C763" s="4">
        <v>-4.1399999999999997</v>
      </c>
      <c r="D763" s="4">
        <v>-2.79</v>
      </c>
      <c r="E763" s="4">
        <v>0.7</v>
      </c>
      <c r="F763" s="4"/>
      <c r="G763" s="4"/>
      <c r="H763" s="4"/>
    </row>
    <row r="764" spans="1:8" x14ac:dyDescent="0.2">
      <c r="A764" s="4">
        <v>198908</v>
      </c>
      <c r="B764" s="4">
        <v>1.44</v>
      </c>
      <c r="C764" s="4">
        <v>0.56000000000000005</v>
      </c>
      <c r="D764" s="4">
        <v>0.6</v>
      </c>
      <c r="E764" s="4">
        <v>0.74</v>
      </c>
      <c r="F764" s="4"/>
      <c r="G764" s="4"/>
      <c r="H764" s="4"/>
    </row>
    <row r="765" spans="1:8" x14ac:dyDescent="0.2">
      <c r="A765" s="4">
        <v>198909</v>
      </c>
      <c r="B765" s="4">
        <v>-0.76</v>
      </c>
      <c r="C765" s="4">
        <v>0.32</v>
      </c>
      <c r="D765" s="4">
        <v>-1.27</v>
      </c>
      <c r="E765" s="4">
        <v>0.65</v>
      </c>
      <c r="F765" s="4"/>
      <c r="G765" s="4"/>
      <c r="H765" s="4"/>
    </row>
    <row r="766" spans="1:8" x14ac:dyDescent="0.2">
      <c r="A766" s="4">
        <v>198910</v>
      </c>
      <c r="B766" s="4">
        <v>-3.67</v>
      </c>
      <c r="C766" s="4">
        <v>-3.23</v>
      </c>
      <c r="D766" s="4">
        <v>-1.1100000000000001</v>
      </c>
      <c r="E766" s="4">
        <v>0.68</v>
      </c>
      <c r="F766" s="4"/>
      <c r="G766" s="4"/>
      <c r="H766" s="4"/>
    </row>
    <row r="767" spans="1:8" x14ac:dyDescent="0.2">
      <c r="A767" s="4">
        <v>198911</v>
      </c>
      <c r="B767" s="4">
        <v>1.03</v>
      </c>
      <c r="C767" s="4">
        <v>-1.24</v>
      </c>
      <c r="D767" s="4">
        <v>-1.0900000000000001</v>
      </c>
      <c r="E767" s="4">
        <v>0.69</v>
      </c>
      <c r="F767" s="4"/>
      <c r="G767" s="4"/>
      <c r="H767" s="4"/>
    </row>
    <row r="768" spans="1:8" x14ac:dyDescent="0.2">
      <c r="A768" s="4">
        <v>198912</v>
      </c>
      <c r="B768" s="4">
        <v>1.1599999999999999</v>
      </c>
      <c r="C768" s="4">
        <v>-2.36</v>
      </c>
      <c r="D768" s="4">
        <v>0.16</v>
      </c>
      <c r="E768" s="4">
        <v>0.61</v>
      </c>
      <c r="F768" s="4"/>
      <c r="G768" s="4"/>
      <c r="H768" s="4"/>
    </row>
    <row r="769" spans="1:8" x14ac:dyDescent="0.2">
      <c r="A769" s="4">
        <v>199001</v>
      </c>
      <c r="B769" s="4">
        <v>-7.85</v>
      </c>
      <c r="C769" s="4">
        <v>-1.24</v>
      </c>
      <c r="D769" s="4">
        <v>0.85</v>
      </c>
      <c r="E769" s="4">
        <v>0.56999999999999995</v>
      </c>
      <c r="F769" s="4"/>
      <c r="G769" s="4"/>
      <c r="H769" s="4"/>
    </row>
    <row r="770" spans="1:8" x14ac:dyDescent="0.2">
      <c r="A770" s="4">
        <v>199002</v>
      </c>
      <c r="B770" s="4">
        <v>1.1100000000000001</v>
      </c>
      <c r="C770" s="4">
        <v>0.99</v>
      </c>
      <c r="D770" s="4">
        <v>0.64</v>
      </c>
      <c r="E770" s="4">
        <v>0.56999999999999995</v>
      </c>
      <c r="F770" s="4"/>
      <c r="G770" s="4"/>
      <c r="H770" s="4"/>
    </row>
    <row r="771" spans="1:8" x14ac:dyDescent="0.2">
      <c r="A771" s="4">
        <v>199003</v>
      </c>
      <c r="B771" s="4">
        <v>1.83</v>
      </c>
      <c r="C771" s="4">
        <v>1.5</v>
      </c>
      <c r="D771" s="4">
        <v>-2.92</v>
      </c>
      <c r="E771" s="4">
        <v>0.64</v>
      </c>
      <c r="F771" s="4"/>
      <c r="G771" s="4"/>
      <c r="H771" s="4"/>
    </row>
    <row r="772" spans="1:8" x14ac:dyDescent="0.2">
      <c r="A772" s="4">
        <v>199004</v>
      </c>
      <c r="B772" s="4">
        <v>-3.36</v>
      </c>
      <c r="C772" s="4">
        <v>-0.46</v>
      </c>
      <c r="D772" s="4">
        <v>-2.59</v>
      </c>
      <c r="E772" s="4">
        <v>0.69</v>
      </c>
      <c r="F772" s="4"/>
      <c r="G772" s="4"/>
      <c r="H772" s="4"/>
    </row>
    <row r="773" spans="1:8" x14ac:dyDescent="0.2">
      <c r="A773" s="4">
        <v>199005</v>
      </c>
      <c r="B773" s="4">
        <v>8.42</v>
      </c>
      <c r="C773" s="4">
        <v>-2.5299999999999998</v>
      </c>
      <c r="D773" s="4">
        <v>-3.83</v>
      </c>
      <c r="E773" s="4">
        <v>0.68</v>
      </c>
      <c r="F773" s="4"/>
      <c r="G773" s="4"/>
      <c r="H773" s="4"/>
    </row>
    <row r="774" spans="1:8" x14ac:dyDescent="0.2">
      <c r="A774" s="4">
        <v>199006</v>
      </c>
      <c r="B774" s="4">
        <v>-1.0900000000000001</v>
      </c>
      <c r="C774" s="4">
        <v>1.4</v>
      </c>
      <c r="D774" s="4">
        <v>-1.93</v>
      </c>
      <c r="E774" s="4">
        <v>0.63</v>
      </c>
      <c r="F774" s="4"/>
      <c r="G774" s="4"/>
      <c r="H774" s="4"/>
    </row>
    <row r="775" spans="1:8" x14ac:dyDescent="0.2">
      <c r="A775" s="4">
        <v>199007</v>
      </c>
      <c r="B775" s="4">
        <v>-1.9</v>
      </c>
      <c r="C775" s="4">
        <v>-3.12</v>
      </c>
      <c r="D775" s="4">
        <v>-0.03</v>
      </c>
      <c r="E775" s="4">
        <v>0.68</v>
      </c>
      <c r="F775" s="4"/>
      <c r="G775" s="4"/>
      <c r="H775" s="4"/>
    </row>
    <row r="776" spans="1:8" x14ac:dyDescent="0.2">
      <c r="A776" s="4">
        <v>199008</v>
      </c>
      <c r="B776" s="4">
        <v>-10.15</v>
      </c>
      <c r="C776" s="4">
        <v>-3.57</v>
      </c>
      <c r="D776" s="4">
        <v>1.64</v>
      </c>
      <c r="E776" s="4">
        <v>0.66</v>
      </c>
      <c r="F776" s="4"/>
      <c r="G776" s="4"/>
      <c r="H776" s="4"/>
    </row>
    <row r="777" spans="1:8" x14ac:dyDescent="0.2">
      <c r="A777" s="4">
        <v>199009</v>
      </c>
      <c r="B777" s="4">
        <v>-6.12</v>
      </c>
      <c r="C777" s="4">
        <v>-3.65</v>
      </c>
      <c r="D777" s="4">
        <v>0.64</v>
      </c>
      <c r="E777" s="4">
        <v>0.6</v>
      </c>
      <c r="F777" s="4"/>
      <c r="G777" s="4"/>
      <c r="H777" s="4"/>
    </row>
    <row r="778" spans="1:8" x14ac:dyDescent="0.2">
      <c r="A778" s="4">
        <v>199010</v>
      </c>
      <c r="B778" s="4">
        <v>-1.92</v>
      </c>
      <c r="C778" s="4">
        <v>-5.57</v>
      </c>
      <c r="D778" s="4">
        <v>0.1</v>
      </c>
      <c r="E778" s="4">
        <v>0.68</v>
      </c>
      <c r="F778" s="4"/>
      <c r="G778" s="4"/>
      <c r="H778" s="4"/>
    </row>
    <row r="779" spans="1:8" x14ac:dyDescent="0.2">
      <c r="A779" s="4">
        <v>199011</v>
      </c>
      <c r="B779" s="4">
        <v>6.35</v>
      </c>
      <c r="C779" s="4">
        <v>0.43</v>
      </c>
      <c r="D779" s="4">
        <v>-3.1</v>
      </c>
      <c r="E779" s="4">
        <v>0.56999999999999995</v>
      </c>
      <c r="F779" s="4"/>
      <c r="G779" s="4"/>
      <c r="H779" s="4"/>
    </row>
    <row r="780" spans="1:8" x14ac:dyDescent="0.2">
      <c r="A780" s="4">
        <v>199012</v>
      </c>
      <c r="B780" s="4">
        <v>2.46</v>
      </c>
      <c r="C780" s="4">
        <v>0.81</v>
      </c>
      <c r="D780" s="4">
        <v>-1.7</v>
      </c>
      <c r="E780" s="4">
        <v>0.6</v>
      </c>
      <c r="F780" s="4"/>
      <c r="G780" s="4"/>
      <c r="H780" s="4"/>
    </row>
    <row r="781" spans="1:8" x14ac:dyDescent="0.2">
      <c r="A781" s="4">
        <v>199101</v>
      </c>
      <c r="B781" s="4">
        <v>4.6900000000000004</v>
      </c>
      <c r="C781" s="4">
        <v>3.81</v>
      </c>
      <c r="D781" s="4">
        <v>-1.6</v>
      </c>
      <c r="E781" s="4">
        <v>0.52</v>
      </c>
      <c r="F781" s="4"/>
      <c r="G781" s="4"/>
      <c r="H781" s="4"/>
    </row>
    <row r="782" spans="1:8" x14ac:dyDescent="0.2">
      <c r="A782" s="4">
        <v>199102</v>
      </c>
      <c r="B782" s="4">
        <v>7.19</v>
      </c>
      <c r="C782" s="4">
        <v>3.95</v>
      </c>
      <c r="D782" s="4">
        <v>-0.57999999999999996</v>
      </c>
      <c r="E782" s="4">
        <v>0.48</v>
      </c>
      <c r="F782" s="4"/>
      <c r="G782" s="4"/>
      <c r="H782" s="4"/>
    </row>
    <row r="783" spans="1:8" x14ac:dyDescent="0.2">
      <c r="A783" s="4">
        <v>199103</v>
      </c>
      <c r="B783" s="4">
        <v>2.65</v>
      </c>
      <c r="C783" s="4">
        <v>3.93</v>
      </c>
      <c r="D783" s="4">
        <v>-1.39</v>
      </c>
      <c r="E783" s="4">
        <v>0.44</v>
      </c>
      <c r="F783" s="4"/>
      <c r="G783" s="4"/>
      <c r="H783" s="4"/>
    </row>
    <row r="784" spans="1:8" x14ac:dyDescent="0.2">
      <c r="A784" s="4">
        <v>199104</v>
      </c>
      <c r="B784" s="4">
        <v>-0.28000000000000003</v>
      </c>
      <c r="C784" s="4">
        <v>0.48</v>
      </c>
      <c r="D784" s="4">
        <v>1.5</v>
      </c>
      <c r="E784" s="4">
        <v>0.53</v>
      </c>
      <c r="F784" s="4"/>
      <c r="G784" s="4"/>
      <c r="H784" s="4"/>
    </row>
    <row r="785" spans="1:8" x14ac:dyDescent="0.2">
      <c r="A785" s="4">
        <v>199105</v>
      </c>
      <c r="B785" s="4">
        <v>3.65</v>
      </c>
      <c r="C785" s="4">
        <v>-0.4</v>
      </c>
      <c r="D785" s="4">
        <v>-0.52</v>
      </c>
      <c r="E785" s="4">
        <v>0.47</v>
      </c>
      <c r="F785" s="4"/>
      <c r="G785" s="4"/>
      <c r="H785" s="4"/>
    </row>
    <row r="786" spans="1:8" x14ac:dyDescent="0.2">
      <c r="A786" s="4">
        <v>199106</v>
      </c>
      <c r="B786" s="4">
        <v>-4.9400000000000004</v>
      </c>
      <c r="C786" s="4">
        <v>0.13</v>
      </c>
      <c r="D786" s="4">
        <v>1.1499999999999999</v>
      </c>
      <c r="E786" s="4">
        <v>0.42</v>
      </c>
      <c r="F786" s="4"/>
      <c r="G786" s="4"/>
      <c r="H786" s="4"/>
    </row>
    <row r="787" spans="1:8" x14ac:dyDescent="0.2">
      <c r="A787" s="4">
        <v>199107</v>
      </c>
      <c r="B787" s="4">
        <v>4.24</v>
      </c>
      <c r="C787" s="4">
        <v>-0.92</v>
      </c>
      <c r="D787" s="4">
        <v>-1.32</v>
      </c>
      <c r="E787" s="4">
        <v>0.49</v>
      </c>
      <c r="F787" s="4"/>
      <c r="G787" s="4"/>
      <c r="H787" s="4"/>
    </row>
    <row r="788" spans="1:8" x14ac:dyDescent="0.2">
      <c r="A788" s="4">
        <v>199108</v>
      </c>
      <c r="B788" s="4">
        <v>2.3199999999999998</v>
      </c>
      <c r="C788" s="4">
        <v>1.58</v>
      </c>
      <c r="D788" s="4">
        <v>-0.78</v>
      </c>
      <c r="E788" s="4">
        <v>0.46</v>
      </c>
      <c r="F788" s="4"/>
      <c r="G788" s="4"/>
      <c r="H788" s="4"/>
    </row>
    <row r="789" spans="1:8" x14ac:dyDescent="0.2">
      <c r="A789" s="4">
        <v>199109</v>
      </c>
      <c r="B789" s="4">
        <v>-1.59</v>
      </c>
      <c r="C789" s="4">
        <v>1.64</v>
      </c>
      <c r="D789" s="4">
        <v>-1.08</v>
      </c>
      <c r="E789" s="4">
        <v>0.46</v>
      </c>
      <c r="F789" s="4"/>
      <c r="G789" s="4"/>
      <c r="H789" s="4"/>
    </row>
    <row r="790" spans="1:8" x14ac:dyDescent="0.2">
      <c r="A790" s="4">
        <v>199110</v>
      </c>
      <c r="B790" s="4">
        <v>1.29</v>
      </c>
      <c r="C790" s="4">
        <v>0.81</v>
      </c>
      <c r="D790" s="4">
        <v>-0.47</v>
      </c>
      <c r="E790" s="4">
        <v>0.42</v>
      </c>
      <c r="F790" s="4"/>
      <c r="G790" s="4"/>
      <c r="H790" s="4"/>
    </row>
    <row r="791" spans="1:8" x14ac:dyDescent="0.2">
      <c r="A791" s="4">
        <v>199111</v>
      </c>
      <c r="B791" s="4">
        <v>-4.1900000000000004</v>
      </c>
      <c r="C791" s="4">
        <v>-0.5</v>
      </c>
      <c r="D791" s="4">
        <v>-1.89</v>
      </c>
      <c r="E791" s="4">
        <v>0.39</v>
      </c>
      <c r="F791" s="4"/>
      <c r="G791" s="4"/>
      <c r="H791" s="4"/>
    </row>
    <row r="792" spans="1:8" x14ac:dyDescent="0.2">
      <c r="A792" s="4">
        <v>199112</v>
      </c>
      <c r="B792" s="4">
        <v>10.84</v>
      </c>
      <c r="C792" s="4">
        <v>-2.2400000000000002</v>
      </c>
      <c r="D792" s="4">
        <v>-4.17</v>
      </c>
      <c r="E792" s="4">
        <v>0.38</v>
      </c>
      <c r="F792" s="4"/>
      <c r="G792" s="4"/>
      <c r="H792" s="4"/>
    </row>
    <row r="793" spans="1:8" x14ac:dyDescent="0.2">
      <c r="A793" s="4">
        <v>199201</v>
      </c>
      <c r="B793" s="4">
        <v>-0.59</v>
      </c>
      <c r="C793" s="4">
        <v>8.4600000000000009</v>
      </c>
      <c r="D793" s="4">
        <v>4.71</v>
      </c>
      <c r="E793" s="4">
        <v>0.34</v>
      </c>
      <c r="F793" s="4"/>
      <c r="G793" s="4"/>
      <c r="H793" s="4"/>
    </row>
    <row r="794" spans="1:8" x14ac:dyDescent="0.2">
      <c r="A794" s="4">
        <v>199202</v>
      </c>
      <c r="B794" s="4">
        <v>1.0900000000000001</v>
      </c>
      <c r="C794" s="4">
        <v>0.87</v>
      </c>
      <c r="D794" s="4">
        <v>6.47</v>
      </c>
      <c r="E794" s="4">
        <v>0.28000000000000003</v>
      </c>
      <c r="F794" s="4"/>
      <c r="G794" s="4"/>
      <c r="H794" s="4"/>
    </row>
    <row r="795" spans="1:8" x14ac:dyDescent="0.2">
      <c r="A795" s="4">
        <v>199203</v>
      </c>
      <c r="B795" s="4">
        <v>-2.66</v>
      </c>
      <c r="C795" s="4">
        <v>-1.04</v>
      </c>
      <c r="D795" s="4">
        <v>3.56</v>
      </c>
      <c r="E795" s="4">
        <v>0.34</v>
      </c>
      <c r="F795" s="4"/>
      <c r="G795" s="4"/>
      <c r="H795" s="4"/>
    </row>
    <row r="796" spans="1:8" x14ac:dyDescent="0.2">
      <c r="A796" s="4">
        <v>199204</v>
      </c>
      <c r="B796" s="4">
        <v>1.07</v>
      </c>
      <c r="C796" s="4">
        <v>-6.06</v>
      </c>
      <c r="D796" s="4">
        <v>4.34</v>
      </c>
      <c r="E796" s="4">
        <v>0.32</v>
      </c>
      <c r="F796" s="4"/>
      <c r="G796" s="4"/>
      <c r="H796" s="4"/>
    </row>
    <row r="797" spans="1:8" x14ac:dyDescent="0.2">
      <c r="A797" s="4">
        <v>199205</v>
      </c>
      <c r="B797" s="4">
        <v>0.3</v>
      </c>
      <c r="C797" s="4">
        <v>0.41</v>
      </c>
      <c r="D797" s="4">
        <v>1.19</v>
      </c>
      <c r="E797" s="4">
        <v>0.28000000000000003</v>
      </c>
      <c r="F797" s="4"/>
      <c r="G797" s="4"/>
      <c r="H797" s="4"/>
    </row>
    <row r="798" spans="1:8" x14ac:dyDescent="0.2">
      <c r="A798" s="4">
        <v>199206</v>
      </c>
      <c r="B798" s="4">
        <v>-2.34</v>
      </c>
      <c r="C798" s="4">
        <v>-3.07</v>
      </c>
      <c r="D798" s="4">
        <v>3.24</v>
      </c>
      <c r="E798" s="4">
        <v>0.32</v>
      </c>
      <c r="F798" s="4"/>
      <c r="G798" s="4"/>
      <c r="H798" s="4"/>
    </row>
    <row r="799" spans="1:8" x14ac:dyDescent="0.2">
      <c r="A799" s="4">
        <v>199207</v>
      </c>
      <c r="B799" s="4">
        <v>3.77</v>
      </c>
      <c r="C799" s="4">
        <v>-0.47</v>
      </c>
      <c r="D799" s="4">
        <v>-0.56000000000000005</v>
      </c>
      <c r="E799" s="4">
        <v>0.31</v>
      </c>
      <c r="F799" s="4"/>
      <c r="G799" s="4"/>
      <c r="H799" s="4"/>
    </row>
    <row r="800" spans="1:8" x14ac:dyDescent="0.2">
      <c r="A800" s="4">
        <v>199208</v>
      </c>
      <c r="B800" s="4">
        <v>-2.38</v>
      </c>
      <c r="C800" s="4">
        <v>-0.13</v>
      </c>
      <c r="D800" s="4">
        <v>-1.1000000000000001</v>
      </c>
      <c r="E800" s="4">
        <v>0.26</v>
      </c>
      <c r="F800" s="4"/>
      <c r="G800" s="4"/>
      <c r="H800" s="4"/>
    </row>
    <row r="801" spans="1:8" x14ac:dyDescent="0.2">
      <c r="A801" s="4">
        <v>199209</v>
      </c>
      <c r="B801" s="4">
        <v>1.19</v>
      </c>
      <c r="C801" s="4">
        <v>0.54</v>
      </c>
      <c r="D801" s="4">
        <v>-0.26</v>
      </c>
      <c r="E801" s="4">
        <v>0.26</v>
      </c>
      <c r="F801" s="4"/>
      <c r="G801" s="4"/>
      <c r="H801" s="4"/>
    </row>
    <row r="802" spans="1:8" x14ac:dyDescent="0.2">
      <c r="A802" s="4">
        <v>199210</v>
      </c>
      <c r="B802" s="4">
        <v>1.02</v>
      </c>
      <c r="C802" s="4">
        <v>2.09</v>
      </c>
      <c r="D802" s="4">
        <v>-1.98</v>
      </c>
      <c r="E802" s="4">
        <v>0.23</v>
      </c>
      <c r="F802" s="4"/>
      <c r="G802" s="4"/>
      <c r="H802" s="4"/>
    </row>
    <row r="803" spans="1:8" x14ac:dyDescent="0.2">
      <c r="A803" s="4">
        <v>199211</v>
      </c>
      <c r="B803" s="4">
        <v>4.13</v>
      </c>
      <c r="C803" s="4">
        <v>3.76</v>
      </c>
      <c r="D803" s="4">
        <v>-1.35</v>
      </c>
      <c r="E803" s="4">
        <v>0.23</v>
      </c>
      <c r="F803" s="4"/>
      <c r="G803" s="4"/>
      <c r="H803" s="4"/>
    </row>
    <row r="804" spans="1:8" x14ac:dyDescent="0.2">
      <c r="A804" s="4">
        <v>199212</v>
      </c>
      <c r="B804" s="4">
        <v>1.53</v>
      </c>
      <c r="C804" s="4">
        <v>1.69</v>
      </c>
      <c r="D804" s="4">
        <v>2.62</v>
      </c>
      <c r="E804" s="4">
        <v>0.28000000000000003</v>
      </c>
      <c r="F804" s="4"/>
      <c r="G804" s="4"/>
      <c r="H804" s="4"/>
    </row>
    <row r="805" spans="1:8" x14ac:dyDescent="0.2">
      <c r="A805" s="4">
        <v>199301</v>
      </c>
      <c r="B805" s="4">
        <v>0.93</v>
      </c>
      <c r="C805" s="4">
        <v>1.89</v>
      </c>
      <c r="D805" s="4">
        <v>5.94</v>
      </c>
      <c r="E805" s="4">
        <v>0.23</v>
      </c>
      <c r="F805" s="4"/>
      <c r="G805" s="4"/>
      <c r="H805" s="4"/>
    </row>
    <row r="806" spans="1:8" x14ac:dyDescent="0.2">
      <c r="A806" s="4">
        <v>199302</v>
      </c>
      <c r="B806" s="4">
        <v>0.12</v>
      </c>
      <c r="C806" s="4">
        <v>-3.48</v>
      </c>
      <c r="D806" s="4">
        <v>6.42</v>
      </c>
      <c r="E806" s="4">
        <v>0.22</v>
      </c>
      <c r="F806" s="4"/>
      <c r="G806" s="4"/>
      <c r="H806" s="4"/>
    </row>
    <row r="807" spans="1:8" x14ac:dyDescent="0.2">
      <c r="A807" s="4">
        <v>199303</v>
      </c>
      <c r="B807" s="4">
        <v>2.2999999999999998</v>
      </c>
      <c r="C807" s="4">
        <v>0.24</v>
      </c>
      <c r="D807" s="4">
        <v>1.18</v>
      </c>
      <c r="E807" s="4">
        <v>0.25</v>
      </c>
      <c r="F807" s="4"/>
      <c r="G807" s="4"/>
      <c r="H807" s="4"/>
    </row>
    <row r="808" spans="1:8" x14ac:dyDescent="0.2">
      <c r="A808" s="4">
        <v>199304</v>
      </c>
      <c r="B808" s="4">
        <v>-3.05</v>
      </c>
      <c r="C808" s="4">
        <v>-0.67</v>
      </c>
      <c r="D808" s="4">
        <v>2.4900000000000002</v>
      </c>
      <c r="E808" s="4">
        <v>0.24</v>
      </c>
      <c r="F808" s="4"/>
      <c r="G808" s="4"/>
      <c r="H808" s="4"/>
    </row>
    <row r="809" spans="1:8" x14ac:dyDescent="0.2">
      <c r="A809" s="4">
        <v>199305</v>
      </c>
      <c r="B809" s="4">
        <v>2.89</v>
      </c>
      <c r="C809" s="4">
        <v>2.04</v>
      </c>
      <c r="D809" s="4">
        <v>-3.42</v>
      </c>
      <c r="E809" s="4">
        <v>0.22</v>
      </c>
      <c r="F809" s="4"/>
      <c r="G809" s="4"/>
      <c r="H809" s="4"/>
    </row>
    <row r="810" spans="1:8" x14ac:dyDescent="0.2">
      <c r="A810" s="4">
        <v>199306</v>
      </c>
      <c r="B810" s="4">
        <v>0.31</v>
      </c>
      <c r="C810" s="4">
        <v>-0.28999999999999998</v>
      </c>
      <c r="D810" s="4">
        <v>2.75</v>
      </c>
      <c r="E810" s="4">
        <v>0.25</v>
      </c>
      <c r="F810" s="4"/>
      <c r="G810" s="4"/>
      <c r="H810" s="4"/>
    </row>
    <row r="811" spans="1:8" x14ac:dyDescent="0.2">
      <c r="A811" s="4">
        <v>199307</v>
      </c>
      <c r="B811" s="4">
        <v>-0.34</v>
      </c>
      <c r="C811" s="4">
        <v>0.96</v>
      </c>
      <c r="D811" s="4">
        <v>2.85</v>
      </c>
      <c r="E811" s="4">
        <v>0.24</v>
      </c>
      <c r="F811" s="4"/>
      <c r="G811" s="4"/>
      <c r="H811" s="4"/>
    </row>
    <row r="812" spans="1:8" x14ac:dyDescent="0.2">
      <c r="A812" s="4">
        <v>199308</v>
      </c>
      <c r="B812" s="4">
        <v>3.71</v>
      </c>
      <c r="C812" s="4">
        <v>0.13</v>
      </c>
      <c r="D812" s="4">
        <v>0.13</v>
      </c>
      <c r="E812" s="4">
        <v>0.25</v>
      </c>
      <c r="F812" s="4"/>
      <c r="G812" s="4"/>
      <c r="H812" s="4"/>
    </row>
    <row r="813" spans="1:8" x14ac:dyDescent="0.2">
      <c r="A813" s="4">
        <v>199309</v>
      </c>
      <c r="B813" s="4">
        <v>-0.12</v>
      </c>
      <c r="C813" s="4">
        <v>3.04</v>
      </c>
      <c r="D813" s="4">
        <v>-0.31</v>
      </c>
      <c r="E813" s="4">
        <v>0.26</v>
      </c>
      <c r="F813" s="4"/>
      <c r="G813" s="4"/>
      <c r="H813" s="4"/>
    </row>
    <row r="814" spans="1:8" x14ac:dyDescent="0.2">
      <c r="A814" s="4">
        <v>199310</v>
      </c>
      <c r="B814" s="4">
        <v>1.41</v>
      </c>
      <c r="C814" s="4">
        <v>2.0299999999999998</v>
      </c>
      <c r="D814" s="4">
        <v>-2.76</v>
      </c>
      <c r="E814" s="4">
        <v>0.22</v>
      </c>
      <c r="F814" s="4"/>
      <c r="G814" s="4"/>
      <c r="H814" s="4"/>
    </row>
    <row r="815" spans="1:8" x14ac:dyDescent="0.2">
      <c r="A815" s="4">
        <v>199311</v>
      </c>
      <c r="B815" s="4">
        <v>-1.89</v>
      </c>
      <c r="C815" s="4">
        <v>-1.25</v>
      </c>
      <c r="D815" s="4">
        <v>-0.74</v>
      </c>
      <c r="E815" s="4">
        <v>0.25</v>
      </c>
      <c r="F815" s="4"/>
      <c r="G815" s="4"/>
      <c r="H815" s="4"/>
    </row>
    <row r="816" spans="1:8" x14ac:dyDescent="0.2">
      <c r="A816" s="4">
        <v>199312</v>
      </c>
      <c r="B816" s="4">
        <v>1.65</v>
      </c>
      <c r="C816" s="4">
        <v>1.23</v>
      </c>
      <c r="D816" s="4">
        <v>0.32</v>
      </c>
      <c r="E816" s="4">
        <v>0.23</v>
      </c>
      <c r="F816" s="4"/>
      <c r="G816" s="4"/>
      <c r="H816" s="4"/>
    </row>
    <row r="817" spans="1:8" x14ac:dyDescent="0.2">
      <c r="A817" s="4">
        <v>199401</v>
      </c>
      <c r="B817" s="4">
        <v>2.87</v>
      </c>
      <c r="C817" s="4">
        <v>0.34</v>
      </c>
      <c r="D817" s="4">
        <v>1.1499999999999999</v>
      </c>
      <c r="E817" s="4">
        <v>0.25</v>
      </c>
      <c r="F817" s="4"/>
      <c r="G817" s="4"/>
      <c r="H817" s="4"/>
    </row>
    <row r="818" spans="1:8" x14ac:dyDescent="0.2">
      <c r="A818" s="4">
        <v>199402</v>
      </c>
      <c r="B818" s="4">
        <v>-2.5499999999999998</v>
      </c>
      <c r="C818" s="4">
        <v>2.8</v>
      </c>
      <c r="D818" s="4">
        <v>-1.54</v>
      </c>
      <c r="E818" s="4">
        <v>0.21</v>
      </c>
      <c r="F818" s="4"/>
      <c r="G818" s="4"/>
      <c r="H818" s="4"/>
    </row>
    <row r="819" spans="1:8" x14ac:dyDescent="0.2">
      <c r="A819" s="4">
        <v>199403</v>
      </c>
      <c r="B819" s="4">
        <v>-4.78</v>
      </c>
      <c r="C819" s="4">
        <v>-1.08</v>
      </c>
      <c r="D819" s="4">
        <v>1.6</v>
      </c>
      <c r="E819" s="4">
        <v>0.27</v>
      </c>
      <c r="F819" s="4"/>
      <c r="G819" s="4"/>
      <c r="H819" s="4"/>
    </row>
    <row r="820" spans="1:8" x14ac:dyDescent="0.2">
      <c r="A820" s="4">
        <v>199404</v>
      </c>
      <c r="B820" s="4">
        <v>0.68</v>
      </c>
      <c r="C820" s="4">
        <v>-0.93</v>
      </c>
      <c r="D820" s="4">
        <v>1.66</v>
      </c>
      <c r="E820" s="4">
        <v>0.27</v>
      </c>
      <c r="F820" s="4"/>
      <c r="G820" s="4"/>
      <c r="H820" s="4"/>
    </row>
    <row r="821" spans="1:8" x14ac:dyDescent="0.2">
      <c r="A821" s="4">
        <v>199405</v>
      </c>
      <c r="B821" s="4">
        <v>0.57999999999999996</v>
      </c>
      <c r="C821" s="4">
        <v>-2.15</v>
      </c>
      <c r="D821" s="4">
        <v>0.67</v>
      </c>
      <c r="E821" s="4">
        <v>0.31</v>
      </c>
      <c r="F821" s="4"/>
      <c r="G821" s="4"/>
      <c r="H821" s="4"/>
    </row>
    <row r="822" spans="1:8" x14ac:dyDescent="0.2">
      <c r="A822" s="4">
        <v>199406</v>
      </c>
      <c r="B822" s="4">
        <v>-3.03</v>
      </c>
      <c r="C822" s="4">
        <v>-0.41</v>
      </c>
      <c r="D822" s="4">
        <v>1.67</v>
      </c>
      <c r="E822" s="4">
        <v>0.31</v>
      </c>
      <c r="F822" s="4"/>
      <c r="G822" s="4"/>
      <c r="H822" s="4"/>
    </row>
    <row r="823" spans="1:8" x14ac:dyDescent="0.2">
      <c r="A823" s="4">
        <v>199407</v>
      </c>
      <c r="B823" s="4">
        <v>2.82</v>
      </c>
      <c r="C823" s="4">
        <v>-1.81</v>
      </c>
      <c r="D823" s="4">
        <v>0.57999999999999996</v>
      </c>
      <c r="E823" s="4">
        <v>0.28000000000000003</v>
      </c>
      <c r="F823" s="4"/>
      <c r="G823" s="4"/>
      <c r="H823" s="4"/>
    </row>
    <row r="824" spans="1:8" x14ac:dyDescent="0.2">
      <c r="A824" s="4">
        <v>199408</v>
      </c>
      <c r="B824" s="4">
        <v>4.01</v>
      </c>
      <c r="C824" s="4">
        <v>1.45</v>
      </c>
      <c r="D824" s="4">
        <v>-2.5099999999999998</v>
      </c>
      <c r="E824" s="4">
        <v>0.37</v>
      </c>
      <c r="F824" s="4"/>
      <c r="G824" s="4"/>
      <c r="H824" s="4"/>
    </row>
    <row r="825" spans="1:8" x14ac:dyDescent="0.2">
      <c r="A825" s="4">
        <v>199409</v>
      </c>
      <c r="B825" s="4">
        <v>-2.31</v>
      </c>
      <c r="C825" s="4">
        <v>3.14</v>
      </c>
      <c r="D825" s="4">
        <v>-1.89</v>
      </c>
      <c r="E825" s="4">
        <v>0.37</v>
      </c>
      <c r="F825" s="4"/>
      <c r="G825" s="4"/>
      <c r="H825" s="4"/>
    </row>
    <row r="826" spans="1:8" x14ac:dyDescent="0.2">
      <c r="A826" s="4">
        <v>199410</v>
      </c>
      <c r="B826" s="4">
        <v>1.34</v>
      </c>
      <c r="C826" s="4">
        <v>-2.2400000000000002</v>
      </c>
      <c r="D826" s="4">
        <v>-1.62</v>
      </c>
      <c r="E826" s="4">
        <v>0.38</v>
      </c>
      <c r="F826" s="4"/>
      <c r="G826" s="4"/>
      <c r="H826" s="4"/>
    </row>
    <row r="827" spans="1:8" x14ac:dyDescent="0.2">
      <c r="A827" s="4">
        <v>199411</v>
      </c>
      <c r="B827" s="4">
        <v>-4.04</v>
      </c>
      <c r="C827" s="4">
        <v>0.25</v>
      </c>
      <c r="D827" s="4">
        <v>-0.7</v>
      </c>
      <c r="E827" s="4">
        <v>0.37</v>
      </c>
      <c r="F827" s="4"/>
      <c r="G827" s="4"/>
      <c r="H827" s="4"/>
    </row>
    <row r="828" spans="1:8" x14ac:dyDescent="0.2">
      <c r="A828" s="4">
        <v>199412</v>
      </c>
      <c r="B828" s="4">
        <v>0.86</v>
      </c>
      <c r="C828" s="4">
        <v>0.22</v>
      </c>
      <c r="D828" s="4">
        <v>-0.13</v>
      </c>
      <c r="E828" s="4">
        <v>0.44</v>
      </c>
      <c r="F828" s="4"/>
      <c r="G828" s="4"/>
      <c r="H828" s="4"/>
    </row>
    <row r="829" spans="1:8" x14ac:dyDescent="0.2">
      <c r="A829" s="4">
        <v>199501</v>
      </c>
      <c r="B829" s="4">
        <v>1.8</v>
      </c>
      <c r="C829" s="4">
        <v>-3.5</v>
      </c>
      <c r="D829" s="4">
        <v>2.57</v>
      </c>
      <c r="E829" s="4">
        <v>0.42</v>
      </c>
      <c r="F829" s="4"/>
      <c r="G829" s="4"/>
      <c r="H829" s="4"/>
    </row>
    <row r="830" spans="1:8" x14ac:dyDescent="0.2">
      <c r="A830" s="4">
        <v>199502</v>
      </c>
      <c r="B830" s="4">
        <v>3.63</v>
      </c>
      <c r="C830" s="4">
        <v>-0.66</v>
      </c>
      <c r="D830" s="4">
        <v>1.08</v>
      </c>
      <c r="E830" s="4">
        <v>0.4</v>
      </c>
      <c r="F830" s="4"/>
      <c r="G830" s="4"/>
      <c r="H830" s="4"/>
    </row>
    <row r="831" spans="1:8" x14ac:dyDescent="0.2">
      <c r="A831" s="4">
        <v>199503</v>
      </c>
      <c r="B831" s="4">
        <v>2.19</v>
      </c>
      <c r="C831" s="4">
        <v>-0.16</v>
      </c>
      <c r="D831" s="4">
        <v>-2.15</v>
      </c>
      <c r="E831" s="4">
        <v>0.46</v>
      </c>
      <c r="F831" s="4"/>
      <c r="G831" s="4"/>
      <c r="H831" s="4"/>
    </row>
    <row r="832" spans="1:8" x14ac:dyDescent="0.2">
      <c r="A832" s="4">
        <v>199504</v>
      </c>
      <c r="B832" s="4">
        <v>2.11</v>
      </c>
      <c r="C832" s="4">
        <v>-0.49</v>
      </c>
      <c r="D832" s="4">
        <v>1.71</v>
      </c>
      <c r="E832" s="4">
        <v>0.44</v>
      </c>
      <c r="F832" s="4"/>
      <c r="G832" s="4"/>
      <c r="H832" s="4"/>
    </row>
    <row r="833" spans="1:8" x14ac:dyDescent="0.2">
      <c r="A833" s="4">
        <v>199505</v>
      </c>
      <c r="B833" s="4">
        <v>2.9</v>
      </c>
      <c r="C833" s="4">
        <v>-2.5499999999999998</v>
      </c>
      <c r="D833" s="4">
        <v>2.29</v>
      </c>
      <c r="E833" s="4">
        <v>0.54</v>
      </c>
      <c r="F833" s="4"/>
      <c r="G833" s="4"/>
      <c r="H833" s="4"/>
    </row>
    <row r="834" spans="1:8" x14ac:dyDescent="0.2">
      <c r="A834" s="4">
        <v>199506</v>
      </c>
      <c r="B834" s="4">
        <v>2.72</v>
      </c>
      <c r="C834" s="4">
        <v>3.18</v>
      </c>
      <c r="D834" s="4">
        <v>-2.54</v>
      </c>
      <c r="E834" s="4">
        <v>0.47</v>
      </c>
      <c r="F834" s="4"/>
      <c r="G834" s="4"/>
      <c r="H834" s="4"/>
    </row>
    <row r="835" spans="1:8" x14ac:dyDescent="0.2">
      <c r="A835" s="4">
        <v>199507</v>
      </c>
      <c r="B835" s="4">
        <v>3.72</v>
      </c>
      <c r="C835" s="4">
        <v>2.0699999999999998</v>
      </c>
      <c r="D835" s="4">
        <v>-1.62</v>
      </c>
      <c r="E835" s="4">
        <v>0.45</v>
      </c>
      <c r="F835" s="4"/>
      <c r="G835" s="4"/>
      <c r="H835" s="4"/>
    </row>
    <row r="836" spans="1:8" x14ac:dyDescent="0.2">
      <c r="A836" s="4">
        <v>199508</v>
      </c>
      <c r="B836" s="4">
        <v>0.55000000000000004</v>
      </c>
      <c r="C836" s="4">
        <v>1.35</v>
      </c>
      <c r="D836" s="4">
        <v>2.79</v>
      </c>
      <c r="E836" s="4">
        <v>0.47</v>
      </c>
      <c r="F836" s="4"/>
      <c r="G836" s="4"/>
      <c r="H836" s="4"/>
    </row>
    <row r="837" spans="1:8" x14ac:dyDescent="0.2">
      <c r="A837" s="4">
        <v>199509</v>
      </c>
      <c r="B837" s="4">
        <v>3.35</v>
      </c>
      <c r="C837" s="4">
        <v>-2.2000000000000002</v>
      </c>
      <c r="D837" s="4">
        <v>-0.04</v>
      </c>
      <c r="E837" s="4">
        <v>0.43</v>
      </c>
      <c r="F837" s="4"/>
      <c r="G837" s="4"/>
      <c r="H837" s="4"/>
    </row>
    <row r="838" spans="1:8" x14ac:dyDescent="0.2">
      <c r="A838" s="4">
        <v>199510</v>
      </c>
      <c r="B838" s="4">
        <v>-1.52</v>
      </c>
      <c r="C838" s="4">
        <v>-3.78</v>
      </c>
      <c r="D838" s="4">
        <v>-0.5</v>
      </c>
      <c r="E838" s="4">
        <v>0.47</v>
      </c>
      <c r="F838" s="4"/>
      <c r="G838" s="4"/>
      <c r="H838" s="4"/>
    </row>
    <row r="839" spans="1:8" x14ac:dyDescent="0.2">
      <c r="A839" s="4">
        <v>199511</v>
      </c>
      <c r="B839" s="4">
        <v>3.96</v>
      </c>
      <c r="C839" s="4">
        <v>-1.0900000000000001</v>
      </c>
      <c r="D839" s="4">
        <v>0.51</v>
      </c>
      <c r="E839" s="4">
        <v>0.42</v>
      </c>
      <c r="F839" s="4"/>
      <c r="G839" s="4"/>
      <c r="H839" s="4"/>
    </row>
    <row r="840" spans="1:8" x14ac:dyDescent="0.2">
      <c r="A840" s="4">
        <v>199512</v>
      </c>
      <c r="B840" s="4">
        <v>1.03</v>
      </c>
      <c r="C840" s="4">
        <v>0.7</v>
      </c>
      <c r="D840" s="4">
        <v>0.22</v>
      </c>
      <c r="E840" s="4">
        <v>0.49</v>
      </c>
      <c r="F840" s="4"/>
      <c r="G840" s="4"/>
      <c r="H840" s="4"/>
    </row>
    <row r="841" spans="1:8" x14ac:dyDescent="0.2">
      <c r="A841" s="4">
        <v>199601</v>
      </c>
      <c r="B841" s="4">
        <v>2.2599999999999998</v>
      </c>
      <c r="C841" s="4">
        <v>-2.73</v>
      </c>
      <c r="D841" s="4">
        <v>0.38</v>
      </c>
      <c r="E841" s="4">
        <v>0.43</v>
      </c>
      <c r="F841" s="4"/>
      <c r="G841" s="4"/>
      <c r="H841" s="4"/>
    </row>
    <row r="842" spans="1:8" x14ac:dyDescent="0.2">
      <c r="A842" s="4">
        <v>199602</v>
      </c>
      <c r="B842" s="4">
        <v>1.33</v>
      </c>
      <c r="C842" s="4">
        <v>1.79</v>
      </c>
      <c r="D842" s="4">
        <v>-1.08</v>
      </c>
      <c r="E842" s="4">
        <v>0.39</v>
      </c>
      <c r="F842" s="4"/>
      <c r="G842" s="4"/>
      <c r="H842" s="4"/>
    </row>
    <row r="843" spans="1:8" x14ac:dyDescent="0.2">
      <c r="A843" s="4">
        <v>199603</v>
      </c>
      <c r="B843" s="4">
        <v>0.73</v>
      </c>
      <c r="C843" s="4">
        <v>1.49</v>
      </c>
      <c r="D843" s="4">
        <v>0.35</v>
      </c>
      <c r="E843" s="4">
        <v>0.39</v>
      </c>
      <c r="F843" s="4"/>
      <c r="G843" s="4"/>
      <c r="H843" s="4"/>
    </row>
    <row r="844" spans="1:8" x14ac:dyDescent="0.2">
      <c r="A844" s="4">
        <v>199604</v>
      </c>
      <c r="B844" s="4">
        <v>2.06</v>
      </c>
      <c r="C844" s="4">
        <v>5.23</v>
      </c>
      <c r="D844" s="4">
        <v>-4.0199999999999996</v>
      </c>
      <c r="E844" s="4">
        <v>0.46</v>
      </c>
      <c r="F844" s="4"/>
      <c r="G844" s="4"/>
      <c r="H844" s="4"/>
    </row>
    <row r="845" spans="1:8" x14ac:dyDescent="0.2">
      <c r="A845" s="4">
        <v>199605</v>
      </c>
      <c r="B845" s="4">
        <v>2.36</v>
      </c>
      <c r="C845" s="4">
        <v>3.17</v>
      </c>
      <c r="D845" s="4">
        <v>-0.83</v>
      </c>
      <c r="E845" s="4">
        <v>0.42</v>
      </c>
      <c r="F845" s="4"/>
      <c r="G845" s="4"/>
      <c r="H845" s="4"/>
    </row>
    <row r="846" spans="1:8" x14ac:dyDescent="0.2">
      <c r="A846" s="4">
        <v>199606</v>
      </c>
      <c r="B846" s="4">
        <v>-1.1399999999999999</v>
      </c>
      <c r="C846" s="4">
        <v>-4.01</v>
      </c>
      <c r="D846" s="4">
        <v>2.35</v>
      </c>
      <c r="E846" s="4">
        <v>0.4</v>
      </c>
      <c r="F846" s="4"/>
      <c r="G846" s="4"/>
      <c r="H846" s="4"/>
    </row>
    <row r="847" spans="1:8" x14ac:dyDescent="0.2">
      <c r="A847" s="4">
        <v>199607</v>
      </c>
      <c r="B847" s="4">
        <v>-5.97</v>
      </c>
      <c r="C847" s="4">
        <v>-4.3099999999999996</v>
      </c>
      <c r="D847" s="4">
        <v>5.14</v>
      </c>
      <c r="E847" s="4">
        <v>0.45</v>
      </c>
      <c r="F847" s="4"/>
      <c r="G847" s="4"/>
      <c r="H847" s="4"/>
    </row>
    <row r="848" spans="1:8" x14ac:dyDescent="0.2">
      <c r="A848" s="4">
        <v>199608</v>
      </c>
      <c r="B848" s="4">
        <v>2.77</v>
      </c>
      <c r="C848" s="4">
        <v>2.44</v>
      </c>
      <c r="D848" s="4">
        <v>-0.74</v>
      </c>
      <c r="E848" s="4">
        <v>0.41</v>
      </c>
      <c r="F848" s="4"/>
      <c r="G848" s="4"/>
      <c r="H848" s="4"/>
    </row>
    <row r="849" spans="1:8" x14ac:dyDescent="0.2">
      <c r="A849" s="4">
        <v>199609</v>
      </c>
      <c r="B849" s="4">
        <v>5.01</v>
      </c>
      <c r="C849" s="4">
        <v>-0.98</v>
      </c>
      <c r="D849" s="4">
        <v>-2.72</v>
      </c>
      <c r="E849" s="4">
        <v>0.44</v>
      </c>
      <c r="F849" s="4"/>
      <c r="G849" s="4"/>
      <c r="H849" s="4"/>
    </row>
    <row r="850" spans="1:8" x14ac:dyDescent="0.2">
      <c r="A850" s="4">
        <v>199610</v>
      </c>
      <c r="B850" s="4">
        <v>0.86</v>
      </c>
      <c r="C850" s="4">
        <v>-4.4400000000000004</v>
      </c>
      <c r="D850" s="4">
        <v>4.9400000000000004</v>
      </c>
      <c r="E850" s="4">
        <v>0.42</v>
      </c>
      <c r="F850" s="4"/>
      <c r="G850" s="4"/>
      <c r="H850" s="4"/>
    </row>
    <row r="851" spans="1:8" x14ac:dyDescent="0.2">
      <c r="A851" s="4">
        <v>199611</v>
      </c>
      <c r="B851" s="4">
        <v>6.25</v>
      </c>
      <c r="C851" s="4">
        <v>-4.0199999999999996</v>
      </c>
      <c r="D851" s="4">
        <v>1.39</v>
      </c>
      <c r="E851" s="4">
        <v>0.41</v>
      </c>
      <c r="F851" s="4"/>
      <c r="G851" s="4"/>
      <c r="H851" s="4"/>
    </row>
    <row r="852" spans="1:8" x14ac:dyDescent="0.2">
      <c r="A852" s="4">
        <v>199612</v>
      </c>
      <c r="B852" s="4">
        <v>-1.7</v>
      </c>
      <c r="C852" s="4">
        <v>3.16</v>
      </c>
      <c r="D852" s="4">
        <v>1.31</v>
      </c>
      <c r="E852" s="4">
        <v>0.46</v>
      </c>
      <c r="F852" s="4"/>
      <c r="G852" s="4"/>
      <c r="H852" s="4"/>
    </row>
    <row r="853" spans="1:8" x14ac:dyDescent="0.2">
      <c r="A853" s="4">
        <v>199701</v>
      </c>
      <c r="B853" s="4">
        <v>4.99</v>
      </c>
      <c r="C853" s="4">
        <v>-1.95</v>
      </c>
      <c r="D853" s="4">
        <v>-1.42</v>
      </c>
      <c r="E853" s="4">
        <v>0.45</v>
      </c>
      <c r="F853" s="4"/>
      <c r="G853" s="4"/>
      <c r="H853" s="4"/>
    </row>
    <row r="854" spans="1:8" x14ac:dyDescent="0.2">
      <c r="A854" s="4">
        <v>199702</v>
      </c>
      <c r="B854" s="4">
        <v>-0.49</v>
      </c>
      <c r="C854" s="4">
        <v>-3.22</v>
      </c>
      <c r="D854" s="4">
        <v>5.67</v>
      </c>
      <c r="E854" s="4">
        <v>0.39</v>
      </c>
      <c r="F854" s="4"/>
      <c r="G854" s="4"/>
      <c r="H854" s="4"/>
    </row>
    <row r="855" spans="1:8" x14ac:dyDescent="0.2">
      <c r="A855" s="4">
        <v>199703</v>
      </c>
      <c r="B855" s="4">
        <v>-5.03</v>
      </c>
      <c r="C855" s="4">
        <v>-0.36</v>
      </c>
      <c r="D855" s="4">
        <v>3.39</v>
      </c>
      <c r="E855" s="4">
        <v>0.43</v>
      </c>
      <c r="F855" s="4"/>
      <c r="G855" s="4"/>
      <c r="H855" s="4"/>
    </row>
    <row r="856" spans="1:8" x14ac:dyDescent="0.2">
      <c r="A856" s="4">
        <v>199704</v>
      </c>
      <c r="B856" s="4">
        <v>4.04</v>
      </c>
      <c r="C856" s="4">
        <v>-5.77</v>
      </c>
      <c r="D856" s="4">
        <v>7.0000000000000007E-2</v>
      </c>
      <c r="E856" s="4">
        <v>0.43</v>
      </c>
      <c r="F856" s="4"/>
      <c r="G856" s="4"/>
      <c r="H856" s="4"/>
    </row>
    <row r="857" spans="1:8" x14ac:dyDescent="0.2">
      <c r="A857" s="4">
        <v>199705</v>
      </c>
      <c r="B857" s="4">
        <v>6.74</v>
      </c>
      <c r="C857" s="4">
        <v>5.19</v>
      </c>
      <c r="D857" s="4">
        <v>-4.13</v>
      </c>
      <c r="E857" s="4">
        <v>0.49</v>
      </c>
      <c r="F857" s="4"/>
      <c r="G857" s="4"/>
      <c r="H857" s="4"/>
    </row>
    <row r="858" spans="1:8" x14ac:dyDescent="0.2">
      <c r="A858" s="4">
        <v>199706</v>
      </c>
      <c r="B858" s="4">
        <v>4.0999999999999996</v>
      </c>
      <c r="C858" s="4">
        <v>1.22</v>
      </c>
      <c r="D858" s="4">
        <v>1.58</v>
      </c>
      <c r="E858" s="4">
        <v>0.37</v>
      </c>
      <c r="F858" s="4"/>
      <c r="G858" s="4"/>
      <c r="H858" s="4"/>
    </row>
    <row r="859" spans="1:8" x14ac:dyDescent="0.2">
      <c r="A859" s="4">
        <v>199707</v>
      </c>
      <c r="B859" s="4">
        <v>7.33</v>
      </c>
      <c r="C859" s="4">
        <v>-2.74</v>
      </c>
      <c r="D859" s="4">
        <v>0.26</v>
      </c>
      <c r="E859" s="4">
        <v>0.43</v>
      </c>
      <c r="F859" s="4"/>
      <c r="G859" s="4"/>
      <c r="H859" s="4"/>
    </row>
    <row r="860" spans="1:8" x14ac:dyDescent="0.2">
      <c r="A860" s="4">
        <v>199708</v>
      </c>
      <c r="B860" s="4">
        <v>-4.1500000000000004</v>
      </c>
      <c r="C860" s="4">
        <v>7.28</v>
      </c>
      <c r="D860" s="4">
        <v>1.18</v>
      </c>
      <c r="E860" s="4">
        <v>0.41</v>
      </c>
      <c r="F860" s="4"/>
      <c r="G860" s="4"/>
      <c r="H860" s="4"/>
    </row>
    <row r="861" spans="1:8" x14ac:dyDescent="0.2">
      <c r="A861" s="4">
        <v>199709</v>
      </c>
      <c r="B861" s="4">
        <v>5.35</v>
      </c>
      <c r="C861" s="4">
        <v>2.5299999999999998</v>
      </c>
      <c r="D861" s="4">
        <v>0.37</v>
      </c>
      <c r="E861" s="4">
        <v>0.44</v>
      </c>
      <c r="F861" s="4"/>
      <c r="G861" s="4"/>
      <c r="H861" s="4"/>
    </row>
    <row r="862" spans="1:8" x14ac:dyDescent="0.2">
      <c r="A862" s="4">
        <v>199710</v>
      </c>
      <c r="B862" s="4">
        <v>-3.8</v>
      </c>
      <c r="C862" s="4">
        <v>-0.73</v>
      </c>
      <c r="D862" s="4">
        <v>2.27</v>
      </c>
      <c r="E862" s="4">
        <v>0.42</v>
      </c>
      <c r="F862" s="4"/>
      <c r="G862" s="4"/>
      <c r="H862" s="4"/>
    </row>
    <row r="863" spans="1:8" x14ac:dyDescent="0.2">
      <c r="A863" s="4">
        <v>199711</v>
      </c>
      <c r="B863" s="4">
        <v>2.98</v>
      </c>
      <c r="C863" s="4">
        <v>-5.12</v>
      </c>
      <c r="D863" s="4">
        <v>1.2</v>
      </c>
      <c r="E863" s="4">
        <v>0.39</v>
      </c>
      <c r="F863" s="4"/>
      <c r="G863" s="4"/>
      <c r="H863" s="4"/>
    </row>
    <row r="864" spans="1:8" x14ac:dyDescent="0.2">
      <c r="A864" s="4">
        <v>199712</v>
      </c>
      <c r="B864" s="4">
        <v>1.32</v>
      </c>
      <c r="C864" s="4">
        <v>-2.48</v>
      </c>
      <c r="D864" s="4">
        <v>3.84</v>
      </c>
      <c r="E864" s="4">
        <v>0.48</v>
      </c>
      <c r="F864" s="4"/>
      <c r="G864" s="4"/>
      <c r="H864" s="4"/>
    </row>
    <row r="865" spans="1:8" x14ac:dyDescent="0.2">
      <c r="A865" s="4">
        <v>199801</v>
      </c>
      <c r="B865" s="4">
        <v>0.15</v>
      </c>
      <c r="C865" s="4">
        <v>-1.07</v>
      </c>
      <c r="D865" s="4">
        <v>-1.63</v>
      </c>
      <c r="E865" s="4">
        <v>0.43</v>
      </c>
      <c r="F865" s="4"/>
      <c r="G865" s="4"/>
      <c r="H865" s="4"/>
    </row>
    <row r="866" spans="1:8" x14ac:dyDescent="0.2">
      <c r="A866" s="4">
        <v>199802</v>
      </c>
      <c r="B866" s="4">
        <v>7.04</v>
      </c>
      <c r="C866" s="4">
        <v>0.32</v>
      </c>
      <c r="D866" s="4">
        <v>-0.85</v>
      </c>
      <c r="E866" s="4">
        <v>0.39</v>
      </c>
      <c r="F866" s="4"/>
      <c r="G866" s="4"/>
      <c r="H866" s="4"/>
    </row>
    <row r="867" spans="1:8" x14ac:dyDescent="0.2">
      <c r="A867" s="4">
        <v>199803</v>
      </c>
      <c r="B867" s="4">
        <v>4.76</v>
      </c>
      <c r="C867" s="4">
        <v>-1.1399999999999999</v>
      </c>
      <c r="D867" s="4">
        <v>1.39</v>
      </c>
      <c r="E867" s="4">
        <v>0.39</v>
      </c>
      <c r="F867" s="4"/>
      <c r="G867" s="4"/>
      <c r="H867" s="4"/>
    </row>
    <row r="868" spans="1:8" x14ac:dyDescent="0.2">
      <c r="A868" s="4">
        <v>199804</v>
      </c>
      <c r="B868" s="4">
        <v>0.73</v>
      </c>
      <c r="C868" s="4">
        <v>7.0000000000000007E-2</v>
      </c>
      <c r="D868" s="4">
        <v>0.94</v>
      </c>
      <c r="E868" s="4">
        <v>0.43</v>
      </c>
      <c r="F868" s="4"/>
      <c r="G868" s="4"/>
      <c r="H868" s="4"/>
    </row>
    <row r="869" spans="1:8" x14ac:dyDescent="0.2">
      <c r="A869" s="4">
        <v>199805</v>
      </c>
      <c r="B869" s="4">
        <v>-3.07</v>
      </c>
      <c r="C869" s="4">
        <v>-3.38</v>
      </c>
      <c r="D869" s="4">
        <v>3.44</v>
      </c>
      <c r="E869" s="4">
        <v>0.4</v>
      </c>
      <c r="F869" s="4"/>
      <c r="G869" s="4"/>
      <c r="H869" s="4"/>
    </row>
    <row r="870" spans="1:8" x14ac:dyDescent="0.2">
      <c r="A870" s="4">
        <v>199806</v>
      </c>
      <c r="B870" s="4">
        <v>3.18</v>
      </c>
      <c r="C870" s="4">
        <v>-3.21</v>
      </c>
      <c r="D870" s="4">
        <v>-1.96</v>
      </c>
      <c r="E870" s="4">
        <v>0.41</v>
      </c>
      <c r="F870" s="4"/>
      <c r="G870" s="4"/>
      <c r="H870" s="4"/>
    </row>
    <row r="871" spans="1:8" x14ac:dyDescent="0.2">
      <c r="A871" s="4">
        <v>199807</v>
      </c>
      <c r="B871" s="4">
        <v>-2.46</v>
      </c>
      <c r="C871" s="4">
        <v>-4.91</v>
      </c>
      <c r="D871" s="4">
        <v>-1.78</v>
      </c>
      <c r="E871" s="4">
        <v>0.4</v>
      </c>
      <c r="F871" s="4"/>
      <c r="G871" s="4"/>
      <c r="H871" s="4"/>
    </row>
    <row r="872" spans="1:8" x14ac:dyDescent="0.2">
      <c r="A872" s="4">
        <v>199808</v>
      </c>
      <c r="B872" s="4">
        <v>-16.079999999999998</v>
      </c>
      <c r="C872" s="4">
        <v>-5.69</v>
      </c>
      <c r="D872" s="4">
        <v>3.53</v>
      </c>
      <c r="E872" s="4">
        <v>0.43</v>
      </c>
      <c r="F872" s="4"/>
      <c r="G872" s="4"/>
      <c r="H872" s="4"/>
    </row>
    <row r="873" spans="1:8" x14ac:dyDescent="0.2">
      <c r="A873" s="4">
        <v>199809</v>
      </c>
      <c r="B873" s="4">
        <v>6.15</v>
      </c>
      <c r="C873" s="4">
        <v>0.09</v>
      </c>
      <c r="D873" s="4">
        <v>-3.42</v>
      </c>
      <c r="E873" s="4">
        <v>0.46</v>
      </c>
      <c r="F873" s="4"/>
      <c r="G873" s="4"/>
      <c r="H873" s="4"/>
    </row>
    <row r="874" spans="1:8" x14ac:dyDescent="0.2">
      <c r="A874" s="4">
        <v>199810</v>
      </c>
      <c r="B874" s="4">
        <v>7.13</v>
      </c>
      <c r="C874" s="4">
        <v>-3.12</v>
      </c>
      <c r="D874" s="4">
        <v>-2.23</v>
      </c>
      <c r="E874" s="4">
        <v>0.32</v>
      </c>
      <c r="F874" s="4"/>
      <c r="G874" s="4"/>
      <c r="H874" s="4"/>
    </row>
    <row r="875" spans="1:8" x14ac:dyDescent="0.2">
      <c r="A875" s="4">
        <v>199811</v>
      </c>
      <c r="B875" s="4">
        <v>6.1</v>
      </c>
      <c r="C875" s="4">
        <v>1.23</v>
      </c>
      <c r="D875" s="4">
        <v>-3.25</v>
      </c>
      <c r="E875" s="4">
        <v>0.31</v>
      </c>
      <c r="F875" s="4"/>
      <c r="G875" s="4"/>
      <c r="H875" s="4"/>
    </row>
    <row r="876" spans="1:8" x14ac:dyDescent="0.2">
      <c r="A876" s="4">
        <v>199812</v>
      </c>
      <c r="B876" s="4">
        <v>6.16</v>
      </c>
      <c r="C876" s="4">
        <v>-0.5</v>
      </c>
      <c r="D876" s="4">
        <v>-4.1900000000000004</v>
      </c>
      <c r="E876" s="4">
        <v>0.38</v>
      </c>
      <c r="F876" s="4"/>
      <c r="G876" s="4"/>
      <c r="H876" s="4"/>
    </row>
    <row r="877" spans="1:8" x14ac:dyDescent="0.2">
      <c r="A877" s="4">
        <v>199901</v>
      </c>
      <c r="B877" s="4">
        <v>3.5</v>
      </c>
      <c r="C877" s="4">
        <v>0.75</v>
      </c>
      <c r="D877" s="4">
        <v>-4.5999999999999996</v>
      </c>
      <c r="E877" s="4">
        <v>0.35</v>
      </c>
      <c r="F877" s="4"/>
      <c r="G877" s="4"/>
      <c r="H877" s="4"/>
    </row>
    <row r="878" spans="1:8" x14ac:dyDescent="0.2">
      <c r="A878" s="4">
        <v>199902</v>
      </c>
      <c r="B878" s="4">
        <v>-4.08</v>
      </c>
      <c r="C878" s="4">
        <v>-6.08</v>
      </c>
      <c r="D878" s="4">
        <v>1.92</v>
      </c>
      <c r="E878" s="4">
        <v>0.35</v>
      </c>
      <c r="F878" s="4"/>
      <c r="G878" s="4"/>
      <c r="H878" s="4"/>
    </row>
    <row r="879" spans="1:8" x14ac:dyDescent="0.2">
      <c r="A879" s="4">
        <v>199903</v>
      </c>
      <c r="B879" s="4">
        <v>3.45</v>
      </c>
      <c r="C879" s="4">
        <v>-3.8</v>
      </c>
      <c r="D879" s="4">
        <v>-2.74</v>
      </c>
      <c r="E879" s="4">
        <v>0.43</v>
      </c>
      <c r="F879" s="4"/>
      <c r="G879" s="4"/>
      <c r="H879" s="4"/>
    </row>
    <row r="880" spans="1:8" x14ac:dyDescent="0.2">
      <c r="A880" s="4">
        <v>199904</v>
      </c>
      <c r="B880" s="4">
        <v>4.33</v>
      </c>
      <c r="C880" s="4">
        <v>3.91</v>
      </c>
      <c r="D880" s="4">
        <v>2.46</v>
      </c>
      <c r="E880" s="4">
        <v>0.37</v>
      </c>
      <c r="F880" s="4"/>
      <c r="G880" s="4"/>
      <c r="H880" s="4"/>
    </row>
    <row r="881" spans="1:8" x14ac:dyDescent="0.2">
      <c r="A881" s="4">
        <v>199905</v>
      </c>
      <c r="B881" s="4">
        <v>-2.46</v>
      </c>
      <c r="C881" s="4">
        <v>3.34</v>
      </c>
      <c r="D881" s="4">
        <v>2.35</v>
      </c>
      <c r="E881" s="4">
        <v>0.34</v>
      </c>
      <c r="F881" s="4"/>
      <c r="G881" s="4"/>
      <c r="H881" s="4"/>
    </row>
    <row r="882" spans="1:8" x14ac:dyDescent="0.2">
      <c r="A882" s="4">
        <v>199906</v>
      </c>
      <c r="B882" s="4">
        <v>4.7699999999999996</v>
      </c>
      <c r="C882" s="4">
        <v>3.1</v>
      </c>
      <c r="D882" s="4">
        <v>-3.19</v>
      </c>
      <c r="E882" s="4">
        <v>0.4</v>
      </c>
      <c r="F882" s="4"/>
      <c r="G882" s="4"/>
      <c r="H882" s="4"/>
    </row>
    <row r="883" spans="1:8" x14ac:dyDescent="0.2">
      <c r="A883" s="4">
        <v>199907</v>
      </c>
      <c r="B883" s="4">
        <v>-3.49</v>
      </c>
      <c r="C883" s="4">
        <v>2.6</v>
      </c>
      <c r="D883" s="4">
        <v>-0.44</v>
      </c>
      <c r="E883" s="4">
        <v>0.38</v>
      </c>
      <c r="F883" s="4"/>
      <c r="G883" s="4"/>
      <c r="H883" s="4"/>
    </row>
    <row r="884" spans="1:8" x14ac:dyDescent="0.2">
      <c r="A884" s="4">
        <v>199908</v>
      </c>
      <c r="B884" s="4">
        <v>-1.38</v>
      </c>
      <c r="C884" s="4">
        <v>-0.94</v>
      </c>
      <c r="D884" s="4">
        <v>-1.87</v>
      </c>
      <c r="E884" s="4">
        <v>0.39</v>
      </c>
      <c r="F884" s="4"/>
      <c r="G884" s="4"/>
      <c r="H884" s="4"/>
    </row>
    <row r="885" spans="1:8" x14ac:dyDescent="0.2">
      <c r="A885" s="4">
        <v>199909</v>
      </c>
      <c r="B885" s="4">
        <v>-2.79</v>
      </c>
      <c r="C885" s="4">
        <v>3.41</v>
      </c>
      <c r="D885" s="4">
        <v>-3.49</v>
      </c>
      <c r="E885" s="4">
        <v>0.39</v>
      </c>
      <c r="F885" s="4"/>
      <c r="G885" s="4"/>
      <c r="H885" s="4"/>
    </row>
    <row r="886" spans="1:8" x14ac:dyDescent="0.2">
      <c r="A886" s="4">
        <v>199910</v>
      </c>
      <c r="B886" s="4">
        <v>6.12</v>
      </c>
      <c r="C886" s="4">
        <v>-6.64</v>
      </c>
      <c r="D886" s="4">
        <v>-3.37</v>
      </c>
      <c r="E886" s="4">
        <v>0.39</v>
      </c>
      <c r="F886" s="4"/>
      <c r="G886" s="4"/>
      <c r="H886" s="4"/>
    </row>
    <row r="887" spans="1:8" x14ac:dyDescent="0.2">
      <c r="A887" s="4">
        <v>199911</v>
      </c>
      <c r="B887" s="4">
        <v>3.37</v>
      </c>
      <c r="C887" s="4">
        <v>7.21</v>
      </c>
      <c r="D887" s="4">
        <v>-6.12</v>
      </c>
      <c r="E887" s="4">
        <v>0.36</v>
      </c>
      <c r="F887" s="4"/>
      <c r="G887" s="4"/>
      <c r="H887" s="4"/>
    </row>
    <row r="888" spans="1:8" x14ac:dyDescent="0.2">
      <c r="A888" s="4">
        <v>199912</v>
      </c>
      <c r="B888" s="4">
        <v>7.72</v>
      </c>
      <c r="C888" s="4">
        <v>7.03</v>
      </c>
      <c r="D888" s="4">
        <v>-8.33</v>
      </c>
      <c r="E888" s="4">
        <v>0.44</v>
      </c>
      <c r="F888" s="4"/>
      <c r="G888" s="4"/>
      <c r="H888" s="4"/>
    </row>
    <row r="889" spans="1:8" x14ac:dyDescent="0.2">
      <c r="A889" s="4">
        <v>200001</v>
      </c>
      <c r="B889" s="4">
        <v>-4.74</v>
      </c>
      <c r="C889" s="4">
        <v>5.77</v>
      </c>
      <c r="D889" s="4">
        <v>-1.88</v>
      </c>
      <c r="E889" s="4">
        <v>0.41</v>
      </c>
      <c r="F889" s="4"/>
      <c r="G889" s="4"/>
      <c r="H889" s="4"/>
    </row>
    <row r="890" spans="1:8" x14ac:dyDescent="0.2">
      <c r="A890" s="4">
        <v>200002</v>
      </c>
      <c r="B890" s="4">
        <v>2.4500000000000002</v>
      </c>
      <c r="C890" s="4">
        <v>21.36</v>
      </c>
      <c r="D890" s="4">
        <v>-9.59</v>
      </c>
      <c r="E890" s="4">
        <v>0.43</v>
      </c>
      <c r="F890" s="4"/>
      <c r="G890" s="4"/>
      <c r="H890" s="4"/>
    </row>
    <row r="891" spans="1:8" x14ac:dyDescent="0.2">
      <c r="A891" s="4">
        <v>200003</v>
      </c>
      <c r="B891" s="4">
        <v>5.2</v>
      </c>
      <c r="C891" s="4">
        <v>-17.2</v>
      </c>
      <c r="D891" s="4">
        <v>8.1300000000000008</v>
      </c>
      <c r="E891" s="4">
        <v>0.47</v>
      </c>
      <c r="F891" s="4"/>
      <c r="G891" s="4"/>
      <c r="H891" s="4"/>
    </row>
    <row r="892" spans="1:8" x14ac:dyDescent="0.2">
      <c r="A892" s="4">
        <v>200004</v>
      </c>
      <c r="B892" s="4">
        <v>-6.4</v>
      </c>
      <c r="C892" s="4">
        <v>-6.68</v>
      </c>
      <c r="D892" s="4">
        <v>7.26</v>
      </c>
      <c r="E892" s="4">
        <v>0.46</v>
      </c>
      <c r="F892" s="4"/>
      <c r="G892" s="4"/>
      <c r="H892" s="4"/>
    </row>
    <row r="893" spans="1:8" x14ac:dyDescent="0.2">
      <c r="A893" s="4">
        <v>200005</v>
      </c>
      <c r="B893" s="4">
        <v>-4.42</v>
      </c>
      <c r="C893" s="4">
        <v>-6.05</v>
      </c>
      <c r="D893" s="4">
        <v>4.75</v>
      </c>
      <c r="E893" s="4">
        <v>0.5</v>
      </c>
      <c r="F893" s="4"/>
      <c r="G893" s="4"/>
      <c r="H893" s="4"/>
    </row>
    <row r="894" spans="1:8" x14ac:dyDescent="0.2">
      <c r="A894" s="4">
        <v>200006</v>
      </c>
      <c r="B894" s="4">
        <v>4.6399999999999997</v>
      </c>
      <c r="C894" s="4">
        <v>12.84</v>
      </c>
      <c r="D894" s="4">
        <v>-8.42</v>
      </c>
      <c r="E894" s="4">
        <v>0.4</v>
      </c>
      <c r="F894" s="4"/>
      <c r="G894" s="4"/>
      <c r="H894" s="4"/>
    </row>
    <row r="895" spans="1:8" x14ac:dyDescent="0.2">
      <c r="A895" s="4">
        <v>200007</v>
      </c>
      <c r="B895" s="4">
        <v>-2.5099999999999998</v>
      </c>
      <c r="C895" s="4">
        <v>-3.07</v>
      </c>
      <c r="D895" s="4">
        <v>8.31</v>
      </c>
      <c r="E895" s="4">
        <v>0.48</v>
      </c>
      <c r="F895" s="4"/>
      <c r="G895" s="4"/>
      <c r="H895" s="4"/>
    </row>
    <row r="896" spans="1:8" x14ac:dyDescent="0.2">
      <c r="A896" s="4">
        <v>200008</v>
      </c>
      <c r="B896" s="4">
        <v>7.03</v>
      </c>
      <c r="C896" s="4">
        <v>-0.61</v>
      </c>
      <c r="D896" s="4">
        <v>-1.39</v>
      </c>
      <c r="E896" s="4">
        <v>0.5</v>
      </c>
      <c r="F896" s="4"/>
      <c r="G896" s="4"/>
      <c r="H896" s="4"/>
    </row>
    <row r="897" spans="1:8" x14ac:dyDescent="0.2">
      <c r="A897" s="4">
        <v>200009</v>
      </c>
      <c r="B897" s="4">
        <v>-5.45</v>
      </c>
      <c r="C897" s="4">
        <v>-1.82</v>
      </c>
      <c r="D897" s="4">
        <v>7.17</v>
      </c>
      <c r="E897" s="4">
        <v>0.51</v>
      </c>
      <c r="F897" s="4"/>
      <c r="G897" s="4"/>
      <c r="H897" s="4"/>
    </row>
    <row r="898" spans="1:8" x14ac:dyDescent="0.2">
      <c r="A898" s="4">
        <v>200010</v>
      </c>
      <c r="B898" s="4">
        <v>-2.76</v>
      </c>
      <c r="C898" s="4">
        <v>-3.88</v>
      </c>
      <c r="D898" s="4">
        <v>5.71</v>
      </c>
      <c r="E898" s="4">
        <v>0.56000000000000005</v>
      </c>
      <c r="F898" s="4"/>
      <c r="G898" s="4"/>
      <c r="H898" s="4"/>
    </row>
    <row r="899" spans="1:8" x14ac:dyDescent="0.2">
      <c r="A899" s="4">
        <v>200011</v>
      </c>
      <c r="B899" s="4">
        <v>-10.72</v>
      </c>
      <c r="C899" s="4">
        <v>-3.41</v>
      </c>
      <c r="D899" s="4">
        <v>12.3</v>
      </c>
      <c r="E899" s="4">
        <v>0.51</v>
      </c>
      <c r="F899" s="4"/>
      <c r="G899" s="4"/>
      <c r="H899" s="4"/>
    </row>
    <row r="900" spans="1:8" x14ac:dyDescent="0.2">
      <c r="A900" s="4">
        <v>200012</v>
      </c>
      <c r="B900" s="4">
        <v>1.19</v>
      </c>
      <c r="C900" s="4">
        <v>0.73</v>
      </c>
      <c r="D900" s="4">
        <v>7.61</v>
      </c>
      <c r="E900" s="4">
        <v>0.5</v>
      </c>
      <c r="F900" s="4"/>
      <c r="G900" s="4"/>
      <c r="H900" s="4"/>
    </row>
    <row r="901" spans="1:8" x14ac:dyDescent="0.2">
      <c r="A901" s="4">
        <v>200101</v>
      </c>
      <c r="B901" s="4">
        <v>3.13</v>
      </c>
      <c r="C901" s="4">
        <v>6.68</v>
      </c>
      <c r="D901" s="4">
        <v>-5.07</v>
      </c>
      <c r="E901" s="4">
        <v>0.54</v>
      </c>
      <c r="F901" s="4"/>
      <c r="G901" s="4"/>
      <c r="H901" s="4"/>
    </row>
    <row r="902" spans="1:8" x14ac:dyDescent="0.2">
      <c r="A902" s="4">
        <v>200102</v>
      </c>
      <c r="B902" s="4">
        <v>-10.050000000000001</v>
      </c>
      <c r="C902" s="4">
        <v>-0.78</v>
      </c>
      <c r="D902" s="4">
        <v>12.47</v>
      </c>
      <c r="E902" s="4">
        <v>0.38</v>
      </c>
      <c r="F902" s="4"/>
      <c r="G902" s="4"/>
      <c r="H902" s="4"/>
    </row>
    <row r="903" spans="1:8" x14ac:dyDescent="0.2">
      <c r="A903" s="4">
        <v>200103</v>
      </c>
      <c r="B903" s="4">
        <v>-7.26</v>
      </c>
      <c r="C903" s="4">
        <v>0.25</v>
      </c>
      <c r="D903" s="4">
        <v>6.42</v>
      </c>
      <c r="E903" s="4">
        <v>0.42</v>
      </c>
      <c r="F903" s="4"/>
      <c r="G903" s="4"/>
      <c r="H903" s="4"/>
    </row>
    <row r="904" spans="1:8" x14ac:dyDescent="0.2">
      <c r="A904" s="4">
        <v>200104</v>
      </c>
      <c r="B904" s="4">
        <v>7.94</v>
      </c>
      <c r="C904" s="4">
        <v>0.55000000000000004</v>
      </c>
      <c r="D904" s="4">
        <v>-4.67</v>
      </c>
      <c r="E904" s="4">
        <v>0.39</v>
      </c>
      <c r="F904" s="4"/>
      <c r="G904" s="4"/>
      <c r="H904" s="4"/>
    </row>
    <row r="905" spans="1:8" x14ac:dyDescent="0.2">
      <c r="A905" s="4">
        <v>200105</v>
      </c>
      <c r="B905" s="4">
        <v>0.72</v>
      </c>
      <c r="C905" s="4">
        <v>2.5</v>
      </c>
      <c r="D905" s="4">
        <v>3.36</v>
      </c>
      <c r="E905" s="4">
        <v>0.32</v>
      </c>
      <c r="F905" s="4"/>
      <c r="G905" s="4"/>
      <c r="H905" s="4"/>
    </row>
    <row r="906" spans="1:8" x14ac:dyDescent="0.2">
      <c r="A906" s="4">
        <v>200106</v>
      </c>
      <c r="B906" s="4">
        <v>-1.94</v>
      </c>
      <c r="C906" s="4">
        <v>6.24</v>
      </c>
      <c r="D906" s="4">
        <v>-1.1200000000000001</v>
      </c>
      <c r="E906" s="4">
        <v>0.28000000000000003</v>
      </c>
      <c r="F906" s="4"/>
      <c r="G906" s="4"/>
      <c r="H906" s="4"/>
    </row>
    <row r="907" spans="1:8" x14ac:dyDescent="0.2">
      <c r="A907" s="4">
        <v>200107</v>
      </c>
      <c r="B907" s="4">
        <v>-2.13</v>
      </c>
      <c r="C907" s="4">
        <v>-4.1900000000000004</v>
      </c>
      <c r="D907" s="4">
        <v>5.21</v>
      </c>
      <c r="E907" s="4">
        <v>0.3</v>
      </c>
      <c r="F907" s="4"/>
      <c r="G907" s="4"/>
      <c r="H907" s="4"/>
    </row>
    <row r="908" spans="1:8" x14ac:dyDescent="0.2">
      <c r="A908" s="4">
        <v>200108</v>
      </c>
      <c r="B908" s="4">
        <v>-6.46</v>
      </c>
      <c r="C908" s="4">
        <v>2.48</v>
      </c>
      <c r="D908" s="4">
        <v>2.31</v>
      </c>
      <c r="E908" s="4">
        <v>0.31</v>
      </c>
      <c r="F908" s="4"/>
      <c r="G908" s="4"/>
      <c r="H908" s="4"/>
    </row>
    <row r="909" spans="1:8" x14ac:dyDescent="0.2">
      <c r="A909" s="4">
        <v>200109</v>
      </c>
      <c r="B909" s="4">
        <v>-9.25</v>
      </c>
      <c r="C909" s="4">
        <v>-6.23</v>
      </c>
      <c r="D909" s="4">
        <v>1.45</v>
      </c>
      <c r="E909" s="4">
        <v>0.28000000000000003</v>
      </c>
      <c r="F909" s="4"/>
      <c r="G909" s="4"/>
      <c r="H909" s="4"/>
    </row>
    <row r="910" spans="1:8" x14ac:dyDescent="0.2">
      <c r="A910" s="4">
        <v>200110</v>
      </c>
      <c r="B910" s="4">
        <v>2.46</v>
      </c>
      <c r="C910" s="4">
        <v>7.48</v>
      </c>
      <c r="D910" s="4">
        <v>-7.65</v>
      </c>
      <c r="E910" s="4">
        <v>0.22</v>
      </c>
      <c r="F910" s="4"/>
      <c r="G910" s="4"/>
      <c r="H910" s="4"/>
    </row>
    <row r="911" spans="1:8" x14ac:dyDescent="0.2">
      <c r="A911" s="4">
        <v>200111</v>
      </c>
      <c r="B911" s="4">
        <v>7.54</v>
      </c>
      <c r="C911" s="4">
        <v>-0.47</v>
      </c>
      <c r="D911" s="4">
        <v>2.21</v>
      </c>
      <c r="E911" s="4">
        <v>0.17</v>
      </c>
      <c r="F911" s="4"/>
      <c r="G911" s="4"/>
      <c r="H911" s="4"/>
    </row>
    <row r="912" spans="1:8" x14ac:dyDescent="0.2">
      <c r="A912" s="4">
        <v>200112</v>
      </c>
      <c r="B912" s="4">
        <v>1.6</v>
      </c>
      <c r="C912" s="4">
        <v>4.74</v>
      </c>
      <c r="D912" s="4">
        <v>0.84</v>
      </c>
      <c r="E912" s="4">
        <v>0.15</v>
      </c>
      <c r="F912" s="4"/>
      <c r="G912" s="4"/>
      <c r="H912" s="4"/>
    </row>
    <row r="913" spans="1:8" x14ac:dyDescent="0.2">
      <c r="A913" s="4">
        <v>200201</v>
      </c>
      <c r="B913" s="4">
        <v>-1.44</v>
      </c>
      <c r="C913" s="4">
        <v>1.19</v>
      </c>
      <c r="D913" s="4">
        <v>3.44</v>
      </c>
      <c r="E913" s="4">
        <v>0.14000000000000001</v>
      </c>
      <c r="F913" s="4"/>
      <c r="G913" s="4"/>
      <c r="H913" s="4"/>
    </row>
    <row r="914" spans="1:8" x14ac:dyDescent="0.2">
      <c r="A914" s="4">
        <v>200202</v>
      </c>
      <c r="B914" s="4">
        <v>-2.29</v>
      </c>
      <c r="C914" s="4">
        <v>-1.01</v>
      </c>
      <c r="D914" s="4">
        <v>2.16</v>
      </c>
      <c r="E914" s="4">
        <v>0.13</v>
      </c>
      <c r="F914" s="4"/>
      <c r="G914" s="4"/>
      <c r="H914" s="4"/>
    </row>
    <row r="915" spans="1:8" x14ac:dyDescent="0.2">
      <c r="A915" s="4">
        <v>200203</v>
      </c>
      <c r="B915" s="4">
        <v>4.24</v>
      </c>
      <c r="C915" s="4">
        <v>4.21</v>
      </c>
      <c r="D915" s="4">
        <v>1.06</v>
      </c>
      <c r="E915" s="4">
        <v>0.13</v>
      </c>
      <c r="F915" s="4"/>
      <c r="G915" s="4"/>
      <c r="H915" s="4"/>
    </row>
    <row r="916" spans="1:8" x14ac:dyDescent="0.2">
      <c r="A916" s="4">
        <v>200204</v>
      </c>
      <c r="B916" s="4">
        <v>-5.2</v>
      </c>
      <c r="C916" s="4">
        <v>5.96</v>
      </c>
      <c r="D916" s="4">
        <v>3.88</v>
      </c>
      <c r="E916" s="4">
        <v>0.15</v>
      </c>
      <c r="F916" s="4"/>
      <c r="G916" s="4"/>
      <c r="H916" s="4"/>
    </row>
    <row r="917" spans="1:8" x14ac:dyDescent="0.2">
      <c r="A917" s="4">
        <v>200205</v>
      </c>
      <c r="B917" s="4">
        <v>-1.38</v>
      </c>
      <c r="C917" s="4">
        <v>-3.21</v>
      </c>
      <c r="D917" s="4">
        <v>1.53</v>
      </c>
      <c r="E917" s="4">
        <v>0.14000000000000001</v>
      </c>
      <c r="F917" s="4"/>
      <c r="G917" s="4"/>
      <c r="H917" s="4"/>
    </row>
    <row r="918" spans="1:8" x14ac:dyDescent="0.2">
      <c r="A918" s="4">
        <v>200206</v>
      </c>
      <c r="B918" s="4">
        <v>-7.21</v>
      </c>
      <c r="C918" s="4">
        <v>4.29</v>
      </c>
      <c r="D918" s="4">
        <v>-0.05</v>
      </c>
      <c r="E918" s="4">
        <v>0.13</v>
      </c>
      <c r="F918" s="4"/>
      <c r="G918" s="4"/>
      <c r="H918" s="4"/>
    </row>
    <row r="919" spans="1:8" x14ac:dyDescent="0.2">
      <c r="A919" s="4">
        <v>200207</v>
      </c>
      <c r="B919" s="4">
        <v>-8.18</v>
      </c>
      <c r="C919" s="4">
        <v>-5.28</v>
      </c>
      <c r="D919" s="4">
        <v>-3.85</v>
      </c>
      <c r="E919" s="4">
        <v>0.15</v>
      </c>
      <c r="F919" s="4"/>
      <c r="G919" s="4"/>
      <c r="H919" s="4"/>
    </row>
    <row r="920" spans="1:8" x14ac:dyDescent="0.2">
      <c r="A920" s="4">
        <v>200208</v>
      </c>
      <c r="B920" s="4">
        <v>0.5</v>
      </c>
      <c r="C920" s="4">
        <v>-2.86</v>
      </c>
      <c r="D920" s="4">
        <v>3.28</v>
      </c>
      <c r="E920" s="4">
        <v>0.14000000000000001</v>
      </c>
      <c r="F920" s="4"/>
      <c r="G920" s="4"/>
      <c r="H920" s="4"/>
    </row>
    <row r="921" spans="1:8" x14ac:dyDescent="0.2">
      <c r="A921" s="4">
        <v>200209</v>
      </c>
      <c r="B921" s="4">
        <v>-10.35</v>
      </c>
      <c r="C921" s="4">
        <v>2.41</v>
      </c>
      <c r="D921" s="4">
        <v>1.45</v>
      </c>
      <c r="E921" s="4">
        <v>0.14000000000000001</v>
      </c>
      <c r="F921" s="4"/>
      <c r="G921" s="4"/>
      <c r="H921" s="4"/>
    </row>
    <row r="922" spans="1:8" x14ac:dyDescent="0.2">
      <c r="A922" s="4">
        <v>200210</v>
      </c>
      <c r="B922" s="4">
        <v>7.84</v>
      </c>
      <c r="C922" s="4">
        <v>-3.42</v>
      </c>
      <c r="D922" s="4">
        <v>-3.94</v>
      </c>
      <c r="E922" s="4">
        <v>0.14000000000000001</v>
      </c>
      <c r="F922" s="4"/>
      <c r="G922" s="4"/>
      <c r="H922" s="4"/>
    </row>
    <row r="923" spans="1:8" x14ac:dyDescent="0.2">
      <c r="A923" s="4">
        <v>200211</v>
      </c>
      <c r="B923" s="4">
        <v>5.96</v>
      </c>
      <c r="C923" s="4">
        <v>3.19</v>
      </c>
      <c r="D923" s="4">
        <v>-1.26</v>
      </c>
      <c r="E923" s="4">
        <v>0.12</v>
      </c>
      <c r="F923" s="4"/>
      <c r="G923" s="4"/>
      <c r="H923" s="4"/>
    </row>
    <row r="924" spans="1:8" x14ac:dyDescent="0.2">
      <c r="A924" s="4">
        <v>200212</v>
      </c>
      <c r="B924" s="4">
        <v>-5.76</v>
      </c>
      <c r="C924" s="4">
        <v>0.08</v>
      </c>
      <c r="D924" s="4">
        <v>2.14</v>
      </c>
      <c r="E924" s="4">
        <v>0.11</v>
      </c>
      <c r="F924" s="4"/>
      <c r="G924" s="4"/>
      <c r="H924" s="4"/>
    </row>
    <row r="925" spans="1:8" x14ac:dyDescent="0.2">
      <c r="A925" s="4">
        <v>200301</v>
      </c>
      <c r="B925" s="4">
        <v>-2.57</v>
      </c>
      <c r="C925" s="4">
        <v>1.32</v>
      </c>
      <c r="D925" s="4">
        <v>-0.81</v>
      </c>
      <c r="E925" s="4">
        <v>0.1</v>
      </c>
      <c r="F925" s="4"/>
      <c r="G925" s="4"/>
      <c r="H925" s="4"/>
    </row>
    <row r="926" spans="1:8" x14ac:dyDescent="0.2">
      <c r="A926" s="4">
        <v>200302</v>
      </c>
      <c r="B926" s="4">
        <v>-1.88</v>
      </c>
      <c r="C926" s="4">
        <v>-0.46</v>
      </c>
      <c r="D926" s="4">
        <v>-1.37</v>
      </c>
      <c r="E926" s="4">
        <v>0.09</v>
      </c>
      <c r="F926" s="4"/>
      <c r="G926" s="4"/>
      <c r="H926" s="4"/>
    </row>
    <row r="927" spans="1:8" x14ac:dyDescent="0.2">
      <c r="A927" s="4">
        <v>200303</v>
      </c>
      <c r="B927" s="4">
        <v>1.0900000000000001</v>
      </c>
      <c r="C927" s="4">
        <v>1.02</v>
      </c>
      <c r="D927" s="4">
        <v>-1.94</v>
      </c>
      <c r="E927" s="4">
        <v>0.1</v>
      </c>
      <c r="F927" s="4"/>
      <c r="G927" s="4"/>
      <c r="H927" s="4"/>
    </row>
    <row r="928" spans="1:8" x14ac:dyDescent="0.2">
      <c r="A928" s="4">
        <v>200304</v>
      </c>
      <c r="B928" s="4">
        <v>8.2200000000000006</v>
      </c>
      <c r="C928" s="4">
        <v>0.62</v>
      </c>
      <c r="D928" s="4">
        <v>1.1499999999999999</v>
      </c>
      <c r="E928" s="4">
        <v>0.1</v>
      </c>
      <c r="F928" s="4"/>
      <c r="G928" s="4"/>
      <c r="H928" s="4"/>
    </row>
    <row r="929" spans="1:8" x14ac:dyDescent="0.2">
      <c r="A929" s="4">
        <v>200305</v>
      </c>
      <c r="B929" s="4">
        <v>6.05</v>
      </c>
      <c r="C929" s="4">
        <v>4.67</v>
      </c>
      <c r="D929" s="4">
        <v>0.39</v>
      </c>
      <c r="E929" s="4">
        <v>0.09</v>
      </c>
      <c r="F929" s="4"/>
      <c r="G929" s="4"/>
      <c r="H929" s="4"/>
    </row>
    <row r="930" spans="1:8" x14ac:dyDescent="0.2">
      <c r="A930" s="4">
        <v>200306</v>
      </c>
      <c r="B930" s="4">
        <v>1.42</v>
      </c>
      <c r="C930" s="4">
        <v>1.74</v>
      </c>
      <c r="D930" s="4">
        <v>0.11</v>
      </c>
      <c r="E930" s="4">
        <v>0.1</v>
      </c>
      <c r="F930" s="4"/>
      <c r="G930" s="4"/>
      <c r="H930" s="4"/>
    </row>
    <row r="931" spans="1:8" x14ac:dyDescent="0.2">
      <c r="A931" s="4">
        <v>200307</v>
      </c>
      <c r="B931" s="4">
        <v>2.35</v>
      </c>
      <c r="C931" s="4">
        <v>5.0599999999999996</v>
      </c>
      <c r="D931" s="4">
        <v>-1.24</v>
      </c>
      <c r="E931" s="4">
        <v>7.0000000000000007E-2</v>
      </c>
      <c r="F931" s="4"/>
      <c r="G931" s="4"/>
      <c r="H931" s="4"/>
    </row>
    <row r="932" spans="1:8" x14ac:dyDescent="0.2">
      <c r="A932" s="4">
        <v>200308</v>
      </c>
      <c r="B932" s="4">
        <v>2.34</v>
      </c>
      <c r="C932" s="4">
        <v>2.59</v>
      </c>
      <c r="D932" s="4">
        <v>1.53</v>
      </c>
      <c r="E932" s="4">
        <v>7.0000000000000007E-2</v>
      </c>
      <c r="F932" s="4"/>
      <c r="G932" s="4"/>
      <c r="H932" s="4"/>
    </row>
    <row r="933" spans="1:8" x14ac:dyDescent="0.2">
      <c r="A933" s="4">
        <v>200309</v>
      </c>
      <c r="B933" s="4">
        <v>-1.24</v>
      </c>
      <c r="C933" s="4">
        <v>0.79</v>
      </c>
      <c r="D933" s="4">
        <v>0.17</v>
      </c>
      <c r="E933" s="4">
        <v>0.08</v>
      </c>
      <c r="F933" s="4"/>
      <c r="G933" s="4"/>
      <c r="H933" s="4"/>
    </row>
    <row r="934" spans="1:8" x14ac:dyDescent="0.2">
      <c r="A934" s="4">
        <v>200310</v>
      </c>
      <c r="B934" s="4">
        <v>6.08</v>
      </c>
      <c r="C934" s="4">
        <v>2.69</v>
      </c>
      <c r="D934" s="4">
        <v>1.97</v>
      </c>
      <c r="E934" s="4">
        <v>7.0000000000000007E-2</v>
      </c>
      <c r="F934" s="4"/>
      <c r="G934" s="4"/>
      <c r="H934" s="4"/>
    </row>
    <row r="935" spans="1:8" x14ac:dyDescent="0.2">
      <c r="A935" s="4">
        <v>200311</v>
      </c>
      <c r="B935" s="4">
        <v>1.35</v>
      </c>
      <c r="C935" s="4">
        <v>2.08</v>
      </c>
      <c r="D935" s="4">
        <v>1.78</v>
      </c>
      <c r="E935" s="4">
        <v>7.0000000000000007E-2</v>
      </c>
      <c r="F935" s="4"/>
      <c r="G935" s="4"/>
      <c r="H935" s="4"/>
    </row>
    <row r="936" spans="1:8" x14ac:dyDescent="0.2">
      <c r="A936" s="4">
        <v>200312</v>
      </c>
      <c r="B936" s="4">
        <v>4.29</v>
      </c>
      <c r="C936" s="4">
        <v>-2.67</v>
      </c>
      <c r="D936" s="4">
        <v>1.6</v>
      </c>
      <c r="E936" s="4">
        <v>0.08</v>
      </c>
      <c r="F936" s="4"/>
      <c r="G936" s="4"/>
      <c r="H936" s="4"/>
    </row>
    <row r="937" spans="1:8" x14ac:dyDescent="0.2">
      <c r="A937" s="4">
        <v>200401</v>
      </c>
      <c r="B937" s="4">
        <v>2.15</v>
      </c>
      <c r="C937" s="4">
        <v>2.5499999999999998</v>
      </c>
      <c r="D937" s="4">
        <v>2.4900000000000002</v>
      </c>
      <c r="E937" s="4">
        <v>7.0000000000000007E-2</v>
      </c>
      <c r="F937" s="4"/>
      <c r="G937" s="4"/>
      <c r="H937" s="4"/>
    </row>
    <row r="938" spans="1:8" x14ac:dyDescent="0.2">
      <c r="A938" s="4">
        <v>200402</v>
      </c>
      <c r="B938" s="4">
        <v>1.4</v>
      </c>
      <c r="C938" s="4">
        <v>-1.57</v>
      </c>
      <c r="D938" s="4">
        <v>0.88</v>
      </c>
      <c r="E938" s="4">
        <v>0.06</v>
      </c>
      <c r="F938" s="4"/>
      <c r="G938" s="4"/>
      <c r="H938" s="4"/>
    </row>
    <row r="939" spans="1:8" x14ac:dyDescent="0.2">
      <c r="A939" s="4">
        <v>200403</v>
      </c>
      <c r="B939" s="4">
        <v>-1.32</v>
      </c>
      <c r="C939" s="4">
        <v>1.72</v>
      </c>
      <c r="D939" s="4">
        <v>0.27</v>
      </c>
      <c r="E939" s="4">
        <v>0.09</v>
      </c>
      <c r="F939" s="4"/>
      <c r="G939" s="4"/>
      <c r="H939" s="4"/>
    </row>
    <row r="940" spans="1:8" x14ac:dyDescent="0.2">
      <c r="A940" s="4">
        <v>200404</v>
      </c>
      <c r="B940" s="4">
        <v>-1.83</v>
      </c>
      <c r="C940" s="4">
        <v>-1.7</v>
      </c>
      <c r="D940" s="4">
        <v>-3.07</v>
      </c>
      <c r="E940" s="4">
        <v>0.08</v>
      </c>
      <c r="F940" s="4"/>
      <c r="G940" s="4"/>
      <c r="H940" s="4"/>
    </row>
    <row r="941" spans="1:8" x14ac:dyDescent="0.2">
      <c r="A941" s="4">
        <v>200405</v>
      </c>
      <c r="B941" s="4">
        <v>1.17</v>
      </c>
      <c r="C941" s="4">
        <v>-0.2</v>
      </c>
      <c r="D941" s="4">
        <v>-0.25</v>
      </c>
      <c r="E941" s="4">
        <v>0.06</v>
      </c>
      <c r="F941" s="4"/>
      <c r="G941" s="4"/>
      <c r="H941" s="4"/>
    </row>
    <row r="942" spans="1:8" x14ac:dyDescent="0.2">
      <c r="A942" s="4">
        <v>200406</v>
      </c>
      <c r="B942" s="4">
        <v>1.86</v>
      </c>
      <c r="C942" s="4">
        <v>2.2599999999999998</v>
      </c>
      <c r="D942" s="4">
        <v>1.18</v>
      </c>
      <c r="E942" s="4">
        <v>0.08</v>
      </c>
      <c r="F942" s="4"/>
      <c r="G942" s="4"/>
      <c r="H942" s="4"/>
    </row>
    <row r="943" spans="1:8" x14ac:dyDescent="0.2">
      <c r="A943" s="4">
        <v>200407</v>
      </c>
      <c r="B943" s="4">
        <v>-4.0599999999999996</v>
      </c>
      <c r="C943" s="4">
        <v>-3.82</v>
      </c>
      <c r="D943" s="4">
        <v>3.24</v>
      </c>
      <c r="E943" s="4">
        <v>0.1</v>
      </c>
      <c r="F943" s="4"/>
      <c r="G943" s="4"/>
      <c r="H943" s="4"/>
    </row>
    <row r="944" spans="1:8" x14ac:dyDescent="0.2">
      <c r="A944" s="4">
        <v>200408</v>
      </c>
      <c r="B944" s="4">
        <v>0.08</v>
      </c>
      <c r="C944" s="4">
        <v>-1.48</v>
      </c>
      <c r="D944" s="4">
        <v>0.97</v>
      </c>
      <c r="E944" s="4">
        <v>0.11</v>
      </c>
      <c r="F944" s="4"/>
      <c r="G944" s="4"/>
      <c r="H944" s="4"/>
    </row>
    <row r="945" spans="1:8" x14ac:dyDescent="0.2">
      <c r="A945" s="4">
        <v>200409</v>
      </c>
      <c r="B945" s="4">
        <v>1.6</v>
      </c>
      <c r="C945" s="4">
        <v>3.01</v>
      </c>
      <c r="D945" s="4">
        <v>0</v>
      </c>
      <c r="E945" s="4">
        <v>0.11</v>
      </c>
      <c r="F945" s="4"/>
      <c r="G945" s="4"/>
      <c r="H945" s="4"/>
    </row>
    <row r="946" spans="1:8" x14ac:dyDescent="0.2">
      <c r="A946" s="4">
        <v>200410</v>
      </c>
      <c r="B946" s="4">
        <v>1.43</v>
      </c>
      <c r="C946" s="4">
        <v>0.15</v>
      </c>
      <c r="D946" s="4">
        <v>-0.22</v>
      </c>
      <c r="E946" s="4">
        <v>0.11</v>
      </c>
      <c r="F946" s="4"/>
      <c r="G946" s="4"/>
      <c r="H946" s="4"/>
    </row>
    <row r="947" spans="1:8" x14ac:dyDescent="0.2">
      <c r="A947" s="4">
        <v>200411</v>
      </c>
      <c r="B947" s="4">
        <v>4.54</v>
      </c>
      <c r="C947" s="4">
        <v>3.74</v>
      </c>
      <c r="D947" s="4">
        <v>1.41</v>
      </c>
      <c r="E947" s="4">
        <v>0.15</v>
      </c>
      <c r="F947" s="4"/>
      <c r="G947" s="4"/>
      <c r="H947" s="4"/>
    </row>
    <row r="948" spans="1:8" x14ac:dyDescent="0.2">
      <c r="A948" s="4">
        <v>200412</v>
      </c>
      <c r="B948" s="4">
        <v>3.43</v>
      </c>
      <c r="C948" s="4">
        <v>-0.03</v>
      </c>
      <c r="D948" s="4">
        <v>-0.22</v>
      </c>
      <c r="E948" s="4">
        <v>0.16</v>
      </c>
      <c r="F948" s="4"/>
      <c r="G948" s="4"/>
      <c r="H948" s="4"/>
    </row>
    <row r="949" spans="1:8" x14ac:dyDescent="0.2">
      <c r="A949" s="4">
        <v>200501</v>
      </c>
      <c r="B949" s="4">
        <v>-2.76</v>
      </c>
      <c r="C949" s="4">
        <v>-1.72</v>
      </c>
      <c r="D949" s="4">
        <v>2.06</v>
      </c>
      <c r="E949" s="4">
        <v>0.16</v>
      </c>
      <c r="F949" s="4"/>
      <c r="G949" s="4"/>
      <c r="H949" s="4"/>
    </row>
    <row r="950" spans="1:8" x14ac:dyDescent="0.2">
      <c r="A950" s="4">
        <v>200502</v>
      </c>
      <c r="B950" s="4">
        <v>1.89</v>
      </c>
      <c r="C950" s="4">
        <v>-0.56999999999999995</v>
      </c>
      <c r="D950" s="4">
        <v>1.54</v>
      </c>
      <c r="E950" s="4">
        <v>0.16</v>
      </c>
      <c r="F950" s="4"/>
      <c r="G950" s="4"/>
      <c r="H950" s="4"/>
    </row>
    <row r="951" spans="1:8" x14ac:dyDescent="0.2">
      <c r="A951" s="4">
        <v>200503</v>
      </c>
      <c r="B951" s="4">
        <v>-1.97</v>
      </c>
      <c r="C951" s="4">
        <v>-1.4</v>
      </c>
      <c r="D951" s="4">
        <v>2.04</v>
      </c>
      <c r="E951" s="4">
        <v>0.21</v>
      </c>
      <c r="F951" s="4"/>
      <c r="G951" s="4"/>
      <c r="H951" s="4"/>
    </row>
    <row r="952" spans="1:8" x14ac:dyDescent="0.2">
      <c r="A952" s="4">
        <v>200504</v>
      </c>
      <c r="B952" s="4">
        <v>-2.61</v>
      </c>
      <c r="C952" s="4">
        <v>-3.94</v>
      </c>
      <c r="D952" s="4">
        <v>7.0000000000000007E-2</v>
      </c>
      <c r="E952" s="4">
        <v>0.21</v>
      </c>
      <c r="F952" s="4"/>
      <c r="G952" s="4"/>
      <c r="H952" s="4"/>
    </row>
    <row r="953" spans="1:8" x14ac:dyDescent="0.2">
      <c r="A953" s="4">
        <v>200505</v>
      </c>
      <c r="B953" s="4">
        <v>3.65</v>
      </c>
      <c r="C953" s="4">
        <v>2.88</v>
      </c>
      <c r="D953" s="4">
        <v>-0.64</v>
      </c>
      <c r="E953" s="4">
        <v>0.24</v>
      </c>
      <c r="F953" s="4"/>
      <c r="G953" s="4"/>
      <c r="H953" s="4"/>
    </row>
    <row r="954" spans="1:8" x14ac:dyDescent="0.2">
      <c r="A954" s="4">
        <v>200506</v>
      </c>
      <c r="B954" s="4">
        <v>0.56999999999999995</v>
      </c>
      <c r="C954" s="4">
        <v>2.58</v>
      </c>
      <c r="D954" s="4">
        <v>2.83</v>
      </c>
      <c r="E954" s="4">
        <v>0.23</v>
      </c>
      <c r="F954" s="4"/>
      <c r="G954" s="4"/>
      <c r="H954" s="4"/>
    </row>
    <row r="955" spans="1:8" x14ac:dyDescent="0.2">
      <c r="A955" s="4">
        <v>200507</v>
      </c>
      <c r="B955" s="4">
        <v>3.92</v>
      </c>
      <c r="C955" s="4">
        <v>2.91</v>
      </c>
      <c r="D955" s="4">
        <v>-0.79</v>
      </c>
      <c r="E955" s="4">
        <v>0.24</v>
      </c>
      <c r="F955" s="4"/>
      <c r="G955" s="4"/>
      <c r="H955" s="4"/>
    </row>
    <row r="956" spans="1:8" x14ac:dyDescent="0.2">
      <c r="A956" s="4">
        <v>200508</v>
      </c>
      <c r="B956" s="4">
        <v>-1.22</v>
      </c>
      <c r="C956" s="4">
        <v>-0.97</v>
      </c>
      <c r="D956" s="4">
        <v>1.32</v>
      </c>
      <c r="E956" s="4">
        <v>0.3</v>
      </c>
      <c r="F956" s="4"/>
      <c r="G956" s="4"/>
      <c r="H956" s="4"/>
    </row>
    <row r="957" spans="1:8" x14ac:dyDescent="0.2">
      <c r="A957" s="4">
        <v>200509</v>
      </c>
      <c r="B957" s="4">
        <v>0.49</v>
      </c>
      <c r="C957" s="4">
        <v>-0.65</v>
      </c>
      <c r="D957" s="4">
        <v>0.71</v>
      </c>
      <c r="E957" s="4">
        <v>0.28999999999999998</v>
      </c>
      <c r="F957" s="4"/>
      <c r="G957" s="4"/>
      <c r="H957" s="4"/>
    </row>
    <row r="958" spans="1:8" x14ac:dyDescent="0.2">
      <c r="A958" s="4">
        <v>200510</v>
      </c>
      <c r="B958" s="4">
        <v>-2.02</v>
      </c>
      <c r="C958" s="4">
        <v>-1.25</v>
      </c>
      <c r="D958" s="4">
        <v>0.42</v>
      </c>
      <c r="E958" s="4">
        <v>0.27</v>
      </c>
      <c r="F958" s="4"/>
      <c r="G958" s="4"/>
      <c r="H958" s="4"/>
    </row>
    <row r="959" spans="1:8" x14ac:dyDescent="0.2">
      <c r="A959" s="4">
        <v>200511</v>
      </c>
      <c r="B959" s="4">
        <v>3.61</v>
      </c>
      <c r="C959" s="4">
        <v>1</v>
      </c>
      <c r="D959" s="4">
        <v>-1.1599999999999999</v>
      </c>
      <c r="E959" s="4">
        <v>0.31</v>
      </c>
      <c r="F959" s="4"/>
      <c r="G959" s="4"/>
      <c r="H959" s="4"/>
    </row>
    <row r="960" spans="1:8" x14ac:dyDescent="0.2">
      <c r="A960" s="4">
        <v>200512</v>
      </c>
      <c r="B960" s="4">
        <v>-0.25</v>
      </c>
      <c r="C960" s="4">
        <v>-0.42</v>
      </c>
      <c r="D960" s="4">
        <v>0.2</v>
      </c>
      <c r="E960" s="4">
        <v>0.32</v>
      </c>
      <c r="F960" s="4"/>
      <c r="G960" s="4"/>
      <c r="H960" s="4"/>
    </row>
    <row r="961" spans="1:8" x14ac:dyDescent="0.2">
      <c r="A961" s="4">
        <v>200601</v>
      </c>
      <c r="B961" s="4">
        <v>3.04</v>
      </c>
      <c r="C961" s="4">
        <v>5.4</v>
      </c>
      <c r="D961" s="4">
        <v>1.08</v>
      </c>
      <c r="E961" s="4">
        <v>0.35</v>
      </c>
      <c r="F961" s="4"/>
      <c r="G961" s="4"/>
      <c r="H961" s="4"/>
    </row>
    <row r="962" spans="1:8" x14ac:dyDescent="0.2">
      <c r="A962" s="4">
        <v>200602</v>
      </c>
      <c r="B962" s="4">
        <v>-0.3</v>
      </c>
      <c r="C962" s="4">
        <v>-0.38</v>
      </c>
      <c r="D962" s="4">
        <v>-0.34</v>
      </c>
      <c r="E962" s="4">
        <v>0.34</v>
      </c>
      <c r="F962" s="4"/>
      <c r="G962" s="4"/>
      <c r="H962" s="4"/>
    </row>
    <row r="963" spans="1:8" x14ac:dyDescent="0.2">
      <c r="A963" s="4">
        <v>200603</v>
      </c>
      <c r="B963" s="4">
        <v>1.46</v>
      </c>
      <c r="C963" s="4">
        <v>3.44</v>
      </c>
      <c r="D963" s="4">
        <v>0.6</v>
      </c>
      <c r="E963" s="4">
        <v>0.37</v>
      </c>
      <c r="F963" s="4"/>
      <c r="G963" s="4"/>
      <c r="H963" s="4"/>
    </row>
    <row r="964" spans="1:8" x14ac:dyDescent="0.2">
      <c r="A964" s="4">
        <v>200604</v>
      </c>
      <c r="B964" s="4">
        <v>0.73</v>
      </c>
      <c r="C964" s="4">
        <v>-1.42</v>
      </c>
      <c r="D964" s="4">
        <v>2.34</v>
      </c>
      <c r="E964" s="4">
        <v>0.36</v>
      </c>
      <c r="F964" s="4"/>
      <c r="G964" s="4"/>
      <c r="H964" s="4"/>
    </row>
    <row r="965" spans="1:8" x14ac:dyDescent="0.2">
      <c r="A965" s="4">
        <v>200605</v>
      </c>
      <c r="B965" s="4">
        <v>-3.57</v>
      </c>
      <c r="C965" s="4">
        <v>-2.96</v>
      </c>
      <c r="D965" s="4">
        <v>2.41</v>
      </c>
      <c r="E965" s="4">
        <v>0.43</v>
      </c>
      <c r="F965" s="4"/>
      <c r="G965" s="4"/>
      <c r="H965" s="4"/>
    </row>
    <row r="966" spans="1:8" x14ac:dyDescent="0.2">
      <c r="A966" s="4">
        <v>200606</v>
      </c>
      <c r="B966" s="4">
        <v>-0.35</v>
      </c>
      <c r="C966" s="4">
        <v>-0.39</v>
      </c>
      <c r="D966" s="4">
        <v>0.85</v>
      </c>
      <c r="E966" s="4">
        <v>0.4</v>
      </c>
      <c r="F966" s="4"/>
      <c r="G966" s="4"/>
      <c r="H966" s="4"/>
    </row>
    <row r="967" spans="1:8" x14ac:dyDescent="0.2">
      <c r="A967" s="4">
        <v>200607</v>
      </c>
      <c r="B967" s="4">
        <v>-0.78</v>
      </c>
      <c r="C967" s="4">
        <v>-3.98</v>
      </c>
      <c r="D967" s="4">
        <v>2.6</v>
      </c>
      <c r="E967" s="4">
        <v>0.4</v>
      </c>
      <c r="F967" s="4"/>
      <c r="G967" s="4"/>
      <c r="H967" s="4"/>
    </row>
    <row r="968" spans="1:8" x14ac:dyDescent="0.2">
      <c r="A968" s="4">
        <v>200608</v>
      </c>
      <c r="B968" s="4">
        <v>2.0299999999999998</v>
      </c>
      <c r="C968" s="4">
        <v>1.03</v>
      </c>
      <c r="D968" s="4">
        <v>-2.06</v>
      </c>
      <c r="E968" s="4">
        <v>0.42</v>
      </c>
      <c r="F968" s="4"/>
      <c r="G968" s="4"/>
      <c r="H968" s="4"/>
    </row>
    <row r="969" spans="1:8" x14ac:dyDescent="0.2">
      <c r="A969" s="4">
        <v>200609</v>
      </c>
      <c r="B969" s="4">
        <v>1.84</v>
      </c>
      <c r="C969" s="4">
        <v>-1.36</v>
      </c>
      <c r="D969" s="4">
        <v>0.08</v>
      </c>
      <c r="E969" s="4">
        <v>0.41</v>
      </c>
      <c r="F969" s="4"/>
      <c r="G969" s="4"/>
      <c r="H969" s="4"/>
    </row>
    <row r="970" spans="1:8" x14ac:dyDescent="0.2">
      <c r="A970" s="4">
        <v>200610</v>
      </c>
      <c r="B970" s="4">
        <v>3.23</v>
      </c>
      <c r="C970" s="4">
        <v>1.75</v>
      </c>
      <c r="D970" s="4">
        <v>-0.31</v>
      </c>
      <c r="E970" s="4">
        <v>0.41</v>
      </c>
      <c r="F970" s="4"/>
      <c r="G970" s="4"/>
      <c r="H970" s="4"/>
    </row>
    <row r="971" spans="1:8" x14ac:dyDescent="0.2">
      <c r="A971" s="4">
        <v>200611</v>
      </c>
      <c r="B971" s="4">
        <v>1.71</v>
      </c>
      <c r="C971" s="4">
        <v>0.7</v>
      </c>
      <c r="D971" s="4">
        <v>0.14000000000000001</v>
      </c>
      <c r="E971" s="4">
        <v>0.42</v>
      </c>
      <c r="F971" s="4"/>
      <c r="G971" s="4"/>
      <c r="H971" s="4"/>
    </row>
    <row r="972" spans="1:8" x14ac:dyDescent="0.2">
      <c r="A972" s="4">
        <v>200612</v>
      </c>
      <c r="B972" s="4">
        <v>0.87</v>
      </c>
      <c r="C972" s="4">
        <v>-1.1499999999999999</v>
      </c>
      <c r="D972" s="4">
        <v>2.73</v>
      </c>
      <c r="E972" s="4">
        <v>0.4</v>
      </c>
      <c r="F972" s="4"/>
      <c r="G972" s="4"/>
      <c r="H972" s="4"/>
    </row>
    <row r="973" spans="1:8" x14ac:dyDescent="0.2">
      <c r="A973" s="4">
        <v>200701</v>
      </c>
      <c r="B973" s="4">
        <v>1.4</v>
      </c>
      <c r="C973" s="4">
        <v>0.12</v>
      </c>
      <c r="D973" s="4">
        <v>-0.68</v>
      </c>
      <c r="E973" s="4">
        <v>0.44</v>
      </c>
      <c r="F973" s="4"/>
      <c r="G973" s="4"/>
      <c r="H973" s="4"/>
    </row>
    <row r="974" spans="1:8" x14ac:dyDescent="0.2">
      <c r="A974" s="4">
        <v>200702</v>
      </c>
      <c r="B974" s="4">
        <v>-1.96</v>
      </c>
      <c r="C974" s="4">
        <v>1.19</v>
      </c>
      <c r="D974" s="4">
        <v>-0.14000000000000001</v>
      </c>
      <c r="E974" s="4">
        <v>0.38</v>
      </c>
      <c r="F974" s="4"/>
      <c r="G974" s="4"/>
      <c r="H974" s="4"/>
    </row>
    <row r="975" spans="1:8" x14ac:dyDescent="0.2">
      <c r="A975" s="4">
        <v>200703</v>
      </c>
      <c r="B975" s="4">
        <v>0.68</v>
      </c>
      <c r="C975" s="4">
        <v>0.16</v>
      </c>
      <c r="D975" s="4">
        <v>-0.97</v>
      </c>
      <c r="E975" s="4">
        <v>0.43</v>
      </c>
      <c r="F975" s="4"/>
      <c r="G975" s="4"/>
      <c r="H975" s="4"/>
    </row>
    <row r="976" spans="1:8" x14ac:dyDescent="0.2">
      <c r="A976" s="4">
        <v>200704</v>
      </c>
      <c r="B976" s="4">
        <v>3.49</v>
      </c>
      <c r="C976" s="4">
        <v>-2.16</v>
      </c>
      <c r="D976" s="4">
        <v>-1.45</v>
      </c>
      <c r="E976" s="4">
        <v>0.44</v>
      </c>
      <c r="F976" s="4"/>
      <c r="G976" s="4"/>
      <c r="H976" s="4"/>
    </row>
    <row r="977" spans="1:8" x14ac:dyDescent="0.2">
      <c r="A977" s="4">
        <v>200705</v>
      </c>
      <c r="B977" s="4">
        <v>3.24</v>
      </c>
      <c r="C977" s="4">
        <v>0.24</v>
      </c>
      <c r="D977" s="4">
        <v>-0.65</v>
      </c>
      <c r="E977" s="4">
        <v>0.41</v>
      </c>
      <c r="F977" s="4"/>
      <c r="G977" s="4"/>
      <c r="H977" s="4"/>
    </row>
    <row r="978" spans="1:8" x14ac:dyDescent="0.2">
      <c r="A978" s="4">
        <v>200706</v>
      </c>
      <c r="B978" s="4">
        <v>-1.96</v>
      </c>
      <c r="C978" s="4">
        <v>0.75</v>
      </c>
      <c r="D978" s="4">
        <v>-1.05</v>
      </c>
      <c r="E978" s="4">
        <v>0.4</v>
      </c>
      <c r="F978" s="4"/>
      <c r="G978" s="4"/>
      <c r="H978" s="4"/>
    </row>
    <row r="979" spans="1:8" x14ac:dyDescent="0.2">
      <c r="A979" s="4">
        <v>200707</v>
      </c>
      <c r="B979" s="4">
        <v>-3.73</v>
      </c>
      <c r="C979" s="4">
        <v>-2.61</v>
      </c>
      <c r="D979" s="4">
        <v>-3.71</v>
      </c>
      <c r="E979" s="4">
        <v>0.4</v>
      </c>
      <c r="F979" s="4"/>
      <c r="G979" s="4"/>
      <c r="H979" s="4"/>
    </row>
    <row r="980" spans="1:8" x14ac:dyDescent="0.2">
      <c r="A980" s="4">
        <v>200708</v>
      </c>
      <c r="B980" s="4">
        <v>0.92</v>
      </c>
      <c r="C980" s="4">
        <v>-0.13</v>
      </c>
      <c r="D980" s="4">
        <v>-1.86</v>
      </c>
      <c r="E980" s="4">
        <v>0.42</v>
      </c>
      <c r="F980" s="4"/>
      <c r="G980" s="4"/>
      <c r="H980" s="4"/>
    </row>
    <row r="981" spans="1:8" x14ac:dyDescent="0.2">
      <c r="A981" s="4">
        <v>200709</v>
      </c>
      <c r="B981" s="4">
        <v>3.22</v>
      </c>
      <c r="C981" s="4">
        <v>-2.23</v>
      </c>
      <c r="D981" s="4">
        <v>-2.21</v>
      </c>
      <c r="E981" s="4">
        <v>0.32</v>
      </c>
      <c r="F981" s="4"/>
      <c r="G981" s="4"/>
      <c r="H981" s="4"/>
    </row>
    <row r="982" spans="1:8" x14ac:dyDescent="0.2">
      <c r="A982" s="4">
        <v>200710</v>
      </c>
      <c r="B982" s="4">
        <v>1.8</v>
      </c>
      <c r="C982" s="4">
        <v>0.08</v>
      </c>
      <c r="D982" s="4">
        <v>-2.98</v>
      </c>
      <c r="E982" s="4">
        <v>0.32</v>
      </c>
      <c r="F982" s="4"/>
      <c r="G982" s="4"/>
      <c r="H982" s="4"/>
    </row>
    <row r="983" spans="1:8" x14ac:dyDescent="0.2">
      <c r="A983" s="4">
        <v>200711</v>
      </c>
      <c r="B983" s="4">
        <v>-4.83</v>
      </c>
      <c r="C983" s="4">
        <v>-2.93</v>
      </c>
      <c r="D983" s="4">
        <v>-0.94</v>
      </c>
      <c r="E983" s="4">
        <v>0.34</v>
      </c>
      <c r="F983" s="4"/>
      <c r="G983" s="4"/>
      <c r="H983" s="4"/>
    </row>
    <row r="984" spans="1:8" x14ac:dyDescent="0.2">
      <c r="A984" s="4">
        <v>200712</v>
      </c>
      <c r="B984" s="4">
        <v>-0.87</v>
      </c>
      <c r="C984" s="4">
        <v>0.13</v>
      </c>
      <c r="D984" s="4">
        <v>-0.55000000000000004</v>
      </c>
      <c r="E984" s="4">
        <v>0.27</v>
      </c>
      <c r="F984" s="4"/>
      <c r="G984" s="4"/>
      <c r="H984" s="4"/>
    </row>
    <row r="985" spans="1:8" x14ac:dyDescent="0.2">
      <c r="A985" s="4">
        <v>200801</v>
      </c>
      <c r="B985" s="4">
        <v>-6.36</v>
      </c>
      <c r="C985" s="4">
        <v>-1.03</v>
      </c>
      <c r="D985" s="4">
        <v>3.97</v>
      </c>
      <c r="E985" s="4">
        <v>0.21</v>
      </c>
      <c r="F985" s="4"/>
      <c r="G985" s="4"/>
      <c r="H985" s="4"/>
    </row>
    <row r="986" spans="1:8" x14ac:dyDescent="0.2">
      <c r="A986" s="4">
        <v>200802</v>
      </c>
      <c r="B986" s="4">
        <v>-3.09</v>
      </c>
      <c r="C986" s="4">
        <v>-0.43</v>
      </c>
      <c r="D986" s="4">
        <v>-0.84</v>
      </c>
      <c r="E986" s="4">
        <v>0.13</v>
      </c>
      <c r="F986" s="4"/>
      <c r="G986" s="4"/>
      <c r="H986" s="4"/>
    </row>
    <row r="987" spans="1:8" x14ac:dyDescent="0.2">
      <c r="A987" s="4">
        <v>200803</v>
      </c>
      <c r="B987" s="4">
        <v>-0.93</v>
      </c>
      <c r="C987" s="4">
        <v>0.71</v>
      </c>
      <c r="D987" s="4">
        <v>0.3</v>
      </c>
      <c r="E987" s="4">
        <v>0.17</v>
      </c>
      <c r="F987" s="4"/>
      <c r="G987" s="4"/>
      <c r="H987" s="4"/>
    </row>
    <row r="988" spans="1:8" x14ac:dyDescent="0.2">
      <c r="A988" s="4">
        <v>200804</v>
      </c>
      <c r="B988" s="4">
        <v>4.5999999999999996</v>
      </c>
      <c r="C988" s="4">
        <v>-1.72</v>
      </c>
      <c r="D988" s="4">
        <v>-0.94</v>
      </c>
      <c r="E988" s="4">
        <v>0.18</v>
      </c>
      <c r="F988" s="4"/>
      <c r="G988" s="4"/>
      <c r="H988" s="4"/>
    </row>
    <row r="989" spans="1:8" x14ac:dyDescent="0.2">
      <c r="A989" s="4">
        <v>200805</v>
      </c>
      <c r="B989" s="4">
        <v>1.86</v>
      </c>
      <c r="C989" s="4">
        <v>2.96</v>
      </c>
      <c r="D989" s="4">
        <v>-1.43</v>
      </c>
      <c r="E989" s="4">
        <v>0.18</v>
      </c>
      <c r="F989" s="4"/>
      <c r="G989" s="4"/>
      <c r="H989" s="4"/>
    </row>
    <row r="990" spans="1:8" x14ac:dyDescent="0.2">
      <c r="A990" s="4">
        <v>200806</v>
      </c>
      <c r="B990" s="4">
        <v>-8.44</v>
      </c>
      <c r="C990" s="4">
        <v>1.23</v>
      </c>
      <c r="D990" s="4">
        <v>-2.71</v>
      </c>
      <c r="E990" s="4">
        <v>0.17</v>
      </c>
      <c r="F990" s="4"/>
      <c r="G990" s="4"/>
      <c r="H990" s="4"/>
    </row>
    <row r="991" spans="1:8" x14ac:dyDescent="0.2">
      <c r="A991" s="4">
        <v>200807</v>
      </c>
      <c r="B991" s="4">
        <v>-0.77</v>
      </c>
      <c r="C991" s="4">
        <v>2.6</v>
      </c>
      <c r="D991" s="4">
        <v>5.42</v>
      </c>
      <c r="E991" s="4">
        <v>0.15</v>
      </c>
      <c r="F991" s="4"/>
      <c r="G991" s="4"/>
      <c r="H991" s="4"/>
    </row>
    <row r="992" spans="1:8" x14ac:dyDescent="0.2">
      <c r="A992" s="4">
        <v>200808</v>
      </c>
      <c r="B992" s="4">
        <v>1.53</v>
      </c>
      <c r="C992" s="4">
        <v>3.6</v>
      </c>
      <c r="D992" s="4">
        <v>1.59</v>
      </c>
      <c r="E992" s="4">
        <v>0.13</v>
      </c>
      <c r="F992" s="4"/>
      <c r="G992" s="4"/>
      <c r="H992" s="4"/>
    </row>
    <row r="993" spans="1:8" x14ac:dyDescent="0.2">
      <c r="A993" s="4">
        <v>200809</v>
      </c>
      <c r="B993" s="4">
        <v>-9.24</v>
      </c>
      <c r="C993" s="4">
        <v>-1.23</v>
      </c>
      <c r="D993" s="4">
        <v>5.91</v>
      </c>
      <c r="E993" s="4">
        <v>0.15</v>
      </c>
      <c r="F993" s="4"/>
      <c r="G993" s="4"/>
      <c r="H993" s="4"/>
    </row>
    <row r="994" spans="1:8" x14ac:dyDescent="0.2">
      <c r="A994" s="4">
        <v>200810</v>
      </c>
      <c r="B994" s="4">
        <v>-17.23</v>
      </c>
      <c r="C994" s="4">
        <v>-2.6</v>
      </c>
      <c r="D994" s="4">
        <v>-2.2999999999999998</v>
      </c>
      <c r="E994" s="4">
        <v>0.08</v>
      </c>
      <c r="F994" s="4"/>
      <c r="G994" s="4"/>
      <c r="H994" s="4"/>
    </row>
    <row r="995" spans="1:8" x14ac:dyDescent="0.2">
      <c r="A995" s="4">
        <v>200811</v>
      </c>
      <c r="B995" s="4">
        <v>-7.86</v>
      </c>
      <c r="C995" s="4">
        <v>-2.85</v>
      </c>
      <c r="D995" s="4">
        <v>-6.31</v>
      </c>
      <c r="E995" s="4">
        <v>0.03</v>
      </c>
      <c r="F995" s="4"/>
      <c r="G995" s="4"/>
      <c r="H995" s="4"/>
    </row>
    <row r="996" spans="1:8" x14ac:dyDescent="0.2">
      <c r="A996" s="4">
        <v>200812</v>
      </c>
      <c r="B996" s="4">
        <v>1.74</v>
      </c>
      <c r="C996" s="4">
        <v>3.46</v>
      </c>
      <c r="D996" s="4">
        <v>0.14000000000000001</v>
      </c>
      <c r="E996" s="4">
        <v>0</v>
      </c>
      <c r="F996" s="4"/>
      <c r="G996" s="4"/>
      <c r="H996" s="4"/>
    </row>
    <row r="997" spans="1:8" x14ac:dyDescent="0.2">
      <c r="A997" s="4">
        <v>200901</v>
      </c>
      <c r="B997" s="4">
        <v>-8.1199999999999992</v>
      </c>
      <c r="C997" s="4">
        <v>7.0000000000000007E-2</v>
      </c>
      <c r="D997" s="4">
        <v>-11.29</v>
      </c>
      <c r="E997" s="4">
        <v>0</v>
      </c>
      <c r="F997" s="4"/>
      <c r="G997" s="4"/>
      <c r="H997" s="4"/>
    </row>
    <row r="998" spans="1:8" x14ac:dyDescent="0.2">
      <c r="A998" s="4">
        <v>200902</v>
      </c>
      <c r="B998" s="4">
        <v>-10.1</v>
      </c>
      <c r="C998" s="4">
        <v>0.05</v>
      </c>
      <c r="D998" s="4">
        <v>-6.95</v>
      </c>
      <c r="E998" s="4">
        <v>0.01</v>
      </c>
      <c r="F998" s="4"/>
      <c r="G998" s="4"/>
      <c r="H998" s="4"/>
    </row>
    <row r="999" spans="1:8" x14ac:dyDescent="0.2">
      <c r="A999" s="4">
        <v>200903</v>
      </c>
      <c r="B999" s="4">
        <v>8.9499999999999993</v>
      </c>
      <c r="C999" s="4">
        <v>0.03</v>
      </c>
      <c r="D999" s="4">
        <v>3.47</v>
      </c>
      <c r="E999" s="4">
        <v>0.02</v>
      </c>
      <c r="F999" s="4"/>
      <c r="G999" s="4"/>
      <c r="H999" s="4"/>
    </row>
    <row r="1000" spans="1:8" x14ac:dyDescent="0.2">
      <c r="A1000" s="4">
        <v>200904</v>
      </c>
      <c r="B1000" s="4">
        <v>10.18</v>
      </c>
      <c r="C1000" s="4">
        <v>5.39</v>
      </c>
      <c r="D1000" s="4">
        <v>5.36</v>
      </c>
      <c r="E1000" s="4">
        <v>0.01</v>
      </c>
      <c r="F1000" s="4"/>
      <c r="G1000" s="4"/>
      <c r="H1000" s="4"/>
    </row>
    <row r="1001" spans="1:8" x14ac:dyDescent="0.2">
      <c r="A1001" s="4">
        <v>200905</v>
      </c>
      <c r="B1001" s="4">
        <v>5.21</v>
      </c>
      <c r="C1001" s="4">
        <v>-2.52</v>
      </c>
      <c r="D1001" s="4">
        <v>0.28000000000000003</v>
      </c>
      <c r="E1001" s="4">
        <v>0</v>
      </c>
      <c r="F1001" s="4"/>
      <c r="G1001" s="4"/>
      <c r="H1001" s="4"/>
    </row>
    <row r="1002" spans="1:8" x14ac:dyDescent="0.2">
      <c r="A1002" s="4">
        <v>200906</v>
      </c>
      <c r="B1002" s="4">
        <v>0.43</v>
      </c>
      <c r="C1002" s="4">
        <v>2.63</v>
      </c>
      <c r="D1002" s="4">
        <v>-2.73</v>
      </c>
      <c r="E1002" s="4">
        <v>0.01</v>
      </c>
      <c r="F1002" s="4"/>
      <c r="G1002" s="4"/>
      <c r="H1002" s="4"/>
    </row>
    <row r="1003" spans="1:8" x14ac:dyDescent="0.2">
      <c r="A1003" s="4">
        <v>200907</v>
      </c>
      <c r="B1003" s="4">
        <v>7.72</v>
      </c>
      <c r="C1003" s="4">
        <v>1.87</v>
      </c>
      <c r="D1003" s="4">
        <v>4.83</v>
      </c>
      <c r="E1003" s="4">
        <v>0.01</v>
      </c>
      <c r="F1003" s="4"/>
      <c r="G1003" s="4"/>
      <c r="H1003" s="4"/>
    </row>
    <row r="1004" spans="1:8" x14ac:dyDescent="0.2">
      <c r="A1004" s="4">
        <v>200908</v>
      </c>
      <c r="B1004" s="4">
        <v>3.33</v>
      </c>
      <c r="C1004" s="4">
        <v>-1.08</v>
      </c>
      <c r="D1004" s="4">
        <v>7.63</v>
      </c>
      <c r="E1004" s="4">
        <v>0.01</v>
      </c>
      <c r="F1004" s="4"/>
      <c r="G1004" s="4"/>
      <c r="H1004" s="4"/>
    </row>
    <row r="1005" spans="1:8" x14ac:dyDescent="0.2">
      <c r="A1005" s="4">
        <v>200909</v>
      </c>
      <c r="B1005" s="4">
        <v>4.08</v>
      </c>
      <c r="C1005" s="4">
        <v>2.4300000000000002</v>
      </c>
      <c r="D1005" s="4">
        <v>1.04</v>
      </c>
      <c r="E1005" s="4">
        <v>0.01</v>
      </c>
      <c r="F1005" s="4"/>
      <c r="G1005" s="4"/>
      <c r="H1005" s="4"/>
    </row>
    <row r="1006" spans="1:8" x14ac:dyDescent="0.2">
      <c r="A1006" s="4">
        <v>200910</v>
      </c>
      <c r="B1006" s="4">
        <v>-2.59</v>
      </c>
      <c r="C1006" s="4">
        <v>-4.3499999999999996</v>
      </c>
      <c r="D1006" s="4">
        <v>-4.21</v>
      </c>
      <c r="E1006" s="4">
        <v>0</v>
      </c>
      <c r="F1006" s="4"/>
      <c r="G1006" s="4"/>
      <c r="H1006" s="4"/>
    </row>
    <row r="1007" spans="1:8" x14ac:dyDescent="0.2">
      <c r="A1007" s="4">
        <v>200911</v>
      </c>
      <c r="B1007" s="4">
        <v>5.56</v>
      </c>
      <c r="C1007" s="4">
        <v>-2.4</v>
      </c>
      <c r="D1007" s="4">
        <v>-0.34</v>
      </c>
      <c r="E1007" s="4">
        <v>0</v>
      </c>
      <c r="F1007" s="4"/>
      <c r="G1007" s="4"/>
      <c r="H1007" s="4"/>
    </row>
    <row r="1008" spans="1:8" x14ac:dyDescent="0.2">
      <c r="A1008" s="4">
        <v>200912</v>
      </c>
      <c r="B1008" s="4">
        <v>2.75</v>
      </c>
      <c r="C1008" s="4">
        <v>6.05</v>
      </c>
      <c r="D1008" s="4">
        <v>-0.16</v>
      </c>
      <c r="E1008" s="4">
        <v>0.01</v>
      </c>
      <c r="F1008" s="4"/>
      <c r="G1008" s="4"/>
      <c r="H1008" s="4"/>
    </row>
    <row r="1009" spans="1:8" x14ac:dyDescent="0.2">
      <c r="A1009" s="4">
        <v>201001</v>
      </c>
      <c r="B1009" s="4">
        <v>-3.36</v>
      </c>
      <c r="C1009" s="4">
        <v>0.4</v>
      </c>
      <c r="D1009" s="4">
        <v>0.43</v>
      </c>
      <c r="E1009" s="4">
        <v>0</v>
      </c>
      <c r="F1009" s="4"/>
      <c r="G1009" s="4"/>
      <c r="H1009" s="4"/>
    </row>
    <row r="1010" spans="1:8" x14ac:dyDescent="0.2">
      <c r="A1010" s="4">
        <v>201002</v>
      </c>
      <c r="B1010" s="4">
        <v>3.4</v>
      </c>
      <c r="C1010" s="4">
        <v>1.19</v>
      </c>
      <c r="D1010" s="4">
        <v>3.22</v>
      </c>
      <c r="E1010" s="4">
        <v>0</v>
      </c>
      <c r="F1010" s="4"/>
      <c r="G1010" s="4"/>
      <c r="H1010" s="4"/>
    </row>
    <row r="1011" spans="1:8" x14ac:dyDescent="0.2">
      <c r="A1011" s="4">
        <v>201003</v>
      </c>
      <c r="B1011" s="4">
        <v>6.31</v>
      </c>
      <c r="C1011" s="4">
        <v>1.48</v>
      </c>
      <c r="D1011" s="4">
        <v>2.21</v>
      </c>
      <c r="E1011" s="4">
        <v>0.01</v>
      </c>
      <c r="F1011" s="4"/>
      <c r="G1011" s="4"/>
      <c r="H1011" s="4"/>
    </row>
    <row r="1012" spans="1:8" x14ac:dyDescent="0.2">
      <c r="A1012" s="4">
        <v>201004</v>
      </c>
      <c r="B1012" s="4">
        <v>2</v>
      </c>
      <c r="C1012" s="4">
        <v>4.87</v>
      </c>
      <c r="D1012" s="4">
        <v>2.89</v>
      </c>
      <c r="E1012" s="4">
        <v>0.01</v>
      </c>
      <c r="F1012" s="4"/>
      <c r="G1012" s="4"/>
      <c r="H1012" s="4"/>
    </row>
    <row r="1013" spans="1:8" x14ac:dyDescent="0.2">
      <c r="A1013" s="4">
        <v>201005</v>
      </c>
      <c r="B1013" s="4">
        <v>-7.89</v>
      </c>
      <c r="C1013" s="4">
        <v>0.09</v>
      </c>
      <c r="D1013" s="4">
        <v>-2.44</v>
      </c>
      <c r="E1013" s="4">
        <v>0.01</v>
      </c>
      <c r="F1013" s="4"/>
      <c r="G1013" s="4"/>
      <c r="H1013" s="4"/>
    </row>
    <row r="1014" spans="1:8" x14ac:dyDescent="0.2">
      <c r="A1014" s="4">
        <v>201006</v>
      </c>
      <c r="B1014" s="4">
        <v>-5.57</v>
      </c>
      <c r="C1014" s="4">
        <v>-1.81</v>
      </c>
      <c r="D1014" s="4">
        <v>-4.7</v>
      </c>
      <c r="E1014" s="4">
        <v>0.01</v>
      </c>
      <c r="F1014" s="4"/>
      <c r="G1014" s="4"/>
      <c r="H1014" s="4"/>
    </row>
    <row r="1015" spans="1:8" x14ac:dyDescent="0.2">
      <c r="A1015" s="4">
        <v>201007</v>
      </c>
      <c r="B1015" s="4">
        <v>6.93</v>
      </c>
      <c r="C1015" s="4">
        <v>0.2</v>
      </c>
      <c r="D1015" s="4">
        <v>-0.31</v>
      </c>
      <c r="E1015" s="4">
        <v>0.01</v>
      </c>
      <c r="F1015" s="4"/>
      <c r="G1015" s="4"/>
      <c r="H1015" s="4"/>
    </row>
    <row r="1016" spans="1:8" x14ac:dyDescent="0.2">
      <c r="A1016" s="4">
        <v>201008</v>
      </c>
      <c r="B1016" s="4">
        <v>-4.7699999999999996</v>
      </c>
      <c r="C1016" s="4">
        <v>-3</v>
      </c>
      <c r="D1016" s="4">
        <v>-1.9</v>
      </c>
      <c r="E1016" s="4">
        <v>0.01</v>
      </c>
      <c r="F1016" s="4"/>
      <c r="G1016" s="4"/>
      <c r="H1016" s="4"/>
    </row>
    <row r="1017" spans="1:8" x14ac:dyDescent="0.2">
      <c r="A1017" s="4">
        <v>201009</v>
      </c>
      <c r="B1017" s="4">
        <v>9.5399999999999991</v>
      </c>
      <c r="C1017" s="4">
        <v>3.96</v>
      </c>
      <c r="D1017" s="4">
        <v>-3.16</v>
      </c>
      <c r="E1017" s="4">
        <v>0.01</v>
      </c>
      <c r="F1017" s="4"/>
      <c r="G1017" s="4"/>
      <c r="H1017" s="4"/>
    </row>
    <row r="1018" spans="1:8" x14ac:dyDescent="0.2">
      <c r="A1018" s="4">
        <v>201010</v>
      </c>
      <c r="B1018" s="4">
        <v>3.88</v>
      </c>
      <c r="C1018" s="4">
        <v>1.1299999999999999</v>
      </c>
      <c r="D1018" s="4">
        <v>-2.42</v>
      </c>
      <c r="E1018" s="4">
        <v>0.01</v>
      </c>
      <c r="F1018" s="4"/>
      <c r="G1018" s="4"/>
      <c r="H1018" s="4"/>
    </row>
    <row r="1019" spans="1:8" x14ac:dyDescent="0.2">
      <c r="A1019" s="4">
        <v>201011</v>
      </c>
      <c r="B1019" s="4">
        <v>0.6</v>
      </c>
      <c r="C1019" s="4">
        <v>3.76</v>
      </c>
      <c r="D1019" s="4">
        <v>-0.96</v>
      </c>
      <c r="E1019" s="4">
        <v>0.01</v>
      </c>
      <c r="F1019" s="4"/>
      <c r="G1019" s="4"/>
      <c r="H1019" s="4"/>
    </row>
    <row r="1020" spans="1:8" x14ac:dyDescent="0.2">
      <c r="A1020" s="4">
        <v>201012</v>
      </c>
      <c r="B1020" s="4">
        <v>6.82</v>
      </c>
      <c r="C1020" s="4">
        <v>0.73</v>
      </c>
      <c r="D1020" s="4">
        <v>3.69</v>
      </c>
      <c r="E1020" s="4">
        <v>0.01</v>
      </c>
      <c r="F1020" s="4"/>
      <c r="G1020" s="4"/>
      <c r="H1020" s="4"/>
    </row>
    <row r="1021" spans="1:8" x14ac:dyDescent="0.2">
      <c r="A1021" s="4">
        <v>201101</v>
      </c>
      <c r="B1021" s="4">
        <v>1.99</v>
      </c>
      <c r="C1021" s="4">
        <v>-2.5</v>
      </c>
      <c r="D1021" s="4">
        <v>0.82</v>
      </c>
      <c r="E1021" s="4">
        <v>0.01</v>
      </c>
      <c r="F1021" s="4"/>
      <c r="G1021" s="4"/>
      <c r="H1021" s="4"/>
    </row>
    <row r="1022" spans="1:8" x14ac:dyDescent="0.2">
      <c r="A1022" s="4">
        <v>201102</v>
      </c>
      <c r="B1022" s="4">
        <v>3.49</v>
      </c>
      <c r="C1022" s="4">
        <v>1.53</v>
      </c>
      <c r="D1022" s="4">
        <v>1.27</v>
      </c>
      <c r="E1022" s="4">
        <v>0.01</v>
      </c>
      <c r="F1022" s="4"/>
      <c r="G1022" s="4"/>
      <c r="H1022" s="4"/>
    </row>
    <row r="1023" spans="1:8" x14ac:dyDescent="0.2">
      <c r="A1023" s="4">
        <v>201103</v>
      </c>
      <c r="B1023" s="4">
        <v>0.46</v>
      </c>
      <c r="C1023" s="4">
        <v>2.54</v>
      </c>
      <c r="D1023" s="4">
        <v>-1.83</v>
      </c>
      <c r="E1023" s="4">
        <v>0.01</v>
      </c>
      <c r="F1023" s="4"/>
      <c r="G1023" s="4"/>
      <c r="H1023" s="4"/>
    </row>
    <row r="1024" spans="1:8" x14ac:dyDescent="0.2">
      <c r="A1024" s="4">
        <v>201104</v>
      </c>
      <c r="B1024" s="4">
        <v>2.9</v>
      </c>
      <c r="C1024" s="4">
        <v>-0.38</v>
      </c>
      <c r="D1024" s="4">
        <v>-2.4300000000000002</v>
      </c>
      <c r="E1024" s="4">
        <v>0</v>
      </c>
      <c r="F1024" s="4"/>
      <c r="G1024" s="4"/>
      <c r="H1024" s="4"/>
    </row>
    <row r="1025" spans="1:8" x14ac:dyDescent="0.2">
      <c r="A1025" s="4">
        <v>201105</v>
      </c>
      <c r="B1025" s="4">
        <v>-1.27</v>
      </c>
      <c r="C1025" s="4">
        <v>-0.59</v>
      </c>
      <c r="D1025" s="4">
        <v>-2.12</v>
      </c>
      <c r="E1025" s="4">
        <v>0</v>
      </c>
      <c r="F1025" s="4"/>
      <c r="G1025" s="4"/>
      <c r="H1025" s="4"/>
    </row>
    <row r="1026" spans="1:8" x14ac:dyDescent="0.2">
      <c r="A1026" s="4">
        <v>201106</v>
      </c>
      <c r="B1026" s="4">
        <v>-1.75</v>
      </c>
      <c r="C1026" s="4">
        <v>-0.12</v>
      </c>
      <c r="D1026" s="4">
        <v>-0.42</v>
      </c>
      <c r="E1026" s="4">
        <v>0</v>
      </c>
      <c r="F1026" s="4"/>
      <c r="G1026" s="4"/>
      <c r="H1026" s="4"/>
    </row>
    <row r="1027" spans="1:8" x14ac:dyDescent="0.2">
      <c r="A1027" s="4">
        <v>201107</v>
      </c>
      <c r="B1027" s="4">
        <v>-2.35</v>
      </c>
      <c r="C1027" s="4">
        <v>-1.27</v>
      </c>
      <c r="D1027" s="4">
        <v>-0.89</v>
      </c>
      <c r="E1027" s="4">
        <v>0</v>
      </c>
      <c r="F1027" s="4"/>
      <c r="G1027" s="4"/>
      <c r="H1027" s="4"/>
    </row>
    <row r="1028" spans="1:8" x14ac:dyDescent="0.2">
      <c r="A1028" s="4">
        <v>201108</v>
      </c>
      <c r="B1028" s="4">
        <v>-5.99</v>
      </c>
      <c r="C1028" s="4">
        <v>-3.05</v>
      </c>
      <c r="D1028" s="4">
        <v>-2.36</v>
      </c>
      <c r="E1028" s="4">
        <v>0.01</v>
      </c>
      <c r="F1028" s="4"/>
      <c r="G1028" s="4"/>
      <c r="H1028" s="4"/>
    </row>
    <row r="1029" spans="1:8" x14ac:dyDescent="0.2">
      <c r="A1029" s="4">
        <v>201109</v>
      </c>
      <c r="B1029" s="4">
        <v>-7.59</v>
      </c>
      <c r="C1029" s="4">
        <v>-3.31</v>
      </c>
      <c r="D1029" s="4">
        <v>-1.73</v>
      </c>
      <c r="E1029" s="4">
        <v>0</v>
      </c>
      <c r="F1029" s="4"/>
      <c r="G1029" s="4"/>
      <c r="H1029" s="4"/>
    </row>
    <row r="1030" spans="1:8" x14ac:dyDescent="0.2">
      <c r="A1030" s="4">
        <v>201110</v>
      </c>
      <c r="B1030" s="4">
        <v>11.35</v>
      </c>
      <c r="C1030" s="4">
        <v>3.28</v>
      </c>
      <c r="D1030" s="4">
        <v>0.11</v>
      </c>
      <c r="E1030" s="4">
        <v>0</v>
      </c>
      <c r="F1030" s="4"/>
      <c r="G1030" s="4"/>
      <c r="H1030" s="4"/>
    </row>
    <row r="1031" spans="1:8" x14ac:dyDescent="0.2">
      <c r="A1031" s="4">
        <v>201111</v>
      </c>
      <c r="B1031" s="4">
        <v>-0.28000000000000003</v>
      </c>
      <c r="C1031" s="4">
        <v>-0.16</v>
      </c>
      <c r="D1031" s="4">
        <v>-0.45</v>
      </c>
      <c r="E1031" s="4">
        <v>0</v>
      </c>
      <c r="F1031" s="4"/>
      <c r="G1031" s="4"/>
      <c r="H1031" s="4"/>
    </row>
    <row r="1032" spans="1:8" x14ac:dyDescent="0.2">
      <c r="A1032" s="4">
        <v>201112</v>
      </c>
      <c r="B1032" s="4">
        <v>0.74</v>
      </c>
      <c r="C1032" s="4">
        <v>-0.59</v>
      </c>
      <c r="D1032" s="4">
        <v>1.63</v>
      </c>
      <c r="E1032" s="4">
        <v>0</v>
      </c>
      <c r="F1032" s="4"/>
      <c r="G1032" s="4"/>
      <c r="H1032" s="4"/>
    </row>
    <row r="1033" spans="1:8" x14ac:dyDescent="0.2">
      <c r="A1033" s="4">
        <v>201201</v>
      </c>
      <c r="B1033" s="4">
        <v>5.05</v>
      </c>
      <c r="C1033" s="4">
        <v>2.04</v>
      </c>
      <c r="D1033" s="4">
        <v>-0.97</v>
      </c>
      <c r="E1033" s="4">
        <v>0</v>
      </c>
      <c r="F1033" s="4"/>
      <c r="G1033" s="4"/>
      <c r="H1033" s="4"/>
    </row>
    <row r="1034" spans="1:8" x14ac:dyDescent="0.2">
      <c r="A1034" s="4">
        <v>201202</v>
      </c>
      <c r="B1034" s="4">
        <v>4.42</v>
      </c>
      <c r="C1034" s="4">
        <v>-1.85</v>
      </c>
      <c r="D1034" s="4">
        <v>0.43</v>
      </c>
      <c r="E1034" s="4">
        <v>0</v>
      </c>
      <c r="F1034" s="4"/>
      <c r="G1034" s="4"/>
      <c r="H1034" s="4"/>
    </row>
    <row r="1035" spans="1:8" x14ac:dyDescent="0.2">
      <c r="A1035" s="4">
        <v>201203</v>
      </c>
      <c r="B1035" s="4">
        <v>3.11</v>
      </c>
      <c r="C1035" s="4">
        <v>-0.64</v>
      </c>
      <c r="D1035" s="4">
        <v>1.1399999999999999</v>
      </c>
      <c r="E1035" s="4">
        <v>0</v>
      </c>
      <c r="F1035" s="4"/>
      <c r="G1035" s="4"/>
      <c r="H1035" s="4"/>
    </row>
    <row r="1036" spans="1:8" x14ac:dyDescent="0.2">
      <c r="A1036" s="4">
        <v>201204</v>
      </c>
      <c r="B1036" s="4">
        <v>-0.85</v>
      </c>
      <c r="C1036" s="4">
        <v>-0.42</v>
      </c>
      <c r="D1036" s="4">
        <v>-0.78</v>
      </c>
      <c r="E1036" s="4">
        <v>0</v>
      </c>
      <c r="F1036" s="4"/>
      <c r="G1036" s="4"/>
      <c r="H1036" s="4"/>
    </row>
    <row r="1037" spans="1:8" x14ac:dyDescent="0.2">
      <c r="A1037" s="4">
        <v>201205</v>
      </c>
      <c r="B1037" s="4">
        <v>-6.19</v>
      </c>
      <c r="C1037" s="4">
        <v>7.0000000000000007E-2</v>
      </c>
      <c r="D1037" s="4">
        <v>-1.07</v>
      </c>
      <c r="E1037" s="4">
        <v>0.01</v>
      </c>
      <c r="F1037" s="4"/>
      <c r="G1037" s="4"/>
      <c r="H1037" s="4"/>
    </row>
    <row r="1038" spans="1:8" x14ac:dyDescent="0.2">
      <c r="A1038" s="4">
        <v>201206</v>
      </c>
      <c r="B1038" s="4">
        <v>3.89</v>
      </c>
      <c r="C1038" s="4">
        <v>0.67</v>
      </c>
      <c r="D1038" s="4">
        <v>0.62</v>
      </c>
      <c r="E1038" s="4">
        <v>0</v>
      </c>
      <c r="F1038" s="4"/>
      <c r="G1038" s="4"/>
      <c r="H1038" s="4"/>
    </row>
    <row r="1039" spans="1:8" x14ac:dyDescent="0.2">
      <c r="A1039" s="4">
        <v>201207</v>
      </c>
      <c r="B1039" s="4">
        <v>0.79</v>
      </c>
      <c r="C1039" s="4">
        <v>-2.75</v>
      </c>
      <c r="D1039" s="4">
        <v>-0.02</v>
      </c>
      <c r="E1039" s="4">
        <v>0</v>
      </c>
      <c r="F1039" s="4"/>
      <c r="G1039" s="4"/>
      <c r="H1039" s="4"/>
    </row>
    <row r="1040" spans="1:8" x14ac:dyDescent="0.2">
      <c r="A1040" s="4">
        <v>201208</v>
      </c>
      <c r="B1040" s="4">
        <v>2.5499999999999998</v>
      </c>
      <c r="C1040" s="4">
        <v>0.47</v>
      </c>
      <c r="D1040" s="4">
        <v>1.3</v>
      </c>
      <c r="E1040" s="4">
        <v>0.01</v>
      </c>
      <c r="F1040" s="4"/>
      <c r="G1040" s="4"/>
      <c r="H1040" s="4"/>
    </row>
    <row r="1041" spans="1:8" x14ac:dyDescent="0.2">
      <c r="A1041" s="4">
        <v>201209</v>
      </c>
      <c r="B1041" s="4">
        <v>2.73</v>
      </c>
      <c r="C1041" s="4">
        <v>0.51</v>
      </c>
      <c r="D1041" s="4">
        <v>1.6</v>
      </c>
      <c r="E1041" s="4">
        <v>0.01</v>
      </c>
      <c r="F1041" s="4"/>
      <c r="G1041" s="4"/>
      <c r="H1041" s="4"/>
    </row>
    <row r="1042" spans="1:8" x14ac:dyDescent="0.2">
      <c r="A1042" s="4">
        <v>201210</v>
      </c>
      <c r="B1042" s="4">
        <v>-1.76</v>
      </c>
      <c r="C1042" s="4">
        <v>-1.1499999999999999</v>
      </c>
      <c r="D1042" s="4">
        <v>3.59</v>
      </c>
      <c r="E1042" s="4">
        <v>0.01</v>
      </c>
      <c r="F1042" s="4"/>
      <c r="G1042" s="4"/>
      <c r="H1042" s="4"/>
    </row>
    <row r="1043" spans="1:8" x14ac:dyDescent="0.2">
      <c r="A1043" s="4">
        <v>201211</v>
      </c>
      <c r="B1043" s="4">
        <v>0.78</v>
      </c>
      <c r="C1043" s="4">
        <v>0.63</v>
      </c>
      <c r="D1043" s="4">
        <v>-0.84</v>
      </c>
      <c r="E1043" s="4">
        <v>0.01</v>
      </c>
      <c r="F1043" s="4"/>
      <c r="G1043" s="4"/>
      <c r="H1043" s="4"/>
    </row>
    <row r="1044" spans="1:8" x14ac:dyDescent="0.2">
      <c r="A1044" s="4">
        <v>201212</v>
      </c>
      <c r="B1044" s="4">
        <v>1.18</v>
      </c>
      <c r="C1044" s="4">
        <v>1.48</v>
      </c>
      <c r="D1044" s="4">
        <v>3.51</v>
      </c>
      <c r="E1044" s="4">
        <v>0.01</v>
      </c>
      <c r="F1044" s="4"/>
      <c r="G1044" s="4"/>
      <c r="H1044" s="4"/>
    </row>
    <row r="1045" spans="1:8" x14ac:dyDescent="0.2">
      <c r="A1045" s="4">
        <v>201301</v>
      </c>
      <c r="B1045" s="4">
        <v>5.57</v>
      </c>
      <c r="C1045" s="4">
        <v>0.34</v>
      </c>
      <c r="D1045" s="4">
        <v>0.96</v>
      </c>
      <c r="E1045" s="4">
        <v>0</v>
      </c>
      <c r="F1045" s="4"/>
      <c r="G1045" s="4"/>
      <c r="H1045" s="4"/>
    </row>
    <row r="1046" spans="1:8" x14ac:dyDescent="0.2">
      <c r="A1046" s="4">
        <v>201302</v>
      </c>
      <c r="B1046" s="4">
        <v>1.29</v>
      </c>
      <c r="C1046" s="4">
        <v>-0.27</v>
      </c>
      <c r="D1046" s="4">
        <v>0.11</v>
      </c>
      <c r="E1046" s="4">
        <v>0</v>
      </c>
      <c r="F1046" s="4"/>
      <c r="G1046" s="4"/>
      <c r="H1046" s="4"/>
    </row>
    <row r="1047" spans="1:8" x14ac:dyDescent="0.2">
      <c r="A1047" s="4">
        <v>201303</v>
      </c>
      <c r="B1047" s="4">
        <v>4.03</v>
      </c>
      <c r="C1047" s="4">
        <v>0.81</v>
      </c>
      <c r="D1047" s="4">
        <v>-0.19</v>
      </c>
      <c r="E1047" s="4">
        <v>0</v>
      </c>
      <c r="F1047" s="4"/>
      <c r="G1047" s="4"/>
      <c r="H1047" s="4"/>
    </row>
    <row r="1048" spans="1:8" x14ac:dyDescent="0.2">
      <c r="A1048" s="4">
        <v>201304</v>
      </c>
      <c r="B1048" s="4">
        <v>1.55</v>
      </c>
      <c r="C1048" s="4">
        <v>-2.37</v>
      </c>
      <c r="D1048" s="4">
        <v>0.45</v>
      </c>
      <c r="E1048" s="4">
        <v>0</v>
      </c>
      <c r="F1048" s="4"/>
      <c r="G1048" s="4"/>
      <c r="H1048" s="4"/>
    </row>
    <row r="1049" spans="1:8" x14ac:dyDescent="0.2">
      <c r="A1049" s="4">
        <v>201305</v>
      </c>
      <c r="B1049" s="4">
        <v>2.8</v>
      </c>
      <c r="C1049" s="4">
        <v>1.71</v>
      </c>
      <c r="D1049" s="4">
        <v>2.63</v>
      </c>
      <c r="E1049" s="4">
        <v>0</v>
      </c>
      <c r="F1049" s="4"/>
      <c r="G1049" s="4"/>
      <c r="H1049" s="4"/>
    </row>
    <row r="1050" spans="1:8" x14ac:dyDescent="0.2">
      <c r="A1050" s="4">
        <v>201306</v>
      </c>
      <c r="B1050" s="4">
        <v>-1.2</v>
      </c>
      <c r="C1050" s="4">
        <v>1.33</v>
      </c>
      <c r="D1050" s="4">
        <v>0.03</v>
      </c>
      <c r="E1050" s="4">
        <v>0</v>
      </c>
      <c r="F1050" s="4"/>
      <c r="G1050" s="4"/>
      <c r="H1050" s="4"/>
    </row>
    <row r="1051" spans="1:8" x14ac:dyDescent="0.2">
      <c r="A1051" s="4">
        <v>201307</v>
      </c>
      <c r="B1051" s="4">
        <v>5.65</v>
      </c>
      <c r="C1051" s="4">
        <v>1.87</v>
      </c>
      <c r="D1051" s="4">
        <v>0.56999999999999995</v>
      </c>
      <c r="E1051" s="4">
        <v>0</v>
      </c>
      <c r="F1051" s="4"/>
      <c r="G1051" s="4"/>
      <c r="H1051" s="4"/>
    </row>
    <row r="1052" spans="1:8" x14ac:dyDescent="0.2">
      <c r="A1052" s="4">
        <v>201308</v>
      </c>
      <c r="B1052" s="4">
        <v>-2.71</v>
      </c>
      <c r="C1052" s="4">
        <v>0.27</v>
      </c>
      <c r="D1052" s="4">
        <v>-2.69</v>
      </c>
      <c r="E1052" s="4">
        <v>0</v>
      </c>
      <c r="F1052" s="4"/>
      <c r="G1052" s="4"/>
      <c r="H1052" s="4"/>
    </row>
    <row r="1053" spans="1:8" x14ac:dyDescent="0.2">
      <c r="A1053" s="4">
        <v>201309</v>
      </c>
      <c r="B1053" s="4">
        <v>3.77</v>
      </c>
      <c r="C1053" s="4">
        <v>2.87</v>
      </c>
      <c r="D1053" s="4">
        <v>-1.22</v>
      </c>
      <c r="E1053" s="4">
        <v>0</v>
      </c>
      <c r="F1053" s="4"/>
      <c r="G1053" s="4"/>
      <c r="H1053" s="4"/>
    </row>
    <row r="1054" spans="1:8" x14ac:dyDescent="0.2">
      <c r="A1054" s="4">
        <v>201310</v>
      </c>
      <c r="B1054" s="4">
        <v>4.18</v>
      </c>
      <c r="C1054" s="4">
        <v>-1.52</v>
      </c>
      <c r="D1054" s="4">
        <v>1.25</v>
      </c>
      <c r="E1054" s="4">
        <v>0</v>
      </c>
      <c r="F1054" s="4"/>
      <c r="G1054" s="4"/>
      <c r="H1054" s="4"/>
    </row>
    <row r="1055" spans="1:8" x14ac:dyDescent="0.2">
      <c r="A1055" s="4">
        <v>201311</v>
      </c>
      <c r="B1055" s="4">
        <v>3.13</v>
      </c>
      <c r="C1055" s="4">
        <v>1.29</v>
      </c>
      <c r="D1055" s="4">
        <v>0.32</v>
      </c>
      <c r="E1055" s="4">
        <v>0</v>
      </c>
      <c r="F1055" s="4"/>
      <c r="G1055" s="4"/>
      <c r="H1055" s="4"/>
    </row>
    <row r="1056" spans="1:8" x14ac:dyDescent="0.2">
      <c r="A1056" s="4">
        <v>201312</v>
      </c>
      <c r="B1056" s="4">
        <v>2.81</v>
      </c>
      <c r="C1056" s="4">
        <v>-0.47</v>
      </c>
      <c r="D1056" s="4">
        <v>-0.02</v>
      </c>
      <c r="E1056" s="4">
        <v>0</v>
      </c>
      <c r="F1056" s="4"/>
      <c r="G1056" s="4"/>
      <c r="H1056" s="4"/>
    </row>
    <row r="1057" spans="1:8" x14ac:dyDescent="0.2">
      <c r="A1057" s="4">
        <v>201401</v>
      </c>
      <c r="B1057" s="4">
        <v>-3.32</v>
      </c>
      <c r="C1057" s="4">
        <v>0.89</v>
      </c>
      <c r="D1057" s="4">
        <v>-2.0699999999999998</v>
      </c>
      <c r="E1057" s="4">
        <v>0</v>
      </c>
      <c r="F1057" s="4"/>
      <c r="G1057" s="4"/>
      <c r="H1057" s="4"/>
    </row>
    <row r="1058" spans="1:8" x14ac:dyDescent="0.2">
      <c r="A1058" s="4">
        <v>201402</v>
      </c>
      <c r="B1058" s="4">
        <v>4.6500000000000004</v>
      </c>
      <c r="C1058" s="4">
        <v>0.34</v>
      </c>
      <c r="D1058" s="4">
        <v>-0.31</v>
      </c>
      <c r="E1058" s="4">
        <v>0</v>
      </c>
      <c r="F1058" s="4"/>
      <c r="G1058" s="4"/>
      <c r="H1058" s="4"/>
    </row>
    <row r="1059" spans="1:8" x14ac:dyDescent="0.2">
      <c r="A1059" s="4">
        <v>201403</v>
      </c>
      <c r="B1059" s="4">
        <v>0.43</v>
      </c>
      <c r="C1059" s="4">
        <v>-1.81</v>
      </c>
      <c r="D1059" s="4">
        <v>4.93</v>
      </c>
      <c r="E1059" s="4">
        <v>0</v>
      </c>
      <c r="F1059" s="4"/>
      <c r="G1059" s="4"/>
      <c r="H1059" s="4"/>
    </row>
    <row r="1060" spans="1:8" x14ac:dyDescent="0.2">
      <c r="A1060" s="4">
        <v>201404</v>
      </c>
      <c r="B1060" s="4">
        <v>-0.19</v>
      </c>
      <c r="C1060" s="4">
        <v>-4.18</v>
      </c>
      <c r="D1060" s="4">
        <v>1.17</v>
      </c>
      <c r="E1060" s="4">
        <v>0</v>
      </c>
      <c r="F1060" s="4"/>
      <c r="G1060" s="4"/>
      <c r="H1060" s="4"/>
    </row>
    <row r="1061" spans="1:8" x14ac:dyDescent="0.2">
      <c r="A1061" s="4">
        <v>201405</v>
      </c>
      <c r="B1061" s="4">
        <v>2.06</v>
      </c>
      <c r="C1061" s="4">
        <v>-1.88</v>
      </c>
      <c r="D1061" s="4">
        <v>-0.13</v>
      </c>
      <c r="E1061" s="4">
        <v>0</v>
      </c>
      <c r="F1061" s="4"/>
      <c r="G1061" s="4"/>
      <c r="H1061" s="4"/>
    </row>
    <row r="1062" spans="1:8" x14ac:dyDescent="0.2">
      <c r="A1062" s="4">
        <v>201406</v>
      </c>
      <c r="B1062" s="4">
        <v>2.61</v>
      </c>
      <c r="C1062" s="4">
        <v>3.09</v>
      </c>
      <c r="D1062" s="4">
        <v>-0.7</v>
      </c>
      <c r="E1062" s="4">
        <v>0</v>
      </c>
      <c r="F1062" s="4"/>
      <c r="G1062" s="4"/>
      <c r="H1062" s="4"/>
    </row>
    <row r="1063" spans="1:8" x14ac:dyDescent="0.2">
      <c r="A1063" s="4">
        <v>201407</v>
      </c>
      <c r="B1063" s="4">
        <v>-2.04</v>
      </c>
      <c r="C1063" s="4">
        <v>-4.3</v>
      </c>
      <c r="D1063" s="4">
        <v>0.04</v>
      </c>
      <c r="E1063" s="4">
        <v>0</v>
      </c>
      <c r="F1063" s="4"/>
      <c r="G1063" s="4"/>
      <c r="H1063" s="4"/>
    </row>
    <row r="1064" spans="1:8" x14ac:dyDescent="0.2">
      <c r="A1064" s="4">
        <v>201408</v>
      </c>
      <c r="B1064" s="4">
        <v>4.24</v>
      </c>
      <c r="C1064" s="4">
        <v>0.4</v>
      </c>
      <c r="D1064" s="4">
        <v>-0.45</v>
      </c>
      <c r="E1064" s="4">
        <v>0</v>
      </c>
      <c r="F1064" s="4"/>
      <c r="G1064" s="4"/>
      <c r="H1064" s="4"/>
    </row>
    <row r="1065" spans="1:8" x14ac:dyDescent="0.2">
      <c r="A1065" s="4">
        <v>201409</v>
      </c>
      <c r="B1065" s="4">
        <v>-1.97</v>
      </c>
      <c r="C1065" s="4">
        <v>-3.7</v>
      </c>
      <c r="D1065" s="4">
        <v>-1.35</v>
      </c>
      <c r="E1065" s="4">
        <v>0</v>
      </c>
      <c r="F1065" s="4"/>
      <c r="G1065" s="4"/>
      <c r="H1065" s="4"/>
    </row>
    <row r="1066" spans="1:8" x14ac:dyDescent="0.2">
      <c r="A1066" s="4">
        <v>201410</v>
      </c>
      <c r="B1066" s="4">
        <v>2.52</v>
      </c>
      <c r="C1066" s="4">
        <v>4.2</v>
      </c>
      <c r="D1066" s="4">
        <v>-1.8</v>
      </c>
      <c r="E1066" s="4">
        <v>0</v>
      </c>
      <c r="F1066" s="4"/>
      <c r="G1066" s="4"/>
      <c r="H1066" s="4"/>
    </row>
    <row r="1067" spans="1:8" x14ac:dyDescent="0.2">
      <c r="A1067" s="4">
        <v>201411</v>
      </c>
      <c r="B1067" s="4">
        <v>2.5499999999999998</v>
      </c>
      <c r="C1067" s="4">
        <v>-2.06</v>
      </c>
      <c r="D1067" s="4">
        <v>-3.1</v>
      </c>
      <c r="E1067" s="4">
        <v>0</v>
      </c>
      <c r="F1067" s="4"/>
      <c r="G1067" s="4"/>
      <c r="H1067" s="4"/>
    </row>
    <row r="1068" spans="1:8" x14ac:dyDescent="0.2">
      <c r="A1068" s="4">
        <v>201412</v>
      </c>
      <c r="B1068" s="4">
        <v>-0.06</v>
      </c>
      <c r="C1068" s="4">
        <v>2.4900000000000002</v>
      </c>
      <c r="D1068" s="4">
        <v>2.27</v>
      </c>
      <c r="E1068" s="4">
        <v>0</v>
      </c>
      <c r="F1068" s="4"/>
      <c r="G1068" s="4"/>
      <c r="H1068" s="4"/>
    </row>
    <row r="1069" spans="1:8" x14ac:dyDescent="0.2">
      <c r="A1069" s="4">
        <v>201501</v>
      </c>
      <c r="B1069" s="4">
        <v>-3.11</v>
      </c>
      <c r="C1069" s="4">
        <v>-0.56000000000000005</v>
      </c>
      <c r="D1069" s="4">
        <v>-3.59</v>
      </c>
      <c r="E1069" s="4">
        <v>0</v>
      </c>
      <c r="F1069" s="4"/>
      <c r="G1069" s="4"/>
      <c r="H1069" s="4"/>
    </row>
    <row r="1070" spans="1:8" x14ac:dyDescent="0.2">
      <c r="A1070" s="4">
        <v>201502</v>
      </c>
      <c r="B1070" s="4">
        <v>6.13</v>
      </c>
      <c r="C1070" s="4">
        <v>0.63</v>
      </c>
      <c r="D1070" s="4">
        <v>-1.86</v>
      </c>
      <c r="E1070" s="4">
        <v>0</v>
      </c>
      <c r="F1070" s="4"/>
      <c r="G1070" s="4"/>
      <c r="H1070" s="4"/>
    </row>
    <row r="1071" spans="1:8" x14ac:dyDescent="0.2">
      <c r="A1071" s="4">
        <v>201503</v>
      </c>
      <c r="B1071" s="4">
        <v>-1.1200000000000001</v>
      </c>
      <c r="C1071" s="4">
        <v>3.04</v>
      </c>
      <c r="D1071" s="4">
        <v>-0.38</v>
      </c>
      <c r="E1071" s="4">
        <v>0</v>
      </c>
      <c r="F1071" s="4"/>
      <c r="G1071" s="4"/>
      <c r="H1071" s="4"/>
    </row>
    <row r="1072" spans="1:8" x14ac:dyDescent="0.2">
      <c r="A1072" s="4">
        <v>201504</v>
      </c>
      <c r="B1072" s="4">
        <v>0.59</v>
      </c>
      <c r="C1072" s="4">
        <v>-3.06</v>
      </c>
      <c r="D1072" s="4">
        <v>1.82</v>
      </c>
      <c r="E1072" s="4">
        <v>0</v>
      </c>
      <c r="F1072" s="4"/>
      <c r="G1072" s="4"/>
      <c r="H1072" s="4"/>
    </row>
    <row r="1073" spans="1:8" x14ac:dyDescent="0.2">
      <c r="A1073" s="4">
        <v>201505</v>
      </c>
      <c r="B1073" s="4">
        <v>1.36</v>
      </c>
      <c r="C1073" s="4">
        <v>0.94</v>
      </c>
      <c r="D1073" s="4">
        <v>-1.1499999999999999</v>
      </c>
      <c r="E1073" s="4">
        <v>0</v>
      </c>
      <c r="F1073" s="4"/>
      <c r="G1073" s="4"/>
      <c r="H1073" s="4"/>
    </row>
    <row r="1074" spans="1:8" x14ac:dyDescent="0.2">
      <c r="A1074" s="4">
        <v>201506</v>
      </c>
      <c r="B1074" s="4">
        <v>-1.53</v>
      </c>
      <c r="C1074" s="4">
        <v>2.91</v>
      </c>
      <c r="D1074" s="4">
        <v>-0.79</v>
      </c>
      <c r="E1074" s="4">
        <v>0</v>
      </c>
      <c r="F1074" s="4"/>
      <c r="G1074" s="4"/>
      <c r="H1074" s="4"/>
    </row>
    <row r="1075" spans="1:8" x14ac:dyDescent="0.2">
      <c r="A1075" s="4">
        <v>201507</v>
      </c>
      <c r="B1075" s="4">
        <v>1.54</v>
      </c>
      <c r="C1075" s="4">
        <v>-4.17</v>
      </c>
      <c r="D1075" s="4">
        <v>-4.13</v>
      </c>
      <c r="E1075" s="4">
        <v>0</v>
      </c>
      <c r="F1075" s="4"/>
      <c r="G1075" s="4"/>
      <c r="H1075" s="4"/>
    </row>
    <row r="1076" spans="1:8" x14ac:dyDescent="0.2">
      <c r="A1076" s="4">
        <v>201508</v>
      </c>
      <c r="B1076" s="4">
        <v>-6.04</v>
      </c>
      <c r="C1076" s="4">
        <v>0.33</v>
      </c>
      <c r="D1076" s="4">
        <v>2.77</v>
      </c>
      <c r="E1076" s="4">
        <v>0</v>
      </c>
      <c r="F1076" s="4"/>
      <c r="G1076" s="4"/>
      <c r="H1076" s="4"/>
    </row>
    <row r="1077" spans="1:8" x14ac:dyDescent="0.2">
      <c r="A1077" s="4">
        <v>201509</v>
      </c>
      <c r="B1077" s="4">
        <v>-3.07</v>
      </c>
      <c r="C1077" s="4">
        <v>-2.62</v>
      </c>
      <c r="D1077" s="4">
        <v>0.56000000000000005</v>
      </c>
      <c r="E1077" s="4">
        <v>0</v>
      </c>
      <c r="F1077" s="4"/>
      <c r="G1077" s="4"/>
      <c r="H1077" s="4"/>
    </row>
    <row r="1078" spans="1:8" x14ac:dyDescent="0.2">
      <c r="A1078" s="4">
        <v>201510</v>
      </c>
      <c r="B1078" s="4">
        <v>7.75</v>
      </c>
      <c r="C1078" s="4">
        <v>-1.89</v>
      </c>
      <c r="D1078" s="4">
        <v>-0.46</v>
      </c>
      <c r="E1078" s="4">
        <v>0</v>
      </c>
      <c r="F1078" s="4"/>
      <c r="G1078" s="4"/>
      <c r="H1078" s="4"/>
    </row>
    <row r="1079" spans="1:8" x14ac:dyDescent="0.2">
      <c r="A1079" s="4">
        <v>201511</v>
      </c>
      <c r="B1079" s="4">
        <v>0.56999999999999995</v>
      </c>
      <c r="C1079" s="4">
        <v>3.59</v>
      </c>
      <c r="D1079" s="4">
        <v>-0.42</v>
      </c>
      <c r="E1079" s="4">
        <v>0</v>
      </c>
      <c r="F1079" s="4"/>
      <c r="G1079" s="4"/>
      <c r="H1079" s="4"/>
    </row>
    <row r="1080" spans="1:8" x14ac:dyDescent="0.2">
      <c r="A1080" s="4">
        <v>201512</v>
      </c>
      <c r="B1080" s="4">
        <v>-2.17</v>
      </c>
      <c r="C1080" s="4">
        <v>-2.85</v>
      </c>
      <c r="D1080" s="4">
        <v>-2.61</v>
      </c>
      <c r="E1080" s="4">
        <v>0.01</v>
      </c>
      <c r="F1080" s="4"/>
      <c r="G1080" s="4"/>
      <c r="H1080" s="4"/>
    </row>
    <row r="1081" spans="1:8" x14ac:dyDescent="0.2">
      <c r="A1081" s="4">
        <v>201601</v>
      </c>
      <c r="B1081" s="4">
        <v>-5.77</v>
      </c>
      <c r="C1081" s="4">
        <v>-3.42</v>
      </c>
      <c r="D1081" s="4">
        <v>2.09</v>
      </c>
      <c r="E1081" s="4">
        <v>0.01</v>
      </c>
      <c r="F1081" s="4"/>
      <c r="G1081" s="4"/>
      <c r="H1081" s="4"/>
    </row>
    <row r="1082" spans="1:8" x14ac:dyDescent="0.2">
      <c r="A1082" s="4">
        <v>201602</v>
      </c>
      <c r="B1082" s="4">
        <v>-7.0000000000000007E-2</v>
      </c>
      <c r="C1082" s="4">
        <v>0.74</v>
      </c>
      <c r="D1082" s="4">
        <v>-0.56999999999999995</v>
      </c>
      <c r="E1082" s="4">
        <v>0.02</v>
      </c>
      <c r="F1082" s="4"/>
      <c r="G1082" s="4"/>
      <c r="H1082" s="4"/>
    </row>
    <row r="1083" spans="1:8" x14ac:dyDescent="0.2">
      <c r="A1083" s="4">
        <v>201603</v>
      </c>
      <c r="B1083" s="4">
        <v>6.96</v>
      </c>
      <c r="C1083" s="4">
        <v>0.82</v>
      </c>
      <c r="D1083" s="4">
        <v>1.19</v>
      </c>
      <c r="E1083" s="4">
        <v>0.02</v>
      </c>
      <c r="F1083" s="4"/>
      <c r="G1083" s="4"/>
      <c r="H1083" s="4"/>
    </row>
    <row r="1084" spans="1:8" x14ac:dyDescent="0.2">
      <c r="A1084" s="4">
        <v>201604</v>
      </c>
      <c r="B1084" s="4">
        <v>0.91</v>
      </c>
      <c r="C1084" s="4">
        <v>0.76</v>
      </c>
      <c r="D1084" s="4">
        <v>3.28</v>
      </c>
      <c r="E1084" s="4">
        <v>0.01</v>
      </c>
      <c r="F1084" s="4"/>
      <c r="G1084" s="4"/>
      <c r="H1084" s="4"/>
    </row>
    <row r="1085" spans="1:8" x14ac:dyDescent="0.2">
      <c r="A1085" s="4">
        <v>201605</v>
      </c>
      <c r="B1085" s="4">
        <v>1.78</v>
      </c>
      <c r="C1085" s="4">
        <v>-0.17</v>
      </c>
      <c r="D1085" s="4">
        <v>-1.66</v>
      </c>
      <c r="E1085" s="4">
        <v>0.01</v>
      </c>
      <c r="F1085" s="4"/>
      <c r="G1085" s="4"/>
      <c r="H1085" s="4"/>
    </row>
    <row r="1086" spans="1:8" x14ac:dyDescent="0.2">
      <c r="A1086" s="4">
        <v>201606</v>
      </c>
      <c r="B1086" s="4">
        <v>-0.05</v>
      </c>
      <c r="C1086" s="4">
        <v>0.61</v>
      </c>
      <c r="D1086" s="4">
        <v>-1.48</v>
      </c>
      <c r="E1086" s="4">
        <v>0.02</v>
      </c>
      <c r="F1086" s="4"/>
      <c r="G1086" s="4"/>
      <c r="H1086" s="4"/>
    </row>
    <row r="1087" spans="1:8" x14ac:dyDescent="0.2">
      <c r="A1087" s="4">
        <v>201607</v>
      </c>
      <c r="B1087" s="4">
        <v>3.95</v>
      </c>
      <c r="C1087" s="4">
        <v>2.4900000000000002</v>
      </c>
      <c r="D1087" s="4">
        <v>-1.32</v>
      </c>
      <c r="E1087" s="4">
        <v>0.02</v>
      </c>
      <c r="F1087" s="4"/>
      <c r="G1087" s="4"/>
      <c r="H1087" s="4"/>
    </row>
    <row r="1088" spans="1:8" x14ac:dyDescent="0.2">
      <c r="A1088" s="4">
        <v>201608</v>
      </c>
      <c r="B1088" s="4">
        <v>0.49</v>
      </c>
      <c r="C1088" s="4">
        <v>1.1599999999999999</v>
      </c>
      <c r="D1088" s="4">
        <v>3.18</v>
      </c>
      <c r="E1088" s="4">
        <v>0.02</v>
      </c>
      <c r="F1088" s="4"/>
      <c r="G1088" s="4"/>
      <c r="H1088" s="4"/>
    </row>
    <row r="1089" spans="1:8" x14ac:dyDescent="0.2">
      <c r="A1089" s="4">
        <v>201609</v>
      </c>
      <c r="B1089" s="4">
        <v>0.25</v>
      </c>
      <c r="C1089" s="4">
        <v>2.12</v>
      </c>
      <c r="D1089" s="4">
        <v>-1.24</v>
      </c>
      <c r="E1089" s="4">
        <v>0.02</v>
      </c>
      <c r="F1089" s="4"/>
      <c r="G1089" s="4"/>
      <c r="H1089" s="4"/>
    </row>
    <row r="1090" spans="1:8" x14ac:dyDescent="0.2">
      <c r="A1090" s="4">
        <v>201610</v>
      </c>
      <c r="B1090" s="4">
        <v>-2.02</v>
      </c>
      <c r="C1090" s="4">
        <v>-4.4000000000000004</v>
      </c>
      <c r="D1090" s="4">
        <v>4.09</v>
      </c>
      <c r="E1090" s="4">
        <v>0.02</v>
      </c>
      <c r="F1090" s="4"/>
      <c r="G1090" s="4"/>
      <c r="H1090" s="4"/>
    </row>
    <row r="1091" spans="1:8" x14ac:dyDescent="0.2">
      <c r="A1091" s="4">
        <v>201611</v>
      </c>
      <c r="B1091" s="4">
        <v>4.8600000000000003</v>
      </c>
      <c r="C1091" s="4">
        <v>5.71</v>
      </c>
      <c r="D1091" s="4">
        <v>8.2100000000000009</v>
      </c>
      <c r="E1091" s="4">
        <v>0.01</v>
      </c>
      <c r="F1091" s="4"/>
      <c r="G1091" s="4"/>
      <c r="H1091" s="4"/>
    </row>
    <row r="1092" spans="1:8" x14ac:dyDescent="0.2">
      <c r="A1092" s="4">
        <v>201612</v>
      </c>
      <c r="B1092" s="4">
        <v>1.82</v>
      </c>
      <c r="C1092" s="4">
        <v>0.1</v>
      </c>
      <c r="D1092" s="4">
        <v>3.53</v>
      </c>
      <c r="E1092" s="4">
        <v>0.03</v>
      </c>
      <c r="F1092" s="4"/>
      <c r="G1092" s="4"/>
      <c r="H1092" s="4"/>
    </row>
    <row r="1093" spans="1:8" x14ac:dyDescent="0.2">
      <c r="A1093" s="4">
        <v>201701</v>
      </c>
      <c r="B1093" s="4">
        <v>1.94</v>
      </c>
      <c r="C1093" s="4">
        <v>-1.18</v>
      </c>
      <c r="D1093" s="4">
        <v>-2.75</v>
      </c>
      <c r="E1093" s="4">
        <v>0.04</v>
      </c>
      <c r="F1093" s="4"/>
      <c r="G1093" s="4"/>
      <c r="H1093" s="4"/>
    </row>
    <row r="1094" spans="1:8" x14ac:dyDescent="0.2">
      <c r="A1094" s="4">
        <v>201702</v>
      </c>
      <c r="B1094" s="4">
        <v>3.57</v>
      </c>
      <c r="C1094" s="4">
        <v>-2.0499999999999998</v>
      </c>
      <c r="D1094" s="4">
        <v>-1.67</v>
      </c>
      <c r="E1094" s="4">
        <v>0.04</v>
      </c>
      <c r="F1094" s="4"/>
      <c r="G1094" s="4"/>
      <c r="H1094" s="4"/>
    </row>
    <row r="1095" spans="1:8" x14ac:dyDescent="0.2">
      <c r="A1095" s="4">
        <v>201703</v>
      </c>
      <c r="B1095" s="4">
        <v>0.17</v>
      </c>
      <c r="C1095" s="4">
        <v>1.1399999999999999</v>
      </c>
      <c r="D1095" s="4">
        <v>-3.35</v>
      </c>
      <c r="E1095" s="4">
        <v>0.03</v>
      </c>
      <c r="F1095" s="4"/>
      <c r="G1095" s="4"/>
      <c r="H1095" s="4"/>
    </row>
    <row r="1096" spans="1:8" x14ac:dyDescent="0.2">
      <c r="A1096" s="4">
        <v>201704</v>
      </c>
      <c r="B1096" s="4">
        <v>1.0900000000000001</v>
      </c>
      <c r="C1096" s="4">
        <v>0.73</v>
      </c>
      <c r="D1096" s="4">
        <v>-2.13</v>
      </c>
      <c r="E1096" s="4">
        <v>0.05</v>
      </c>
      <c r="F1096" s="4"/>
      <c r="G1096" s="4"/>
      <c r="H1096" s="4"/>
    </row>
    <row r="1097" spans="1:8" x14ac:dyDescent="0.2">
      <c r="A1097" s="4">
        <v>201705</v>
      </c>
      <c r="B1097" s="4">
        <v>1.06</v>
      </c>
      <c r="C1097" s="4">
        <v>-2.57</v>
      </c>
      <c r="D1097" s="4">
        <v>-3.78</v>
      </c>
      <c r="E1097" s="4">
        <v>0.06</v>
      </c>
      <c r="F1097" s="4"/>
      <c r="G1097" s="4"/>
      <c r="H1097" s="4"/>
    </row>
    <row r="1098" spans="1:8" x14ac:dyDescent="0.2">
      <c r="A1098" s="4">
        <v>201706</v>
      </c>
      <c r="B1098" s="4">
        <v>0.78</v>
      </c>
      <c r="C1098" s="4">
        <v>2.25</v>
      </c>
      <c r="D1098" s="4">
        <v>1.48</v>
      </c>
      <c r="E1098" s="4">
        <v>0.06</v>
      </c>
      <c r="F1098" s="4"/>
      <c r="G1098" s="4"/>
      <c r="H1098" s="4"/>
    </row>
    <row r="1099" spans="1:8" x14ac:dyDescent="0.2">
      <c r="A1099" s="4">
        <v>201707</v>
      </c>
      <c r="B1099" s="4">
        <v>1.87</v>
      </c>
      <c r="C1099" s="4">
        <v>-1.5</v>
      </c>
      <c r="D1099" s="4">
        <v>-0.31</v>
      </c>
      <c r="E1099" s="4">
        <v>7.0000000000000007E-2</v>
      </c>
      <c r="F1099" s="4"/>
      <c r="G1099" s="4"/>
      <c r="H1099" s="4"/>
    </row>
    <row r="1100" spans="1:8" x14ac:dyDescent="0.2">
      <c r="A1100" s="4">
        <v>201708</v>
      </c>
      <c r="B1100" s="4">
        <v>0.16</v>
      </c>
      <c r="C1100" s="4">
        <v>-1.67</v>
      </c>
      <c r="D1100" s="4">
        <v>-2.1</v>
      </c>
      <c r="E1100" s="4">
        <v>0.09</v>
      </c>
      <c r="F1100" s="4"/>
      <c r="G1100" s="4"/>
      <c r="H1100" s="4"/>
    </row>
    <row r="1101" spans="1:8" x14ac:dyDescent="0.2">
      <c r="A1101" s="4">
        <v>201709</v>
      </c>
      <c r="B1101" s="4">
        <v>2.5099999999999998</v>
      </c>
      <c r="C1101" s="4">
        <v>4.47</v>
      </c>
      <c r="D1101" s="4">
        <v>3.12</v>
      </c>
      <c r="E1101" s="4">
        <v>0.09</v>
      </c>
      <c r="F1101" s="4"/>
      <c r="G1101" s="4"/>
      <c r="H1101" s="4"/>
    </row>
    <row r="1102" spans="1:8" x14ac:dyDescent="0.2">
      <c r="A1102" s="4">
        <v>201710</v>
      </c>
      <c r="B1102" s="4">
        <v>2.25</v>
      </c>
      <c r="C1102" s="4">
        <v>-1.94</v>
      </c>
      <c r="D1102" s="4">
        <v>0.19</v>
      </c>
      <c r="E1102" s="4">
        <v>0.09</v>
      </c>
      <c r="F1102" s="4"/>
      <c r="G1102" s="4"/>
      <c r="H1102" s="4"/>
    </row>
    <row r="1103" spans="1:8" x14ac:dyDescent="0.2">
      <c r="A1103" s="4">
        <v>201711</v>
      </c>
      <c r="B1103" s="4">
        <v>3.12</v>
      </c>
      <c r="C1103" s="4">
        <v>-0.54</v>
      </c>
      <c r="D1103" s="4">
        <v>-0.03</v>
      </c>
      <c r="E1103" s="4">
        <v>0.08</v>
      </c>
      <c r="F1103" s="4"/>
      <c r="G1103" s="4"/>
      <c r="H1103" s="4"/>
    </row>
    <row r="1104" spans="1:8" x14ac:dyDescent="0.2">
      <c r="A1104" s="4">
        <v>201712</v>
      </c>
      <c r="B1104" s="4">
        <v>1.06</v>
      </c>
      <c r="C1104" s="4">
        <v>-1.32</v>
      </c>
      <c r="D1104" s="4">
        <v>0.06</v>
      </c>
      <c r="E1104" s="4">
        <v>0.09</v>
      </c>
      <c r="F1104" s="4"/>
      <c r="G1104" s="4"/>
      <c r="H1104" s="4"/>
    </row>
    <row r="1105" spans="1:8" x14ac:dyDescent="0.2">
      <c r="A1105" s="4">
        <v>201801</v>
      </c>
      <c r="B1105" s="4">
        <v>5.57</v>
      </c>
      <c r="C1105" s="4">
        <v>-3.12</v>
      </c>
      <c r="D1105" s="4">
        <v>-1.28</v>
      </c>
      <c r="E1105" s="4">
        <v>0.12</v>
      </c>
      <c r="F1105" s="4"/>
      <c r="G1105" s="4"/>
      <c r="H1105" s="4"/>
    </row>
    <row r="1106" spans="1:8" x14ac:dyDescent="0.2">
      <c r="A1106" s="4">
        <v>201802</v>
      </c>
      <c r="B1106" s="4">
        <v>-3.65</v>
      </c>
      <c r="C1106" s="4">
        <v>0.26</v>
      </c>
      <c r="D1106" s="4">
        <v>-1.04</v>
      </c>
      <c r="E1106" s="4">
        <v>0.11</v>
      </c>
      <c r="F1106" s="4"/>
      <c r="G1106" s="4"/>
      <c r="H1106" s="4"/>
    </row>
    <row r="1107" spans="1:8" x14ac:dyDescent="0.2">
      <c r="A1107" s="4">
        <v>201803</v>
      </c>
      <c r="B1107" s="4">
        <v>-2.35</v>
      </c>
      <c r="C1107" s="4">
        <v>4.0599999999999996</v>
      </c>
      <c r="D1107" s="4">
        <v>-0.2</v>
      </c>
      <c r="E1107" s="4">
        <v>0.11</v>
      </c>
      <c r="F1107" s="4"/>
      <c r="G1107" s="4"/>
      <c r="H1107" s="4"/>
    </row>
    <row r="1108" spans="1:8" x14ac:dyDescent="0.2">
      <c r="A1108" s="4">
        <v>201804</v>
      </c>
      <c r="B1108" s="4">
        <v>0.28999999999999998</v>
      </c>
      <c r="C1108" s="4">
        <v>1.1299999999999999</v>
      </c>
      <c r="D1108" s="4">
        <v>0.54</v>
      </c>
      <c r="E1108" s="4">
        <v>0.14000000000000001</v>
      </c>
      <c r="F1108" s="4"/>
      <c r="G1108" s="4"/>
      <c r="H1108" s="4"/>
    </row>
    <row r="1109" spans="1:8" x14ac:dyDescent="0.2">
      <c r="A1109" s="4">
        <v>201805</v>
      </c>
      <c r="B1109" s="4">
        <v>2.65</v>
      </c>
      <c r="C1109" s="4">
        <v>5.26</v>
      </c>
      <c r="D1109" s="4">
        <v>-3.22</v>
      </c>
      <c r="E1109" s="4">
        <v>0.14000000000000001</v>
      </c>
      <c r="F1109" s="4"/>
      <c r="G1109" s="4"/>
      <c r="H1109" s="4"/>
    </row>
    <row r="1110" spans="1:8" x14ac:dyDescent="0.2">
      <c r="A1110" s="4">
        <v>201806</v>
      </c>
      <c r="B1110" s="4">
        <v>0.48</v>
      </c>
      <c r="C1110" s="4">
        <v>1.1399999999999999</v>
      </c>
      <c r="D1110" s="4">
        <v>-2.33</v>
      </c>
      <c r="E1110" s="4">
        <v>0.14000000000000001</v>
      </c>
      <c r="F1110" s="4"/>
      <c r="G1110" s="4"/>
      <c r="H1110" s="4"/>
    </row>
    <row r="1111" spans="1:8" x14ac:dyDescent="0.2">
      <c r="A1111" s="4">
        <v>201807</v>
      </c>
      <c r="B1111" s="4">
        <v>3.19</v>
      </c>
      <c r="C1111" s="4">
        <v>-2.2200000000000002</v>
      </c>
      <c r="D1111" s="4">
        <v>0.45</v>
      </c>
      <c r="E1111" s="4">
        <v>0.16</v>
      </c>
      <c r="F1111" s="4"/>
      <c r="G1111" s="4"/>
      <c r="H1111" s="4"/>
    </row>
    <row r="1112" spans="1:8" x14ac:dyDescent="0.2">
      <c r="A1112" s="4">
        <v>201808</v>
      </c>
      <c r="B1112" s="4">
        <v>3.44</v>
      </c>
      <c r="C1112" s="4">
        <v>1.1499999999999999</v>
      </c>
      <c r="D1112" s="4">
        <v>-4</v>
      </c>
      <c r="E1112" s="4">
        <v>0.16</v>
      </c>
      <c r="F1112" s="4"/>
      <c r="G1112" s="4"/>
      <c r="H1112" s="4"/>
    </row>
    <row r="1113" spans="1:8" x14ac:dyDescent="0.2">
      <c r="A1113" s="4">
        <v>201809</v>
      </c>
      <c r="B1113" s="4">
        <v>0.06</v>
      </c>
      <c r="C1113" s="4">
        <v>-2.29</v>
      </c>
      <c r="D1113" s="4">
        <v>-1.71</v>
      </c>
      <c r="E1113" s="4">
        <v>0.15</v>
      </c>
      <c r="F1113" s="4"/>
      <c r="G1113" s="4"/>
      <c r="H1113" s="4"/>
    </row>
    <row r="1114" spans="1:8" x14ac:dyDescent="0.2">
      <c r="A1114" s="4">
        <v>201810</v>
      </c>
      <c r="B1114" s="4">
        <v>-7.68</v>
      </c>
      <c r="C1114" s="4">
        <v>-4.74</v>
      </c>
      <c r="D1114" s="4">
        <v>3.4</v>
      </c>
      <c r="E1114" s="4">
        <v>0.19</v>
      </c>
      <c r="F1114" s="4"/>
      <c r="G1114" s="4"/>
      <c r="H1114" s="4"/>
    </row>
    <row r="1115" spans="1:8" x14ac:dyDescent="0.2">
      <c r="A1115" s="4">
        <v>201811</v>
      </c>
      <c r="B1115" s="4">
        <v>1.69</v>
      </c>
      <c r="C1115" s="4">
        <v>-0.68</v>
      </c>
      <c r="D1115" s="4">
        <v>0.28000000000000003</v>
      </c>
      <c r="E1115" s="4">
        <v>0.18</v>
      </c>
      <c r="F1115" s="4"/>
      <c r="G1115" s="4"/>
      <c r="H1115" s="4"/>
    </row>
    <row r="1116" spans="1:8" x14ac:dyDescent="0.2">
      <c r="A1116" s="4">
        <v>201812</v>
      </c>
      <c r="B1116" s="4">
        <v>-9.57</v>
      </c>
      <c r="C1116" s="4">
        <v>-2.37</v>
      </c>
      <c r="D1116" s="4">
        <v>-1.88</v>
      </c>
      <c r="E1116" s="4">
        <v>0.2</v>
      </c>
      <c r="F1116" s="4"/>
      <c r="G1116" s="4"/>
      <c r="H1116" s="4"/>
    </row>
    <row r="1117" spans="1:8" x14ac:dyDescent="0.2">
      <c r="A1117" s="4">
        <v>201901</v>
      </c>
      <c r="B1117" s="4">
        <v>8.4</v>
      </c>
      <c r="C1117" s="4">
        <v>2.88</v>
      </c>
      <c r="D1117" s="4">
        <v>-0.45</v>
      </c>
      <c r="E1117" s="4">
        <v>0.21</v>
      </c>
      <c r="F1117" s="4"/>
      <c r="G1117" s="4"/>
      <c r="H1117" s="4"/>
    </row>
    <row r="1118" spans="1:8" x14ac:dyDescent="0.2">
      <c r="A1118" s="4">
        <v>201902</v>
      </c>
      <c r="B1118" s="4">
        <v>3.4</v>
      </c>
      <c r="C1118" s="4">
        <v>2.06</v>
      </c>
      <c r="D1118" s="4">
        <v>-2.71</v>
      </c>
      <c r="E1118" s="4">
        <v>0.18</v>
      </c>
      <c r="F1118" s="4"/>
      <c r="G1118" s="4"/>
      <c r="H1118" s="4"/>
    </row>
    <row r="1119" spans="1:8" x14ac:dyDescent="0.2">
      <c r="A1119" s="4">
        <v>201903</v>
      </c>
      <c r="B1119" s="4">
        <v>1.1000000000000001</v>
      </c>
      <c r="C1119" s="4">
        <v>-3.05</v>
      </c>
      <c r="D1119" s="4">
        <v>-4.12</v>
      </c>
      <c r="E1119" s="4">
        <v>0.19</v>
      </c>
      <c r="F1119" s="4"/>
      <c r="G1119" s="4"/>
      <c r="H1119" s="4"/>
    </row>
    <row r="1120" spans="1:8" x14ac:dyDescent="0.2">
      <c r="A1120" s="4">
        <v>201904</v>
      </c>
      <c r="B1120" s="4">
        <v>3.97</v>
      </c>
      <c r="C1120" s="4">
        <v>-1.72</v>
      </c>
      <c r="D1120" s="4">
        <v>2.16</v>
      </c>
      <c r="E1120" s="4">
        <v>0.21</v>
      </c>
      <c r="F1120" s="4"/>
      <c r="G1120" s="4"/>
      <c r="H1120" s="4"/>
    </row>
    <row r="1121" spans="1:8" x14ac:dyDescent="0.2">
      <c r="A1121" s="4">
        <v>201905</v>
      </c>
      <c r="B1121" s="4">
        <v>-6.94</v>
      </c>
      <c r="C1121" s="4">
        <v>-1.31</v>
      </c>
      <c r="D1121" s="4">
        <v>-2.37</v>
      </c>
      <c r="E1121" s="4">
        <v>0.21</v>
      </c>
      <c r="F1121" s="4"/>
      <c r="G1121" s="4"/>
      <c r="H1121" s="4"/>
    </row>
    <row r="1122" spans="1:8" x14ac:dyDescent="0.2">
      <c r="A1122" s="4">
        <v>201906</v>
      </c>
      <c r="B1122" s="4">
        <v>6.93</v>
      </c>
      <c r="C1122" s="4">
        <v>0.28000000000000003</v>
      </c>
      <c r="D1122" s="4">
        <v>-0.7</v>
      </c>
      <c r="E1122" s="4">
        <v>0.18</v>
      </c>
      <c r="F1122" s="4"/>
      <c r="G1122" s="4"/>
      <c r="H1122" s="4"/>
    </row>
    <row r="1123" spans="1:8" x14ac:dyDescent="0.2">
      <c r="A1123" s="4">
        <v>201907</v>
      </c>
      <c r="B1123" s="4">
        <v>1.19</v>
      </c>
      <c r="C1123" s="4">
        <v>-1.93</v>
      </c>
      <c r="D1123" s="4">
        <v>0.47</v>
      </c>
      <c r="E1123" s="4">
        <v>0.19</v>
      </c>
      <c r="F1123" s="4"/>
      <c r="G1123" s="4"/>
      <c r="H1123" s="4"/>
    </row>
    <row r="1124" spans="1:8" x14ac:dyDescent="0.2">
      <c r="A1124" s="4">
        <v>201908</v>
      </c>
      <c r="B1124" s="4">
        <v>-2.58</v>
      </c>
      <c r="C1124" s="4">
        <v>-2.39</v>
      </c>
      <c r="D1124" s="4">
        <v>-4.79</v>
      </c>
      <c r="E1124" s="4">
        <v>0.16</v>
      </c>
      <c r="F1124" s="4"/>
      <c r="G1124" s="4"/>
      <c r="H1124" s="4"/>
    </row>
    <row r="1125" spans="1:8" x14ac:dyDescent="0.2">
      <c r="A1125" s="4">
        <v>201909</v>
      </c>
      <c r="B1125" s="4">
        <v>1.43</v>
      </c>
      <c r="C1125" s="4">
        <v>-0.97</v>
      </c>
      <c r="D1125" s="4">
        <v>6.77</v>
      </c>
      <c r="E1125" s="4">
        <v>0.18</v>
      </c>
      <c r="F1125" s="4"/>
      <c r="G1125" s="4"/>
      <c r="H1125" s="4"/>
    </row>
    <row r="1126" spans="1:8" x14ac:dyDescent="0.2">
      <c r="A1126" s="4">
        <v>201910</v>
      </c>
      <c r="B1126" s="4">
        <v>2.06</v>
      </c>
      <c r="C1126" s="4">
        <v>0.28999999999999998</v>
      </c>
      <c r="D1126" s="4">
        <v>-1.9</v>
      </c>
      <c r="E1126" s="4">
        <v>0.16</v>
      </c>
      <c r="F1126" s="4"/>
      <c r="G1126" s="4"/>
      <c r="H1126" s="4"/>
    </row>
    <row r="1127" spans="1:8" x14ac:dyDescent="0.2">
      <c r="A1127" s="4">
        <v>201911</v>
      </c>
      <c r="B1127" s="4">
        <v>3.88</v>
      </c>
      <c r="C1127" s="4">
        <v>0.78</v>
      </c>
      <c r="D1127" s="4">
        <v>-1.99</v>
      </c>
      <c r="E1127" s="4">
        <v>0.12</v>
      </c>
      <c r="F1127" s="4"/>
      <c r="G1127" s="4"/>
      <c r="H1127" s="4"/>
    </row>
    <row r="1128" spans="1:8" x14ac:dyDescent="0.2">
      <c r="A1128" s="4">
        <v>201912</v>
      </c>
      <c r="B1128" s="4">
        <v>2.77</v>
      </c>
      <c r="C1128" s="4">
        <v>0.73</v>
      </c>
      <c r="D1128" s="4">
        <v>1.78</v>
      </c>
      <c r="E1128" s="4">
        <v>0.14000000000000001</v>
      </c>
      <c r="F1128" s="4"/>
      <c r="G1128" s="4"/>
      <c r="H1128" s="4"/>
    </row>
    <row r="1129" spans="1:8" x14ac:dyDescent="0.2">
      <c r="A1129" s="4">
        <v>202001</v>
      </c>
      <c r="B1129" s="4">
        <v>-0.11</v>
      </c>
      <c r="C1129" s="4">
        <v>-3.13</v>
      </c>
      <c r="D1129" s="4">
        <v>-6.25</v>
      </c>
      <c r="E1129" s="4">
        <v>0.13</v>
      </c>
      <c r="F1129" s="4"/>
      <c r="G1129" s="4"/>
      <c r="H1129" s="4"/>
    </row>
    <row r="1130" spans="1:8" x14ac:dyDescent="0.2">
      <c r="A1130" s="4">
        <v>202002</v>
      </c>
      <c r="B1130" s="4">
        <v>-8.1300000000000008</v>
      </c>
      <c r="C1130" s="4">
        <v>1.07</v>
      </c>
      <c r="D1130" s="4">
        <v>-3.8</v>
      </c>
      <c r="E1130" s="4">
        <v>0.12</v>
      </c>
      <c r="F1130" s="4"/>
      <c r="G1130" s="4"/>
      <c r="H1130" s="4"/>
    </row>
    <row r="1131" spans="1:8" x14ac:dyDescent="0.2">
      <c r="A1131" s="4">
        <v>202003</v>
      </c>
      <c r="B1131" s="4">
        <v>-13.39</v>
      </c>
      <c r="C1131" s="4">
        <v>-4.79</v>
      </c>
      <c r="D1131" s="4">
        <v>-13.88</v>
      </c>
      <c r="E1131" s="4">
        <v>0.13</v>
      </c>
      <c r="F1131" s="4"/>
      <c r="G1131" s="4"/>
      <c r="H1131" s="4"/>
    </row>
    <row r="1132" spans="1:8" x14ac:dyDescent="0.2">
      <c r="A1132" s="4">
        <v>202004</v>
      </c>
      <c r="B1132" s="4">
        <v>13.65</v>
      </c>
      <c r="C1132" s="4">
        <v>2.4500000000000002</v>
      </c>
      <c r="D1132" s="4">
        <v>-1.34</v>
      </c>
      <c r="E1132" s="4">
        <v>0</v>
      </c>
      <c r="F1132" s="4"/>
      <c r="G1132" s="4"/>
      <c r="H1132" s="4"/>
    </row>
    <row r="1133" spans="1:8" x14ac:dyDescent="0.2">
      <c r="A1133" s="4">
        <v>202005</v>
      </c>
      <c r="B1133" s="4">
        <v>5.58</v>
      </c>
      <c r="C1133" s="4">
        <v>2.4900000000000002</v>
      </c>
      <c r="D1133" s="4">
        <v>-4.8499999999999996</v>
      </c>
      <c r="E1133" s="4">
        <v>0.01</v>
      </c>
      <c r="F1133" s="4"/>
      <c r="G1133" s="4"/>
      <c r="H1133" s="4"/>
    </row>
    <row r="1134" spans="1:8" x14ac:dyDescent="0.2">
      <c r="A1134" s="4">
        <v>202006</v>
      </c>
      <c r="B1134" s="4">
        <v>2.46</v>
      </c>
      <c r="C1134" s="4">
        <v>2.69</v>
      </c>
      <c r="D1134" s="4">
        <v>-2.23</v>
      </c>
      <c r="E1134" s="4">
        <v>0.01</v>
      </c>
      <c r="F1134" s="4"/>
      <c r="G1134" s="4"/>
      <c r="H1134" s="4"/>
    </row>
    <row r="1135" spans="1:8" x14ac:dyDescent="0.2">
      <c r="A1135" s="4">
        <v>202007</v>
      </c>
      <c r="B1135" s="4">
        <v>5.77</v>
      </c>
      <c r="C1135" s="4">
        <v>-2.2999999999999998</v>
      </c>
      <c r="D1135" s="4">
        <v>-1.44</v>
      </c>
      <c r="E1135" s="4">
        <v>0.01</v>
      </c>
      <c r="F1135" s="4"/>
      <c r="G1135" s="4"/>
      <c r="H1135" s="4"/>
    </row>
    <row r="1136" spans="1:8" x14ac:dyDescent="0.2">
      <c r="A1136" s="4">
        <v>202008</v>
      </c>
      <c r="B1136" s="4">
        <v>7.63</v>
      </c>
      <c r="C1136" s="4">
        <v>-0.28000000000000003</v>
      </c>
      <c r="D1136" s="4">
        <v>-2.88</v>
      </c>
      <c r="E1136" s="4">
        <v>0.01</v>
      </c>
      <c r="F1136" s="4"/>
      <c r="G1136" s="4"/>
      <c r="H1136" s="4"/>
    </row>
    <row r="1137" spans="1:8" x14ac:dyDescent="0.2">
      <c r="A1137" s="4">
        <v>202009</v>
      </c>
      <c r="B1137" s="4">
        <v>-3.63</v>
      </c>
      <c r="C1137" s="4">
        <v>-0.03</v>
      </c>
      <c r="D1137" s="4">
        <v>-2.65</v>
      </c>
      <c r="E1137" s="4">
        <v>0.01</v>
      </c>
      <c r="F1137" s="4"/>
      <c r="G1137" s="4"/>
      <c r="H1137" s="4"/>
    </row>
    <row r="1138" spans="1:8" x14ac:dyDescent="0.2">
      <c r="A1138" s="4">
        <v>202010</v>
      </c>
      <c r="B1138" s="4">
        <v>-2.1</v>
      </c>
      <c r="C1138" s="4">
        <v>4.2699999999999996</v>
      </c>
      <c r="D1138" s="4">
        <v>4.3099999999999996</v>
      </c>
      <c r="E1138" s="4">
        <v>0.01</v>
      </c>
      <c r="F1138" s="4"/>
      <c r="G1138" s="4"/>
      <c r="H1138" s="4"/>
    </row>
    <row r="1139" spans="1:8" x14ac:dyDescent="0.2">
      <c r="A1139" s="4">
        <v>202011</v>
      </c>
      <c r="B1139" s="4">
        <v>12.47</v>
      </c>
      <c r="C1139" s="4">
        <v>5.72</v>
      </c>
      <c r="D1139" s="4">
        <v>2.15</v>
      </c>
      <c r="E1139" s="4">
        <v>0.01</v>
      </c>
      <c r="F1139" s="4"/>
      <c r="G1139" s="4"/>
      <c r="H1139" s="4"/>
    </row>
    <row r="1140" spans="1:8" x14ac:dyDescent="0.2">
      <c r="A1140" s="4">
        <v>202012</v>
      </c>
      <c r="B1140" s="4">
        <v>4.63</v>
      </c>
      <c r="C1140" s="4">
        <v>4.79</v>
      </c>
      <c r="D1140" s="4">
        <v>-1.34</v>
      </c>
      <c r="E1140" s="4">
        <v>0.01</v>
      </c>
      <c r="F1140" s="4"/>
      <c r="G1140" s="4"/>
      <c r="H1140" s="4"/>
    </row>
    <row r="1141" spans="1:8" x14ac:dyDescent="0.2">
      <c r="A1141" s="4">
        <v>202101</v>
      </c>
      <c r="B1141" s="4">
        <v>-0.03</v>
      </c>
      <c r="C1141" s="4">
        <v>7.5</v>
      </c>
      <c r="D1141" s="4">
        <v>2.85</v>
      </c>
      <c r="E1141" s="4">
        <v>0.01</v>
      </c>
      <c r="F1141" s="4"/>
      <c r="G1141" s="4"/>
      <c r="H1141" s="4"/>
    </row>
    <row r="1142" spans="1:8" x14ac:dyDescent="0.2">
      <c r="A1142" s="4">
        <v>202102</v>
      </c>
      <c r="B1142" s="4">
        <v>2.78</v>
      </c>
      <c r="C1142" s="4">
        <v>2.0699999999999998</v>
      </c>
      <c r="D1142" s="4">
        <v>7.1</v>
      </c>
      <c r="E1142" s="4">
        <v>0</v>
      </c>
      <c r="F1142" s="4"/>
      <c r="G1142" s="4"/>
      <c r="H1142" s="4"/>
    </row>
    <row r="1143" spans="1:8" x14ac:dyDescent="0.2">
      <c r="A1143" s="4">
        <v>202103</v>
      </c>
      <c r="B1143" s="4">
        <v>3.08</v>
      </c>
      <c r="C1143" s="4">
        <v>-2.2799999999999998</v>
      </c>
      <c r="D1143" s="4">
        <v>7.27</v>
      </c>
      <c r="E1143" s="4">
        <v>0</v>
      </c>
      <c r="F1143" s="4"/>
      <c r="G1143" s="4"/>
      <c r="H1143" s="4"/>
    </row>
    <row r="1144" spans="1:8" x14ac:dyDescent="0.2">
      <c r="A1144" s="4">
        <v>202104</v>
      </c>
      <c r="B1144" s="4">
        <v>4.93</v>
      </c>
      <c r="C1144" s="4">
        <v>-3.2</v>
      </c>
      <c r="D1144" s="4">
        <v>-0.95</v>
      </c>
      <c r="E1144" s="4">
        <v>0</v>
      </c>
      <c r="F1144" s="4"/>
      <c r="G1144" s="4"/>
      <c r="H1144" s="4"/>
    </row>
    <row r="1145" spans="1:8" x14ac:dyDescent="0.2">
      <c r="A1145" s="4">
        <v>202105</v>
      </c>
      <c r="B1145" s="4">
        <v>0.28999999999999998</v>
      </c>
      <c r="C1145" s="4">
        <v>-0.27</v>
      </c>
      <c r="D1145" s="4">
        <v>7.13</v>
      </c>
      <c r="E1145" s="4">
        <v>0</v>
      </c>
      <c r="F1145" s="4"/>
      <c r="G1145" s="4"/>
      <c r="H1145" s="4"/>
    </row>
    <row r="1146" spans="1:8" x14ac:dyDescent="0.2">
      <c r="A1146" s="4">
        <v>202106</v>
      </c>
      <c r="B1146" s="4">
        <v>2.75</v>
      </c>
      <c r="C1146" s="4">
        <v>1.6</v>
      </c>
      <c r="D1146" s="4">
        <v>-7.75</v>
      </c>
      <c r="E1146" s="4">
        <v>0</v>
      </c>
      <c r="F1146" s="4"/>
      <c r="G1146" s="4"/>
      <c r="H1146" s="4"/>
    </row>
    <row r="1147" spans="1:8" x14ac:dyDescent="0.2">
      <c r="A1147" s="4">
        <v>202107</v>
      </c>
      <c r="B1147" s="4">
        <v>1.27</v>
      </c>
      <c r="C1147" s="4">
        <v>-3.94</v>
      </c>
      <c r="D1147" s="4">
        <v>-1.81</v>
      </c>
      <c r="E1147" s="4">
        <v>0</v>
      </c>
      <c r="F1147" s="4"/>
      <c r="G1147" s="4"/>
      <c r="H1147" s="4"/>
    </row>
    <row r="1148" spans="1:8" x14ac:dyDescent="0.2">
      <c r="A1148" s="4">
        <v>202108</v>
      </c>
      <c r="B1148" s="4">
        <v>2.91</v>
      </c>
      <c r="C1148" s="4">
        <v>-0.46</v>
      </c>
      <c r="D1148" s="4">
        <v>-0.1</v>
      </c>
      <c r="E1148" s="4">
        <v>0</v>
      </c>
      <c r="F1148" s="4"/>
      <c r="G1148" s="4"/>
      <c r="H1148" s="4"/>
    </row>
    <row r="1149" spans="1:8" x14ac:dyDescent="0.2">
      <c r="A1149" s="4">
        <v>202109</v>
      </c>
      <c r="B1149" s="4">
        <v>-4.37</v>
      </c>
      <c r="C1149" s="4">
        <v>0.67</v>
      </c>
      <c r="D1149" s="4">
        <v>5.0999999999999996</v>
      </c>
      <c r="E1149" s="4">
        <v>0</v>
      </c>
      <c r="F1149" s="4"/>
      <c r="G1149" s="4"/>
      <c r="H1149" s="4"/>
    </row>
    <row r="1150" spans="1:8" x14ac:dyDescent="0.2">
      <c r="A1150" s="4">
        <v>202110</v>
      </c>
      <c r="B1150" s="4">
        <v>6.65</v>
      </c>
      <c r="C1150" s="4">
        <v>-2.37</v>
      </c>
      <c r="D1150" s="4">
        <v>-0.45</v>
      </c>
      <c r="E1150" s="4">
        <v>0</v>
      </c>
      <c r="F1150" s="4"/>
      <c r="G1150" s="4"/>
      <c r="H1150" s="4"/>
    </row>
    <row r="1151" spans="1:8" x14ac:dyDescent="0.2">
      <c r="A1151" s="4">
        <v>202111</v>
      </c>
      <c r="B1151" s="4">
        <v>-1.55</v>
      </c>
      <c r="C1151" s="4">
        <v>-1.32</v>
      </c>
      <c r="D1151" s="4">
        <v>-0.41</v>
      </c>
      <c r="E1151" s="4">
        <v>0</v>
      </c>
      <c r="F1151" s="4"/>
      <c r="G1151" s="4"/>
      <c r="H1151" s="4"/>
    </row>
    <row r="1152" spans="1:8" x14ac:dyDescent="0.2">
      <c r="A1152" s="4">
        <v>202112</v>
      </c>
      <c r="B1152" s="4">
        <v>3.1</v>
      </c>
      <c r="C1152" s="4">
        <v>-1.64</v>
      </c>
      <c r="D1152" s="4">
        <v>3.22</v>
      </c>
      <c r="E1152" s="4">
        <v>0.01</v>
      </c>
      <c r="F1152" s="4"/>
      <c r="G1152" s="4"/>
      <c r="H1152" s="4"/>
    </row>
    <row r="1153" spans="1:8" x14ac:dyDescent="0.2">
      <c r="A1153" s="4">
        <v>202201</v>
      </c>
      <c r="B1153" s="4">
        <v>-6.25</v>
      </c>
      <c r="C1153" s="4">
        <v>-5.96</v>
      </c>
      <c r="D1153" s="4">
        <v>12.8</v>
      </c>
      <c r="E1153" s="4">
        <v>0</v>
      </c>
      <c r="F1153" s="4"/>
      <c r="G1153" s="4"/>
      <c r="H1153" s="4"/>
    </row>
    <row r="1154" spans="1:8" x14ac:dyDescent="0.2">
      <c r="A1154" s="4">
        <v>202202</v>
      </c>
      <c r="B1154" s="4">
        <v>-2.29</v>
      </c>
      <c r="C1154" s="4">
        <v>2.19</v>
      </c>
      <c r="D1154" s="4">
        <v>3.1</v>
      </c>
      <c r="E1154" s="4">
        <v>0</v>
      </c>
      <c r="F1154" s="4"/>
      <c r="G1154" s="4"/>
      <c r="H1154" s="4"/>
    </row>
    <row r="1155" spans="1:8" x14ac:dyDescent="0.2">
      <c r="A1155" s="4">
        <v>202203</v>
      </c>
      <c r="B1155" s="4">
        <v>3.06</v>
      </c>
      <c r="C1155" s="4">
        <v>-1.66</v>
      </c>
      <c r="D1155" s="4">
        <v>-1.76</v>
      </c>
      <c r="E1155" s="4">
        <v>0.01</v>
      </c>
      <c r="F1155" s="4"/>
      <c r="G1155" s="4"/>
      <c r="H1155" s="4"/>
    </row>
    <row r="1156" spans="1:8" x14ac:dyDescent="0.2">
      <c r="A1156" s="4">
        <v>202204</v>
      </c>
      <c r="B1156" s="4">
        <v>-9.4600000000000009</v>
      </c>
      <c r="C1156" s="4">
        <v>-1.38</v>
      </c>
      <c r="D1156" s="4">
        <v>6.17</v>
      </c>
      <c r="E1156" s="4">
        <v>0.01</v>
      </c>
      <c r="F1156" s="4"/>
      <c r="G1156" s="4"/>
      <c r="H1156" s="4"/>
    </row>
    <row r="1157" spans="1:8" x14ac:dyDescent="0.2">
      <c r="A1157" s="4">
        <v>202205</v>
      </c>
      <c r="B1157" s="4">
        <v>-0.34</v>
      </c>
      <c r="C1157" s="4">
        <v>-1.96</v>
      </c>
      <c r="D1157" s="4">
        <v>8.59</v>
      </c>
      <c r="E1157" s="4">
        <v>0.03</v>
      </c>
      <c r="F1157" s="4"/>
      <c r="G1157" s="4"/>
      <c r="H1157" s="4"/>
    </row>
    <row r="1158" spans="1:8" x14ac:dyDescent="0.2">
      <c r="A1158" s="4">
        <v>202206</v>
      </c>
      <c r="B1158" s="4">
        <v>-8.44</v>
      </c>
      <c r="C1158" s="4">
        <v>2.1800000000000002</v>
      </c>
      <c r="D1158" s="4">
        <v>-6.1</v>
      </c>
      <c r="E1158" s="4">
        <v>0.06</v>
      </c>
      <c r="F1158" s="4"/>
      <c r="G1158" s="4"/>
      <c r="H1158" s="4"/>
    </row>
    <row r="1159" spans="1:8" x14ac:dyDescent="0.2">
      <c r="A1159" s="4">
        <v>202207</v>
      </c>
      <c r="B1159" s="4">
        <v>9.57</v>
      </c>
      <c r="C1159" s="4">
        <v>2.8</v>
      </c>
      <c r="D1159" s="4">
        <v>-4.03</v>
      </c>
      <c r="E1159" s="4">
        <v>0.08</v>
      </c>
      <c r="F1159" s="4"/>
      <c r="G1159" s="4"/>
      <c r="H1159" s="4"/>
    </row>
    <row r="1160" spans="1:8" x14ac:dyDescent="0.2">
      <c r="A1160" s="4">
        <v>202208</v>
      </c>
      <c r="B1160" s="4">
        <v>-3.77</v>
      </c>
      <c r="C1160" s="4">
        <v>1.4</v>
      </c>
      <c r="D1160" s="4">
        <v>0.28999999999999998</v>
      </c>
      <c r="E1160" s="4">
        <v>0.19</v>
      </c>
      <c r="F1160" s="4"/>
      <c r="G1160" s="4"/>
      <c r="H1160" s="4"/>
    </row>
    <row r="1161" spans="1:8" x14ac:dyDescent="0.2">
      <c r="A1161" s="4">
        <v>202209</v>
      </c>
      <c r="B1161" s="4">
        <v>-9.35</v>
      </c>
      <c r="C1161" s="4">
        <v>-0.82</v>
      </c>
      <c r="D1161" s="4">
        <v>0.02</v>
      </c>
      <c r="E1161" s="4">
        <v>0.19</v>
      </c>
      <c r="F1161" s="4"/>
      <c r="G1161" s="4"/>
      <c r="H1161" s="4"/>
    </row>
    <row r="1162" spans="1:8" x14ac:dyDescent="0.2">
      <c r="A1162" s="4">
        <v>202210</v>
      </c>
      <c r="B1162" s="4">
        <v>7.83</v>
      </c>
      <c r="C1162" s="4">
        <v>7.0000000000000007E-2</v>
      </c>
      <c r="D1162" s="4">
        <v>8.06</v>
      </c>
      <c r="E1162" s="4">
        <v>0.23</v>
      </c>
      <c r="F1162" s="4"/>
      <c r="G1162" s="4"/>
      <c r="H1162" s="4"/>
    </row>
    <row r="1163" spans="1:8" x14ac:dyDescent="0.2">
      <c r="A1163" s="4">
        <v>202211</v>
      </c>
      <c r="B1163" s="4">
        <v>4.6100000000000003</v>
      </c>
      <c r="C1163" s="4">
        <v>-3.51</v>
      </c>
      <c r="D1163" s="4">
        <v>1.41</v>
      </c>
      <c r="E1163" s="4">
        <v>0.28999999999999998</v>
      </c>
      <c r="F1163" s="4"/>
      <c r="G1163" s="4"/>
      <c r="H1163" s="4"/>
    </row>
    <row r="1164" spans="1:8" x14ac:dyDescent="0.2">
      <c r="A1164" s="4">
        <v>202212</v>
      </c>
      <c r="B1164" s="4">
        <v>-6.41</v>
      </c>
      <c r="C1164" s="4">
        <v>-0.69</v>
      </c>
      <c r="D1164" s="4">
        <v>1.34</v>
      </c>
      <c r="E1164" s="4">
        <v>0.33</v>
      </c>
      <c r="F1164" s="4"/>
      <c r="G1164" s="4"/>
      <c r="H1164" s="4"/>
    </row>
    <row r="1165" spans="1:8" x14ac:dyDescent="0.2">
      <c r="A1165" s="4">
        <v>202301</v>
      </c>
      <c r="B1165" s="4">
        <v>6.64</v>
      </c>
      <c r="C1165" s="4">
        <v>5.01</v>
      </c>
      <c r="D1165" s="4">
        <v>-4</v>
      </c>
      <c r="E1165" s="4">
        <v>0.35</v>
      </c>
      <c r="F1165" s="4"/>
      <c r="G1165" s="4"/>
      <c r="H1165" s="4"/>
    </row>
    <row r="1166" spans="1:8" x14ac:dyDescent="0.2">
      <c r="A1166" s="4">
        <v>202302</v>
      </c>
      <c r="B1166" s="4">
        <v>-2.59</v>
      </c>
      <c r="C1166" s="4">
        <v>1.17</v>
      </c>
      <c r="D1166" s="4">
        <v>-0.83</v>
      </c>
      <c r="E1166" s="4">
        <v>0.34</v>
      </c>
      <c r="F1166" s="4"/>
      <c r="G1166" s="4"/>
      <c r="H1166" s="4"/>
    </row>
    <row r="1167" spans="1:8" x14ac:dyDescent="0.2">
      <c r="A1167" s="4">
        <v>202303</v>
      </c>
      <c r="B1167" s="4">
        <v>2.5099999999999998</v>
      </c>
      <c r="C1167" s="4">
        <v>-5.51</v>
      </c>
      <c r="D1167" s="4">
        <v>-8.8699999999999992</v>
      </c>
      <c r="E1167" s="4">
        <v>0.36</v>
      </c>
      <c r="F1167" s="4"/>
      <c r="G1167" s="4"/>
      <c r="H1167" s="4"/>
    </row>
    <row r="1168" spans="1:8" x14ac:dyDescent="0.2">
      <c r="A1168" s="4">
        <v>202304</v>
      </c>
      <c r="B1168" s="4">
        <v>0.61</v>
      </c>
      <c r="C1168" s="4">
        <v>-3.36</v>
      </c>
      <c r="D1168" s="4">
        <v>-0.05</v>
      </c>
      <c r="E1168" s="4">
        <v>0.35</v>
      </c>
      <c r="F1168" s="4"/>
      <c r="G1168" s="4"/>
      <c r="H1168" s="4"/>
    </row>
    <row r="1169" spans="1:8" x14ac:dyDescent="0.2">
      <c r="A1169" s="4">
        <v>202305</v>
      </c>
      <c r="B1169" s="4">
        <v>0.35</v>
      </c>
      <c r="C1169" s="4">
        <v>1.6</v>
      </c>
      <c r="D1169" s="4">
        <v>-7.74</v>
      </c>
      <c r="E1169" s="4">
        <v>0.36</v>
      </c>
      <c r="F1169" s="4"/>
      <c r="G1169" s="4"/>
      <c r="H1169" s="4"/>
    </row>
    <row r="1170" spans="1:8" x14ac:dyDescent="0.2">
      <c r="A1170" s="4">
        <v>202306</v>
      </c>
      <c r="B1170" s="4">
        <v>6.47</v>
      </c>
      <c r="C1170" s="4">
        <v>1.55</v>
      </c>
      <c r="D1170" s="4">
        <v>-0.2</v>
      </c>
      <c r="E1170" s="4">
        <v>0.4</v>
      </c>
      <c r="F1170" s="4"/>
      <c r="G1170" s="4"/>
      <c r="H1170" s="4"/>
    </row>
    <row r="1171" spans="1:8" x14ac:dyDescent="0.2">
      <c r="A1171" s="4">
        <v>202307</v>
      </c>
      <c r="B1171" s="4">
        <v>3.21</v>
      </c>
      <c r="C1171" s="4">
        <v>2.0499999999999998</v>
      </c>
      <c r="D1171" s="4">
        <v>4.1100000000000003</v>
      </c>
      <c r="E1171" s="4">
        <v>0.45</v>
      </c>
      <c r="F1171" s="4"/>
      <c r="G1171" s="4"/>
      <c r="H1171" s="4"/>
    </row>
    <row r="1172" spans="1:8" x14ac:dyDescent="0.2">
      <c r="A1172" s="4">
        <v>202308</v>
      </c>
      <c r="B1172" s="4">
        <v>-2.39</v>
      </c>
      <c r="C1172" s="4">
        <v>-3.2</v>
      </c>
      <c r="D1172" s="4">
        <v>-1.08</v>
      </c>
      <c r="E1172" s="4">
        <v>0.45</v>
      </c>
      <c r="F1172" s="4"/>
      <c r="G1172" s="4"/>
      <c r="H1172" s="4"/>
    </row>
    <row r="1173" spans="1:8" x14ac:dyDescent="0.2">
      <c r="A1173" s="4">
        <v>202309</v>
      </c>
      <c r="B1173" s="4">
        <v>-5.24</v>
      </c>
      <c r="C1173" s="4">
        <v>-2.4900000000000002</v>
      </c>
      <c r="D1173" s="4">
        <v>1.45</v>
      </c>
      <c r="E1173" s="4">
        <v>0.43</v>
      </c>
      <c r="F1173" s="4"/>
      <c r="G1173" s="4"/>
      <c r="H1173" s="4"/>
    </row>
    <row r="1174" spans="1:8" x14ac:dyDescent="0.2">
      <c r="A1174" s="4">
        <v>202310</v>
      </c>
      <c r="B1174" s="4">
        <v>-3.18</v>
      </c>
      <c r="C1174" s="4">
        <v>-3.88</v>
      </c>
      <c r="D1174" s="4">
        <v>0.19</v>
      </c>
      <c r="E1174" s="4">
        <v>0.47</v>
      </c>
      <c r="F1174" s="4"/>
      <c r="G1174" s="4"/>
      <c r="H1174" s="4"/>
    </row>
    <row r="1175" spans="1:8" x14ac:dyDescent="0.2">
      <c r="A1175" s="4">
        <v>202311</v>
      </c>
      <c r="B1175" s="4">
        <v>8.83</v>
      </c>
      <c r="C1175" s="4">
        <v>-0.03</v>
      </c>
      <c r="D1175" s="4">
        <v>1.66</v>
      </c>
      <c r="E1175" s="4">
        <v>0.44</v>
      </c>
      <c r="F1175" s="4"/>
      <c r="G1175" s="4"/>
      <c r="H1175" s="4"/>
    </row>
    <row r="1176" spans="1:8" x14ac:dyDescent="0.2">
      <c r="A1176" s="4">
        <v>202312</v>
      </c>
      <c r="B1176" s="4">
        <v>4.87</v>
      </c>
      <c r="C1176" s="4">
        <v>6.36</v>
      </c>
      <c r="D1176" s="4">
        <v>4.92</v>
      </c>
      <c r="E1176" s="4">
        <v>0.43</v>
      </c>
      <c r="F1176" s="4"/>
      <c r="G1176" s="4"/>
      <c r="H1176" s="4"/>
    </row>
    <row r="1177" spans="1:8" x14ac:dyDescent="0.2">
      <c r="A1177" s="4">
        <v>202401</v>
      </c>
      <c r="B1177" s="4">
        <v>0.7</v>
      </c>
      <c r="C1177" s="4">
        <v>-5.0199999999999996</v>
      </c>
      <c r="D1177" s="4">
        <v>-2.4700000000000002</v>
      </c>
      <c r="E1177" s="4">
        <v>0.47</v>
      </c>
      <c r="F1177" s="4"/>
      <c r="G1177" s="4"/>
      <c r="H1177" s="4"/>
    </row>
    <row r="1178" spans="1:8" x14ac:dyDescent="0.2">
      <c r="A1178" s="4">
        <v>202402</v>
      </c>
      <c r="B1178" s="4">
        <v>5.07</v>
      </c>
      <c r="C1178" s="4">
        <v>-0.22</v>
      </c>
      <c r="D1178" s="4">
        <v>-3.52</v>
      </c>
      <c r="E1178" s="4">
        <v>0.42</v>
      </c>
      <c r="F1178" s="4"/>
      <c r="G1178" s="4"/>
      <c r="H1178" s="4"/>
    </row>
    <row r="1179" spans="1:8" x14ac:dyDescent="0.2">
      <c r="A1179" s="4">
        <v>202403</v>
      </c>
      <c r="B1179" s="4">
        <v>2.83</v>
      </c>
      <c r="C1179" s="4">
        <v>-2.5099999999999998</v>
      </c>
      <c r="D1179" s="4">
        <v>4.22</v>
      </c>
      <c r="E1179" s="4">
        <v>0.43</v>
      </c>
      <c r="F1179" s="4"/>
      <c r="G1179" s="4"/>
      <c r="H1179" s="4"/>
    </row>
    <row r="1180" spans="1:8" x14ac:dyDescent="0.2">
      <c r="A1180" s="4">
        <v>202404</v>
      </c>
      <c r="B1180" s="4">
        <v>-4.67</v>
      </c>
      <c r="C1180" s="4">
        <v>-2.39</v>
      </c>
      <c r="D1180" s="4">
        <v>-0.52</v>
      </c>
      <c r="E1180" s="4">
        <v>0.47</v>
      </c>
      <c r="F1180" s="4"/>
      <c r="G1180" s="4"/>
      <c r="H1180" s="4"/>
    </row>
    <row r="1181" spans="1:8" x14ac:dyDescent="0.2">
      <c r="A1181" s="4">
        <v>202405</v>
      </c>
      <c r="B1181" s="4">
        <v>4.34</v>
      </c>
      <c r="C1181" s="4">
        <v>0.78</v>
      </c>
      <c r="D1181" s="4">
        <v>-1.67</v>
      </c>
      <c r="E1181" s="4">
        <v>0.44</v>
      </c>
      <c r="F1181" s="4"/>
      <c r="G1181" s="4"/>
      <c r="H1181" s="4"/>
    </row>
    <row r="1182" spans="1:8" x14ac:dyDescent="0.2">
      <c r="A1182" s="4">
        <v>202406</v>
      </c>
      <c r="B1182" s="4">
        <v>2.77</v>
      </c>
      <c r="C1182" s="4">
        <v>-3.06</v>
      </c>
      <c r="D1182" s="4">
        <v>-3.31</v>
      </c>
      <c r="E1182" s="4">
        <v>0.41</v>
      </c>
      <c r="F1182" s="4"/>
      <c r="G1182" s="4"/>
      <c r="H1182" s="4"/>
    </row>
    <row r="1183" spans="1:8" x14ac:dyDescent="0.2">
      <c r="A1183" s="4">
        <v>202407</v>
      </c>
      <c r="B1183" s="4">
        <v>1.24</v>
      </c>
      <c r="C1183" s="4">
        <v>6.8</v>
      </c>
      <c r="D1183" s="4">
        <v>5.74</v>
      </c>
      <c r="E1183" s="4">
        <v>0.45</v>
      </c>
      <c r="F1183" s="4"/>
      <c r="G1183" s="4"/>
      <c r="H1183" s="4"/>
    </row>
    <row r="1184" spans="1:8" x14ac:dyDescent="0.2">
      <c r="A1184" s="4">
        <v>202408</v>
      </c>
      <c r="B1184" s="4">
        <v>1.61</v>
      </c>
      <c r="C1184" s="4">
        <v>-3.55</v>
      </c>
      <c r="D1184" s="4">
        <v>-1.1299999999999999</v>
      </c>
      <c r="E1184" s="4">
        <v>0.48</v>
      </c>
      <c r="F1184" s="4"/>
      <c r="G1184" s="4"/>
      <c r="H1184" s="4"/>
    </row>
    <row r="1185" spans="1:8" x14ac:dyDescent="0.2">
      <c r="A1185" s="4">
        <v>202409</v>
      </c>
      <c r="B1185" s="4">
        <v>1.74</v>
      </c>
      <c r="C1185" s="4">
        <v>-0.17</v>
      </c>
      <c r="D1185" s="4">
        <v>-2.59</v>
      </c>
      <c r="E1185" s="4">
        <v>0.4</v>
      </c>
      <c r="F1185" s="4"/>
      <c r="G1185" s="4"/>
      <c r="H1185" s="4"/>
    </row>
    <row r="1186" spans="1:8" x14ac:dyDescent="0.2">
      <c r="A1186" s="4">
        <v>202410</v>
      </c>
      <c r="B1186" s="4">
        <v>-0.97</v>
      </c>
      <c r="C1186" s="4">
        <v>-1.01</v>
      </c>
      <c r="D1186" s="4">
        <v>0.89</v>
      </c>
      <c r="E1186" s="4">
        <v>0.39</v>
      </c>
      <c r="F1186" s="4"/>
      <c r="G1186" s="4"/>
      <c r="H1186" s="4"/>
    </row>
    <row r="1187" spans="1:8" x14ac:dyDescent="0.2">
      <c r="A1187" s="4">
        <v>202411</v>
      </c>
      <c r="B1187" s="4">
        <v>6.51</v>
      </c>
      <c r="C1187" s="4">
        <v>4.63</v>
      </c>
      <c r="D1187" s="4">
        <v>-0.05</v>
      </c>
      <c r="E1187" s="4">
        <v>0.4</v>
      </c>
      <c r="F1187" s="4"/>
      <c r="G1187" s="4"/>
      <c r="H1187" s="4"/>
    </row>
    <row r="1188" spans="1:8" x14ac:dyDescent="0.2">
      <c r="A1188" s="4">
        <v>202412</v>
      </c>
      <c r="B1188" s="4">
        <v>-3.17</v>
      </c>
      <c r="C1188" s="4">
        <v>-2.73</v>
      </c>
      <c r="D1188" s="4">
        <v>-2.95</v>
      </c>
      <c r="E1188" s="4">
        <v>0.37</v>
      </c>
      <c r="F1188" s="4"/>
      <c r="G1188" s="4"/>
      <c r="H1188" s="4"/>
    </row>
    <row r="1189" spans="1:8" x14ac:dyDescent="0.2">
      <c r="A1189" s="4"/>
      <c r="B1189" s="4"/>
      <c r="C1189" s="4"/>
      <c r="D1189" s="4"/>
      <c r="E1189" s="4"/>
      <c r="F1189" s="4"/>
      <c r="G1189" s="4"/>
      <c r="H1189" s="4"/>
    </row>
    <row r="1190" spans="1:8" x14ac:dyDescent="0.25">
      <c r="A1190" s="2" t="s">
        <v>8</v>
      </c>
    </row>
    <row r="1191" spans="1:8" x14ac:dyDescent="0.2">
      <c r="A1191" s="4"/>
      <c r="B1191" s="4"/>
      <c r="C1191" s="4"/>
      <c r="D1191" s="4"/>
      <c r="E1191" s="4"/>
      <c r="F1191" s="4"/>
      <c r="G1191" s="4"/>
      <c r="H1191" s="4"/>
    </row>
    <row r="1192" spans="1:8" x14ac:dyDescent="0.2">
      <c r="A1192" s="4"/>
      <c r="B1192" s="4"/>
      <c r="C1192" s="4"/>
      <c r="D1192" s="4"/>
      <c r="E1192" s="4"/>
      <c r="F1192" s="4"/>
      <c r="G1192" s="4"/>
      <c r="H1192" s="4"/>
    </row>
    <row r="1193" spans="1:8" x14ac:dyDescent="0.2">
      <c r="A1193" s="4"/>
      <c r="B1193" s="4"/>
      <c r="C1193" s="4"/>
      <c r="D1193" s="4"/>
      <c r="E1193" s="4"/>
      <c r="F1193" s="4"/>
      <c r="G1193" s="4"/>
      <c r="H1193" s="4"/>
    </row>
    <row r="1194" spans="1:8" x14ac:dyDescent="0.2">
      <c r="A1194" s="4"/>
      <c r="B1194" s="4"/>
      <c r="C1194" s="4"/>
      <c r="D1194" s="4"/>
      <c r="E1194" s="4"/>
      <c r="F1194" s="4"/>
      <c r="G1194" s="4"/>
      <c r="H1194" s="4"/>
    </row>
    <row r="1195" spans="1:8" x14ac:dyDescent="0.2">
      <c r="A1195" s="4"/>
      <c r="B1195" s="4"/>
      <c r="C1195" s="4"/>
      <c r="D1195" s="4"/>
      <c r="E1195" s="4"/>
      <c r="F1195" s="4"/>
      <c r="G1195" s="4"/>
      <c r="H1195" s="4"/>
    </row>
    <row r="1196" spans="1:8" x14ac:dyDescent="0.2">
      <c r="A1196" s="4"/>
      <c r="B1196" s="4"/>
      <c r="C1196" s="4"/>
      <c r="D1196" s="4"/>
      <c r="E1196" s="4"/>
      <c r="F1196" s="4"/>
      <c r="G1196" s="4"/>
      <c r="H1196" s="4"/>
    </row>
    <row r="1197" spans="1:8" x14ac:dyDescent="0.2">
      <c r="A1197" s="4"/>
      <c r="B1197" s="4"/>
      <c r="C1197" s="4"/>
      <c r="D1197" s="4"/>
      <c r="E1197" s="4"/>
      <c r="F1197" s="4"/>
      <c r="G1197" s="4"/>
      <c r="H1197" s="4"/>
    </row>
    <row r="1198" spans="1:8" x14ac:dyDescent="0.2">
      <c r="A1198" s="4"/>
      <c r="B1198" s="4"/>
      <c r="C1198" s="4"/>
      <c r="D1198" s="4"/>
      <c r="E1198" s="4"/>
      <c r="F1198" s="4"/>
      <c r="G1198" s="4"/>
      <c r="H1198" s="4"/>
    </row>
    <row r="1199" spans="1:8" x14ac:dyDescent="0.2">
      <c r="A1199" s="4"/>
      <c r="B1199" s="4"/>
      <c r="C1199" s="4"/>
      <c r="D1199" s="4"/>
      <c r="E1199" s="4"/>
      <c r="F1199" s="4"/>
      <c r="G1199" s="4"/>
      <c r="H1199" s="4"/>
    </row>
    <row r="1200" spans="1:8" x14ac:dyDescent="0.2">
      <c r="A1200" s="4"/>
      <c r="B1200" s="4"/>
      <c r="C1200" s="4"/>
      <c r="D1200" s="4"/>
      <c r="E1200" s="4"/>
      <c r="F1200" s="4"/>
      <c r="G1200" s="4"/>
      <c r="H1200" s="4"/>
    </row>
    <row r="1201" spans="1:8" x14ac:dyDescent="0.2">
      <c r="A1201" s="4"/>
      <c r="B1201" s="4"/>
      <c r="C1201" s="4"/>
      <c r="D1201" s="4"/>
      <c r="E1201" s="4"/>
      <c r="F1201" s="4"/>
      <c r="G1201" s="4"/>
      <c r="H1201" s="4"/>
    </row>
    <row r="1202" spans="1:8" x14ac:dyDescent="0.2">
      <c r="A1202" s="4"/>
      <c r="B1202" s="4"/>
      <c r="C1202" s="4"/>
      <c r="D1202" s="4"/>
      <c r="E1202" s="4"/>
      <c r="F1202" s="4"/>
      <c r="G1202" s="4"/>
      <c r="H1202" s="4"/>
    </row>
    <row r="1203" spans="1:8" x14ac:dyDescent="0.2">
      <c r="A1203" s="4"/>
      <c r="B1203" s="4"/>
      <c r="C1203" s="4"/>
      <c r="D1203" s="4"/>
      <c r="E1203" s="4"/>
      <c r="F1203" s="4"/>
      <c r="G1203" s="4"/>
      <c r="H1203" s="4"/>
    </row>
    <row r="1204" spans="1:8" x14ac:dyDescent="0.2">
      <c r="A1204" s="4"/>
      <c r="B1204" s="4"/>
      <c r="C1204" s="4"/>
      <c r="D1204" s="4"/>
      <c r="E1204" s="4"/>
      <c r="F1204" s="4"/>
      <c r="G1204" s="4"/>
      <c r="H1204" s="4"/>
    </row>
    <row r="1205" spans="1:8" x14ac:dyDescent="0.2">
      <c r="A1205" s="4"/>
      <c r="B1205" s="4"/>
      <c r="C1205" s="4"/>
      <c r="D1205" s="4"/>
      <c r="E1205" s="4"/>
      <c r="F1205" s="4"/>
      <c r="G1205" s="4"/>
      <c r="H1205" s="4"/>
    </row>
    <row r="1206" spans="1:8" x14ac:dyDescent="0.2">
      <c r="A1206" s="4"/>
      <c r="B1206" s="4"/>
      <c r="C1206" s="4"/>
      <c r="D1206" s="4"/>
      <c r="E1206" s="4"/>
      <c r="F1206" s="4"/>
      <c r="G1206" s="4"/>
      <c r="H1206" s="4"/>
    </row>
    <row r="1207" spans="1:8" x14ac:dyDescent="0.2">
      <c r="A1207" s="4"/>
      <c r="B1207" s="4"/>
      <c r="C1207" s="4"/>
      <c r="D1207" s="4"/>
      <c r="E1207" s="4"/>
      <c r="F1207" s="4"/>
      <c r="G1207" s="4"/>
      <c r="H1207" s="4"/>
    </row>
    <row r="1208" spans="1:8" x14ac:dyDescent="0.2">
      <c r="A1208" s="4"/>
      <c r="B1208" s="4"/>
      <c r="C1208" s="4"/>
      <c r="D1208" s="4"/>
      <c r="E1208" s="4"/>
      <c r="F1208" s="4"/>
      <c r="G1208" s="4"/>
      <c r="H1208" s="4"/>
    </row>
    <row r="1209" spans="1:8" x14ac:dyDescent="0.2">
      <c r="A1209" s="4"/>
      <c r="B1209" s="4"/>
      <c r="C1209" s="4"/>
      <c r="D1209" s="4"/>
      <c r="E1209" s="4"/>
      <c r="F1209" s="4"/>
      <c r="G1209" s="4"/>
      <c r="H1209" s="4"/>
    </row>
    <row r="1210" spans="1:8" x14ac:dyDescent="0.2">
      <c r="A1210" s="4"/>
      <c r="B1210" s="4"/>
      <c r="C1210" s="4"/>
      <c r="D1210" s="4"/>
      <c r="E1210" s="4"/>
      <c r="F1210" s="4"/>
      <c r="G1210" s="4"/>
      <c r="H1210" s="4"/>
    </row>
    <row r="1211" spans="1:8" x14ac:dyDescent="0.2">
      <c r="A1211" s="4"/>
      <c r="B1211" s="4"/>
      <c r="C1211" s="4"/>
      <c r="D1211" s="4"/>
      <c r="E1211" s="4"/>
      <c r="F1211" s="4"/>
      <c r="G1211" s="4"/>
      <c r="H1211" s="4"/>
    </row>
    <row r="1212" spans="1:8" x14ac:dyDescent="0.2">
      <c r="A1212" s="4"/>
      <c r="B1212" s="4"/>
      <c r="C1212" s="4"/>
      <c r="D1212" s="4"/>
      <c r="E1212" s="4"/>
      <c r="F1212" s="4"/>
      <c r="G1212" s="4"/>
      <c r="H1212" s="4"/>
    </row>
    <row r="1213" spans="1:8" x14ac:dyDescent="0.2">
      <c r="A1213" s="4"/>
      <c r="B1213" s="4"/>
      <c r="C1213" s="4"/>
      <c r="D1213" s="4"/>
      <c r="E1213" s="4"/>
      <c r="F1213" s="4"/>
      <c r="G1213" s="4"/>
      <c r="H1213" s="4"/>
    </row>
    <row r="1214" spans="1:8" x14ac:dyDescent="0.2">
      <c r="A1214" s="4"/>
      <c r="B1214" s="4"/>
      <c r="C1214" s="4"/>
      <c r="D1214" s="4"/>
      <c r="E1214" s="4"/>
      <c r="F1214" s="4"/>
      <c r="G1214" s="4"/>
      <c r="H1214" s="4"/>
    </row>
    <row r="1215" spans="1:8" x14ac:dyDescent="0.2">
      <c r="A1215" s="4"/>
      <c r="B1215" s="4"/>
      <c r="C1215" s="4"/>
      <c r="D1215" s="4"/>
      <c r="E1215" s="4"/>
      <c r="F1215" s="4"/>
      <c r="G1215" s="4"/>
      <c r="H1215" s="4"/>
    </row>
    <row r="1216" spans="1:8" x14ac:dyDescent="0.2">
      <c r="A1216" s="4"/>
      <c r="B1216" s="4"/>
      <c r="C1216" s="4"/>
      <c r="D1216" s="4"/>
      <c r="E1216" s="4"/>
      <c r="F1216" s="4"/>
      <c r="G1216" s="4"/>
      <c r="H1216" s="4"/>
    </row>
    <row r="1217" spans="1:8" x14ac:dyDescent="0.2">
      <c r="A1217" s="4"/>
      <c r="B1217" s="4"/>
      <c r="C1217" s="4"/>
      <c r="D1217" s="4"/>
      <c r="E1217" s="4"/>
      <c r="F1217" s="4"/>
      <c r="G1217" s="4"/>
      <c r="H1217" s="4"/>
    </row>
    <row r="1218" spans="1:8" x14ac:dyDescent="0.2">
      <c r="A1218" s="4"/>
      <c r="B1218" s="4"/>
      <c r="C1218" s="4"/>
      <c r="D1218" s="4"/>
      <c r="E1218" s="4"/>
      <c r="F1218" s="4"/>
      <c r="G1218" s="4"/>
      <c r="H1218" s="4"/>
    </row>
    <row r="1219" spans="1:8" x14ac:dyDescent="0.2">
      <c r="A1219" s="4"/>
      <c r="B1219" s="4"/>
      <c r="C1219" s="4"/>
      <c r="D1219" s="4"/>
      <c r="E1219" s="4"/>
      <c r="F1219" s="4"/>
      <c r="G1219" s="4"/>
      <c r="H1219" s="4"/>
    </row>
    <row r="1220" spans="1:8" x14ac:dyDescent="0.2">
      <c r="A1220" s="4"/>
      <c r="B1220" s="4"/>
      <c r="C1220" s="4"/>
      <c r="D1220" s="4"/>
      <c r="E1220" s="4"/>
      <c r="F1220" s="4"/>
      <c r="G1220" s="4"/>
      <c r="H1220" s="4"/>
    </row>
    <row r="1221" spans="1:8" x14ac:dyDescent="0.2">
      <c r="A1221" s="4"/>
      <c r="B1221" s="4"/>
      <c r="C1221" s="4"/>
      <c r="D1221" s="4"/>
      <c r="E1221" s="4"/>
      <c r="F1221" s="4"/>
      <c r="G1221" s="4"/>
      <c r="H1221" s="4"/>
    </row>
    <row r="1222" spans="1:8" x14ac:dyDescent="0.2">
      <c r="A1222" s="4"/>
      <c r="B1222" s="4"/>
      <c r="C1222" s="4"/>
      <c r="D1222" s="4"/>
      <c r="E1222" s="4"/>
      <c r="F1222" s="4"/>
      <c r="G1222" s="4"/>
      <c r="H1222" s="4"/>
    </row>
    <row r="1223" spans="1:8" x14ac:dyDescent="0.2">
      <c r="A1223" s="4"/>
      <c r="B1223" s="4"/>
      <c r="C1223" s="4"/>
      <c r="D1223" s="4"/>
      <c r="E1223" s="4"/>
      <c r="F1223" s="4"/>
      <c r="G1223" s="4"/>
      <c r="H1223" s="4"/>
    </row>
    <row r="1224" spans="1:8" x14ac:dyDescent="0.2">
      <c r="A1224" s="4"/>
      <c r="B1224" s="4"/>
      <c r="C1224" s="4"/>
      <c r="D1224" s="4"/>
      <c r="E1224" s="4"/>
      <c r="F1224" s="4"/>
      <c r="G1224" s="4"/>
      <c r="H1224" s="4"/>
    </row>
    <row r="1225" spans="1:8" x14ac:dyDescent="0.2">
      <c r="A1225" s="4"/>
      <c r="B1225" s="4"/>
      <c r="C1225" s="4"/>
      <c r="D1225" s="4"/>
      <c r="E1225" s="4"/>
      <c r="F1225" s="4"/>
      <c r="G1225" s="4"/>
      <c r="H1225" s="4"/>
    </row>
    <row r="1226" spans="1:8" x14ac:dyDescent="0.2">
      <c r="A1226" s="4"/>
      <c r="B1226" s="4"/>
      <c r="C1226" s="4"/>
      <c r="D1226" s="4"/>
      <c r="E1226" s="4"/>
      <c r="F1226" s="4"/>
      <c r="G1226" s="4"/>
      <c r="H1226" s="4"/>
    </row>
    <row r="1227" spans="1:8" x14ac:dyDescent="0.2">
      <c r="A1227" s="4"/>
      <c r="B1227" s="4"/>
      <c r="C1227" s="4"/>
      <c r="D1227" s="4"/>
      <c r="E1227" s="4"/>
      <c r="F1227" s="4"/>
      <c r="G1227" s="4"/>
      <c r="H1227" s="4"/>
    </row>
    <row r="1228" spans="1:8" x14ac:dyDescent="0.2">
      <c r="A1228" s="4"/>
      <c r="B1228" s="4"/>
      <c r="C1228" s="4"/>
      <c r="D1228" s="4"/>
      <c r="E1228" s="4"/>
      <c r="F1228" s="4"/>
      <c r="G1228" s="4"/>
      <c r="H1228" s="4"/>
    </row>
    <row r="1229" spans="1:8" x14ac:dyDescent="0.2">
      <c r="A1229" s="4"/>
      <c r="B1229" s="4"/>
      <c r="C1229" s="4"/>
      <c r="D1229" s="4"/>
      <c r="E1229" s="4"/>
      <c r="F1229" s="4"/>
      <c r="G1229" s="4"/>
      <c r="H1229" s="4"/>
    </row>
    <row r="1230" spans="1:8" x14ac:dyDescent="0.2">
      <c r="A1230" s="4"/>
      <c r="B1230" s="4"/>
      <c r="C1230" s="4"/>
      <c r="D1230" s="4"/>
      <c r="E1230" s="4"/>
      <c r="F1230" s="4"/>
      <c r="G1230" s="4"/>
      <c r="H1230" s="4"/>
    </row>
    <row r="1231" spans="1:8" x14ac:dyDescent="0.2">
      <c r="A1231" s="4"/>
      <c r="B1231" s="4"/>
      <c r="C1231" s="4"/>
      <c r="D1231" s="4"/>
      <c r="E1231" s="4"/>
      <c r="F1231" s="4"/>
      <c r="G1231" s="4"/>
      <c r="H1231" s="4"/>
    </row>
    <row r="1232" spans="1:8" x14ac:dyDescent="0.2">
      <c r="A1232" s="4"/>
      <c r="B1232" s="4"/>
      <c r="C1232" s="4"/>
      <c r="D1232" s="4"/>
      <c r="E1232" s="4"/>
      <c r="F1232" s="4"/>
      <c r="G1232" s="4"/>
      <c r="H1232" s="4"/>
    </row>
    <row r="1233" spans="1:8" x14ac:dyDescent="0.2">
      <c r="A1233" s="4"/>
      <c r="B1233" s="4"/>
      <c r="C1233" s="4"/>
      <c r="D1233" s="4"/>
      <c r="E1233" s="4"/>
      <c r="F1233" s="4"/>
      <c r="G1233" s="4"/>
      <c r="H1233" s="4"/>
    </row>
    <row r="1234" spans="1:8" x14ac:dyDescent="0.2">
      <c r="A1234" s="4"/>
      <c r="B1234" s="4"/>
      <c r="C1234" s="4"/>
      <c r="D1234" s="4"/>
      <c r="E1234" s="4"/>
      <c r="F1234" s="4"/>
      <c r="G1234" s="4"/>
      <c r="H1234" s="4"/>
    </row>
    <row r="1235" spans="1:8" x14ac:dyDescent="0.2">
      <c r="A1235" s="4"/>
      <c r="B1235" s="4"/>
      <c r="C1235" s="4"/>
      <c r="D1235" s="4"/>
      <c r="E1235" s="4"/>
      <c r="F1235" s="4"/>
      <c r="G1235" s="4"/>
      <c r="H1235" s="4"/>
    </row>
    <row r="1236" spans="1:8" x14ac:dyDescent="0.2">
      <c r="A1236" s="4"/>
      <c r="B1236" s="4"/>
      <c r="C1236" s="4"/>
      <c r="D1236" s="4"/>
      <c r="E1236" s="4"/>
      <c r="F1236" s="4"/>
      <c r="G1236" s="4"/>
      <c r="H1236" s="4"/>
    </row>
    <row r="1237" spans="1:8" x14ac:dyDescent="0.2">
      <c r="A1237" s="4"/>
      <c r="B1237" s="4"/>
      <c r="C1237" s="4"/>
      <c r="D1237" s="4"/>
      <c r="E1237" s="4"/>
      <c r="F1237" s="4"/>
      <c r="G1237" s="4"/>
      <c r="H1237" s="4"/>
    </row>
    <row r="1238" spans="1:8" x14ac:dyDescent="0.2">
      <c r="A1238" s="4"/>
      <c r="B1238" s="4"/>
      <c r="C1238" s="4"/>
      <c r="D1238" s="4"/>
      <c r="E1238" s="4"/>
      <c r="F1238" s="4"/>
      <c r="G1238" s="4"/>
      <c r="H1238" s="4"/>
    </row>
    <row r="1239" spans="1:8" x14ac:dyDescent="0.2">
      <c r="A1239" s="4"/>
      <c r="B1239" s="4"/>
      <c r="C1239" s="4"/>
      <c r="D1239" s="4"/>
      <c r="E1239" s="4"/>
      <c r="F1239" s="4"/>
      <c r="G1239" s="4"/>
      <c r="H1239" s="4"/>
    </row>
    <row r="1240" spans="1:8" x14ac:dyDescent="0.2">
      <c r="A1240" s="4"/>
      <c r="B1240" s="4"/>
      <c r="C1240" s="4"/>
      <c r="D1240" s="4"/>
      <c r="E1240" s="4"/>
      <c r="F1240" s="4"/>
      <c r="G1240" s="4"/>
      <c r="H1240" s="4"/>
    </row>
    <row r="1241" spans="1:8" x14ac:dyDescent="0.2">
      <c r="A1241" s="4"/>
      <c r="B1241" s="4"/>
      <c r="C1241" s="4"/>
      <c r="D1241" s="4"/>
      <c r="E1241" s="4"/>
      <c r="F1241" s="4"/>
      <c r="G1241" s="4"/>
      <c r="H1241" s="4"/>
    </row>
    <row r="1242" spans="1:8" x14ac:dyDescent="0.2">
      <c r="A1242" s="4"/>
      <c r="B1242" s="4"/>
      <c r="C1242" s="4"/>
      <c r="D1242" s="4"/>
      <c r="E1242" s="4"/>
      <c r="F1242" s="4"/>
      <c r="G1242" s="4"/>
      <c r="H1242" s="4"/>
    </row>
    <row r="1243" spans="1:8" x14ac:dyDescent="0.2">
      <c r="A1243" s="4"/>
      <c r="B1243" s="4"/>
      <c r="C1243" s="4"/>
      <c r="D1243" s="4"/>
      <c r="E1243" s="4"/>
      <c r="F1243" s="4"/>
      <c r="G1243" s="4"/>
      <c r="H1243" s="4"/>
    </row>
    <row r="1244" spans="1:8" x14ac:dyDescent="0.2">
      <c r="A1244" s="4"/>
      <c r="B1244" s="4"/>
      <c r="C1244" s="4"/>
      <c r="D1244" s="4"/>
      <c r="E1244" s="4"/>
      <c r="F1244" s="4"/>
      <c r="G1244" s="4"/>
      <c r="H1244" s="4"/>
    </row>
    <row r="1245" spans="1:8" x14ac:dyDescent="0.2">
      <c r="A1245" s="4"/>
      <c r="B1245" s="4"/>
      <c r="C1245" s="4"/>
      <c r="D1245" s="4"/>
      <c r="E1245" s="4"/>
      <c r="F1245" s="4"/>
      <c r="G1245" s="4"/>
      <c r="H1245" s="4"/>
    </row>
    <row r="1246" spans="1:8" x14ac:dyDescent="0.2">
      <c r="A1246" s="4"/>
      <c r="B1246" s="4"/>
      <c r="C1246" s="4"/>
      <c r="D1246" s="4"/>
      <c r="E1246" s="4"/>
      <c r="F1246" s="4"/>
      <c r="G1246" s="4"/>
      <c r="H1246" s="4"/>
    </row>
    <row r="1247" spans="1:8" x14ac:dyDescent="0.2">
      <c r="A1247" s="4"/>
      <c r="B1247" s="4"/>
      <c r="C1247" s="4"/>
      <c r="D1247" s="4"/>
      <c r="E1247" s="4"/>
      <c r="F1247" s="4"/>
      <c r="G1247" s="4"/>
      <c r="H1247" s="4"/>
    </row>
    <row r="1248" spans="1:8" x14ac:dyDescent="0.2">
      <c r="A1248" s="4"/>
      <c r="B1248" s="4"/>
      <c r="C1248" s="4"/>
      <c r="D1248" s="4"/>
      <c r="E1248" s="4"/>
      <c r="F1248" s="4"/>
      <c r="G1248" s="4"/>
      <c r="H1248" s="4"/>
    </row>
    <row r="1249" spans="1:8" x14ac:dyDescent="0.2">
      <c r="A1249" s="4"/>
      <c r="B1249" s="4"/>
      <c r="C1249" s="4"/>
      <c r="D1249" s="4"/>
      <c r="E1249" s="4"/>
      <c r="F1249" s="4"/>
      <c r="G1249" s="4"/>
      <c r="H1249" s="4"/>
    </row>
    <row r="1250" spans="1:8" x14ac:dyDescent="0.2">
      <c r="A1250" s="4"/>
      <c r="B1250" s="4"/>
      <c r="C1250" s="4"/>
      <c r="D1250" s="4"/>
      <c r="E1250" s="4"/>
      <c r="F1250" s="4"/>
      <c r="G1250" s="4"/>
      <c r="H1250" s="4"/>
    </row>
    <row r="1251" spans="1:8" x14ac:dyDescent="0.2">
      <c r="A1251" s="4"/>
      <c r="B1251" s="4"/>
      <c r="C1251" s="4"/>
      <c r="D1251" s="4"/>
      <c r="E1251" s="4"/>
      <c r="F1251" s="4"/>
      <c r="G1251" s="4"/>
      <c r="H1251" s="4"/>
    </row>
    <row r="1252" spans="1:8" x14ac:dyDescent="0.2">
      <c r="A1252" s="4"/>
      <c r="B1252" s="4"/>
      <c r="C1252" s="4"/>
      <c r="D1252" s="4"/>
      <c r="E1252" s="4"/>
      <c r="F1252" s="4"/>
      <c r="G1252" s="4"/>
      <c r="H1252" s="4"/>
    </row>
    <row r="1253" spans="1:8" x14ac:dyDescent="0.2">
      <c r="A1253" s="4"/>
      <c r="B1253" s="4"/>
      <c r="C1253" s="4"/>
      <c r="D1253" s="4"/>
      <c r="E1253" s="4"/>
      <c r="F1253" s="4"/>
      <c r="G1253" s="4"/>
      <c r="H1253" s="4"/>
    </row>
    <row r="1254" spans="1:8" x14ac:dyDescent="0.2">
      <c r="A1254" s="4"/>
      <c r="B1254" s="4"/>
      <c r="C1254" s="4"/>
      <c r="D1254" s="4"/>
      <c r="E1254" s="4"/>
      <c r="F1254" s="4"/>
      <c r="G1254" s="4"/>
      <c r="H1254" s="4"/>
    </row>
    <row r="1255" spans="1:8" x14ac:dyDescent="0.2">
      <c r="A1255" s="4"/>
      <c r="B1255" s="4"/>
      <c r="C1255" s="4"/>
      <c r="D1255" s="4"/>
      <c r="E1255" s="4"/>
      <c r="F1255" s="4"/>
      <c r="G1255" s="4"/>
      <c r="H1255" s="4"/>
    </row>
    <row r="1256" spans="1:8" x14ac:dyDescent="0.2">
      <c r="A1256" s="4"/>
      <c r="B1256" s="4"/>
      <c r="C1256" s="4"/>
      <c r="D1256" s="4"/>
      <c r="E1256" s="4"/>
      <c r="F1256" s="4"/>
      <c r="G1256" s="4"/>
      <c r="H1256" s="4"/>
    </row>
    <row r="1257" spans="1:8" x14ac:dyDescent="0.2">
      <c r="A1257" s="4"/>
      <c r="B1257" s="4"/>
      <c r="C1257" s="4"/>
      <c r="D1257" s="4"/>
      <c r="E1257" s="4"/>
      <c r="F1257" s="4"/>
      <c r="G1257" s="4"/>
      <c r="H1257" s="4"/>
    </row>
    <row r="1258" spans="1:8" x14ac:dyDescent="0.2">
      <c r="A1258" s="4"/>
      <c r="B1258" s="4"/>
      <c r="C1258" s="4"/>
      <c r="D1258" s="4"/>
      <c r="E1258" s="4"/>
      <c r="F1258" s="4"/>
      <c r="G1258" s="4"/>
      <c r="H1258" s="4"/>
    </row>
    <row r="1259" spans="1:8" x14ac:dyDescent="0.2">
      <c r="A1259" s="4"/>
      <c r="B1259" s="4"/>
      <c r="C1259" s="4"/>
      <c r="D1259" s="4"/>
      <c r="E1259" s="4"/>
      <c r="F1259" s="4"/>
      <c r="G1259" s="4"/>
      <c r="H1259" s="4"/>
    </row>
    <row r="1260" spans="1:8" x14ac:dyDescent="0.2">
      <c r="A1260" s="4"/>
      <c r="B1260" s="4"/>
      <c r="C1260" s="4"/>
      <c r="D1260" s="4"/>
      <c r="E1260" s="4"/>
      <c r="F1260" s="4"/>
      <c r="G1260" s="4"/>
      <c r="H1260" s="4"/>
    </row>
    <row r="1261" spans="1:8" x14ac:dyDescent="0.2">
      <c r="A1261" s="4"/>
      <c r="B1261" s="4"/>
      <c r="C1261" s="4"/>
      <c r="D1261" s="4"/>
      <c r="E1261" s="4"/>
      <c r="F1261" s="4"/>
      <c r="G1261" s="4"/>
      <c r="H1261" s="4"/>
    </row>
    <row r="1262" spans="1:8" x14ac:dyDescent="0.2">
      <c r="A1262" s="4"/>
      <c r="B1262" s="4"/>
      <c r="C1262" s="4"/>
      <c r="D1262" s="4"/>
      <c r="E1262" s="4"/>
      <c r="F1262" s="4"/>
      <c r="G1262" s="4"/>
      <c r="H1262" s="4"/>
    </row>
    <row r="1263" spans="1:8" x14ac:dyDescent="0.2">
      <c r="A1263" s="4"/>
      <c r="B1263" s="4"/>
      <c r="C1263" s="4"/>
      <c r="D1263" s="4"/>
      <c r="E1263" s="4"/>
      <c r="F1263" s="4"/>
      <c r="G1263" s="4"/>
      <c r="H1263" s="4"/>
    </row>
    <row r="1264" spans="1:8" x14ac:dyDescent="0.2">
      <c r="A1264" s="4"/>
      <c r="B1264" s="4"/>
      <c r="C1264" s="4"/>
      <c r="D1264" s="4"/>
      <c r="E1264" s="4"/>
      <c r="F1264" s="4"/>
      <c r="G1264" s="4"/>
      <c r="H1264" s="4"/>
    </row>
    <row r="1265" spans="1:8" x14ac:dyDescent="0.2">
      <c r="A1265" s="4"/>
      <c r="B1265" s="4"/>
      <c r="C1265" s="4"/>
      <c r="D1265" s="4"/>
      <c r="E1265" s="4"/>
      <c r="F1265" s="4"/>
      <c r="G1265" s="4"/>
      <c r="H1265" s="4"/>
    </row>
    <row r="1266" spans="1:8" x14ac:dyDescent="0.2">
      <c r="A1266" s="4"/>
      <c r="B1266" s="4"/>
      <c r="C1266" s="4"/>
      <c r="D1266" s="4"/>
      <c r="E1266" s="4"/>
      <c r="F1266" s="4"/>
      <c r="G1266" s="4"/>
      <c r="H1266" s="4"/>
    </row>
    <row r="1267" spans="1:8" x14ac:dyDescent="0.2">
      <c r="A1267" s="4"/>
      <c r="B1267" s="4"/>
      <c r="C1267" s="4"/>
      <c r="D1267" s="4"/>
      <c r="E1267" s="4"/>
      <c r="F1267" s="4"/>
      <c r="G1267" s="4"/>
      <c r="H1267" s="4"/>
    </row>
    <row r="1268" spans="1:8" x14ac:dyDescent="0.2">
      <c r="A1268" s="4"/>
      <c r="B1268" s="4"/>
      <c r="C1268" s="4"/>
      <c r="D1268" s="4"/>
      <c r="E1268" s="4"/>
      <c r="F1268" s="4"/>
      <c r="G1268" s="4"/>
      <c r="H1268" s="4"/>
    </row>
    <row r="1269" spans="1:8" x14ac:dyDescent="0.2">
      <c r="A1269" s="4"/>
      <c r="B1269" s="4"/>
      <c r="C1269" s="4"/>
      <c r="D1269" s="4"/>
      <c r="E1269" s="4"/>
      <c r="F1269" s="4"/>
      <c r="G1269" s="4"/>
      <c r="H1269" s="4"/>
    </row>
    <row r="1270" spans="1:8" x14ac:dyDescent="0.2">
      <c r="A1270" s="4"/>
      <c r="B1270" s="4"/>
      <c r="C1270" s="4"/>
      <c r="D1270" s="4"/>
      <c r="E1270" s="4"/>
      <c r="F1270" s="4"/>
      <c r="G1270" s="4"/>
      <c r="H1270" s="4"/>
    </row>
    <row r="1271" spans="1:8" x14ac:dyDescent="0.2">
      <c r="A1271" s="4"/>
      <c r="B1271" s="4"/>
      <c r="C1271" s="4"/>
      <c r="D1271" s="4"/>
      <c r="E1271" s="4"/>
      <c r="F1271" s="4"/>
      <c r="G1271" s="4"/>
      <c r="H1271" s="4"/>
    </row>
    <row r="1272" spans="1:8" x14ac:dyDescent="0.2">
      <c r="A1272" s="4"/>
      <c r="B1272" s="4"/>
      <c r="C1272" s="4"/>
      <c r="D1272" s="4"/>
      <c r="E1272" s="4"/>
      <c r="F1272" s="4"/>
      <c r="G1272" s="4"/>
      <c r="H1272" s="4"/>
    </row>
    <row r="1273" spans="1:8" x14ac:dyDescent="0.2">
      <c r="A1273" s="4"/>
      <c r="B1273" s="4"/>
      <c r="C1273" s="4"/>
      <c r="D1273" s="4"/>
      <c r="E1273" s="4"/>
      <c r="F1273" s="4"/>
      <c r="G1273" s="4"/>
      <c r="H1273" s="4"/>
    </row>
    <row r="1274" spans="1:8" x14ac:dyDescent="0.2">
      <c r="A1274" s="4"/>
      <c r="B1274" s="4"/>
      <c r="C1274" s="4"/>
      <c r="D1274" s="4"/>
      <c r="E1274" s="4"/>
      <c r="F1274" s="4"/>
      <c r="G1274" s="4"/>
      <c r="H1274" s="4"/>
    </row>
    <row r="1275" spans="1:8" x14ac:dyDescent="0.2">
      <c r="A1275" s="4"/>
      <c r="B1275" s="4"/>
      <c r="C1275" s="4"/>
      <c r="D1275" s="4"/>
      <c r="E1275" s="4"/>
      <c r="F1275" s="4"/>
      <c r="G1275" s="4"/>
      <c r="H1275" s="4"/>
    </row>
    <row r="1276" spans="1:8" x14ac:dyDescent="0.2">
      <c r="A1276" s="4"/>
      <c r="B1276" s="4"/>
      <c r="C1276" s="4"/>
      <c r="D1276" s="4"/>
      <c r="E1276" s="4"/>
      <c r="F1276" s="4"/>
      <c r="G1276" s="4"/>
      <c r="H1276" s="4"/>
    </row>
    <row r="1277" spans="1:8" x14ac:dyDescent="0.2">
      <c r="A1277" s="4"/>
      <c r="B1277" s="4"/>
      <c r="C1277" s="4"/>
      <c r="D1277" s="4"/>
      <c r="E1277" s="4"/>
      <c r="F1277" s="4"/>
      <c r="G1277" s="4"/>
      <c r="H1277" s="4"/>
    </row>
    <row r="1278" spans="1:8" x14ac:dyDescent="0.2">
      <c r="A1278" s="4"/>
      <c r="B1278" s="4"/>
      <c r="C1278" s="4"/>
      <c r="D1278" s="4"/>
      <c r="E1278" s="4"/>
      <c r="F1278" s="4"/>
      <c r="G1278" s="4"/>
      <c r="H1278" s="4"/>
    </row>
    <row r="1279" spans="1:8" x14ac:dyDescent="0.2">
      <c r="A1279" s="4"/>
      <c r="B1279" s="4"/>
      <c r="C1279" s="4"/>
      <c r="D1279" s="4"/>
      <c r="E1279" s="4"/>
      <c r="F1279" s="4"/>
      <c r="G1279" s="4"/>
      <c r="H1279" s="4"/>
    </row>
    <row r="1280" spans="1:8" x14ac:dyDescent="0.2">
      <c r="A1280" s="4"/>
      <c r="B1280" s="4"/>
      <c r="C1280" s="4"/>
      <c r="D1280" s="4"/>
      <c r="E1280" s="4"/>
      <c r="F1280" s="4"/>
      <c r="G1280" s="4"/>
      <c r="H1280" s="4"/>
    </row>
    <row r="1281" spans="1:8" x14ac:dyDescent="0.2">
      <c r="A1281" s="4"/>
      <c r="B1281" s="4"/>
      <c r="C1281" s="4"/>
      <c r="D1281" s="4"/>
      <c r="E1281" s="4"/>
      <c r="F1281" s="4"/>
      <c r="G1281" s="4"/>
      <c r="H1281" s="4"/>
    </row>
    <row r="1282" spans="1:8" x14ac:dyDescent="0.2">
      <c r="A1282" s="4"/>
      <c r="B1282" s="4"/>
      <c r="C1282" s="4"/>
      <c r="D1282" s="4"/>
      <c r="E1282" s="4"/>
      <c r="F1282" s="4"/>
      <c r="G1282" s="4"/>
      <c r="H1282" s="4"/>
    </row>
    <row r="1283" spans="1:8" x14ac:dyDescent="0.2">
      <c r="A1283" s="4"/>
      <c r="B1283" s="4"/>
      <c r="C1283" s="4"/>
      <c r="D1283" s="4"/>
      <c r="E1283" s="4"/>
      <c r="F1283" s="4"/>
      <c r="G1283" s="4"/>
      <c r="H1283" s="4"/>
    </row>
    <row r="1284" spans="1:8" x14ac:dyDescent="0.2">
      <c r="A1284" s="4"/>
      <c r="B1284" s="4"/>
      <c r="C1284" s="4"/>
      <c r="D1284" s="4"/>
      <c r="E1284" s="4"/>
      <c r="F1284" s="4"/>
      <c r="G1284" s="4"/>
      <c r="H1284" s="4"/>
    </row>
    <row r="1285" spans="1:8" x14ac:dyDescent="0.2">
      <c r="A1285" s="4"/>
      <c r="B1285" s="4"/>
      <c r="C1285" s="4"/>
      <c r="D1285" s="4"/>
      <c r="E1285" s="4"/>
      <c r="F1285" s="4"/>
      <c r="G1285" s="4"/>
      <c r="H1285" s="4"/>
    </row>
    <row r="1286" spans="1:8" x14ac:dyDescent="0.2">
      <c r="A1286" s="4"/>
      <c r="B1286" s="4"/>
      <c r="C1286" s="4"/>
      <c r="D1286" s="4"/>
      <c r="E1286" s="4"/>
      <c r="F1286" s="4"/>
      <c r="G1286" s="4"/>
      <c r="H1286" s="4"/>
    </row>
    <row r="1287" spans="1:8" x14ac:dyDescent="0.2">
      <c r="A1287" s="4"/>
      <c r="B1287" s="4"/>
      <c r="C1287" s="4"/>
      <c r="D1287" s="4"/>
      <c r="E1287" s="4"/>
      <c r="F1287" s="4"/>
      <c r="G1287" s="4"/>
      <c r="H1287" s="4"/>
    </row>
    <row r="1288" spans="1:8" x14ac:dyDescent="0.2">
      <c r="A1288" s="4"/>
      <c r="B1288" s="4"/>
      <c r="C1288" s="4"/>
      <c r="D1288" s="4"/>
      <c r="E1288" s="4"/>
      <c r="F1288" s="4"/>
      <c r="G1288" s="4"/>
      <c r="H1288" s="4"/>
    </row>
  </sheetData>
  <hyperlinks>
    <hyperlink ref="A1" r:id="rId1" xr:uid="{915345AE-7CB5-415F-B516-D7E22C821B93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F3126-E5C1-47D1-B532-F3457B7D4DC4}">
  <sheetPr codeName="Sheet1"/>
  <dimension ref="A1:C49"/>
  <sheetViews>
    <sheetView tabSelected="1" workbookViewId="0">
      <selection activeCell="E8" sqref="E8"/>
    </sheetView>
  </sheetViews>
  <sheetFormatPr defaultColWidth="8.7109375" defaultRowHeight="12.75" x14ac:dyDescent="0.2"/>
  <cols>
    <col min="1" max="1" width="34" style="7" customWidth="1"/>
    <col min="2" max="2" width="11" style="7" bestFit="1" customWidth="1"/>
    <col min="3" max="16384" width="8.7109375" style="7"/>
  </cols>
  <sheetData>
    <row r="1" spans="1:3" ht="18.75" x14ac:dyDescent="0.2">
      <c r="A1" s="5" t="s">
        <v>9</v>
      </c>
      <c r="B1" s="6"/>
      <c r="C1" s="6"/>
    </row>
    <row r="2" spans="1:3" ht="15" x14ac:dyDescent="0.2">
      <c r="A2" s="6" t="s">
        <v>10</v>
      </c>
      <c r="B2" s="6"/>
      <c r="C2" s="6"/>
    </row>
    <row r="3" spans="1:3" ht="15" x14ac:dyDescent="0.2">
      <c r="A3" s="8" t="s">
        <v>11</v>
      </c>
      <c r="B3" s="9" t="s">
        <v>12</v>
      </c>
      <c r="C3" s="6"/>
    </row>
    <row r="4" spans="1:3" ht="15" x14ac:dyDescent="0.2">
      <c r="A4" s="8" t="s">
        <v>13</v>
      </c>
      <c r="B4" s="10">
        <v>41974</v>
      </c>
      <c r="C4" s="6"/>
    </row>
    <row r="5" spans="1:3" ht="15" x14ac:dyDescent="0.2">
      <c r="A5" s="8" t="s">
        <v>14</v>
      </c>
      <c r="B5" s="10">
        <v>45657</v>
      </c>
      <c r="C5" s="6"/>
    </row>
    <row r="6" spans="1:3" x14ac:dyDescent="0.2">
      <c r="A6" s="6"/>
      <c r="B6" s="6"/>
      <c r="C6" s="6"/>
    </row>
    <row r="7" spans="1:3" ht="15" x14ac:dyDescent="0.2">
      <c r="A7" s="8" t="s">
        <v>15</v>
      </c>
      <c r="B7" s="6"/>
      <c r="C7" s="6"/>
    </row>
    <row r="8" spans="1:3" ht="15" x14ac:dyDescent="0.2">
      <c r="A8" s="9" t="s">
        <v>24</v>
      </c>
      <c r="B8" s="6"/>
      <c r="C8" s="6"/>
    </row>
    <row r="9" spans="1:3" ht="15" x14ac:dyDescent="0.2">
      <c r="A9" s="9"/>
      <c r="B9" s="6"/>
      <c r="C9" s="6"/>
    </row>
    <row r="10" spans="1:3" ht="15" x14ac:dyDescent="0.2">
      <c r="A10" s="9"/>
      <c r="B10" s="6"/>
      <c r="C10" s="6"/>
    </row>
    <row r="11" spans="1:3" ht="15" x14ac:dyDescent="0.2">
      <c r="A11" s="9"/>
    </row>
    <row r="12" spans="1:3" ht="15" x14ac:dyDescent="0.2">
      <c r="A12" s="9"/>
    </row>
    <row r="13" spans="1:3" ht="15" x14ac:dyDescent="0.2">
      <c r="A13" s="9"/>
    </row>
    <row r="14" spans="1:3" ht="15" x14ac:dyDescent="0.2">
      <c r="A14" s="9"/>
    </row>
    <row r="15" spans="1:3" ht="15" x14ac:dyDescent="0.2">
      <c r="A15" s="9"/>
    </row>
    <row r="16" spans="1:3" ht="15" x14ac:dyDescent="0.2">
      <c r="A16" s="9"/>
    </row>
    <row r="17" spans="1:1" ht="15" x14ac:dyDescent="0.2">
      <c r="A17" s="9"/>
    </row>
    <row r="18" spans="1:1" ht="15" x14ac:dyDescent="0.2">
      <c r="A18" s="9"/>
    </row>
    <row r="19" spans="1:1" ht="15" x14ac:dyDescent="0.2">
      <c r="A19" s="9"/>
    </row>
    <row r="20" spans="1:1" ht="15" x14ac:dyDescent="0.2">
      <c r="A20" s="9"/>
    </row>
    <row r="21" spans="1:1" ht="15" x14ac:dyDescent="0.2">
      <c r="A21" s="9"/>
    </row>
    <row r="22" spans="1:1" ht="15" x14ac:dyDescent="0.2">
      <c r="A22" s="9"/>
    </row>
    <row r="23" spans="1:1" ht="15" x14ac:dyDescent="0.2">
      <c r="A23" s="9"/>
    </row>
    <row r="24" spans="1:1" ht="15" x14ac:dyDescent="0.2">
      <c r="A24" s="9"/>
    </row>
    <row r="25" spans="1:1" ht="15" x14ac:dyDescent="0.2">
      <c r="A25" s="9"/>
    </row>
    <row r="26" spans="1:1" ht="15" x14ac:dyDescent="0.2">
      <c r="A26" s="9"/>
    </row>
    <row r="27" spans="1:1" ht="15" x14ac:dyDescent="0.2">
      <c r="A27" s="9"/>
    </row>
    <row r="28" spans="1:1" ht="15" x14ac:dyDescent="0.2">
      <c r="A28" s="9"/>
    </row>
    <row r="29" spans="1:1" ht="15" x14ac:dyDescent="0.2">
      <c r="A29" s="9"/>
    </row>
    <row r="30" spans="1:1" ht="15" x14ac:dyDescent="0.2">
      <c r="A30" s="9"/>
    </row>
    <row r="31" spans="1:1" ht="15" x14ac:dyDescent="0.2">
      <c r="A31" s="9"/>
    </row>
    <row r="32" spans="1:1" ht="15" x14ac:dyDescent="0.2">
      <c r="A32" s="9"/>
    </row>
    <row r="33" spans="1:1" ht="15" x14ac:dyDescent="0.2">
      <c r="A33" s="9"/>
    </row>
    <row r="34" spans="1:1" ht="15" x14ac:dyDescent="0.2">
      <c r="A34" s="9"/>
    </row>
    <row r="35" spans="1:1" ht="15" x14ac:dyDescent="0.2">
      <c r="A35" s="9"/>
    </row>
    <row r="36" spans="1:1" ht="15" x14ac:dyDescent="0.2">
      <c r="A36" s="9"/>
    </row>
    <row r="37" spans="1:1" ht="15" x14ac:dyDescent="0.2">
      <c r="A37" s="9"/>
    </row>
    <row r="38" spans="1:1" ht="15" x14ac:dyDescent="0.2">
      <c r="A38" s="9"/>
    </row>
    <row r="39" spans="1:1" ht="15" x14ac:dyDescent="0.2">
      <c r="A39" s="9"/>
    </row>
    <row r="40" spans="1:1" ht="15" x14ac:dyDescent="0.2">
      <c r="A40" s="9"/>
    </row>
    <row r="41" spans="1:1" ht="15" x14ac:dyDescent="0.2">
      <c r="A41" s="9"/>
    </row>
    <row r="42" spans="1:1" ht="15" x14ac:dyDescent="0.2">
      <c r="A42" s="9"/>
    </row>
    <row r="43" spans="1:1" ht="15" x14ac:dyDescent="0.2">
      <c r="A43" s="9"/>
    </row>
    <row r="44" spans="1:1" ht="15" x14ac:dyDescent="0.2">
      <c r="A44" s="9"/>
    </row>
    <row r="45" spans="1:1" ht="15" x14ac:dyDescent="0.2">
      <c r="A45" s="9"/>
    </row>
    <row r="46" spans="1:1" ht="15" x14ac:dyDescent="0.2">
      <c r="A46" s="9"/>
    </row>
    <row r="47" spans="1:1" ht="15" x14ac:dyDescent="0.2">
      <c r="A47" s="9"/>
    </row>
    <row r="48" spans="1:1" ht="15" x14ac:dyDescent="0.2">
      <c r="A48" s="9"/>
    </row>
    <row r="49" spans="1:1" ht="15" x14ac:dyDescent="0.2">
      <c r="A49" s="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YFinance_Win.GetData">
                <anchor moveWithCells="1" sizeWithCells="1">
                  <from>
                    <xdr:col>3</xdr:col>
                    <xdr:colOff>47625</xdr:colOff>
                    <xdr:row>3</xdr:row>
                    <xdr:rowOff>47625</xdr:rowOff>
                  </from>
                  <to>
                    <xdr:col>4</xdr:col>
                    <xdr:colOff>485775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C40DD-D0CB-4554-A3AD-00EFF10F15B9}">
  <sheetPr codeName="Sheet2"/>
  <dimension ref="A1:H1002"/>
  <sheetViews>
    <sheetView workbookViewId="0">
      <selection activeCell="A2" sqref="A2"/>
    </sheetView>
  </sheetViews>
  <sheetFormatPr defaultColWidth="8.7109375" defaultRowHeight="15" x14ac:dyDescent="0.25"/>
  <cols>
    <col min="1" max="1" width="9.7109375" style="2" bestFit="1" customWidth="1"/>
    <col min="2" max="6" width="12" style="2" bestFit="1" customWidth="1"/>
    <col min="7" max="7" width="10" style="2" bestFit="1" customWidth="1"/>
    <col min="8" max="8" width="6.28515625" style="2" bestFit="1" customWidth="1"/>
    <col min="9" max="16384" width="8.7109375" style="2"/>
  </cols>
  <sheetData>
    <row r="1" spans="1:8" x14ac:dyDescent="0.25">
      <c r="A1" s="2" t="s">
        <v>16</v>
      </c>
      <c r="B1" s="2" t="s">
        <v>17</v>
      </c>
      <c r="C1" s="2" t="s">
        <v>18</v>
      </c>
      <c r="D1" s="2" t="s">
        <v>19</v>
      </c>
      <c r="E1" s="2" t="s">
        <v>20</v>
      </c>
      <c r="F1" s="2" t="s">
        <v>21</v>
      </c>
      <c r="G1" s="2" t="s">
        <v>22</v>
      </c>
      <c r="H1" s="2" t="s">
        <v>23</v>
      </c>
    </row>
    <row r="2" spans="1:8" x14ac:dyDescent="0.25">
      <c r="A2" s="11">
        <v>41974</v>
      </c>
      <c r="B2" s="2">
        <v>154.53155517578125</v>
      </c>
      <c r="C2" s="2">
        <v>157.28489685058594</v>
      </c>
      <c r="D2" s="2">
        <v>143.88145446777344</v>
      </c>
      <c r="E2" s="2">
        <v>153.38432312011719</v>
      </c>
      <c r="F2" s="2">
        <v>98.992622375488281</v>
      </c>
      <c r="G2" s="2">
        <v>106256131</v>
      </c>
      <c r="H2" s="2" t="s">
        <v>24</v>
      </c>
    </row>
    <row r="3" spans="1:8" x14ac:dyDescent="0.25">
      <c r="A3" s="11">
        <v>42005</v>
      </c>
      <c r="B3" s="2">
        <v>154.216064453125</v>
      </c>
      <c r="C3" s="2">
        <v>156.12811279296875</v>
      </c>
      <c r="D3" s="2">
        <v>142.94454956054688</v>
      </c>
      <c r="E3" s="2">
        <v>146.56787109375</v>
      </c>
      <c r="F3" s="2">
        <v>94.593338012695313</v>
      </c>
      <c r="G3" s="2">
        <v>122813059</v>
      </c>
      <c r="H3" s="2" t="s">
        <v>24</v>
      </c>
    </row>
    <row r="4" spans="1:8" x14ac:dyDescent="0.25">
      <c r="A4" s="11">
        <v>42036</v>
      </c>
      <c r="B4" s="2">
        <v>147.2275390625</v>
      </c>
      <c r="C4" s="2">
        <v>157.73422241210938</v>
      </c>
      <c r="D4" s="2">
        <v>144.84703063964844</v>
      </c>
      <c r="E4" s="2">
        <v>154.818359375</v>
      </c>
      <c r="F4" s="2">
        <v>99.918106079101563</v>
      </c>
      <c r="G4" s="2">
        <v>81229117</v>
      </c>
      <c r="H4" s="2" t="s">
        <v>24</v>
      </c>
    </row>
    <row r="5" spans="1:8" x14ac:dyDescent="0.25">
      <c r="A5" s="11">
        <v>42064</v>
      </c>
      <c r="B5" s="2">
        <v>154.818359375</v>
      </c>
      <c r="C5" s="2">
        <v>158.07839965820313</v>
      </c>
      <c r="D5" s="2">
        <v>146.65391540527344</v>
      </c>
      <c r="E5" s="2">
        <v>153.44168090820313</v>
      </c>
      <c r="F5" s="2">
        <v>99.724296569824219</v>
      </c>
      <c r="G5" s="2">
        <v>109737428</v>
      </c>
      <c r="H5" s="2" t="s">
        <v>24</v>
      </c>
    </row>
    <row r="6" spans="1:8" x14ac:dyDescent="0.25">
      <c r="A6" s="11">
        <v>42095</v>
      </c>
      <c r="B6" s="2">
        <v>153.18356323242188</v>
      </c>
      <c r="C6" s="2">
        <v>167.42829895019531</v>
      </c>
      <c r="D6" s="2">
        <v>151.42446899414063</v>
      </c>
      <c r="E6" s="2">
        <v>163.75717163085938</v>
      </c>
      <c r="F6" s="2">
        <v>106.42851257324219</v>
      </c>
      <c r="G6" s="2">
        <v>98152560</v>
      </c>
      <c r="H6" s="2" t="s">
        <v>24</v>
      </c>
    </row>
    <row r="7" spans="1:8" x14ac:dyDescent="0.25">
      <c r="A7" s="11">
        <v>42125</v>
      </c>
      <c r="B7" s="2">
        <v>165.58317565917969</v>
      </c>
      <c r="C7" s="2">
        <v>168.54684448242188</v>
      </c>
      <c r="D7" s="2">
        <v>161.4149169921875</v>
      </c>
      <c r="E7" s="2">
        <v>162.18930053710938</v>
      </c>
      <c r="F7" s="2">
        <v>105.40952301025391</v>
      </c>
      <c r="G7" s="2">
        <v>60593422</v>
      </c>
      <c r="H7" s="2" t="s">
        <v>24</v>
      </c>
    </row>
    <row r="8" spans="1:8" x14ac:dyDescent="0.25">
      <c r="A8" s="11">
        <v>42156</v>
      </c>
      <c r="B8" s="2">
        <v>162.72467041015625</v>
      </c>
      <c r="C8" s="2">
        <v>164.01528930664063</v>
      </c>
      <c r="D8" s="2">
        <v>154.99043273925781</v>
      </c>
      <c r="E8" s="2">
        <v>155.50669860839844</v>
      </c>
      <c r="F8" s="2">
        <v>101.83120727539063</v>
      </c>
      <c r="G8" s="2">
        <v>84566694</v>
      </c>
      <c r="H8" s="2" t="s">
        <v>24</v>
      </c>
    </row>
    <row r="9" spans="1:8" x14ac:dyDescent="0.25">
      <c r="A9" s="11">
        <v>42186</v>
      </c>
      <c r="B9" s="2">
        <v>156.75907897949219</v>
      </c>
      <c r="C9" s="2">
        <v>166.13766479492188</v>
      </c>
      <c r="D9" s="2">
        <v>151.52963256835938</v>
      </c>
      <c r="E9" s="2">
        <v>154.86614990234375</v>
      </c>
      <c r="F9" s="2">
        <v>101.41177368164063</v>
      </c>
      <c r="G9" s="2">
        <v>98171910</v>
      </c>
      <c r="H9" s="2" t="s">
        <v>24</v>
      </c>
    </row>
    <row r="10" spans="1:8" x14ac:dyDescent="0.25">
      <c r="A10" s="11">
        <v>42217</v>
      </c>
      <c r="B10" s="2">
        <v>154.58891296386719</v>
      </c>
      <c r="C10" s="2">
        <v>154.73231506347656</v>
      </c>
      <c r="D10" s="2">
        <v>134.43594360351563</v>
      </c>
      <c r="E10" s="2">
        <v>141.38623046875</v>
      </c>
      <c r="F10" s="2">
        <v>92.58465576171875</v>
      </c>
      <c r="G10" s="2">
        <v>98039489</v>
      </c>
      <c r="H10" s="2" t="s">
        <v>24</v>
      </c>
    </row>
    <row r="11" spans="1:8" x14ac:dyDescent="0.25">
      <c r="A11" s="11">
        <v>42248</v>
      </c>
      <c r="B11" s="2">
        <v>138.53729248046875</v>
      </c>
      <c r="C11" s="2">
        <v>143.09751892089844</v>
      </c>
      <c r="D11" s="2">
        <v>134.94264221191406</v>
      </c>
      <c r="E11" s="2">
        <v>138.59465026855469</v>
      </c>
      <c r="F11" s="2">
        <v>91.510017395019531</v>
      </c>
      <c r="G11" s="2">
        <v>85576713</v>
      </c>
      <c r="H11" s="2" t="s">
        <v>24</v>
      </c>
    </row>
    <row r="12" spans="1:8" x14ac:dyDescent="0.25">
      <c r="A12" s="11">
        <v>42278</v>
      </c>
      <c r="B12" s="2">
        <v>138.91969299316406</v>
      </c>
      <c r="C12" s="2">
        <v>146.4149169921875</v>
      </c>
      <c r="D12" s="2">
        <v>131.29063415527344</v>
      </c>
      <c r="E12" s="2">
        <v>133.91969299316406</v>
      </c>
      <c r="F12" s="2">
        <v>88.423294067382813</v>
      </c>
      <c r="G12" s="2">
        <v>126017790</v>
      </c>
      <c r="H12" s="2" t="s">
        <v>24</v>
      </c>
    </row>
    <row r="13" spans="1:8" x14ac:dyDescent="0.25">
      <c r="A13" s="11">
        <v>42309</v>
      </c>
      <c r="B13" s="2">
        <v>134.32122802734375</v>
      </c>
      <c r="C13" s="2">
        <v>136.52008056640625</v>
      </c>
      <c r="D13" s="2">
        <v>125.86042022705078</v>
      </c>
      <c r="E13" s="2">
        <v>133.28871154785156</v>
      </c>
      <c r="F13" s="2">
        <v>88.006683349609375</v>
      </c>
      <c r="G13" s="2">
        <v>89367101</v>
      </c>
      <c r="H13" s="2" t="s">
        <v>24</v>
      </c>
    </row>
    <row r="14" spans="1:8" x14ac:dyDescent="0.25">
      <c r="A14" s="11">
        <v>42339</v>
      </c>
      <c r="B14" s="2">
        <v>133.44168090820313</v>
      </c>
      <c r="C14" s="2">
        <v>135.181640625</v>
      </c>
      <c r="D14" s="2">
        <v>128.02102661132813</v>
      </c>
      <c r="E14" s="2">
        <v>131.56787109375</v>
      </c>
      <c r="F14" s="2">
        <v>87.685325622558594</v>
      </c>
      <c r="G14" s="2">
        <v>102174117</v>
      </c>
      <c r="H14" s="2" t="s">
        <v>24</v>
      </c>
    </row>
    <row r="15" spans="1:8" x14ac:dyDescent="0.25">
      <c r="A15" s="11">
        <v>42370</v>
      </c>
      <c r="B15" s="2">
        <v>129.63670349121094</v>
      </c>
      <c r="C15" s="2">
        <v>130.86997985839844</v>
      </c>
      <c r="D15" s="2">
        <v>112.81070709228516</v>
      </c>
      <c r="E15" s="2">
        <v>119.30210113525391</v>
      </c>
      <c r="F15" s="2">
        <v>79.5106201171875</v>
      </c>
      <c r="G15" s="2">
        <v>132039823</v>
      </c>
      <c r="H15" s="2" t="s">
        <v>24</v>
      </c>
    </row>
    <row r="16" spans="1:8" x14ac:dyDescent="0.25">
      <c r="A16" s="11">
        <v>42401</v>
      </c>
      <c r="B16" s="2">
        <v>118.92925262451172</v>
      </c>
      <c r="C16" s="2">
        <v>128.98661804199219</v>
      </c>
      <c r="D16" s="2">
        <v>111.75907897949219</v>
      </c>
      <c r="E16" s="2">
        <v>125.26768493652344</v>
      </c>
      <c r="F16" s="2">
        <v>83.486473083496094</v>
      </c>
      <c r="G16" s="2">
        <v>111624727</v>
      </c>
      <c r="H16" s="2" t="s">
        <v>24</v>
      </c>
    </row>
    <row r="17" spans="1:8" x14ac:dyDescent="0.25">
      <c r="A17" s="11">
        <v>42430</v>
      </c>
      <c r="B17" s="2">
        <v>126.42447662353516</v>
      </c>
      <c r="C17" s="2">
        <v>146.36711120605469</v>
      </c>
      <c r="D17" s="2">
        <v>126.22370910644531</v>
      </c>
      <c r="E17" s="2">
        <v>144.7896728515625</v>
      </c>
      <c r="F17" s="2">
        <v>97.48284912109375</v>
      </c>
      <c r="G17" s="2">
        <v>110611048</v>
      </c>
      <c r="H17" s="2" t="s">
        <v>24</v>
      </c>
    </row>
    <row r="18" spans="1:8" x14ac:dyDescent="0.25">
      <c r="A18" s="11">
        <v>42461</v>
      </c>
      <c r="B18" s="2">
        <v>143.89100646972656</v>
      </c>
      <c r="C18" s="2">
        <v>146.76864624023438</v>
      </c>
      <c r="D18" s="2">
        <v>136.33842468261719</v>
      </c>
      <c r="E18" s="2">
        <v>139.52198791503906</v>
      </c>
      <c r="F18" s="2">
        <v>93.936271667480469</v>
      </c>
      <c r="G18" s="2">
        <v>98828695</v>
      </c>
      <c r="H18" s="2" t="s">
        <v>24</v>
      </c>
    </row>
    <row r="19" spans="1:8" x14ac:dyDescent="0.25">
      <c r="A19" s="11">
        <v>42491</v>
      </c>
      <c r="B19" s="2">
        <v>140.11471557617188</v>
      </c>
      <c r="C19" s="2">
        <v>147.04588317871094</v>
      </c>
      <c r="D19" s="2">
        <v>136.61567687988281</v>
      </c>
      <c r="E19" s="2">
        <v>146.97897338867188</v>
      </c>
      <c r="F19" s="2">
        <v>98.956825256347656</v>
      </c>
      <c r="G19" s="2">
        <v>78710456</v>
      </c>
      <c r="H19" s="2" t="s">
        <v>24</v>
      </c>
    </row>
    <row r="20" spans="1:8" x14ac:dyDescent="0.25">
      <c r="A20" s="11">
        <v>42522</v>
      </c>
      <c r="B20" s="2">
        <v>146.27151489257813</v>
      </c>
      <c r="C20" s="2">
        <v>148.64244079589844</v>
      </c>
      <c r="D20" s="2">
        <v>136.2332763671875</v>
      </c>
      <c r="E20" s="2">
        <v>145.10516357421875</v>
      </c>
      <c r="F20" s="2">
        <v>98.638053894042969</v>
      </c>
      <c r="G20" s="2">
        <v>80514490</v>
      </c>
      <c r="H20" s="2" t="s">
        <v>24</v>
      </c>
    </row>
    <row r="21" spans="1:8" x14ac:dyDescent="0.25">
      <c r="A21" s="11">
        <v>42552</v>
      </c>
      <c r="B21" s="2">
        <v>145.10516357421875</v>
      </c>
      <c r="C21" s="2">
        <v>156.40534973144531</v>
      </c>
      <c r="D21" s="2">
        <v>143.32696533203125</v>
      </c>
      <c r="E21" s="2">
        <v>153.55641174316406</v>
      </c>
      <c r="F21" s="2">
        <v>104.38296508789063</v>
      </c>
      <c r="G21" s="2">
        <v>72618550</v>
      </c>
      <c r="H21" s="2" t="s">
        <v>24</v>
      </c>
    </row>
    <row r="22" spans="1:8" x14ac:dyDescent="0.25">
      <c r="A22" s="11">
        <v>42583</v>
      </c>
      <c r="B22" s="2">
        <v>153.5850830078125</v>
      </c>
      <c r="C22" s="2">
        <v>157.69598388671875</v>
      </c>
      <c r="D22" s="2">
        <v>150.90821838378906</v>
      </c>
      <c r="E22" s="2">
        <v>151.89292907714844</v>
      </c>
      <c r="F22" s="2">
        <v>103.25218200683594</v>
      </c>
      <c r="G22" s="2">
        <v>72912999</v>
      </c>
      <c r="H22" s="2" t="s">
        <v>24</v>
      </c>
    </row>
    <row r="23" spans="1:8" x14ac:dyDescent="0.25">
      <c r="A23" s="11">
        <v>42614</v>
      </c>
      <c r="B23" s="2">
        <v>151.35755920410156</v>
      </c>
      <c r="C23" s="2">
        <v>157.74378967285156</v>
      </c>
      <c r="D23" s="2">
        <v>146.47227478027344</v>
      </c>
      <c r="E23" s="2">
        <v>151.86424255371094</v>
      </c>
      <c r="F23" s="2">
        <v>104.12425231933594</v>
      </c>
      <c r="G23" s="2">
        <v>73154103</v>
      </c>
      <c r="H23" s="2" t="s">
        <v>24</v>
      </c>
    </row>
    <row r="24" spans="1:8" x14ac:dyDescent="0.25">
      <c r="A24" s="11">
        <v>42644</v>
      </c>
      <c r="B24" s="2">
        <v>151.10899353027344</v>
      </c>
      <c r="C24" s="2">
        <v>151.55831909179688</v>
      </c>
      <c r="D24" s="2">
        <v>141.29063415527344</v>
      </c>
      <c r="E24" s="2">
        <v>146.93116760253906</v>
      </c>
      <c r="F24" s="2">
        <v>100.74196624755859</v>
      </c>
      <c r="G24" s="2">
        <v>81930251</v>
      </c>
      <c r="H24" s="2" t="s">
        <v>24</v>
      </c>
    </row>
    <row r="25" spans="1:8" x14ac:dyDescent="0.25">
      <c r="A25" s="11">
        <v>42675</v>
      </c>
      <c r="B25" s="2">
        <v>146.74952697753906</v>
      </c>
      <c r="C25" s="2">
        <v>157.41873168945313</v>
      </c>
      <c r="D25" s="2">
        <v>144.35946655273438</v>
      </c>
      <c r="E25" s="2">
        <v>155.08604431152344</v>
      </c>
      <c r="F25" s="2">
        <v>106.33327484130859</v>
      </c>
      <c r="G25" s="2">
        <v>79850384</v>
      </c>
      <c r="H25" s="2" t="s">
        <v>24</v>
      </c>
    </row>
    <row r="26" spans="1:8" x14ac:dyDescent="0.25">
      <c r="A26" s="11">
        <v>42705</v>
      </c>
      <c r="B26" s="2">
        <v>154.82791137695313</v>
      </c>
      <c r="C26" s="2">
        <v>162.47610473632813</v>
      </c>
      <c r="D26" s="2">
        <v>151.33842468261719</v>
      </c>
      <c r="E26" s="2">
        <v>158.69024658203125</v>
      </c>
      <c r="F26" s="2">
        <v>109.79152679443359</v>
      </c>
      <c r="G26" s="2">
        <v>72666039</v>
      </c>
      <c r="H26" s="2" t="s">
        <v>24</v>
      </c>
    </row>
    <row r="27" spans="1:8" x14ac:dyDescent="0.25">
      <c r="A27" s="11">
        <v>42736</v>
      </c>
      <c r="B27" s="2">
        <v>159.65583801269531</v>
      </c>
      <c r="C27" s="2">
        <v>171.36711120605469</v>
      </c>
      <c r="D27" s="2">
        <v>158.06883239746094</v>
      </c>
      <c r="E27" s="2">
        <v>166.84512329101563</v>
      </c>
      <c r="F27" s="2">
        <v>115.43356323242188</v>
      </c>
      <c r="G27" s="2">
        <v>92847665</v>
      </c>
      <c r="H27" s="2" t="s">
        <v>24</v>
      </c>
    </row>
    <row r="28" spans="1:8" x14ac:dyDescent="0.25">
      <c r="A28" s="11">
        <v>42767</v>
      </c>
      <c r="B28" s="2">
        <v>167.30401611328125</v>
      </c>
      <c r="C28" s="2">
        <v>174.75143432617188</v>
      </c>
      <c r="D28" s="2">
        <v>165.28680419921875</v>
      </c>
      <c r="E28" s="2">
        <v>171.91204833984375</v>
      </c>
      <c r="F28" s="2">
        <v>118.93918609619141</v>
      </c>
      <c r="G28" s="2">
        <v>62572348</v>
      </c>
      <c r="H28" s="2" t="s">
        <v>24</v>
      </c>
    </row>
    <row r="29" spans="1:8" x14ac:dyDescent="0.25">
      <c r="A29" s="11">
        <v>42795</v>
      </c>
      <c r="B29" s="2">
        <v>172.54301452636719</v>
      </c>
      <c r="C29" s="2">
        <v>174.52198791503906</v>
      </c>
      <c r="D29" s="2">
        <v>164.52198791503906</v>
      </c>
      <c r="E29" s="2">
        <v>166.48184204101563</v>
      </c>
      <c r="F29" s="2">
        <v>116.09292602539063</v>
      </c>
      <c r="G29" s="2">
        <v>83132942</v>
      </c>
      <c r="H29" s="2" t="s">
        <v>24</v>
      </c>
    </row>
    <row r="30" spans="1:8" x14ac:dyDescent="0.25">
      <c r="A30" s="11">
        <v>42826</v>
      </c>
      <c r="B30" s="2">
        <v>166.1759033203125</v>
      </c>
      <c r="C30" s="2">
        <v>168.57553100585938</v>
      </c>
      <c r="D30" s="2">
        <v>152.58126831054688</v>
      </c>
      <c r="E30" s="2">
        <v>153.24092102050781</v>
      </c>
      <c r="F30" s="2">
        <v>106.85964965820313</v>
      </c>
      <c r="G30" s="2">
        <v>104654705</v>
      </c>
      <c r="H30" s="2" t="s">
        <v>24</v>
      </c>
    </row>
    <row r="31" spans="1:8" x14ac:dyDescent="0.25">
      <c r="A31" s="11">
        <v>42856</v>
      </c>
      <c r="B31" s="2">
        <v>153.011474609375</v>
      </c>
      <c r="C31" s="2">
        <v>153.36520385742188</v>
      </c>
      <c r="D31" s="2">
        <v>143.20268249511719</v>
      </c>
      <c r="E31" s="2">
        <v>145.91778564453125</v>
      </c>
      <c r="F31" s="2">
        <v>101.75300598144531</v>
      </c>
      <c r="G31" s="2">
        <v>108082238</v>
      </c>
      <c r="H31" s="2" t="s">
        <v>24</v>
      </c>
    </row>
    <row r="32" spans="1:8" x14ac:dyDescent="0.25">
      <c r="A32" s="11">
        <v>42887</v>
      </c>
      <c r="B32" s="2">
        <v>146.08030700683594</v>
      </c>
      <c r="C32" s="2">
        <v>150.28680419921875</v>
      </c>
      <c r="D32" s="2">
        <v>144.16825866699219</v>
      </c>
      <c r="E32" s="2">
        <v>147.06500244140625</v>
      </c>
      <c r="F32" s="2">
        <v>103.55481719970703</v>
      </c>
      <c r="G32" s="2">
        <v>87839942</v>
      </c>
      <c r="H32" s="2" t="s">
        <v>24</v>
      </c>
    </row>
    <row r="33" spans="1:8" x14ac:dyDescent="0.25">
      <c r="A33" s="11">
        <v>42917</v>
      </c>
      <c r="B33" s="2">
        <v>146.82600402832031</v>
      </c>
      <c r="C33" s="2">
        <v>149.16825866699219</v>
      </c>
      <c r="D33" s="2">
        <v>137.32313537597656</v>
      </c>
      <c r="E33" s="2">
        <v>138.30784606933594</v>
      </c>
      <c r="F33" s="2">
        <v>97.388511657714844</v>
      </c>
      <c r="G33" s="2">
        <v>97585001</v>
      </c>
      <c r="H33" s="2" t="s">
        <v>24</v>
      </c>
    </row>
    <row r="34" spans="1:8" x14ac:dyDescent="0.25">
      <c r="A34" s="11">
        <v>42948</v>
      </c>
      <c r="B34" s="2">
        <v>138.62332153320313</v>
      </c>
      <c r="C34" s="2">
        <v>139.26385498046875</v>
      </c>
      <c r="D34" s="2">
        <v>133.011474609375</v>
      </c>
      <c r="E34" s="2">
        <v>136.73995971679688</v>
      </c>
      <c r="F34" s="2">
        <v>96.284515380859375</v>
      </c>
      <c r="G34" s="2">
        <v>83937837</v>
      </c>
      <c r="H34" s="2" t="s">
        <v>24</v>
      </c>
    </row>
    <row r="35" spans="1:8" x14ac:dyDescent="0.25">
      <c r="A35" s="11">
        <v>42979</v>
      </c>
      <c r="B35" s="2">
        <v>136.69215393066406</v>
      </c>
      <c r="C35" s="2">
        <v>140.93690490722656</v>
      </c>
      <c r="D35" s="2">
        <v>135.41108703613281</v>
      </c>
      <c r="E35" s="2">
        <v>138.69981384277344</v>
      </c>
      <c r="F35" s="2">
        <v>98.696403503417969</v>
      </c>
      <c r="G35" s="2">
        <v>81898348</v>
      </c>
      <c r="H35" s="2" t="s">
        <v>24</v>
      </c>
    </row>
    <row r="36" spans="1:8" x14ac:dyDescent="0.25">
      <c r="A36" s="11">
        <v>43009</v>
      </c>
      <c r="B36" s="2">
        <v>138.95793151855469</v>
      </c>
      <c r="C36" s="2">
        <v>155.36329650878906</v>
      </c>
      <c r="D36" s="2">
        <v>138.8240966796875</v>
      </c>
      <c r="E36" s="2">
        <v>147.28489685058594</v>
      </c>
      <c r="F36" s="2">
        <v>104.80545806884766</v>
      </c>
      <c r="G36" s="2">
        <v>131111497</v>
      </c>
      <c r="H36" s="2" t="s">
        <v>24</v>
      </c>
    </row>
    <row r="37" spans="1:8" x14ac:dyDescent="0.25">
      <c r="A37" s="11">
        <v>43040</v>
      </c>
      <c r="B37" s="2">
        <v>147.32313537597656</v>
      </c>
      <c r="C37" s="2">
        <v>148.08795166015625</v>
      </c>
      <c r="D37" s="2">
        <v>139.78012084960938</v>
      </c>
      <c r="E37" s="2">
        <v>147.1988525390625</v>
      </c>
      <c r="F37" s="2">
        <v>104.74417114257813</v>
      </c>
      <c r="G37" s="2">
        <v>93905278</v>
      </c>
      <c r="H37" s="2" t="s">
        <v>24</v>
      </c>
    </row>
    <row r="38" spans="1:8" x14ac:dyDescent="0.25">
      <c r="A38" s="11">
        <v>43070</v>
      </c>
      <c r="B38" s="2">
        <v>147.60993957519531</v>
      </c>
      <c r="C38" s="2">
        <v>150.90821838378906</v>
      </c>
      <c r="D38" s="2">
        <v>144.82791137695313</v>
      </c>
      <c r="E38" s="2">
        <v>146.67303466796875</v>
      </c>
      <c r="F38" s="2">
        <v>105.41323089599609</v>
      </c>
      <c r="G38" s="2">
        <v>92872353</v>
      </c>
      <c r="H38" s="2" t="s">
        <v>24</v>
      </c>
    </row>
    <row r="39" spans="1:8" x14ac:dyDescent="0.25">
      <c r="A39" s="11">
        <v>43101</v>
      </c>
      <c r="B39" s="2">
        <v>147.70555114746094</v>
      </c>
      <c r="C39" s="2">
        <v>163.60420227050781</v>
      </c>
      <c r="D39" s="2">
        <v>146.78776550292969</v>
      </c>
      <c r="E39" s="2">
        <v>156.50096130371094</v>
      </c>
      <c r="F39" s="2">
        <v>112.4765625</v>
      </c>
      <c r="G39" s="2">
        <v>151760375</v>
      </c>
      <c r="H39" s="2" t="s">
        <v>24</v>
      </c>
    </row>
    <row r="40" spans="1:8" x14ac:dyDescent="0.25">
      <c r="A40" s="11">
        <v>43132</v>
      </c>
      <c r="B40" s="2">
        <v>156.01338195800781</v>
      </c>
      <c r="C40" s="2">
        <v>156.91204833984375</v>
      </c>
      <c r="D40" s="2">
        <v>138.04971313476563</v>
      </c>
      <c r="E40" s="2">
        <v>148.97705078125</v>
      </c>
      <c r="F40" s="2">
        <v>107.06912231445313</v>
      </c>
      <c r="G40" s="2">
        <v>107073687</v>
      </c>
      <c r="H40" s="2" t="s">
        <v>24</v>
      </c>
    </row>
    <row r="41" spans="1:8" x14ac:dyDescent="0.25">
      <c r="A41" s="11">
        <v>43160</v>
      </c>
      <c r="B41" s="2">
        <v>148.69024658203125</v>
      </c>
      <c r="C41" s="2">
        <v>154.98088073730469</v>
      </c>
      <c r="D41" s="2">
        <v>142.00764465332031</v>
      </c>
      <c r="E41" s="2">
        <v>146.68260192871094</v>
      </c>
      <c r="F41" s="2">
        <v>106.45805358886719</v>
      </c>
      <c r="G41" s="2">
        <v>98655478</v>
      </c>
      <c r="H41" s="2" t="s">
        <v>24</v>
      </c>
    </row>
    <row r="42" spans="1:8" x14ac:dyDescent="0.25">
      <c r="A42" s="11">
        <v>43191</v>
      </c>
      <c r="B42" s="2">
        <v>146.5965576171875</v>
      </c>
      <c r="C42" s="2">
        <v>154.87571716308594</v>
      </c>
      <c r="D42" s="2">
        <v>137.7724609375</v>
      </c>
      <c r="E42" s="2">
        <v>138.5850830078125</v>
      </c>
      <c r="F42" s="2">
        <v>100.58109283447266</v>
      </c>
      <c r="G42" s="2">
        <v>128391583</v>
      </c>
      <c r="H42" s="2" t="s">
        <v>24</v>
      </c>
    </row>
    <row r="43" spans="1:8" x14ac:dyDescent="0.25">
      <c r="A43" s="11">
        <v>43221</v>
      </c>
      <c r="B43" s="2">
        <v>138.28871154785156</v>
      </c>
      <c r="C43" s="2">
        <v>139.77055358886719</v>
      </c>
      <c r="D43" s="2">
        <v>133.74760437011719</v>
      </c>
      <c r="E43" s="2">
        <v>135.09559631347656</v>
      </c>
      <c r="F43" s="2">
        <v>98.048530578613281</v>
      </c>
      <c r="G43" s="2">
        <v>92898293</v>
      </c>
      <c r="H43" s="2" t="s">
        <v>24</v>
      </c>
    </row>
    <row r="44" spans="1:8" x14ac:dyDescent="0.25">
      <c r="A44" s="11">
        <v>43252</v>
      </c>
      <c r="B44" s="2">
        <v>136.16635131835938</v>
      </c>
      <c r="C44" s="2">
        <v>141.03250122070313</v>
      </c>
      <c r="D44" s="2">
        <v>131.40534973144531</v>
      </c>
      <c r="E44" s="2">
        <v>133.55641174316406</v>
      </c>
      <c r="F44" s="2">
        <v>98.007453918457031</v>
      </c>
      <c r="G44" s="2">
        <v>93932265</v>
      </c>
      <c r="H44" s="2" t="s">
        <v>24</v>
      </c>
    </row>
    <row r="45" spans="1:8" x14ac:dyDescent="0.25">
      <c r="A45" s="11">
        <v>43282</v>
      </c>
      <c r="B45" s="2">
        <v>132.1988525390625</v>
      </c>
      <c r="C45" s="2">
        <v>143.91969299316406</v>
      </c>
      <c r="D45" s="2">
        <v>132.12237548828125</v>
      </c>
      <c r="E45" s="2">
        <v>138.55641174316406</v>
      </c>
      <c r="F45" s="2">
        <v>101.67658996582031</v>
      </c>
      <c r="G45" s="2">
        <v>99321884</v>
      </c>
      <c r="H45" s="2" t="s">
        <v>24</v>
      </c>
    </row>
    <row r="46" spans="1:8" x14ac:dyDescent="0.25">
      <c r="A46" s="11">
        <v>43313</v>
      </c>
      <c r="B46" s="2">
        <v>138.39387512207031</v>
      </c>
      <c r="C46" s="2">
        <v>141.42446899414063</v>
      </c>
      <c r="D46" s="2">
        <v>135.75526428222656</v>
      </c>
      <c r="E46" s="2">
        <v>140.03823852539063</v>
      </c>
      <c r="F46" s="2">
        <v>102.76398468017578</v>
      </c>
      <c r="G46" s="2">
        <v>82838075</v>
      </c>
      <c r="H46" s="2" t="s">
        <v>24</v>
      </c>
    </row>
    <row r="47" spans="1:8" x14ac:dyDescent="0.25">
      <c r="A47" s="11">
        <v>43344</v>
      </c>
      <c r="B47" s="2">
        <v>139.56022644042969</v>
      </c>
      <c r="C47" s="2">
        <v>146.60612487792969</v>
      </c>
      <c r="D47" s="2">
        <v>138.44168090820313</v>
      </c>
      <c r="E47" s="2">
        <v>144.56022644042969</v>
      </c>
      <c r="F47" s="2">
        <v>107.22846221923828</v>
      </c>
      <c r="G47" s="2">
        <v>100277823</v>
      </c>
      <c r="H47" s="2" t="s">
        <v>24</v>
      </c>
    </row>
    <row r="48" spans="1:8" x14ac:dyDescent="0.25">
      <c r="A48" s="11">
        <v>43374</v>
      </c>
      <c r="B48" s="2">
        <v>145.03823852539063</v>
      </c>
      <c r="C48" s="2">
        <v>147.57170104980469</v>
      </c>
      <c r="D48" s="2">
        <v>109.07265472412109</v>
      </c>
      <c r="E48" s="2">
        <v>110.35372924804688</v>
      </c>
      <c r="F48" s="2">
        <v>81.855552673339844</v>
      </c>
      <c r="G48" s="2">
        <v>207205277</v>
      </c>
      <c r="H48" s="2" t="s">
        <v>24</v>
      </c>
    </row>
    <row r="49" spans="1:8" x14ac:dyDescent="0.25">
      <c r="A49" s="11">
        <v>43405</v>
      </c>
      <c r="B49" s="2">
        <v>110.42064666748047</v>
      </c>
      <c r="C49" s="2">
        <v>119.56022644042969</v>
      </c>
      <c r="D49" s="2">
        <v>109.50286865234375</v>
      </c>
      <c r="E49" s="2">
        <v>118.80496978759766</v>
      </c>
      <c r="F49" s="2">
        <v>88.124336242675781</v>
      </c>
      <c r="G49" s="2">
        <v>148237970</v>
      </c>
      <c r="H49" s="2" t="s">
        <v>24</v>
      </c>
    </row>
    <row r="50" spans="1:8" x14ac:dyDescent="0.25">
      <c r="A50" s="11">
        <v>43435</v>
      </c>
      <c r="B50" s="2">
        <v>120.14340209960938</v>
      </c>
      <c r="C50" s="2">
        <v>121.02294158935547</v>
      </c>
      <c r="D50" s="2">
        <v>101.28107452392578</v>
      </c>
      <c r="E50" s="2">
        <v>108.67112731933594</v>
      </c>
      <c r="F50" s="2">
        <v>81.634109497070313</v>
      </c>
      <c r="G50" s="2">
        <v>120921889</v>
      </c>
      <c r="H50" s="2" t="s">
        <v>24</v>
      </c>
    </row>
    <row r="51" spans="1:8" x14ac:dyDescent="0.25">
      <c r="A51" s="11">
        <v>43466</v>
      </c>
      <c r="B51" s="2">
        <v>107.08412933349609</v>
      </c>
      <c r="C51" s="2">
        <v>129.45506286621094</v>
      </c>
      <c r="D51" s="2">
        <v>106.77820587158203</v>
      </c>
      <c r="E51" s="2">
        <v>128.50860595703125</v>
      </c>
      <c r="F51" s="2">
        <v>96.536109924316406</v>
      </c>
      <c r="G51" s="2">
        <v>125924904</v>
      </c>
      <c r="H51" s="2" t="s">
        <v>24</v>
      </c>
    </row>
    <row r="52" spans="1:8" x14ac:dyDescent="0.25">
      <c r="A52" s="11">
        <v>43497</v>
      </c>
      <c r="B52" s="2">
        <v>129.034423828125</v>
      </c>
      <c r="C52" s="2">
        <v>134.31166076660156</v>
      </c>
      <c r="D52" s="2">
        <v>126.30975341796875</v>
      </c>
      <c r="E52" s="2">
        <v>132.05545043945313</v>
      </c>
      <c r="F52" s="2">
        <v>99.200508117675781</v>
      </c>
      <c r="G52" s="2">
        <v>71610414</v>
      </c>
      <c r="H52" s="2" t="s">
        <v>24</v>
      </c>
    </row>
    <row r="53" spans="1:8" x14ac:dyDescent="0.25">
      <c r="A53" s="11">
        <v>43525</v>
      </c>
      <c r="B53" s="2">
        <v>133.18356323242188</v>
      </c>
      <c r="C53" s="2">
        <v>135.86997985839844</v>
      </c>
      <c r="D53" s="2">
        <v>127.70554351806641</v>
      </c>
      <c r="E53" s="2">
        <v>134.89483642578125</v>
      </c>
      <c r="F53" s="2">
        <v>102.51412963867188</v>
      </c>
      <c r="G53" s="2">
        <v>78122915</v>
      </c>
      <c r="H53" s="2" t="s">
        <v>24</v>
      </c>
    </row>
    <row r="54" spans="1:8" x14ac:dyDescent="0.25">
      <c r="A54" s="11">
        <v>43556</v>
      </c>
      <c r="B54" s="2">
        <v>135.28680419921875</v>
      </c>
      <c r="C54" s="2">
        <v>138.99617004394531</v>
      </c>
      <c r="D54" s="2">
        <v>130.26768493652344</v>
      </c>
      <c r="E54" s="2">
        <v>134.10133361816406</v>
      </c>
      <c r="F54" s="2">
        <v>101.91110992431641</v>
      </c>
      <c r="G54" s="2">
        <v>83886585</v>
      </c>
      <c r="H54" s="2" t="s">
        <v>24</v>
      </c>
    </row>
    <row r="55" spans="1:8" x14ac:dyDescent="0.25">
      <c r="A55" s="11">
        <v>43586</v>
      </c>
      <c r="B55" s="2">
        <v>134.3690185546875</v>
      </c>
      <c r="C55" s="2">
        <v>135.5736083984375</v>
      </c>
      <c r="D55" s="2">
        <v>121.27150726318359</v>
      </c>
      <c r="E55" s="2">
        <v>121.40535736083984</v>
      </c>
      <c r="F55" s="2">
        <v>92.262718200683594</v>
      </c>
      <c r="G55" s="2">
        <v>79011074</v>
      </c>
      <c r="H55" s="2" t="s">
        <v>24</v>
      </c>
    </row>
    <row r="56" spans="1:8" x14ac:dyDescent="0.25">
      <c r="A56" s="11">
        <v>43617</v>
      </c>
      <c r="B56" s="2">
        <v>121.51051330566406</v>
      </c>
      <c r="C56" s="2">
        <v>133.98661804199219</v>
      </c>
      <c r="D56" s="2">
        <v>121.47227478027344</v>
      </c>
      <c r="E56" s="2">
        <v>131.8355712890625</v>
      </c>
      <c r="F56" s="2">
        <v>101.37931823730469</v>
      </c>
      <c r="G56" s="2">
        <v>64163313</v>
      </c>
      <c r="H56" s="2" t="s">
        <v>24</v>
      </c>
    </row>
    <row r="57" spans="1:8" x14ac:dyDescent="0.25">
      <c r="A57" s="11">
        <v>43647</v>
      </c>
      <c r="B57" s="2">
        <v>133.46080017089844</v>
      </c>
      <c r="C57" s="2">
        <v>145.25813293457031</v>
      </c>
      <c r="D57" s="2">
        <v>133.011474609375</v>
      </c>
      <c r="E57" s="2">
        <v>141.72084045410156</v>
      </c>
      <c r="F57" s="2">
        <v>108.98094177246094</v>
      </c>
      <c r="G57" s="2">
        <v>83848718</v>
      </c>
      <c r="H57" s="2" t="s">
        <v>24</v>
      </c>
    </row>
    <row r="58" spans="1:8" x14ac:dyDescent="0.25">
      <c r="A58" s="11">
        <v>43678</v>
      </c>
      <c r="B58" s="2">
        <v>142.35182189941406</v>
      </c>
      <c r="C58" s="2">
        <v>146.22370910644531</v>
      </c>
      <c r="D58" s="2">
        <v>123.16443634033203</v>
      </c>
      <c r="E58" s="2">
        <v>129.56979370117188</v>
      </c>
      <c r="F58" s="2">
        <v>99.636978149414063</v>
      </c>
      <c r="G58" s="2">
        <v>100678127</v>
      </c>
      <c r="H58" s="2" t="s">
        <v>24</v>
      </c>
    </row>
    <row r="59" spans="1:8" x14ac:dyDescent="0.25">
      <c r="A59" s="11">
        <v>43709</v>
      </c>
      <c r="B59" s="2">
        <v>128.91969299316406</v>
      </c>
      <c r="C59" s="2">
        <v>140.12428283691406</v>
      </c>
      <c r="D59" s="2">
        <v>127.46653747558594</v>
      </c>
      <c r="E59" s="2">
        <v>139.02485656738281</v>
      </c>
      <c r="F59" s="2">
        <v>108.16740417480469</v>
      </c>
      <c r="G59" s="2">
        <v>64655351</v>
      </c>
      <c r="H59" s="2" t="s">
        <v>24</v>
      </c>
    </row>
    <row r="60" spans="1:8" x14ac:dyDescent="0.25">
      <c r="A60" s="11">
        <v>43739</v>
      </c>
      <c r="B60" s="2">
        <v>139.1873779296875</v>
      </c>
      <c r="C60" s="2">
        <v>140.86997985839844</v>
      </c>
      <c r="D60" s="2">
        <v>125.14340209960938</v>
      </c>
      <c r="E60" s="2">
        <v>127.84894561767578</v>
      </c>
      <c r="F60" s="2">
        <v>99.472076416015625</v>
      </c>
      <c r="G60" s="2">
        <v>95625532</v>
      </c>
      <c r="H60" s="2" t="s">
        <v>24</v>
      </c>
    </row>
    <row r="61" spans="1:8" x14ac:dyDescent="0.25">
      <c r="A61" s="11">
        <v>43770</v>
      </c>
      <c r="B61" s="2">
        <v>128.5850830078125</v>
      </c>
      <c r="C61" s="2">
        <v>133.02102661132813</v>
      </c>
      <c r="D61" s="2">
        <v>126.91204833984375</v>
      </c>
      <c r="E61" s="2">
        <v>128.53729248046875</v>
      </c>
      <c r="F61" s="2">
        <v>100.00763702392578</v>
      </c>
      <c r="G61" s="2">
        <v>67751825</v>
      </c>
      <c r="H61" s="2" t="s">
        <v>24</v>
      </c>
    </row>
    <row r="62" spans="1:8" x14ac:dyDescent="0.25">
      <c r="A62" s="11">
        <v>43800</v>
      </c>
      <c r="B62" s="2">
        <v>128.53729248046875</v>
      </c>
      <c r="C62" s="2">
        <v>130.420654296875</v>
      </c>
      <c r="D62" s="2">
        <v>124.94264221191406</v>
      </c>
      <c r="E62" s="2">
        <v>128.14530944824219</v>
      </c>
      <c r="F62" s="2">
        <v>100.88026428222656</v>
      </c>
      <c r="G62" s="2">
        <v>75159179</v>
      </c>
      <c r="H62" s="2" t="s">
        <v>24</v>
      </c>
    </row>
    <row r="63" spans="1:8" x14ac:dyDescent="0.25">
      <c r="A63" s="11">
        <v>43831</v>
      </c>
      <c r="B63" s="2">
        <v>129.06309509277344</v>
      </c>
      <c r="C63" s="2">
        <v>139.37858581542969</v>
      </c>
      <c r="D63" s="2">
        <v>127.34225463867188</v>
      </c>
      <c r="E63" s="2">
        <v>137.4091796875</v>
      </c>
      <c r="F63" s="2">
        <v>108.17307281494141</v>
      </c>
      <c r="G63" s="2">
        <v>118459187</v>
      </c>
      <c r="H63" s="2" t="s">
        <v>24</v>
      </c>
    </row>
    <row r="64" spans="1:8" x14ac:dyDescent="0.25">
      <c r="A64" s="11">
        <v>43862</v>
      </c>
      <c r="B64" s="2">
        <v>137.90631103515625</v>
      </c>
      <c r="C64" s="2">
        <v>151.76864624023438</v>
      </c>
      <c r="D64" s="2">
        <v>120.80306243896484</v>
      </c>
      <c r="E64" s="2">
        <v>124.42638397216797</v>
      </c>
      <c r="F64" s="2">
        <v>97.952583312988281</v>
      </c>
      <c r="G64" s="2">
        <v>123581342</v>
      </c>
      <c r="H64" s="2" t="s">
        <v>24</v>
      </c>
    </row>
    <row r="65" spans="1:8" x14ac:dyDescent="0.25">
      <c r="A65" s="11">
        <v>43891</v>
      </c>
      <c r="B65" s="2">
        <v>125</v>
      </c>
      <c r="C65" s="2">
        <v>130.11471557617188</v>
      </c>
      <c r="D65" s="2">
        <v>86.577438354492188</v>
      </c>
      <c r="E65" s="2">
        <v>106.05162811279297</v>
      </c>
      <c r="F65" s="2">
        <v>84.359146118164063</v>
      </c>
      <c r="G65" s="2">
        <v>198819809</v>
      </c>
      <c r="H65" s="2" t="s">
        <v>24</v>
      </c>
    </row>
    <row r="66" spans="1:8" x14ac:dyDescent="0.25">
      <c r="A66" s="11">
        <v>43922</v>
      </c>
      <c r="B66" s="2">
        <v>101.68260192871094</v>
      </c>
      <c r="C66" s="2">
        <v>123.62332916259766</v>
      </c>
      <c r="D66" s="2">
        <v>99.923515319824219</v>
      </c>
      <c r="E66" s="2">
        <v>120.03823852539063</v>
      </c>
      <c r="F66" s="2">
        <v>95.48486328125</v>
      </c>
      <c r="G66" s="2">
        <v>136705925</v>
      </c>
      <c r="H66" s="2" t="s">
        <v>24</v>
      </c>
    </row>
    <row r="67" spans="1:8" x14ac:dyDescent="0.25">
      <c r="A67" s="11">
        <v>43952</v>
      </c>
      <c r="B67" s="2">
        <v>117.77246856689453</v>
      </c>
      <c r="C67" s="2">
        <v>121.38623046875</v>
      </c>
      <c r="D67" s="2">
        <v>106.89292144775391</v>
      </c>
      <c r="E67" s="2">
        <v>119.40726470947266</v>
      </c>
      <c r="F67" s="2">
        <v>94.982940673828125</v>
      </c>
      <c r="G67" s="2">
        <v>97154572</v>
      </c>
      <c r="H67" s="2" t="s">
        <v>24</v>
      </c>
    </row>
    <row r="68" spans="1:8" x14ac:dyDescent="0.25">
      <c r="A68" s="11">
        <v>43983</v>
      </c>
      <c r="B68" s="2">
        <v>119.15869903564453</v>
      </c>
      <c r="C68" s="2">
        <v>129.90440368652344</v>
      </c>
      <c r="D68" s="2">
        <v>110.783935546875</v>
      </c>
      <c r="E68" s="2">
        <v>115.45889282226563</v>
      </c>
      <c r="F68" s="2">
        <v>93.07391357421875</v>
      </c>
      <c r="G68" s="2">
        <v>126567676</v>
      </c>
      <c r="H68" s="2" t="s">
        <v>24</v>
      </c>
    </row>
    <row r="69" spans="1:8" x14ac:dyDescent="0.25">
      <c r="A69" s="11">
        <v>44013</v>
      </c>
      <c r="B69" s="2">
        <v>114.98088073730469</v>
      </c>
      <c r="C69" s="2">
        <v>126.35755157470703</v>
      </c>
      <c r="D69" s="2">
        <v>110.13384246826172</v>
      </c>
      <c r="E69" s="2">
        <v>117.53346252441406</v>
      </c>
      <c r="F69" s="2">
        <v>94.74627685546875</v>
      </c>
      <c r="G69" s="2">
        <v>119434686</v>
      </c>
      <c r="H69" s="2" t="s">
        <v>24</v>
      </c>
    </row>
    <row r="70" spans="1:8" x14ac:dyDescent="0.25">
      <c r="A70" s="11">
        <v>44044</v>
      </c>
      <c r="B70" s="2">
        <v>118.06883239746094</v>
      </c>
      <c r="C70" s="2">
        <v>124.73231506347656</v>
      </c>
      <c r="D70" s="2">
        <v>116.77820587158203</v>
      </c>
      <c r="E70" s="2">
        <v>117.88719177246094</v>
      </c>
      <c r="F70" s="2">
        <v>95.031417846679688</v>
      </c>
      <c r="G70" s="2">
        <v>77439042</v>
      </c>
      <c r="H70" s="2" t="s">
        <v>24</v>
      </c>
    </row>
    <row r="71" spans="1:8" x14ac:dyDescent="0.25">
      <c r="A71" s="11">
        <v>44075</v>
      </c>
      <c r="B71" s="2">
        <v>117.44741821289063</v>
      </c>
      <c r="C71" s="2">
        <v>124.23518371582031</v>
      </c>
      <c r="D71" s="2">
        <v>111.35755157470703</v>
      </c>
      <c r="E71" s="2">
        <v>116.31931304931641</v>
      </c>
      <c r="F71" s="2">
        <v>94.995254516601563</v>
      </c>
      <c r="G71" s="2">
        <v>88369845</v>
      </c>
      <c r="H71" s="2" t="s">
        <v>24</v>
      </c>
    </row>
    <row r="72" spans="1:8" x14ac:dyDescent="0.25">
      <c r="A72" s="11">
        <v>44105</v>
      </c>
      <c r="B72" s="2">
        <v>116.97896575927734</v>
      </c>
      <c r="C72" s="2">
        <v>129.54110717773438</v>
      </c>
      <c r="D72" s="2">
        <v>101.26194763183594</v>
      </c>
      <c r="E72" s="2">
        <v>106.74951934814453</v>
      </c>
      <c r="F72" s="2">
        <v>87.179832458496094</v>
      </c>
      <c r="G72" s="2">
        <v>166434813</v>
      </c>
      <c r="H72" s="2" t="s">
        <v>24</v>
      </c>
    </row>
    <row r="73" spans="1:8" x14ac:dyDescent="0.25">
      <c r="A73" s="11">
        <v>44136</v>
      </c>
      <c r="B73" s="2">
        <v>107.69598388671875</v>
      </c>
      <c r="C73" s="2">
        <v>119.79923248291016</v>
      </c>
      <c r="D73" s="2">
        <v>106.27150726318359</v>
      </c>
      <c r="E73" s="2">
        <v>118.08795166015625</v>
      </c>
      <c r="F73" s="2">
        <v>96.439659118652344</v>
      </c>
      <c r="G73" s="2">
        <v>108438088</v>
      </c>
      <c r="H73" s="2" t="s">
        <v>24</v>
      </c>
    </row>
    <row r="74" spans="1:8" x14ac:dyDescent="0.25">
      <c r="A74" s="11">
        <v>44166</v>
      </c>
      <c r="B74" s="2">
        <v>118.45124053955078</v>
      </c>
      <c r="C74" s="2">
        <v>122.07456970214844</v>
      </c>
      <c r="D74" s="2">
        <v>116.36711120605469</v>
      </c>
      <c r="E74" s="2">
        <v>120.34416961669922</v>
      </c>
      <c r="F74" s="2">
        <v>99.7073974609375</v>
      </c>
      <c r="G74" s="2">
        <v>107553067</v>
      </c>
      <c r="H74" s="2" t="s">
        <v>24</v>
      </c>
    </row>
    <row r="75" spans="1:8" x14ac:dyDescent="0.25">
      <c r="A75" s="11">
        <v>44197</v>
      </c>
      <c r="B75" s="2">
        <v>120.31549072265625</v>
      </c>
      <c r="C75" s="2">
        <v>126.42447662353516</v>
      </c>
      <c r="D75" s="2">
        <v>112.1988525390625</v>
      </c>
      <c r="E75" s="2">
        <v>113.87189483642578</v>
      </c>
      <c r="F75" s="2">
        <v>94.345001220703125</v>
      </c>
      <c r="G75" s="2">
        <v>183999975</v>
      </c>
      <c r="H75" s="2" t="s">
        <v>24</v>
      </c>
    </row>
    <row r="76" spans="1:8" x14ac:dyDescent="0.25">
      <c r="A76" s="11">
        <v>44228</v>
      </c>
      <c r="B76" s="2">
        <v>114.62715148925781</v>
      </c>
      <c r="C76" s="2">
        <v>118.88145446777344</v>
      </c>
      <c r="D76" s="2">
        <v>112.92543029785156</v>
      </c>
      <c r="E76" s="2">
        <v>113.69980621337891</v>
      </c>
      <c r="F76" s="2">
        <v>94.202430725097656</v>
      </c>
      <c r="G76" s="2">
        <v>111617824</v>
      </c>
      <c r="H76" s="2" t="s">
        <v>24</v>
      </c>
    </row>
    <row r="77" spans="1:8" x14ac:dyDescent="0.25">
      <c r="A77" s="11">
        <v>44256</v>
      </c>
      <c r="B77" s="2">
        <v>115.05735778808594</v>
      </c>
      <c r="C77" s="2">
        <v>131.04206848144531</v>
      </c>
      <c r="D77" s="2">
        <v>113.53728485107422</v>
      </c>
      <c r="E77" s="2">
        <v>127.39962005615234</v>
      </c>
      <c r="F77" s="2">
        <v>106.96345520019531</v>
      </c>
      <c r="G77" s="2">
        <v>133852331</v>
      </c>
      <c r="H77" s="2" t="s">
        <v>24</v>
      </c>
    </row>
    <row r="78" spans="1:8" x14ac:dyDescent="0.25">
      <c r="A78" s="11">
        <v>44287</v>
      </c>
      <c r="B78" s="2">
        <v>127.87763214111328</v>
      </c>
      <c r="C78" s="2">
        <v>142.1988525390625</v>
      </c>
      <c r="D78" s="2">
        <v>124.64627075195313</v>
      </c>
      <c r="E78" s="2">
        <v>135.64053344726563</v>
      </c>
      <c r="F78" s="2">
        <v>113.88243865966797</v>
      </c>
      <c r="G78" s="2">
        <v>128573588</v>
      </c>
      <c r="H78" s="2" t="s">
        <v>24</v>
      </c>
    </row>
    <row r="79" spans="1:8" x14ac:dyDescent="0.25">
      <c r="A79" s="11">
        <v>44317</v>
      </c>
      <c r="B79" s="2">
        <v>137.48565673828125</v>
      </c>
      <c r="C79" s="2">
        <v>141.97897338867188</v>
      </c>
      <c r="D79" s="2">
        <v>134.72274780273438</v>
      </c>
      <c r="E79" s="2">
        <v>137.41873168945313</v>
      </c>
      <c r="F79" s="2">
        <v>115.37540435791016</v>
      </c>
      <c r="G79" s="2">
        <v>102542414</v>
      </c>
      <c r="H79" s="2" t="s">
        <v>24</v>
      </c>
    </row>
    <row r="80" spans="1:8" x14ac:dyDescent="0.25">
      <c r="A80" s="11">
        <v>44348</v>
      </c>
      <c r="B80" s="2">
        <v>138.62332153320313</v>
      </c>
      <c r="C80" s="2">
        <v>146.11854553222656</v>
      </c>
      <c r="D80" s="2">
        <v>136.74952697753906</v>
      </c>
      <c r="E80" s="2">
        <v>140.14340209960938</v>
      </c>
      <c r="F80" s="2">
        <v>118.97767639160156</v>
      </c>
      <c r="G80" s="2">
        <v>88332817</v>
      </c>
      <c r="H80" s="2" t="s">
        <v>24</v>
      </c>
    </row>
    <row r="81" spans="1:8" x14ac:dyDescent="0.25">
      <c r="A81" s="11">
        <v>44378</v>
      </c>
      <c r="B81" s="2">
        <v>140.49713134765625</v>
      </c>
      <c r="C81" s="2">
        <v>141.01338195800781</v>
      </c>
      <c r="D81" s="2">
        <v>130.21987915039063</v>
      </c>
      <c r="E81" s="2">
        <v>134.76100158691406</v>
      </c>
      <c r="F81" s="2">
        <v>114.40818023681641</v>
      </c>
      <c r="G81" s="2">
        <v>115710194</v>
      </c>
      <c r="H81" s="2" t="s">
        <v>24</v>
      </c>
    </row>
    <row r="82" spans="1:8" x14ac:dyDescent="0.25">
      <c r="A82" s="11">
        <v>44409</v>
      </c>
      <c r="B82" s="2">
        <v>135.22944641113281</v>
      </c>
      <c r="C82" s="2">
        <v>138.33651733398438</v>
      </c>
      <c r="D82" s="2">
        <v>131.1759033203125</v>
      </c>
      <c r="E82" s="2">
        <v>134.16825866699219</v>
      </c>
      <c r="F82" s="2">
        <v>113.90498352050781</v>
      </c>
      <c r="G82" s="2">
        <v>72891244</v>
      </c>
      <c r="H82" s="2" t="s">
        <v>24</v>
      </c>
    </row>
    <row r="83" spans="1:8" x14ac:dyDescent="0.25">
      <c r="A83" s="11">
        <v>44440</v>
      </c>
      <c r="B83" s="2">
        <v>133.8240966796875</v>
      </c>
      <c r="C83" s="2">
        <v>134.38813781738281</v>
      </c>
      <c r="D83" s="2">
        <v>126.94072723388672</v>
      </c>
      <c r="E83" s="2">
        <v>132.82026672363281</v>
      </c>
      <c r="F83" s="2">
        <v>114.05875396728516</v>
      </c>
      <c r="G83" s="2">
        <v>80160627</v>
      </c>
      <c r="H83" s="2" t="s">
        <v>24</v>
      </c>
    </row>
    <row r="84" spans="1:8" x14ac:dyDescent="0.25">
      <c r="A84" s="11">
        <v>44470</v>
      </c>
      <c r="B84" s="2">
        <v>134.79924011230469</v>
      </c>
      <c r="C84" s="2">
        <v>139.579345703125</v>
      </c>
      <c r="D84" s="2">
        <v>119.13957977294922</v>
      </c>
      <c r="E84" s="2">
        <v>119.59847259521484</v>
      </c>
      <c r="F84" s="2">
        <v>102.70458984375</v>
      </c>
      <c r="G84" s="2">
        <v>150725359</v>
      </c>
      <c r="H84" s="2" t="s">
        <v>24</v>
      </c>
    </row>
    <row r="85" spans="1:8" x14ac:dyDescent="0.25">
      <c r="A85" s="11">
        <v>44501</v>
      </c>
      <c r="B85" s="2">
        <v>119.55066680908203</v>
      </c>
      <c r="C85" s="2">
        <v>124.77999877929688</v>
      </c>
      <c r="D85" s="2">
        <v>114.55999755859375</v>
      </c>
      <c r="E85" s="2">
        <v>117.09999847412109</v>
      </c>
      <c r="F85" s="2">
        <v>100.55905151367188</v>
      </c>
      <c r="G85" s="2">
        <v>120104799</v>
      </c>
      <c r="H85" s="2" t="s">
        <v>24</v>
      </c>
    </row>
    <row r="86" spans="1:8" x14ac:dyDescent="0.25">
      <c r="A86" s="11">
        <v>44531</v>
      </c>
      <c r="B86" s="2">
        <v>118.25</v>
      </c>
      <c r="C86" s="2">
        <v>134.99000549316406</v>
      </c>
      <c r="D86" s="2">
        <v>116.55999755859375</v>
      </c>
      <c r="E86" s="2">
        <v>133.66000366210938</v>
      </c>
      <c r="F86" s="2">
        <v>116.31150817871094</v>
      </c>
      <c r="G86" s="2">
        <v>113968900</v>
      </c>
      <c r="H86" s="2" t="s">
        <v>24</v>
      </c>
    </row>
    <row r="87" spans="1:8" x14ac:dyDescent="0.25">
      <c r="A87" s="11">
        <v>44562</v>
      </c>
      <c r="B87" s="2">
        <v>134.07000732421875</v>
      </c>
      <c r="C87" s="2">
        <v>142.19999694824219</v>
      </c>
      <c r="D87" s="2">
        <v>124.19000244140625</v>
      </c>
      <c r="E87" s="2">
        <v>133.57000732421875</v>
      </c>
      <c r="F87" s="2">
        <v>116.23321533203125</v>
      </c>
      <c r="G87" s="2">
        <v>146976800</v>
      </c>
      <c r="H87" s="2" t="s">
        <v>24</v>
      </c>
    </row>
    <row r="88" spans="1:8" x14ac:dyDescent="0.25">
      <c r="A88" s="11">
        <v>44593</v>
      </c>
      <c r="B88" s="2">
        <v>133.75999450683594</v>
      </c>
      <c r="C88" s="2">
        <v>138.82000732421875</v>
      </c>
      <c r="D88" s="2">
        <v>118.80999755859375</v>
      </c>
      <c r="E88" s="2">
        <v>122.51000213623047</v>
      </c>
      <c r="F88" s="2">
        <v>106.60873413085938</v>
      </c>
      <c r="G88" s="2">
        <v>98534100</v>
      </c>
      <c r="H88" s="2" t="s">
        <v>24</v>
      </c>
    </row>
    <row r="89" spans="1:8" x14ac:dyDescent="0.25">
      <c r="A89" s="11">
        <v>44621</v>
      </c>
      <c r="B89" s="2">
        <v>122.66999816894531</v>
      </c>
      <c r="C89" s="2">
        <v>133.08000183105469</v>
      </c>
      <c r="D89" s="2">
        <v>120.69999694824219</v>
      </c>
      <c r="E89" s="2">
        <v>130.02000427246094</v>
      </c>
      <c r="F89" s="2">
        <v>114.50684356689453</v>
      </c>
      <c r="G89" s="2">
        <v>96571700</v>
      </c>
      <c r="H89" s="2" t="s">
        <v>24</v>
      </c>
    </row>
    <row r="90" spans="1:8" x14ac:dyDescent="0.25">
      <c r="A90" s="11">
        <v>44652</v>
      </c>
      <c r="B90" s="2">
        <v>129.66000366210938</v>
      </c>
      <c r="C90" s="2">
        <v>141.8800048828125</v>
      </c>
      <c r="D90" s="2">
        <v>124.91000366210938</v>
      </c>
      <c r="E90" s="2">
        <v>132.21000671386719</v>
      </c>
      <c r="F90" s="2">
        <v>116.43556976318359</v>
      </c>
      <c r="G90" s="2">
        <v>107684000</v>
      </c>
      <c r="H90" s="2" t="s">
        <v>24</v>
      </c>
    </row>
    <row r="91" spans="1:8" x14ac:dyDescent="0.25">
      <c r="A91" s="11">
        <v>44682</v>
      </c>
      <c r="B91" s="2">
        <v>133</v>
      </c>
      <c r="C91" s="2">
        <v>139.83000183105469</v>
      </c>
      <c r="D91" s="2">
        <v>125.80000305175781</v>
      </c>
      <c r="E91" s="2">
        <v>138.83999633789063</v>
      </c>
      <c r="F91" s="2">
        <v>122.27449035644531</v>
      </c>
      <c r="G91" s="2">
        <v>113226200</v>
      </c>
      <c r="H91" s="2" t="s">
        <v>24</v>
      </c>
    </row>
    <row r="92" spans="1:8" x14ac:dyDescent="0.25">
      <c r="A92" s="11">
        <v>44713</v>
      </c>
      <c r="B92" s="2">
        <v>139.66999816894531</v>
      </c>
      <c r="C92" s="2">
        <v>144.72999572753906</v>
      </c>
      <c r="D92" s="2">
        <v>132.85000610351563</v>
      </c>
      <c r="E92" s="2">
        <v>141.19000244140625</v>
      </c>
      <c r="F92" s="2">
        <v>125.85248565673828</v>
      </c>
      <c r="G92" s="2">
        <v>105811300</v>
      </c>
      <c r="H92" s="2" t="s">
        <v>24</v>
      </c>
    </row>
    <row r="93" spans="1:8" x14ac:dyDescent="0.25">
      <c r="A93" s="11">
        <v>44743</v>
      </c>
      <c r="B93" s="2">
        <v>141</v>
      </c>
      <c r="C93" s="2">
        <v>141.8699951171875</v>
      </c>
      <c r="D93" s="2">
        <v>125.12999725341797</v>
      </c>
      <c r="E93" s="2">
        <v>130.78999328613281</v>
      </c>
      <c r="F93" s="2">
        <v>116.58222961425781</v>
      </c>
      <c r="G93" s="2">
        <v>129791800</v>
      </c>
      <c r="H93" s="2" t="s">
        <v>24</v>
      </c>
    </row>
    <row r="94" spans="1:8" x14ac:dyDescent="0.25">
      <c r="A94" s="11">
        <v>44774</v>
      </c>
      <c r="B94" s="2">
        <v>130.75</v>
      </c>
      <c r="C94" s="2">
        <v>139.33999633789063</v>
      </c>
      <c r="D94" s="2">
        <v>128.39999389648438</v>
      </c>
      <c r="E94" s="2">
        <v>128.44999694824219</v>
      </c>
      <c r="F94" s="2">
        <v>114.49642944335938</v>
      </c>
      <c r="G94" s="2">
        <v>77419800</v>
      </c>
      <c r="H94" s="2" t="s">
        <v>24</v>
      </c>
    </row>
    <row r="95" spans="1:8" x14ac:dyDescent="0.25">
      <c r="A95" s="11">
        <v>44805</v>
      </c>
      <c r="B95" s="2">
        <v>128.39999389648438</v>
      </c>
      <c r="C95" s="2">
        <v>130.99000549316406</v>
      </c>
      <c r="D95" s="2">
        <v>118.61000061035156</v>
      </c>
      <c r="E95" s="2">
        <v>118.80999755859375</v>
      </c>
      <c r="F95" s="2">
        <v>107.23793792724609</v>
      </c>
      <c r="G95" s="2">
        <v>87265100</v>
      </c>
      <c r="H95" s="2" t="s">
        <v>24</v>
      </c>
    </row>
    <row r="96" spans="1:8" x14ac:dyDescent="0.25">
      <c r="A96" s="11">
        <v>44835</v>
      </c>
      <c r="B96" s="2">
        <v>120.16000366210938</v>
      </c>
      <c r="C96" s="2">
        <v>138.86000061035156</v>
      </c>
      <c r="D96" s="2">
        <v>115.55000305175781</v>
      </c>
      <c r="E96" s="2">
        <v>138.28999328613281</v>
      </c>
      <c r="F96" s="2">
        <v>124.82059478759766</v>
      </c>
      <c r="G96" s="2">
        <v>113478200</v>
      </c>
      <c r="H96" s="2" t="s">
        <v>24</v>
      </c>
    </row>
    <row r="97" spans="1:8" x14ac:dyDescent="0.25">
      <c r="A97" s="11">
        <v>44866</v>
      </c>
      <c r="B97" s="2">
        <v>138.25</v>
      </c>
      <c r="C97" s="2">
        <v>150.46000671386719</v>
      </c>
      <c r="D97" s="2">
        <v>133.97000122070313</v>
      </c>
      <c r="E97" s="2">
        <v>148.89999389648438</v>
      </c>
      <c r="F97" s="2">
        <v>134.39717102050781</v>
      </c>
      <c r="G97" s="2">
        <v>93661300</v>
      </c>
      <c r="H97" s="2" t="s">
        <v>24</v>
      </c>
    </row>
    <row r="98" spans="1:8" x14ac:dyDescent="0.25">
      <c r="A98" s="11">
        <v>44896</v>
      </c>
      <c r="B98" s="2">
        <v>149.97999572753906</v>
      </c>
      <c r="C98" s="2">
        <v>153.21000671386719</v>
      </c>
      <c r="D98" s="2">
        <v>137.19999694824219</v>
      </c>
      <c r="E98" s="2">
        <v>140.88999938964844</v>
      </c>
      <c r="F98" s="2">
        <v>128.68354797363281</v>
      </c>
      <c r="G98" s="2">
        <v>86424100</v>
      </c>
      <c r="H98" s="2" t="s">
        <v>24</v>
      </c>
    </row>
    <row r="99" spans="1:8" x14ac:dyDescent="0.25">
      <c r="A99" s="11">
        <v>44927</v>
      </c>
      <c r="B99" s="2">
        <v>141.10000610351563</v>
      </c>
      <c r="C99" s="2">
        <v>147.17999267578125</v>
      </c>
      <c r="D99" s="2">
        <v>132.97999572753906</v>
      </c>
      <c r="E99" s="2">
        <v>134.72999572753906</v>
      </c>
      <c r="F99" s="2">
        <v>123.05723571777344</v>
      </c>
      <c r="G99" s="2">
        <v>105575000</v>
      </c>
      <c r="H99" s="2" t="s">
        <v>24</v>
      </c>
    </row>
    <row r="100" spans="1:8" x14ac:dyDescent="0.25">
      <c r="A100" s="11">
        <v>44958</v>
      </c>
      <c r="B100" s="2">
        <v>134.49000549316406</v>
      </c>
      <c r="C100" s="2">
        <v>137.38999938964844</v>
      </c>
      <c r="D100" s="2">
        <v>128.86000061035156</v>
      </c>
      <c r="E100" s="2">
        <v>129.30000305175781</v>
      </c>
      <c r="F100" s="2">
        <v>118.09768676757813</v>
      </c>
      <c r="G100" s="2">
        <v>76080200</v>
      </c>
      <c r="H100" s="2" t="s">
        <v>24</v>
      </c>
    </row>
    <row r="101" spans="1:8" x14ac:dyDescent="0.25">
      <c r="A101" s="11">
        <v>44986</v>
      </c>
      <c r="B101" s="2">
        <v>128.89999389648438</v>
      </c>
      <c r="C101" s="2">
        <v>131.47999572753906</v>
      </c>
      <c r="D101" s="2">
        <v>121.70999908447266</v>
      </c>
      <c r="E101" s="2">
        <v>131.08999633789063</v>
      </c>
      <c r="F101" s="2">
        <v>121.20330047607422</v>
      </c>
      <c r="G101" s="2">
        <v>138239000</v>
      </c>
      <c r="H101" s="2" t="s">
        <v>24</v>
      </c>
    </row>
    <row r="102" spans="1:8" x14ac:dyDescent="0.25">
      <c r="A102" s="11">
        <v>45017</v>
      </c>
      <c r="B102" s="2">
        <v>130.97000122070313</v>
      </c>
      <c r="C102" s="2">
        <v>132.61000061035156</v>
      </c>
      <c r="D102" s="2">
        <v>124.55999755859375</v>
      </c>
      <c r="E102" s="2">
        <v>126.41000366210938</v>
      </c>
      <c r="F102" s="2">
        <v>116.87625885009766</v>
      </c>
      <c r="G102" s="2">
        <v>83679400</v>
      </c>
      <c r="H102" s="2" t="s">
        <v>24</v>
      </c>
    </row>
    <row r="103" spans="1:8" x14ac:dyDescent="0.25">
      <c r="A103" s="11">
        <v>45047</v>
      </c>
      <c r="B103" s="2">
        <v>126.34999847412109</v>
      </c>
      <c r="C103" s="2">
        <v>130.07000732421875</v>
      </c>
      <c r="D103" s="2">
        <v>120.55000305175781</v>
      </c>
      <c r="E103" s="2">
        <v>128.58999633789063</v>
      </c>
      <c r="F103" s="2">
        <v>118.89185333251953</v>
      </c>
      <c r="G103" s="2">
        <v>96207800</v>
      </c>
      <c r="H103" s="2" t="s">
        <v>24</v>
      </c>
    </row>
    <row r="104" spans="1:8" x14ac:dyDescent="0.25">
      <c r="A104" s="11">
        <v>45078</v>
      </c>
      <c r="B104" s="2">
        <v>128.44000244140625</v>
      </c>
      <c r="C104" s="2">
        <v>139.47000122070313</v>
      </c>
      <c r="D104" s="2">
        <v>127.77999877929688</v>
      </c>
      <c r="E104" s="2">
        <v>133.80999755859375</v>
      </c>
      <c r="F104" s="2">
        <v>125.40512847900391</v>
      </c>
      <c r="G104" s="2">
        <v>100711500</v>
      </c>
      <c r="H104" s="2" t="s">
        <v>24</v>
      </c>
    </row>
    <row r="105" spans="1:8" x14ac:dyDescent="0.25">
      <c r="A105" s="11">
        <v>45108</v>
      </c>
      <c r="B105" s="2">
        <v>133.41999816894531</v>
      </c>
      <c r="C105" s="2">
        <v>144.60000610351563</v>
      </c>
      <c r="D105" s="2">
        <v>131.55000305175781</v>
      </c>
      <c r="E105" s="2">
        <v>144.17999267578125</v>
      </c>
      <c r="F105" s="2">
        <v>135.12376403808594</v>
      </c>
      <c r="G105" s="2">
        <v>85773900</v>
      </c>
      <c r="H105" s="2" t="s">
        <v>24</v>
      </c>
    </row>
    <row r="106" spans="1:8" x14ac:dyDescent="0.25">
      <c r="A106" s="11">
        <v>45139</v>
      </c>
      <c r="B106" s="2">
        <v>144.25</v>
      </c>
      <c r="C106" s="2">
        <v>147.72999572753906</v>
      </c>
      <c r="D106" s="2">
        <v>139.75999450683594</v>
      </c>
      <c r="E106" s="2">
        <v>146.83000183105469</v>
      </c>
      <c r="F106" s="2">
        <v>137.60731506347656</v>
      </c>
      <c r="G106" s="2">
        <v>84268400</v>
      </c>
      <c r="H106" s="2" t="s">
        <v>24</v>
      </c>
    </row>
    <row r="107" spans="1:8" x14ac:dyDescent="0.25">
      <c r="A107" s="11">
        <v>45170</v>
      </c>
      <c r="B107" s="2">
        <v>147.25999450683594</v>
      </c>
      <c r="C107" s="2">
        <v>151.92999267578125</v>
      </c>
      <c r="D107" s="2">
        <v>139.61000061035156</v>
      </c>
      <c r="E107" s="2">
        <v>140.30000305175781</v>
      </c>
      <c r="F107" s="2">
        <v>133.00059509277344</v>
      </c>
      <c r="G107" s="2">
        <v>82798300</v>
      </c>
      <c r="H107" s="2" t="s">
        <v>24</v>
      </c>
    </row>
    <row r="108" spans="1:8" x14ac:dyDescent="0.25">
      <c r="A108" s="11">
        <v>45200</v>
      </c>
      <c r="B108" s="2">
        <v>140.03999328613281</v>
      </c>
      <c r="C108" s="2">
        <v>144.75999450683594</v>
      </c>
      <c r="D108" s="2">
        <v>135.8699951171875</v>
      </c>
      <c r="E108" s="2">
        <v>144.63999938964844</v>
      </c>
      <c r="F108" s="2">
        <v>137.11480712890625</v>
      </c>
      <c r="G108" s="2">
        <v>94385000</v>
      </c>
      <c r="H108" s="2" t="s">
        <v>24</v>
      </c>
    </row>
    <row r="109" spans="1:8" x14ac:dyDescent="0.25">
      <c r="A109" s="11">
        <v>45231</v>
      </c>
      <c r="B109" s="2">
        <v>145</v>
      </c>
      <c r="C109" s="2">
        <v>158.60000610351563</v>
      </c>
      <c r="D109" s="2">
        <v>144.44999694824219</v>
      </c>
      <c r="E109" s="2">
        <v>158.55999755859375</v>
      </c>
      <c r="F109" s="2">
        <v>150.31059265136719</v>
      </c>
      <c r="G109" s="2">
        <v>78458300</v>
      </c>
      <c r="H109" s="2" t="s">
        <v>24</v>
      </c>
    </row>
    <row r="110" spans="1:8" x14ac:dyDescent="0.25">
      <c r="A110" s="11">
        <v>45261</v>
      </c>
      <c r="B110" s="2">
        <v>158.41000366210938</v>
      </c>
      <c r="C110" s="2">
        <v>166.33999633789063</v>
      </c>
      <c r="D110" s="2">
        <v>158</v>
      </c>
      <c r="E110" s="2">
        <v>163.55000305175781</v>
      </c>
      <c r="F110" s="2">
        <v>156.79934692382813</v>
      </c>
      <c r="G110" s="2">
        <v>87828800</v>
      </c>
      <c r="H110" s="2" t="s">
        <v>24</v>
      </c>
    </row>
    <row r="111" spans="1:8" x14ac:dyDescent="0.25">
      <c r="A111" s="11">
        <v>45292</v>
      </c>
      <c r="B111" s="2">
        <v>162.83000183105469</v>
      </c>
      <c r="C111" s="2">
        <v>196.89999389648438</v>
      </c>
      <c r="D111" s="2">
        <v>157.88999938964844</v>
      </c>
      <c r="E111" s="2">
        <v>183.66000366210938</v>
      </c>
      <c r="F111" s="2">
        <v>176.07926940917969</v>
      </c>
      <c r="G111" s="2">
        <v>129883200</v>
      </c>
      <c r="H111" s="2" t="s">
        <v>24</v>
      </c>
    </row>
    <row r="112" spans="1:8" x14ac:dyDescent="0.25">
      <c r="A112" s="11">
        <v>45323</v>
      </c>
      <c r="B112" s="2">
        <v>183.6300048828125</v>
      </c>
      <c r="C112" s="2">
        <v>188.94999694824219</v>
      </c>
      <c r="D112" s="2">
        <v>178.75</v>
      </c>
      <c r="E112" s="2">
        <v>185.02999877929688</v>
      </c>
      <c r="F112" s="2">
        <v>177.3927001953125</v>
      </c>
      <c r="G112" s="2">
        <v>88676800</v>
      </c>
      <c r="H112" s="2" t="s">
        <v>24</v>
      </c>
    </row>
    <row r="113" spans="1:8" x14ac:dyDescent="0.25">
      <c r="A113" s="11">
        <v>45352</v>
      </c>
      <c r="B113" s="2">
        <v>185.49000549316406</v>
      </c>
      <c r="C113" s="2">
        <v>199.17999267578125</v>
      </c>
      <c r="D113" s="2">
        <v>185.17999267578125</v>
      </c>
      <c r="E113" s="2">
        <v>190.96000671386719</v>
      </c>
      <c r="F113" s="2">
        <v>184.74705505371094</v>
      </c>
      <c r="G113" s="2">
        <v>99989100</v>
      </c>
      <c r="H113" s="2" t="s">
        <v>24</v>
      </c>
    </row>
    <row r="114" spans="1:8" x14ac:dyDescent="0.25">
      <c r="A114" s="11">
        <v>45383</v>
      </c>
      <c r="B114" s="2">
        <v>190</v>
      </c>
      <c r="C114" s="2">
        <v>193.27999877929688</v>
      </c>
      <c r="D114" s="2">
        <v>165.25999450683594</v>
      </c>
      <c r="E114" s="2">
        <v>166.19999694824219</v>
      </c>
      <c r="F114" s="2">
        <v>160.79261779785156</v>
      </c>
      <c r="G114" s="2">
        <v>98354700</v>
      </c>
      <c r="H114" s="2" t="s">
        <v>24</v>
      </c>
    </row>
    <row r="115" spans="1:8" x14ac:dyDescent="0.25">
      <c r="A115" s="11">
        <v>45413</v>
      </c>
      <c r="B115" s="2">
        <v>165.69000244140625</v>
      </c>
      <c r="C115" s="2">
        <v>175.46000671386719</v>
      </c>
      <c r="D115" s="2">
        <v>162.6199951171875</v>
      </c>
      <c r="E115" s="2">
        <v>166.85000610351563</v>
      </c>
      <c r="F115" s="2">
        <v>161.42147827148438</v>
      </c>
      <c r="G115" s="2">
        <v>78619000</v>
      </c>
      <c r="H115" s="2" t="s">
        <v>24</v>
      </c>
    </row>
    <row r="116" spans="1:8" x14ac:dyDescent="0.25">
      <c r="A116" s="11">
        <v>45444</v>
      </c>
      <c r="B116" s="2">
        <v>166.53999328613281</v>
      </c>
      <c r="C116" s="2">
        <v>178.46000671386719</v>
      </c>
      <c r="D116" s="2">
        <v>163.52999877929688</v>
      </c>
      <c r="E116" s="2">
        <v>172.94999694824219</v>
      </c>
      <c r="F116" s="2">
        <v>168.9840087890625</v>
      </c>
      <c r="G116" s="2">
        <v>70706000</v>
      </c>
      <c r="H116" s="2" t="s">
        <v>24</v>
      </c>
    </row>
    <row r="117" spans="1:8" x14ac:dyDescent="0.25">
      <c r="A117" s="11">
        <v>45474</v>
      </c>
      <c r="B117" s="2">
        <v>173.44999694824219</v>
      </c>
      <c r="C117" s="2">
        <v>196.25999450683594</v>
      </c>
      <c r="D117" s="2">
        <v>173.3800048828125</v>
      </c>
      <c r="E117" s="2">
        <v>192.13999938964844</v>
      </c>
      <c r="F117" s="2">
        <v>187.73394775390625</v>
      </c>
      <c r="G117" s="2">
        <v>81257600</v>
      </c>
      <c r="H117" s="2" t="s">
        <v>24</v>
      </c>
    </row>
    <row r="118" spans="1:8" x14ac:dyDescent="0.25">
      <c r="A118" s="11">
        <v>45505</v>
      </c>
      <c r="B118" s="2">
        <v>192.80999755859375</v>
      </c>
      <c r="C118" s="2">
        <v>202.16999816894531</v>
      </c>
      <c r="D118" s="2">
        <v>181.80999755859375</v>
      </c>
      <c r="E118" s="2">
        <v>202.1300048828125</v>
      </c>
      <c r="F118" s="2">
        <v>197.494873046875</v>
      </c>
      <c r="G118" s="2">
        <v>65453400</v>
      </c>
      <c r="H118" s="2" t="s">
        <v>24</v>
      </c>
    </row>
    <row r="119" spans="1:8" x14ac:dyDescent="0.25">
      <c r="A119" s="11">
        <v>45536</v>
      </c>
      <c r="B119" s="2">
        <v>201.91000366210938</v>
      </c>
      <c r="C119" s="2">
        <v>224.14999389648438</v>
      </c>
      <c r="D119" s="2">
        <v>199.33999633789063</v>
      </c>
      <c r="E119" s="2">
        <v>221.08000183105469</v>
      </c>
      <c r="F119" s="2">
        <v>217.89959716796875</v>
      </c>
      <c r="G119" s="2">
        <v>83445400</v>
      </c>
      <c r="H119" s="2" t="s">
        <v>24</v>
      </c>
    </row>
    <row r="120" spans="1:8" x14ac:dyDescent="0.25">
      <c r="A120" s="11">
        <v>45566</v>
      </c>
      <c r="B120" s="2">
        <v>220.6300048828125</v>
      </c>
      <c r="C120" s="2">
        <v>237.3699951171875</v>
      </c>
      <c r="D120" s="2">
        <v>203.50999450683594</v>
      </c>
      <c r="E120" s="2">
        <v>206.72000122070313</v>
      </c>
      <c r="F120" s="2">
        <v>203.74617004394531</v>
      </c>
      <c r="G120" s="2">
        <v>105623600</v>
      </c>
      <c r="H120" s="2" t="s">
        <v>24</v>
      </c>
    </row>
    <row r="121" spans="1:8" x14ac:dyDescent="0.25">
      <c r="A121" s="11">
        <v>45597</v>
      </c>
      <c r="B121" s="2">
        <v>207.77000427246094</v>
      </c>
      <c r="C121" s="2">
        <v>230.36000061035156</v>
      </c>
      <c r="D121" s="2">
        <v>204.07000732421875</v>
      </c>
      <c r="E121" s="2">
        <v>227.41000366210938</v>
      </c>
      <c r="F121" s="2">
        <v>224.13851928710938</v>
      </c>
      <c r="G121" s="2">
        <v>77279500</v>
      </c>
      <c r="H121" s="2" t="s">
        <v>24</v>
      </c>
    </row>
    <row r="122" spans="1:8" x14ac:dyDescent="0.25">
      <c r="A122" s="11">
        <v>45627</v>
      </c>
      <c r="B122" s="2">
        <v>227.5</v>
      </c>
      <c r="C122" s="2">
        <v>239.35000610351563</v>
      </c>
      <c r="D122" s="2">
        <v>217.64999389648438</v>
      </c>
      <c r="E122" s="2">
        <v>219.83000183105469</v>
      </c>
      <c r="F122" s="2">
        <v>218.37515258789063</v>
      </c>
      <c r="G122" s="2">
        <v>81531000</v>
      </c>
      <c r="H122" s="2" t="s">
        <v>24</v>
      </c>
    </row>
    <row r="123" spans="1:8" x14ac:dyDescent="0.25">
      <c r="A123" s="11"/>
    </row>
    <row r="124" spans="1:8" x14ac:dyDescent="0.25">
      <c r="A124" s="11"/>
    </row>
    <row r="125" spans="1:8" x14ac:dyDescent="0.25">
      <c r="A125" s="11"/>
    </row>
    <row r="126" spans="1:8" x14ac:dyDescent="0.25">
      <c r="A126" s="11"/>
    </row>
    <row r="127" spans="1:8" x14ac:dyDescent="0.25">
      <c r="A127" s="11"/>
    </row>
    <row r="128" spans="1:8" x14ac:dyDescent="0.25">
      <c r="A128" s="11"/>
    </row>
    <row r="129" spans="1:1" x14ac:dyDescent="0.25">
      <c r="A129" s="11"/>
    </row>
    <row r="130" spans="1:1" x14ac:dyDescent="0.25">
      <c r="A130" s="11"/>
    </row>
    <row r="131" spans="1:1" x14ac:dyDescent="0.25">
      <c r="A131" s="11"/>
    </row>
    <row r="132" spans="1:1" x14ac:dyDescent="0.25">
      <c r="A132" s="11"/>
    </row>
    <row r="133" spans="1:1" x14ac:dyDescent="0.25">
      <c r="A133" s="11"/>
    </row>
    <row r="134" spans="1:1" x14ac:dyDescent="0.25">
      <c r="A134" s="11"/>
    </row>
    <row r="135" spans="1:1" x14ac:dyDescent="0.25">
      <c r="A135" s="11"/>
    </row>
    <row r="136" spans="1:1" x14ac:dyDescent="0.25">
      <c r="A136" s="11"/>
    </row>
    <row r="137" spans="1:1" x14ac:dyDescent="0.25">
      <c r="A137" s="11"/>
    </row>
    <row r="138" spans="1:1" x14ac:dyDescent="0.25">
      <c r="A138" s="11"/>
    </row>
    <row r="139" spans="1:1" x14ac:dyDescent="0.25">
      <c r="A139" s="11"/>
    </row>
    <row r="140" spans="1:1" x14ac:dyDescent="0.25">
      <c r="A140" s="11"/>
    </row>
    <row r="141" spans="1:1" x14ac:dyDescent="0.25">
      <c r="A141" s="11"/>
    </row>
    <row r="142" spans="1:1" x14ac:dyDescent="0.25">
      <c r="A142" s="11"/>
    </row>
    <row r="143" spans="1:1" x14ac:dyDescent="0.25">
      <c r="A143" s="11"/>
    </row>
    <row r="144" spans="1:1" x14ac:dyDescent="0.25">
      <c r="A144" s="11"/>
    </row>
    <row r="145" spans="1:1" x14ac:dyDescent="0.25">
      <c r="A145" s="11"/>
    </row>
    <row r="146" spans="1:1" x14ac:dyDescent="0.25">
      <c r="A146" s="11"/>
    </row>
    <row r="147" spans="1:1" x14ac:dyDescent="0.25">
      <c r="A147" s="11"/>
    </row>
    <row r="148" spans="1:1" x14ac:dyDescent="0.25">
      <c r="A148" s="11"/>
    </row>
    <row r="149" spans="1:1" x14ac:dyDescent="0.25">
      <c r="A149" s="11"/>
    </row>
    <row r="150" spans="1:1" x14ac:dyDescent="0.25">
      <c r="A150" s="11"/>
    </row>
    <row r="151" spans="1:1" x14ac:dyDescent="0.25">
      <c r="A151" s="11"/>
    </row>
    <row r="152" spans="1:1" x14ac:dyDescent="0.25">
      <c r="A152" s="11"/>
    </row>
    <row r="153" spans="1:1" x14ac:dyDescent="0.25">
      <c r="A153" s="11"/>
    </row>
    <row r="154" spans="1:1" x14ac:dyDescent="0.25">
      <c r="A154" s="11"/>
    </row>
    <row r="155" spans="1:1" x14ac:dyDescent="0.25">
      <c r="A155" s="11"/>
    </row>
    <row r="156" spans="1:1" x14ac:dyDescent="0.25">
      <c r="A156" s="11"/>
    </row>
    <row r="157" spans="1:1" x14ac:dyDescent="0.25">
      <c r="A157" s="11"/>
    </row>
    <row r="158" spans="1:1" x14ac:dyDescent="0.25">
      <c r="A158" s="11"/>
    </row>
    <row r="159" spans="1:1" x14ac:dyDescent="0.25">
      <c r="A159" s="11"/>
    </row>
    <row r="160" spans="1:1" x14ac:dyDescent="0.25">
      <c r="A160" s="11"/>
    </row>
    <row r="161" spans="1:1" x14ac:dyDescent="0.25">
      <c r="A161" s="11"/>
    </row>
    <row r="162" spans="1:1" x14ac:dyDescent="0.25">
      <c r="A162" s="11"/>
    </row>
    <row r="163" spans="1:1" x14ac:dyDescent="0.25">
      <c r="A163" s="11"/>
    </row>
    <row r="164" spans="1:1" x14ac:dyDescent="0.25">
      <c r="A164" s="11"/>
    </row>
    <row r="165" spans="1:1" x14ac:dyDescent="0.25">
      <c r="A165" s="11"/>
    </row>
    <row r="166" spans="1:1" x14ac:dyDescent="0.25">
      <c r="A166" s="11"/>
    </row>
    <row r="167" spans="1:1" x14ac:dyDescent="0.25">
      <c r="A167" s="11"/>
    </row>
    <row r="168" spans="1:1" x14ac:dyDescent="0.25">
      <c r="A168" s="11"/>
    </row>
    <row r="169" spans="1:1" x14ac:dyDescent="0.25">
      <c r="A169" s="11"/>
    </row>
    <row r="170" spans="1:1" x14ac:dyDescent="0.25">
      <c r="A170" s="11"/>
    </row>
    <row r="171" spans="1:1" x14ac:dyDescent="0.25">
      <c r="A171" s="11"/>
    </row>
    <row r="172" spans="1:1" x14ac:dyDescent="0.25">
      <c r="A172" s="11"/>
    </row>
    <row r="173" spans="1:1" x14ac:dyDescent="0.25">
      <c r="A173" s="11"/>
    </row>
    <row r="174" spans="1:1" x14ac:dyDescent="0.25">
      <c r="A174" s="11"/>
    </row>
    <row r="175" spans="1:1" x14ac:dyDescent="0.25">
      <c r="A175" s="11"/>
    </row>
    <row r="176" spans="1:1" x14ac:dyDescent="0.25">
      <c r="A176" s="11"/>
    </row>
    <row r="177" spans="1:1" x14ac:dyDescent="0.25">
      <c r="A177" s="11"/>
    </row>
    <row r="178" spans="1:1" x14ac:dyDescent="0.25">
      <c r="A178" s="11"/>
    </row>
    <row r="179" spans="1:1" x14ac:dyDescent="0.25">
      <c r="A179" s="11"/>
    </row>
    <row r="180" spans="1:1" x14ac:dyDescent="0.25">
      <c r="A180" s="11"/>
    </row>
    <row r="181" spans="1:1" x14ac:dyDescent="0.25">
      <c r="A181" s="11"/>
    </row>
    <row r="182" spans="1:1" x14ac:dyDescent="0.25">
      <c r="A182" s="11"/>
    </row>
    <row r="183" spans="1:1" x14ac:dyDescent="0.25">
      <c r="A183" s="11"/>
    </row>
    <row r="184" spans="1:1" x14ac:dyDescent="0.25">
      <c r="A184" s="11"/>
    </row>
    <row r="185" spans="1:1" x14ac:dyDescent="0.25">
      <c r="A185" s="11"/>
    </row>
    <row r="186" spans="1:1" x14ac:dyDescent="0.25">
      <c r="A186" s="11"/>
    </row>
    <row r="187" spans="1:1" x14ac:dyDescent="0.25">
      <c r="A187" s="11"/>
    </row>
    <row r="188" spans="1:1" x14ac:dyDescent="0.25">
      <c r="A188" s="11"/>
    </row>
    <row r="189" spans="1:1" x14ac:dyDescent="0.25">
      <c r="A189" s="11"/>
    </row>
    <row r="190" spans="1:1" x14ac:dyDescent="0.25">
      <c r="A190" s="11"/>
    </row>
    <row r="191" spans="1:1" x14ac:dyDescent="0.25">
      <c r="A191" s="11"/>
    </row>
    <row r="192" spans="1:1" x14ac:dyDescent="0.25">
      <c r="A192" s="11"/>
    </row>
    <row r="193" spans="1:1" x14ac:dyDescent="0.25">
      <c r="A193" s="11"/>
    </row>
    <row r="194" spans="1:1" x14ac:dyDescent="0.25">
      <c r="A194" s="11"/>
    </row>
    <row r="195" spans="1:1" x14ac:dyDescent="0.25">
      <c r="A195" s="11"/>
    </row>
    <row r="196" spans="1:1" x14ac:dyDescent="0.25">
      <c r="A196" s="11"/>
    </row>
    <row r="197" spans="1:1" x14ac:dyDescent="0.25">
      <c r="A197" s="11"/>
    </row>
    <row r="198" spans="1:1" x14ac:dyDescent="0.25">
      <c r="A198" s="11"/>
    </row>
    <row r="199" spans="1:1" x14ac:dyDescent="0.25">
      <c r="A199" s="11"/>
    </row>
    <row r="200" spans="1:1" x14ac:dyDescent="0.25">
      <c r="A200" s="11"/>
    </row>
    <row r="201" spans="1:1" x14ac:dyDescent="0.25">
      <c r="A201" s="11"/>
    </row>
    <row r="202" spans="1:1" x14ac:dyDescent="0.25">
      <c r="A202" s="11"/>
    </row>
    <row r="203" spans="1:1" x14ac:dyDescent="0.25">
      <c r="A203" s="11"/>
    </row>
    <row r="204" spans="1:1" x14ac:dyDescent="0.25">
      <c r="A204" s="11"/>
    </row>
    <row r="205" spans="1:1" x14ac:dyDescent="0.25">
      <c r="A205" s="11"/>
    </row>
    <row r="206" spans="1:1" x14ac:dyDescent="0.25">
      <c r="A206" s="11"/>
    </row>
    <row r="207" spans="1:1" x14ac:dyDescent="0.25">
      <c r="A207" s="11"/>
    </row>
    <row r="208" spans="1:1" x14ac:dyDescent="0.25">
      <c r="A208" s="11"/>
    </row>
    <row r="209" spans="1:1" x14ac:dyDescent="0.25">
      <c r="A209" s="11"/>
    </row>
    <row r="210" spans="1:1" x14ac:dyDescent="0.25">
      <c r="A210" s="11"/>
    </row>
    <row r="211" spans="1:1" x14ac:dyDescent="0.25">
      <c r="A211" s="11"/>
    </row>
    <row r="212" spans="1:1" x14ac:dyDescent="0.25">
      <c r="A212" s="11"/>
    </row>
    <row r="213" spans="1:1" x14ac:dyDescent="0.25">
      <c r="A213" s="11"/>
    </row>
    <row r="214" spans="1:1" x14ac:dyDescent="0.25">
      <c r="A214" s="11"/>
    </row>
    <row r="215" spans="1:1" x14ac:dyDescent="0.25">
      <c r="A215" s="11"/>
    </row>
    <row r="216" spans="1:1" x14ac:dyDescent="0.25">
      <c r="A216" s="11"/>
    </row>
    <row r="217" spans="1:1" x14ac:dyDescent="0.25">
      <c r="A217" s="11"/>
    </row>
    <row r="218" spans="1:1" x14ac:dyDescent="0.25">
      <c r="A218" s="11"/>
    </row>
    <row r="219" spans="1:1" x14ac:dyDescent="0.25">
      <c r="A219" s="11"/>
    </row>
    <row r="220" spans="1:1" x14ac:dyDescent="0.25">
      <c r="A220" s="11"/>
    </row>
    <row r="221" spans="1:1" x14ac:dyDescent="0.25">
      <c r="A221" s="11"/>
    </row>
    <row r="222" spans="1:1" x14ac:dyDescent="0.25">
      <c r="A222" s="11"/>
    </row>
    <row r="223" spans="1:1" x14ac:dyDescent="0.25">
      <c r="A223" s="11"/>
    </row>
    <row r="224" spans="1:1" x14ac:dyDescent="0.25">
      <c r="A224" s="11"/>
    </row>
    <row r="225" spans="1:1" x14ac:dyDescent="0.25">
      <c r="A225" s="11"/>
    </row>
    <row r="226" spans="1:1" x14ac:dyDescent="0.25">
      <c r="A226" s="11"/>
    </row>
    <row r="227" spans="1:1" x14ac:dyDescent="0.25">
      <c r="A227" s="11"/>
    </row>
    <row r="228" spans="1:1" x14ac:dyDescent="0.25">
      <c r="A228" s="11"/>
    </row>
    <row r="229" spans="1:1" x14ac:dyDescent="0.25">
      <c r="A229" s="11"/>
    </row>
    <row r="230" spans="1:1" x14ac:dyDescent="0.25">
      <c r="A230" s="11"/>
    </row>
    <row r="231" spans="1:1" x14ac:dyDescent="0.25">
      <c r="A231" s="11"/>
    </row>
    <row r="232" spans="1:1" x14ac:dyDescent="0.25">
      <c r="A232" s="11"/>
    </row>
    <row r="233" spans="1:1" x14ac:dyDescent="0.25">
      <c r="A233" s="11"/>
    </row>
    <row r="234" spans="1:1" x14ac:dyDescent="0.25">
      <c r="A234" s="11"/>
    </row>
    <row r="235" spans="1:1" x14ac:dyDescent="0.25">
      <c r="A235" s="11"/>
    </row>
    <row r="236" spans="1:1" x14ac:dyDescent="0.25">
      <c r="A236" s="11"/>
    </row>
    <row r="237" spans="1:1" x14ac:dyDescent="0.25">
      <c r="A237" s="11"/>
    </row>
    <row r="238" spans="1:1" x14ac:dyDescent="0.25">
      <c r="A238" s="11"/>
    </row>
    <row r="239" spans="1:1" x14ac:dyDescent="0.25">
      <c r="A239" s="11"/>
    </row>
    <row r="240" spans="1:1" x14ac:dyDescent="0.25">
      <c r="A240" s="11"/>
    </row>
    <row r="241" spans="1:1" x14ac:dyDescent="0.25">
      <c r="A241" s="11"/>
    </row>
    <row r="242" spans="1:1" x14ac:dyDescent="0.25">
      <c r="A242" s="11"/>
    </row>
    <row r="243" spans="1:1" x14ac:dyDescent="0.25">
      <c r="A243" s="11"/>
    </row>
    <row r="244" spans="1:1" x14ac:dyDescent="0.25">
      <c r="A244" s="11"/>
    </row>
    <row r="245" spans="1:1" x14ac:dyDescent="0.25">
      <c r="A245" s="11"/>
    </row>
    <row r="246" spans="1:1" x14ac:dyDescent="0.25">
      <c r="A246" s="11"/>
    </row>
    <row r="247" spans="1:1" x14ac:dyDescent="0.25">
      <c r="A247" s="11"/>
    </row>
    <row r="248" spans="1:1" x14ac:dyDescent="0.25">
      <c r="A248" s="11"/>
    </row>
    <row r="249" spans="1:1" x14ac:dyDescent="0.25">
      <c r="A249" s="11"/>
    </row>
    <row r="250" spans="1:1" x14ac:dyDescent="0.25">
      <c r="A250" s="11"/>
    </row>
    <row r="251" spans="1:1" x14ac:dyDescent="0.25">
      <c r="A251" s="11"/>
    </row>
    <row r="252" spans="1:1" x14ac:dyDescent="0.25">
      <c r="A252" s="11"/>
    </row>
    <row r="253" spans="1:1" x14ac:dyDescent="0.25">
      <c r="A253" s="11"/>
    </row>
    <row r="254" spans="1:1" x14ac:dyDescent="0.25">
      <c r="A254" s="11"/>
    </row>
    <row r="255" spans="1:1" x14ac:dyDescent="0.25">
      <c r="A255" s="11"/>
    </row>
    <row r="256" spans="1:1" x14ac:dyDescent="0.25">
      <c r="A256" s="11"/>
    </row>
    <row r="257" spans="1:1" x14ac:dyDescent="0.25">
      <c r="A257" s="11"/>
    </row>
    <row r="258" spans="1:1" x14ac:dyDescent="0.25">
      <c r="A258" s="11"/>
    </row>
    <row r="259" spans="1:1" x14ac:dyDescent="0.25">
      <c r="A259" s="11"/>
    </row>
    <row r="260" spans="1:1" x14ac:dyDescent="0.25">
      <c r="A260" s="11"/>
    </row>
    <row r="261" spans="1:1" x14ac:dyDescent="0.25">
      <c r="A261" s="11"/>
    </row>
    <row r="262" spans="1:1" x14ac:dyDescent="0.25">
      <c r="A262" s="11"/>
    </row>
    <row r="263" spans="1:1" x14ac:dyDescent="0.25">
      <c r="A263" s="11"/>
    </row>
    <row r="264" spans="1:1" x14ac:dyDescent="0.25">
      <c r="A264" s="11"/>
    </row>
    <row r="265" spans="1:1" x14ac:dyDescent="0.25">
      <c r="A265" s="11"/>
    </row>
    <row r="266" spans="1:1" x14ac:dyDescent="0.25">
      <c r="A266" s="11"/>
    </row>
    <row r="267" spans="1:1" x14ac:dyDescent="0.25">
      <c r="A267" s="11"/>
    </row>
    <row r="268" spans="1:1" x14ac:dyDescent="0.25">
      <c r="A268" s="11"/>
    </row>
    <row r="269" spans="1:1" x14ac:dyDescent="0.25">
      <c r="A269" s="11"/>
    </row>
    <row r="270" spans="1:1" x14ac:dyDescent="0.25">
      <c r="A270" s="11"/>
    </row>
    <row r="271" spans="1:1" x14ac:dyDescent="0.25">
      <c r="A271" s="11"/>
    </row>
    <row r="272" spans="1:1" x14ac:dyDescent="0.25">
      <c r="A272" s="11"/>
    </row>
    <row r="273" spans="1:1" x14ac:dyDescent="0.25">
      <c r="A273" s="11"/>
    </row>
    <row r="274" spans="1:1" x14ac:dyDescent="0.25">
      <c r="A274" s="11"/>
    </row>
    <row r="275" spans="1:1" x14ac:dyDescent="0.25">
      <c r="A275" s="11"/>
    </row>
    <row r="276" spans="1:1" x14ac:dyDescent="0.25">
      <c r="A276" s="11"/>
    </row>
    <row r="277" spans="1:1" x14ac:dyDescent="0.25">
      <c r="A277" s="11"/>
    </row>
    <row r="278" spans="1:1" x14ac:dyDescent="0.25">
      <c r="A278" s="11"/>
    </row>
    <row r="279" spans="1:1" x14ac:dyDescent="0.25">
      <c r="A279" s="11"/>
    </row>
    <row r="280" spans="1:1" x14ac:dyDescent="0.25">
      <c r="A280" s="11"/>
    </row>
    <row r="281" spans="1:1" x14ac:dyDescent="0.25">
      <c r="A281" s="11"/>
    </row>
    <row r="282" spans="1:1" x14ac:dyDescent="0.25">
      <c r="A282" s="11"/>
    </row>
    <row r="283" spans="1:1" x14ac:dyDescent="0.25">
      <c r="A283" s="11"/>
    </row>
    <row r="284" spans="1:1" x14ac:dyDescent="0.25">
      <c r="A284" s="11"/>
    </row>
    <row r="285" spans="1:1" x14ac:dyDescent="0.25">
      <c r="A285" s="11"/>
    </row>
    <row r="286" spans="1:1" x14ac:dyDescent="0.25">
      <c r="A286" s="11"/>
    </row>
    <row r="287" spans="1:1" x14ac:dyDescent="0.25">
      <c r="A287" s="11"/>
    </row>
    <row r="288" spans="1:1" x14ac:dyDescent="0.25">
      <c r="A288" s="11"/>
    </row>
    <row r="289" spans="1:1" x14ac:dyDescent="0.25">
      <c r="A289" s="11"/>
    </row>
    <row r="290" spans="1:1" x14ac:dyDescent="0.25">
      <c r="A290" s="11"/>
    </row>
    <row r="291" spans="1:1" x14ac:dyDescent="0.25">
      <c r="A291" s="11"/>
    </row>
    <row r="292" spans="1:1" x14ac:dyDescent="0.25">
      <c r="A292" s="11"/>
    </row>
    <row r="293" spans="1:1" x14ac:dyDescent="0.25">
      <c r="A293" s="11"/>
    </row>
    <row r="294" spans="1:1" x14ac:dyDescent="0.25">
      <c r="A294" s="11"/>
    </row>
    <row r="295" spans="1:1" x14ac:dyDescent="0.25">
      <c r="A295" s="11"/>
    </row>
    <row r="296" spans="1:1" x14ac:dyDescent="0.25">
      <c r="A296" s="11"/>
    </row>
    <row r="297" spans="1:1" x14ac:dyDescent="0.25">
      <c r="A297" s="11"/>
    </row>
    <row r="298" spans="1:1" x14ac:dyDescent="0.25">
      <c r="A298" s="11"/>
    </row>
    <row r="299" spans="1:1" x14ac:dyDescent="0.25">
      <c r="A299" s="11"/>
    </row>
    <row r="300" spans="1:1" x14ac:dyDescent="0.25">
      <c r="A300" s="11"/>
    </row>
    <row r="301" spans="1:1" x14ac:dyDescent="0.25">
      <c r="A301" s="11"/>
    </row>
    <row r="302" spans="1:1" x14ac:dyDescent="0.25">
      <c r="A302" s="11"/>
    </row>
    <row r="303" spans="1:1" x14ac:dyDescent="0.25">
      <c r="A303" s="11"/>
    </row>
    <row r="304" spans="1:1" x14ac:dyDescent="0.25">
      <c r="A304" s="11"/>
    </row>
    <row r="305" spans="1:1" x14ac:dyDescent="0.25">
      <c r="A305" s="11"/>
    </row>
    <row r="306" spans="1:1" x14ac:dyDescent="0.25">
      <c r="A306" s="11"/>
    </row>
    <row r="307" spans="1:1" x14ac:dyDescent="0.25">
      <c r="A307" s="11"/>
    </row>
    <row r="308" spans="1:1" x14ac:dyDescent="0.25">
      <c r="A308" s="11"/>
    </row>
    <row r="309" spans="1:1" x14ac:dyDescent="0.25">
      <c r="A309" s="11"/>
    </row>
    <row r="310" spans="1:1" x14ac:dyDescent="0.25">
      <c r="A310" s="11"/>
    </row>
    <row r="311" spans="1:1" x14ac:dyDescent="0.25">
      <c r="A311" s="11"/>
    </row>
    <row r="312" spans="1:1" x14ac:dyDescent="0.25">
      <c r="A312" s="11"/>
    </row>
    <row r="313" spans="1:1" x14ac:dyDescent="0.25">
      <c r="A313" s="11"/>
    </row>
    <row r="314" spans="1:1" x14ac:dyDescent="0.25">
      <c r="A314" s="11"/>
    </row>
    <row r="315" spans="1:1" x14ac:dyDescent="0.25">
      <c r="A315" s="11"/>
    </row>
    <row r="316" spans="1:1" x14ac:dyDescent="0.25">
      <c r="A316" s="11"/>
    </row>
    <row r="317" spans="1:1" x14ac:dyDescent="0.25">
      <c r="A317" s="11"/>
    </row>
    <row r="318" spans="1:1" x14ac:dyDescent="0.25">
      <c r="A318" s="11"/>
    </row>
    <row r="319" spans="1:1" x14ac:dyDescent="0.25">
      <c r="A319" s="11"/>
    </row>
    <row r="320" spans="1:1" x14ac:dyDescent="0.25">
      <c r="A320" s="11"/>
    </row>
    <row r="321" spans="1:1" x14ac:dyDescent="0.25">
      <c r="A321" s="11"/>
    </row>
    <row r="322" spans="1:1" x14ac:dyDescent="0.25">
      <c r="A322" s="11"/>
    </row>
    <row r="323" spans="1:1" x14ac:dyDescent="0.25">
      <c r="A323" s="11"/>
    </row>
    <row r="324" spans="1:1" x14ac:dyDescent="0.25">
      <c r="A324" s="11"/>
    </row>
    <row r="325" spans="1:1" x14ac:dyDescent="0.25">
      <c r="A325" s="11"/>
    </row>
    <row r="326" spans="1:1" x14ac:dyDescent="0.25">
      <c r="A326" s="11"/>
    </row>
    <row r="327" spans="1:1" x14ac:dyDescent="0.25">
      <c r="A327" s="11"/>
    </row>
    <row r="328" spans="1:1" x14ac:dyDescent="0.25">
      <c r="A328" s="11"/>
    </row>
    <row r="329" spans="1:1" x14ac:dyDescent="0.25">
      <c r="A329" s="11"/>
    </row>
    <row r="330" spans="1:1" x14ac:dyDescent="0.25">
      <c r="A330" s="11"/>
    </row>
    <row r="331" spans="1:1" x14ac:dyDescent="0.25">
      <c r="A331" s="11"/>
    </row>
    <row r="332" spans="1:1" x14ac:dyDescent="0.25">
      <c r="A332" s="11"/>
    </row>
    <row r="333" spans="1:1" x14ac:dyDescent="0.25">
      <c r="A333" s="11"/>
    </row>
    <row r="334" spans="1:1" x14ac:dyDescent="0.25">
      <c r="A334" s="11"/>
    </row>
    <row r="335" spans="1:1" x14ac:dyDescent="0.25">
      <c r="A335" s="11"/>
    </row>
    <row r="336" spans="1:1" x14ac:dyDescent="0.25">
      <c r="A336" s="11"/>
    </row>
    <row r="337" spans="1:1" x14ac:dyDescent="0.25">
      <c r="A337" s="11"/>
    </row>
    <row r="338" spans="1:1" x14ac:dyDescent="0.25">
      <c r="A338" s="11"/>
    </row>
    <row r="339" spans="1:1" x14ac:dyDescent="0.25">
      <c r="A339" s="11"/>
    </row>
    <row r="340" spans="1:1" x14ac:dyDescent="0.25">
      <c r="A340" s="11"/>
    </row>
    <row r="341" spans="1:1" x14ac:dyDescent="0.25">
      <c r="A341" s="11"/>
    </row>
    <row r="342" spans="1:1" x14ac:dyDescent="0.25">
      <c r="A342" s="11"/>
    </row>
    <row r="343" spans="1:1" x14ac:dyDescent="0.25">
      <c r="A343" s="11"/>
    </row>
    <row r="344" spans="1:1" x14ac:dyDescent="0.25">
      <c r="A344" s="11"/>
    </row>
    <row r="345" spans="1:1" x14ac:dyDescent="0.25">
      <c r="A345" s="11"/>
    </row>
    <row r="346" spans="1:1" x14ac:dyDescent="0.25">
      <c r="A346" s="11"/>
    </row>
    <row r="347" spans="1:1" x14ac:dyDescent="0.25">
      <c r="A347" s="11"/>
    </row>
    <row r="348" spans="1:1" x14ac:dyDescent="0.25">
      <c r="A348" s="11"/>
    </row>
    <row r="349" spans="1:1" x14ac:dyDescent="0.25">
      <c r="A349" s="11"/>
    </row>
    <row r="350" spans="1:1" x14ac:dyDescent="0.25">
      <c r="A350" s="11"/>
    </row>
    <row r="351" spans="1:1" x14ac:dyDescent="0.25">
      <c r="A351" s="11"/>
    </row>
    <row r="352" spans="1:1" x14ac:dyDescent="0.25">
      <c r="A352" s="11"/>
    </row>
    <row r="353" spans="1:1" x14ac:dyDescent="0.25">
      <c r="A353" s="11"/>
    </row>
    <row r="354" spans="1:1" x14ac:dyDescent="0.25">
      <c r="A354" s="11"/>
    </row>
    <row r="355" spans="1:1" x14ac:dyDescent="0.25">
      <c r="A355" s="11"/>
    </row>
    <row r="356" spans="1:1" x14ac:dyDescent="0.25">
      <c r="A356" s="11"/>
    </row>
    <row r="357" spans="1:1" x14ac:dyDescent="0.25">
      <c r="A357" s="11"/>
    </row>
    <row r="358" spans="1:1" x14ac:dyDescent="0.25">
      <c r="A358" s="11"/>
    </row>
    <row r="359" spans="1:1" x14ac:dyDescent="0.25">
      <c r="A359" s="11"/>
    </row>
    <row r="360" spans="1:1" x14ac:dyDescent="0.25">
      <c r="A360" s="11"/>
    </row>
    <row r="361" spans="1:1" x14ac:dyDescent="0.25">
      <c r="A361" s="11"/>
    </row>
    <row r="362" spans="1:1" x14ac:dyDescent="0.25">
      <c r="A362" s="11"/>
    </row>
    <row r="363" spans="1:1" x14ac:dyDescent="0.25">
      <c r="A363" s="11"/>
    </row>
    <row r="364" spans="1:1" x14ac:dyDescent="0.25">
      <c r="A364" s="11"/>
    </row>
    <row r="365" spans="1:1" x14ac:dyDescent="0.25">
      <c r="A365" s="11"/>
    </row>
    <row r="366" spans="1:1" x14ac:dyDescent="0.25">
      <c r="A366" s="11"/>
    </row>
    <row r="367" spans="1:1" x14ac:dyDescent="0.25">
      <c r="A367" s="11"/>
    </row>
    <row r="368" spans="1:1" x14ac:dyDescent="0.25">
      <c r="A368" s="11"/>
    </row>
    <row r="369" spans="1:1" x14ac:dyDescent="0.25">
      <c r="A369" s="11"/>
    </row>
    <row r="370" spans="1:1" x14ac:dyDescent="0.25">
      <c r="A370" s="11"/>
    </row>
    <row r="371" spans="1:1" x14ac:dyDescent="0.25">
      <c r="A371" s="11"/>
    </row>
    <row r="372" spans="1:1" x14ac:dyDescent="0.25">
      <c r="A372" s="11"/>
    </row>
    <row r="373" spans="1:1" x14ac:dyDescent="0.25">
      <c r="A373" s="11"/>
    </row>
    <row r="374" spans="1:1" x14ac:dyDescent="0.25">
      <c r="A374" s="11"/>
    </row>
    <row r="375" spans="1:1" x14ac:dyDescent="0.25">
      <c r="A375" s="11"/>
    </row>
    <row r="376" spans="1:1" x14ac:dyDescent="0.25">
      <c r="A376" s="11"/>
    </row>
    <row r="377" spans="1:1" x14ac:dyDescent="0.25">
      <c r="A377" s="11"/>
    </row>
    <row r="378" spans="1:1" x14ac:dyDescent="0.25">
      <c r="A378" s="11"/>
    </row>
    <row r="379" spans="1:1" x14ac:dyDescent="0.25">
      <c r="A379" s="11"/>
    </row>
    <row r="380" spans="1:1" x14ac:dyDescent="0.25">
      <c r="A380" s="11"/>
    </row>
    <row r="381" spans="1:1" x14ac:dyDescent="0.25">
      <c r="A381" s="11"/>
    </row>
    <row r="382" spans="1:1" x14ac:dyDescent="0.25">
      <c r="A382" s="11"/>
    </row>
    <row r="383" spans="1:1" x14ac:dyDescent="0.25">
      <c r="A383" s="11"/>
    </row>
    <row r="384" spans="1:1" x14ac:dyDescent="0.25">
      <c r="A384" s="11"/>
    </row>
    <row r="385" spans="1:1" x14ac:dyDescent="0.25">
      <c r="A385" s="11"/>
    </row>
    <row r="386" spans="1:1" x14ac:dyDescent="0.25">
      <c r="A386" s="11"/>
    </row>
    <row r="387" spans="1:1" x14ac:dyDescent="0.25">
      <c r="A387" s="11"/>
    </row>
    <row r="388" spans="1:1" x14ac:dyDescent="0.25">
      <c r="A388" s="11"/>
    </row>
    <row r="389" spans="1:1" x14ac:dyDescent="0.25">
      <c r="A389" s="11"/>
    </row>
    <row r="390" spans="1:1" x14ac:dyDescent="0.25">
      <c r="A390" s="11"/>
    </row>
    <row r="391" spans="1:1" x14ac:dyDescent="0.25">
      <c r="A391" s="11"/>
    </row>
    <row r="392" spans="1:1" x14ac:dyDescent="0.25">
      <c r="A392" s="11"/>
    </row>
    <row r="393" spans="1:1" x14ac:dyDescent="0.25">
      <c r="A393" s="11"/>
    </row>
    <row r="394" spans="1:1" x14ac:dyDescent="0.25">
      <c r="A394" s="11"/>
    </row>
    <row r="395" spans="1:1" x14ac:dyDescent="0.25">
      <c r="A395" s="11"/>
    </row>
    <row r="396" spans="1:1" x14ac:dyDescent="0.25">
      <c r="A396" s="11"/>
    </row>
    <row r="397" spans="1:1" x14ac:dyDescent="0.25">
      <c r="A397" s="11"/>
    </row>
    <row r="398" spans="1:1" x14ac:dyDescent="0.25">
      <c r="A398" s="11"/>
    </row>
    <row r="399" spans="1:1" x14ac:dyDescent="0.25">
      <c r="A399" s="11"/>
    </row>
    <row r="400" spans="1:1" x14ac:dyDescent="0.25">
      <c r="A400" s="11"/>
    </row>
    <row r="401" spans="1:1" x14ac:dyDescent="0.25">
      <c r="A401" s="11"/>
    </row>
    <row r="402" spans="1:1" x14ac:dyDescent="0.25">
      <c r="A402" s="11"/>
    </row>
    <row r="403" spans="1:1" x14ac:dyDescent="0.25">
      <c r="A403" s="11"/>
    </row>
    <row r="404" spans="1:1" x14ac:dyDescent="0.25">
      <c r="A404" s="11"/>
    </row>
    <row r="405" spans="1:1" x14ac:dyDescent="0.25">
      <c r="A405" s="11"/>
    </row>
    <row r="406" spans="1:1" x14ac:dyDescent="0.25">
      <c r="A406" s="11"/>
    </row>
    <row r="407" spans="1:1" x14ac:dyDescent="0.25">
      <c r="A407" s="11"/>
    </row>
    <row r="408" spans="1:1" x14ac:dyDescent="0.25">
      <c r="A408" s="11"/>
    </row>
    <row r="409" spans="1:1" x14ac:dyDescent="0.25">
      <c r="A409" s="11"/>
    </row>
    <row r="410" spans="1:1" x14ac:dyDescent="0.25">
      <c r="A410" s="11"/>
    </row>
    <row r="411" spans="1:1" x14ac:dyDescent="0.25">
      <c r="A411" s="11"/>
    </row>
    <row r="412" spans="1:1" x14ac:dyDescent="0.25">
      <c r="A412" s="11"/>
    </row>
    <row r="413" spans="1:1" x14ac:dyDescent="0.25">
      <c r="A413" s="11"/>
    </row>
    <row r="414" spans="1:1" x14ac:dyDescent="0.25">
      <c r="A414" s="11"/>
    </row>
    <row r="415" spans="1:1" x14ac:dyDescent="0.25">
      <c r="A415" s="11"/>
    </row>
    <row r="416" spans="1:1" x14ac:dyDescent="0.25">
      <c r="A416" s="11"/>
    </row>
    <row r="417" spans="1:1" x14ac:dyDescent="0.25">
      <c r="A417" s="11"/>
    </row>
    <row r="418" spans="1:1" x14ac:dyDescent="0.25">
      <c r="A418" s="11"/>
    </row>
    <row r="419" spans="1:1" x14ac:dyDescent="0.25">
      <c r="A419" s="11"/>
    </row>
    <row r="420" spans="1:1" x14ac:dyDescent="0.25">
      <c r="A420" s="11"/>
    </row>
    <row r="421" spans="1:1" x14ac:dyDescent="0.25">
      <c r="A421" s="11"/>
    </row>
    <row r="422" spans="1:1" x14ac:dyDescent="0.25">
      <c r="A422" s="11"/>
    </row>
    <row r="423" spans="1:1" x14ac:dyDescent="0.25">
      <c r="A423" s="11"/>
    </row>
    <row r="424" spans="1:1" x14ac:dyDescent="0.25">
      <c r="A424" s="11"/>
    </row>
    <row r="425" spans="1:1" x14ac:dyDescent="0.25">
      <c r="A425" s="11"/>
    </row>
    <row r="426" spans="1:1" x14ac:dyDescent="0.25">
      <c r="A426" s="11"/>
    </row>
    <row r="427" spans="1:1" x14ac:dyDescent="0.25">
      <c r="A427" s="11"/>
    </row>
    <row r="428" spans="1:1" x14ac:dyDescent="0.25">
      <c r="A428" s="11"/>
    </row>
    <row r="429" spans="1:1" x14ac:dyDescent="0.25">
      <c r="A429" s="11"/>
    </row>
    <row r="430" spans="1:1" x14ac:dyDescent="0.25">
      <c r="A430" s="11"/>
    </row>
    <row r="431" spans="1:1" x14ac:dyDescent="0.25">
      <c r="A431" s="11"/>
    </row>
    <row r="432" spans="1:1" x14ac:dyDescent="0.25">
      <c r="A432" s="11"/>
    </row>
    <row r="433" spans="1:1" x14ac:dyDescent="0.25">
      <c r="A433" s="11"/>
    </row>
    <row r="434" spans="1:1" x14ac:dyDescent="0.25">
      <c r="A434" s="11"/>
    </row>
    <row r="435" spans="1:1" x14ac:dyDescent="0.25">
      <c r="A435" s="11"/>
    </row>
    <row r="436" spans="1:1" x14ac:dyDescent="0.25">
      <c r="A436" s="11"/>
    </row>
    <row r="437" spans="1:1" x14ac:dyDescent="0.25">
      <c r="A437" s="11"/>
    </row>
    <row r="438" spans="1:1" x14ac:dyDescent="0.25">
      <c r="A438" s="11"/>
    </row>
    <row r="439" spans="1:1" x14ac:dyDescent="0.25">
      <c r="A439" s="11"/>
    </row>
    <row r="440" spans="1:1" x14ac:dyDescent="0.25">
      <c r="A440" s="11"/>
    </row>
    <row r="441" spans="1:1" x14ac:dyDescent="0.25">
      <c r="A441" s="11"/>
    </row>
    <row r="442" spans="1:1" x14ac:dyDescent="0.25">
      <c r="A442" s="11"/>
    </row>
    <row r="443" spans="1:1" x14ac:dyDescent="0.25">
      <c r="A443" s="11"/>
    </row>
    <row r="444" spans="1:1" x14ac:dyDescent="0.25">
      <c r="A444" s="11"/>
    </row>
    <row r="445" spans="1:1" x14ac:dyDescent="0.25">
      <c r="A445" s="11"/>
    </row>
    <row r="446" spans="1:1" x14ac:dyDescent="0.25">
      <c r="A446" s="11"/>
    </row>
    <row r="447" spans="1:1" x14ac:dyDescent="0.25">
      <c r="A447" s="11"/>
    </row>
    <row r="448" spans="1:1" x14ac:dyDescent="0.25">
      <c r="A448" s="11"/>
    </row>
    <row r="449" spans="1:1" x14ac:dyDescent="0.25">
      <c r="A449" s="11"/>
    </row>
    <row r="450" spans="1:1" x14ac:dyDescent="0.25">
      <c r="A450" s="11"/>
    </row>
    <row r="451" spans="1:1" x14ac:dyDescent="0.25">
      <c r="A451" s="11"/>
    </row>
    <row r="452" spans="1:1" x14ac:dyDescent="0.25">
      <c r="A452" s="11"/>
    </row>
    <row r="453" spans="1:1" x14ac:dyDescent="0.25">
      <c r="A453" s="11"/>
    </row>
    <row r="454" spans="1:1" x14ac:dyDescent="0.25">
      <c r="A454" s="11"/>
    </row>
    <row r="455" spans="1:1" x14ac:dyDescent="0.25">
      <c r="A455" s="11"/>
    </row>
    <row r="456" spans="1:1" x14ac:dyDescent="0.25">
      <c r="A456" s="11"/>
    </row>
    <row r="457" spans="1:1" x14ac:dyDescent="0.25">
      <c r="A457" s="11"/>
    </row>
    <row r="458" spans="1:1" x14ac:dyDescent="0.25">
      <c r="A458" s="11"/>
    </row>
    <row r="459" spans="1:1" x14ac:dyDescent="0.25">
      <c r="A459" s="11"/>
    </row>
    <row r="460" spans="1:1" x14ac:dyDescent="0.25">
      <c r="A460" s="11"/>
    </row>
    <row r="461" spans="1:1" x14ac:dyDescent="0.25">
      <c r="A461" s="11"/>
    </row>
    <row r="462" spans="1:1" x14ac:dyDescent="0.25">
      <c r="A462" s="11"/>
    </row>
    <row r="463" spans="1:1" x14ac:dyDescent="0.25">
      <c r="A463" s="11"/>
    </row>
    <row r="464" spans="1:1" x14ac:dyDescent="0.25">
      <c r="A464" s="11"/>
    </row>
    <row r="465" spans="1:1" x14ac:dyDescent="0.25">
      <c r="A465" s="11"/>
    </row>
    <row r="466" spans="1:1" x14ac:dyDescent="0.25">
      <c r="A466" s="11"/>
    </row>
    <row r="467" spans="1:1" x14ac:dyDescent="0.25">
      <c r="A467" s="11"/>
    </row>
    <row r="468" spans="1:1" x14ac:dyDescent="0.25">
      <c r="A468" s="11"/>
    </row>
    <row r="469" spans="1:1" x14ac:dyDescent="0.25">
      <c r="A469" s="11"/>
    </row>
    <row r="470" spans="1:1" x14ac:dyDescent="0.25">
      <c r="A470" s="11"/>
    </row>
    <row r="471" spans="1:1" x14ac:dyDescent="0.25">
      <c r="A471" s="11"/>
    </row>
    <row r="472" spans="1:1" x14ac:dyDescent="0.25">
      <c r="A472" s="11"/>
    </row>
    <row r="473" spans="1:1" x14ac:dyDescent="0.25">
      <c r="A473" s="11"/>
    </row>
    <row r="474" spans="1:1" x14ac:dyDescent="0.25">
      <c r="A474" s="11"/>
    </row>
    <row r="475" spans="1:1" x14ac:dyDescent="0.25">
      <c r="A475" s="11"/>
    </row>
    <row r="476" spans="1:1" x14ac:dyDescent="0.25">
      <c r="A476" s="11"/>
    </row>
    <row r="477" spans="1:1" x14ac:dyDescent="0.25">
      <c r="A477" s="11"/>
    </row>
    <row r="478" spans="1:1" x14ac:dyDescent="0.25">
      <c r="A478" s="11"/>
    </row>
    <row r="479" spans="1:1" x14ac:dyDescent="0.25">
      <c r="A479" s="11"/>
    </row>
    <row r="480" spans="1:1" x14ac:dyDescent="0.25">
      <c r="A480" s="11"/>
    </row>
    <row r="481" spans="1:1" x14ac:dyDescent="0.25">
      <c r="A481" s="11"/>
    </row>
    <row r="482" spans="1:1" x14ac:dyDescent="0.25">
      <c r="A482" s="11"/>
    </row>
    <row r="483" spans="1:1" x14ac:dyDescent="0.25">
      <c r="A483" s="11"/>
    </row>
    <row r="484" spans="1:1" x14ac:dyDescent="0.25">
      <c r="A484" s="11"/>
    </row>
    <row r="485" spans="1:1" x14ac:dyDescent="0.25">
      <c r="A485" s="11"/>
    </row>
    <row r="486" spans="1:1" x14ac:dyDescent="0.25">
      <c r="A486" s="11"/>
    </row>
    <row r="487" spans="1:1" x14ac:dyDescent="0.25">
      <c r="A487" s="11"/>
    </row>
    <row r="488" spans="1:1" x14ac:dyDescent="0.25">
      <c r="A488" s="11"/>
    </row>
    <row r="489" spans="1:1" x14ac:dyDescent="0.25">
      <c r="A489" s="11"/>
    </row>
    <row r="490" spans="1:1" x14ac:dyDescent="0.25">
      <c r="A490" s="11"/>
    </row>
    <row r="491" spans="1:1" x14ac:dyDescent="0.25">
      <c r="A491" s="11"/>
    </row>
    <row r="492" spans="1:1" x14ac:dyDescent="0.25">
      <c r="A492" s="11"/>
    </row>
    <row r="493" spans="1:1" x14ac:dyDescent="0.25">
      <c r="A493" s="11"/>
    </row>
    <row r="494" spans="1:1" x14ac:dyDescent="0.25">
      <c r="A494" s="11"/>
    </row>
    <row r="495" spans="1:1" x14ac:dyDescent="0.25">
      <c r="A495" s="11"/>
    </row>
    <row r="496" spans="1:1" x14ac:dyDescent="0.25">
      <c r="A496" s="11"/>
    </row>
    <row r="497" spans="1:1" x14ac:dyDescent="0.25">
      <c r="A497" s="11"/>
    </row>
    <row r="498" spans="1:1" x14ac:dyDescent="0.25">
      <c r="A498" s="11"/>
    </row>
    <row r="499" spans="1:1" x14ac:dyDescent="0.25">
      <c r="A499" s="11"/>
    </row>
    <row r="500" spans="1:1" x14ac:dyDescent="0.25">
      <c r="A500" s="11"/>
    </row>
    <row r="501" spans="1:1" x14ac:dyDescent="0.25">
      <c r="A501" s="11"/>
    </row>
    <row r="502" spans="1:1" x14ac:dyDescent="0.25">
      <c r="A502" s="11"/>
    </row>
    <row r="503" spans="1:1" x14ac:dyDescent="0.25">
      <c r="A503" s="11"/>
    </row>
    <row r="504" spans="1:1" x14ac:dyDescent="0.25">
      <c r="A504" s="11"/>
    </row>
    <row r="505" spans="1:1" x14ac:dyDescent="0.25">
      <c r="A505" s="11"/>
    </row>
    <row r="506" spans="1:1" x14ac:dyDescent="0.25">
      <c r="A506" s="11"/>
    </row>
    <row r="507" spans="1:1" x14ac:dyDescent="0.25">
      <c r="A507" s="11"/>
    </row>
    <row r="508" spans="1:1" x14ac:dyDescent="0.25">
      <c r="A508" s="11"/>
    </row>
    <row r="509" spans="1:1" x14ac:dyDescent="0.25">
      <c r="A509" s="11"/>
    </row>
    <row r="510" spans="1:1" x14ac:dyDescent="0.25">
      <c r="A510" s="11"/>
    </row>
    <row r="511" spans="1:1" x14ac:dyDescent="0.25">
      <c r="A511" s="11"/>
    </row>
    <row r="512" spans="1:1" x14ac:dyDescent="0.25">
      <c r="A512" s="11"/>
    </row>
    <row r="513" spans="1:1" x14ac:dyDescent="0.25">
      <c r="A513" s="11"/>
    </row>
    <row r="514" spans="1:1" x14ac:dyDescent="0.25">
      <c r="A514" s="11"/>
    </row>
    <row r="515" spans="1:1" x14ac:dyDescent="0.25">
      <c r="A515" s="11"/>
    </row>
    <row r="516" spans="1:1" x14ac:dyDescent="0.25">
      <c r="A516" s="11"/>
    </row>
    <row r="517" spans="1:1" x14ac:dyDescent="0.25">
      <c r="A517" s="11"/>
    </row>
    <row r="518" spans="1:1" x14ac:dyDescent="0.25">
      <c r="A518" s="11"/>
    </row>
    <row r="519" spans="1:1" x14ac:dyDescent="0.25">
      <c r="A519" s="11"/>
    </row>
    <row r="520" spans="1:1" x14ac:dyDescent="0.25">
      <c r="A520" s="11"/>
    </row>
    <row r="521" spans="1:1" x14ac:dyDescent="0.25">
      <c r="A521" s="11"/>
    </row>
    <row r="522" spans="1:1" x14ac:dyDescent="0.25">
      <c r="A522" s="11"/>
    </row>
    <row r="523" spans="1:1" x14ac:dyDescent="0.25">
      <c r="A523" s="11"/>
    </row>
    <row r="524" spans="1:1" x14ac:dyDescent="0.25">
      <c r="A524" s="11"/>
    </row>
    <row r="525" spans="1:1" x14ac:dyDescent="0.25">
      <c r="A525" s="11"/>
    </row>
    <row r="526" spans="1:1" x14ac:dyDescent="0.25">
      <c r="A526" s="11"/>
    </row>
    <row r="527" spans="1:1" x14ac:dyDescent="0.25">
      <c r="A527" s="11"/>
    </row>
    <row r="528" spans="1:1" x14ac:dyDescent="0.25">
      <c r="A528" s="11"/>
    </row>
    <row r="529" spans="1:1" x14ac:dyDescent="0.25">
      <c r="A529" s="11"/>
    </row>
    <row r="530" spans="1:1" x14ac:dyDescent="0.25">
      <c r="A530" s="11"/>
    </row>
    <row r="531" spans="1:1" x14ac:dyDescent="0.25">
      <c r="A531" s="11"/>
    </row>
    <row r="532" spans="1:1" x14ac:dyDescent="0.25">
      <c r="A532" s="11"/>
    </row>
    <row r="533" spans="1:1" x14ac:dyDescent="0.25">
      <c r="A533" s="11"/>
    </row>
    <row r="534" spans="1:1" x14ac:dyDescent="0.25">
      <c r="A534" s="11"/>
    </row>
    <row r="535" spans="1:1" x14ac:dyDescent="0.25">
      <c r="A535" s="11"/>
    </row>
    <row r="536" spans="1:1" x14ac:dyDescent="0.25">
      <c r="A536" s="11"/>
    </row>
    <row r="537" spans="1:1" x14ac:dyDescent="0.25">
      <c r="A537" s="11"/>
    </row>
    <row r="538" spans="1:1" x14ac:dyDescent="0.25">
      <c r="A538" s="11"/>
    </row>
    <row r="539" spans="1:1" x14ac:dyDescent="0.25">
      <c r="A539" s="11"/>
    </row>
    <row r="540" spans="1:1" x14ac:dyDescent="0.25">
      <c r="A540" s="11"/>
    </row>
    <row r="541" spans="1:1" x14ac:dyDescent="0.25">
      <c r="A541" s="11"/>
    </row>
    <row r="542" spans="1:1" x14ac:dyDescent="0.25">
      <c r="A542" s="11"/>
    </row>
    <row r="543" spans="1:1" x14ac:dyDescent="0.25">
      <c r="A543" s="11"/>
    </row>
    <row r="544" spans="1:1" x14ac:dyDescent="0.25">
      <c r="A544" s="11"/>
    </row>
    <row r="545" spans="1:1" x14ac:dyDescent="0.25">
      <c r="A545" s="11"/>
    </row>
    <row r="546" spans="1:1" x14ac:dyDescent="0.25">
      <c r="A546" s="11"/>
    </row>
    <row r="547" spans="1:1" x14ac:dyDescent="0.25">
      <c r="A547" s="11"/>
    </row>
    <row r="548" spans="1:1" x14ac:dyDescent="0.25">
      <c r="A548" s="11"/>
    </row>
    <row r="549" spans="1:1" x14ac:dyDescent="0.25">
      <c r="A549" s="11"/>
    </row>
    <row r="550" spans="1:1" x14ac:dyDescent="0.25">
      <c r="A550" s="11"/>
    </row>
    <row r="551" spans="1:1" x14ac:dyDescent="0.25">
      <c r="A551" s="11"/>
    </row>
    <row r="552" spans="1:1" x14ac:dyDescent="0.25">
      <c r="A552" s="11"/>
    </row>
    <row r="553" spans="1:1" x14ac:dyDescent="0.25">
      <c r="A553" s="11"/>
    </row>
    <row r="554" spans="1:1" x14ac:dyDescent="0.25">
      <c r="A554" s="11"/>
    </row>
    <row r="555" spans="1:1" x14ac:dyDescent="0.25">
      <c r="A555" s="11"/>
    </row>
    <row r="556" spans="1:1" x14ac:dyDescent="0.25">
      <c r="A556" s="11"/>
    </row>
    <row r="557" spans="1:1" x14ac:dyDescent="0.25">
      <c r="A557" s="11"/>
    </row>
    <row r="558" spans="1:1" x14ac:dyDescent="0.25">
      <c r="A558" s="11"/>
    </row>
    <row r="559" spans="1:1" x14ac:dyDescent="0.25">
      <c r="A559" s="11"/>
    </row>
    <row r="560" spans="1:1" x14ac:dyDescent="0.25">
      <c r="A560" s="11"/>
    </row>
    <row r="561" spans="1:1" x14ac:dyDescent="0.25">
      <c r="A561" s="11"/>
    </row>
    <row r="562" spans="1:1" x14ac:dyDescent="0.25">
      <c r="A562" s="11"/>
    </row>
    <row r="563" spans="1:1" x14ac:dyDescent="0.25">
      <c r="A563" s="11"/>
    </row>
    <row r="564" spans="1:1" x14ac:dyDescent="0.25">
      <c r="A564" s="11"/>
    </row>
    <row r="565" spans="1:1" x14ac:dyDescent="0.25">
      <c r="A565" s="11"/>
    </row>
    <row r="566" spans="1:1" x14ac:dyDescent="0.25">
      <c r="A566" s="11"/>
    </row>
    <row r="567" spans="1:1" x14ac:dyDescent="0.25">
      <c r="A567" s="11"/>
    </row>
    <row r="568" spans="1:1" x14ac:dyDescent="0.25">
      <c r="A568" s="11"/>
    </row>
    <row r="569" spans="1:1" x14ac:dyDescent="0.25">
      <c r="A569" s="11"/>
    </row>
    <row r="570" spans="1:1" x14ac:dyDescent="0.25">
      <c r="A570" s="11"/>
    </row>
    <row r="571" spans="1:1" x14ac:dyDescent="0.25">
      <c r="A571" s="11"/>
    </row>
    <row r="572" spans="1:1" x14ac:dyDescent="0.25">
      <c r="A572" s="11"/>
    </row>
    <row r="573" spans="1:1" x14ac:dyDescent="0.25">
      <c r="A573" s="11"/>
    </row>
    <row r="574" spans="1:1" x14ac:dyDescent="0.25">
      <c r="A574" s="11"/>
    </row>
    <row r="575" spans="1:1" x14ac:dyDescent="0.25">
      <c r="A575" s="11"/>
    </row>
    <row r="576" spans="1:1" x14ac:dyDescent="0.25">
      <c r="A576" s="11"/>
    </row>
    <row r="577" spans="1:1" x14ac:dyDescent="0.25">
      <c r="A577" s="11"/>
    </row>
    <row r="578" spans="1:1" x14ac:dyDescent="0.25">
      <c r="A578" s="11"/>
    </row>
    <row r="579" spans="1:1" x14ac:dyDescent="0.25">
      <c r="A579" s="11"/>
    </row>
    <row r="580" spans="1:1" x14ac:dyDescent="0.25">
      <c r="A580" s="11"/>
    </row>
    <row r="581" spans="1:1" x14ac:dyDescent="0.25">
      <c r="A581" s="11"/>
    </row>
    <row r="582" spans="1:1" x14ac:dyDescent="0.25">
      <c r="A582" s="11"/>
    </row>
    <row r="583" spans="1:1" x14ac:dyDescent="0.25">
      <c r="A583" s="11"/>
    </row>
    <row r="584" spans="1:1" x14ac:dyDescent="0.25">
      <c r="A584" s="11"/>
    </row>
    <row r="585" spans="1:1" x14ac:dyDescent="0.25">
      <c r="A585" s="11"/>
    </row>
    <row r="586" spans="1:1" x14ac:dyDescent="0.25">
      <c r="A586" s="11"/>
    </row>
    <row r="587" spans="1:1" x14ac:dyDescent="0.25">
      <c r="A587" s="11"/>
    </row>
    <row r="588" spans="1:1" x14ac:dyDescent="0.25">
      <c r="A588" s="11"/>
    </row>
    <row r="589" spans="1:1" x14ac:dyDescent="0.25">
      <c r="A589" s="11"/>
    </row>
    <row r="590" spans="1:1" x14ac:dyDescent="0.25">
      <c r="A590" s="11"/>
    </row>
    <row r="591" spans="1:1" x14ac:dyDescent="0.25">
      <c r="A591" s="11"/>
    </row>
    <row r="592" spans="1:1" x14ac:dyDescent="0.25">
      <c r="A592" s="11"/>
    </row>
    <row r="593" spans="1:1" x14ac:dyDescent="0.25">
      <c r="A593" s="11"/>
    </row>
    <row r="594" spans="1:1" x14ac:dyDescent="0.25">
      <c r="A594" s="11"/>
    </row>
    <row r="595" spans="1:1" x14ac:dyDescent="0.25">
      <c r="A595" s="11"/>
    </row>
    <row r="596" spans="1:1" x14ac:dyDescent="0.25">
      <c r="A596" s="11"/>
    </row>
    <row r="597" spans="1:1" x14ac:dyDescent="0.25">
      <c r="A597" s="11"/>
    </row>
    <row r="598" spans="1:1" x14ac:dyDescent="0.25">
      <c r="A598" s="11"/>
    </row>
    <row r="599" spans="1:1" x14ac:dyDescent="0.25">
      <c r="A599" s="11"/>
    </row>
    <row r="600" spans="1:1" x14ac:dyDescent="0.25">
      <c r="A600" s="11"/>
    </row>
    <row r="601" spans="1:1" x14ac:dyDescent="0.25">
      <c r="A601" s="11"/>
    </row>
    <row r="602" spans="1:1" x14ac:dyDescent="0.25">
      <c r="A602" s="11"/>
    </row>
    <row r="603" spans="1:1" x14ac:dyDescent="0.25">
      <c r="A603" s="11"/>
    </row>
    <row r="604" spans="1:1" x14ac:dyDescent="0.25">
      <c r="A604" s="11"/>
    </row>
    <row r="605" spans="1:1" x14ac:dyDescent="0.25">
      <c r="A605" s="11"/>
    </row>
    <row r="606" spans="1:1" x14ac:dyDescent="0.25">
      <c r="A606" s="11"/>
    </row>
    <row r="607" spans="1:1" x14ac:dyDescent="0.25">
      <c r="A607" s="11"/>
    </row>
    <row r="608" spans="1:1" x14ac:dyDescent="0.25">
      <c r="A608" s="11"/>
    </row>
    <row r="609" spans="1:1" x14ac:dyDescent="0.25">
      <c r="A609" s="11"/>
    </row>
    <row r="610" spans="1:1" x14ac:dyDescent="0.25">
      <c r="A610" s="11"/>
    </row>
    <row r="611" spans="1:1" x14ac:dyDescent="0.25">
      <c r="A611" s="11"/>
    </row>
    <row r="612" spans="1:1" x14ac:dyDescent="0.25">
      <c r="A612" s="11"/>
    </row>
    <row r="613" spans="1:1" x14ac:dyDescent="0.25">
      <c r="A613" s="11"/>
    </row>
    <row r="614" spans="1:1" x14ac:dyDescent="0.25">
      <c r="A614" s="11"/>
    </row>
    <row r="615" spans="1:1" x14ac:dyDescent="0.25">
      <c r="A615" s="11"/>
    </row>
    <row r="616" spans="1:1" x14ac:dyDescent="0.25">
      <c r="A616" s="11"/>
    </row>
    <row r="617" spans="1:1" x14ac:dyDescent="0.25">
      <c r="A617" s="11"/>
    </row>
    <row r="618" spans="1:1" x14ac:dyDescent="0.25">
      <c r="A618" s="11"/>
    </row>
    <row r="619" spans="1:1" x14ac:dyDescent="0.25">
      <c r="A619" s="11"/>
    </row>
    <row r="620" spans="1:1" x14ac:dyDescent="0.25">
      <c r="A620" s="11"/>
    </row>
    <row r="621" spans="1:1" x14ac:dyDescent="0.25">
      <c r="A621" s="11"/>
    </row>
    <row r="622" spans="1:1" x14ac:dyDescent="0.25">
      <c r="A622" s="11"/>
    </row>
    <row r="623" spans="1:1" x14ac:dyDescent="0.25">
      <c r="A623" s="11"/>
    </row>
    <row r="624" spans="1:1" x14ac:dyDescent="0.25">
      <c r="A624" s="11"/>
    </row>
    <row r="625" spans="1:1" x14ac:dyDescent="0.25">
      <c r="A625" s="11"/>
    </row>
    <row r="626" spans="1:1" x14ac:dyDescent="0.25">
      <c r="A626" s="11"/>
    </row>
    <row r="627" spans="1:1" x14ac:dyDescent="0.25">
      <c r="A627" s="11"/>
    </row>
    <row r="628" spans="1:1" x14ac:dyDescent="0.25">
      <c r="A628" s="11"/>
    </row>
    <row r="629" spans="1:1" x14ac:dyDescent="0.25">
      <c r="A629" s="11"/>
    </row>
    <row r="630" spans="1:1" x14ac:dyDescent="0.25">
      <c r="A630" s="11"/>
    </row>
    <row r="631" spans="1:1" x14ac:dyDescent="0.25">
      <c r="A631" s="11"/>
    </row>
    <row r="632" spans="1:1" x14ac:dyDescent="0.25">
      <c r="A632" s="11"/>
    </row>
    <row r="633" spans="1:1" x14ac:dyDescent="0.25">
      <c r="A633" s="11"/>
    </row>
    <row r="634" spans="1:1" x14ac:dyDescent="0.25">
      <c r="A634" s="11"/>
    </row>
    <row r="635" spans="1:1" x14ac:dyDescent="0.25">
      <c r="A635" s="11"/>
    </row>
    <row r="636" spans="1:1" x14ac:dyDescent="0.25">
      <c r="A636" s="11"/>
    </row>
    <row r="637" spans="1:1" x14ac:dyDescent="0.25">
      <c r="A637" s="11"/>
    </row>
    <row r="638" spans="1:1" x14ac:dyDescent="0.25">
      <c r="A638" s="11"/>
    </row>
    <row r="639" spans="1:1" x14ac:dyDescent="0.25">
      <c r="A639" s="11"/>
    </row>
    <row r="640" spans="1:1" x14ac:dyDescent="0.25">
      <c r="A640" s="11"/>
    </row>
    <row r="641" spans="1:1" x14ac:dyDescent="0.25">
      <c r="A641" s="11"/>
    </row>
    <row r="642" spans="1:1" x14ac:dyDescent="0.25">
      <c r="A642" s="11"/>
    </row>
    <row r="643" spans="1:1" x14ac:dyDescent="0.25">
      <c r="A643" s="11"/>
    </row>
    <row r="644" spans="1:1" x14ac:dyDescent="0.25">
      <c r="A644" s="11"/>
    </row>
    <row r="645" spans="1:1" x14ac:dyDescent="0.25">
      <c r="A645" s="11"/>
    </row>
    <row r="646" spans="1:1" x14ac:dyDescent="0.25">
      <c r="A646" s="11"/>
    </row>
    <row r="647" spans="1:1" x14ac:dyDescent="0.25">
      <c r="A647" s="11"/>
    </row>
    <row r="648" spans="1:1" x14ac:dyDescent="0.25">
      <c r="A648" s="11"/>
    </row>
    <row r="649" spans="1:1" x14ac:dyDescent="0.25">
      <c r="A649" s="11"/>
    </row>
    <row r="650" spans="1:1" x14ac:dyDescent="0.25">
      <c r="A650" s="11"/>
    </row>
    <row r="651" spans="1:1" x14ac:dyDescent="0.25">
      <c r="A651" s="11"/>
    </row>
    <row r="652" spans="1:1" x14ac:dyDescent="0.25">
      <c r="A652" s="11"/>
    </row>
    <row r="653" spans="1:1" x14ac:dyDescent="0.25">
      <c r="A653" s="11"/>
    </row>
    <row r="654" spans="1:1" x14ac:dyDescent="0.25">
      <c r="A654" s="11"/>
    </row>
    <row r="655" spans="1:1" x14ac:dyDescent="0.25">
      <c r="A655" s="11"/>
    </row>
    <row r="656" spans="1:1" x14ac:dyDescent="0.25">
      <c r="A656" s="11"/>
    </row>
    <row r="657" spans="1:1" x14ac:dyDescent="0.25">
      <c r="A657" s="11"/>
    </row>
    <row r="658" spans="1:1" x14ac:dyDescent="0.25">
      <c r="A658" s="11"/>
    </row>
    <row r="659" spans="1:1" x14ac:dyDescent="0.25">
      <c r="A659" s="11"/>
    </row>
    <row r="660" spans="1:1" x14ac:dyDescent="0.25">
      <c r="A660" s="11"/>
    </row>
    <row r="661" spans="1:1" x14ac:dyDescent="0.25">
      <c r="A661" s="11"/>
    </row>
    <row r="662" spans="1:1" x14ac:dyDescent="0.25">
      <c r="A662" s="11"/>
    </row>
    <row r="663" spans="1:1" x14ac:dyDescent="0.25">
      <c r="A663" s="11"/>
    </row>
    <row r="664" spans="1:1" x14ac:dyDescent="0.25">
      <c r="A664" s="11"/>
    </row>
    <row r="665" spans="1:1" x14ac:dyDescent="0.25">
      <c r="A665" s="11"/>
    </row>
    <row r="666" spans="1:1" x14ac:dyDescent="0.25">
      <c r="A666" s="11"/>
    </row>
    <row r="667" spans="1:1" x14ac:dyDescent="0.25">
      <c r="A667" s="11"/>
    </row>
    <row r="668" spans="1:1" x14ac:dyDescent="0.25">
      <c r="A668" s="11"/>
    </row>
    <row r="669" spans="1:1" x14ac:dyDescent="0.25">
      <c r="A669" s="11"/>
    </row>
    <row r="670" spans="1:1" x14ac:dyDescent="0.25">
      <c r="A670" s="11"/>
    </row>
    <row r="671" spans="1:1" x14ac:dyDescent="0.25">
      <c r="A671" s="11"/>
    </row>
    <row r="672" spans="1:1" x14ac:dyDescent="0.25">
      <c r="A672" s="11"/>
    </row>
    <row r="673" spans="1:1" x14ac:dyDescent="0.25">
      <c r="A673" s="11"/>
    </row>
    <row r="674" spans="1:1" x14ac:dyDescent="0.25">
      <c r="A674" s="11"/>
    </row>
    <row r="675" spans="1:1" x14ac:dyDescent="0.25">
      <c r="A675" s="11"/>
    </row>
    <row r="676" spans="1:1" x14ac:dyDescent="0.25">
      <c r="A676" s="11"/>
    </row>
    <row r="677" spans="1:1" x14ac:dyDescent="0.25">
      <c r="A677" s="11"/>
    </row>
    <row r="678" spans="1:1" x14ac:dyDescent="0.25">
      <c r="A678" s="11"/>
    </row>
    <row r="679" spans="1:1" x14ac:dyDescent="0.25">
      <c r="A679" s="11"/>
    </row>
    <row r="680" spans="1:1" x14ac:dyDescent="0.25">
      <c r="A680" s="11"/>
    </row>
    <row r="681" spans="1:1" x14ac:dyDescent="0.25">
      <c r="A681" s="11"/>
    </row>
    <row r="682" spans="1:1" x14ac:dyDescent="0.25">
      <c r="A682" s="11"/>
    </row>
    <row r="683" spans="1:1" x14ac:dyDescent="0.25">
      <c r="A683" s="11"/>
    </row>
    <row r="684" spans="1:1" x14ac:dyDescent="0.25">
      <c r="A684" s="11"/>
    </row>
    <row r="685" spans="1:1" x14ac:dyDescent="0.25">
      <c r="A685" s="11"/>
    </row>
    <row r="686" spans="1:1" x14ac:dyDescent="0.25">
      <c r="A686" s="11"/>
    </row>
    <row r="687" spans="1:1" x14ac:dyDescent="0.25">
      <c r="A687" s="11"/>
    </row>
    <row r="688" spans="1:1" x14ac:dyDescent="0.25">
      <c r="A688" s="11"/>
    </row>
    <row r="689" spans="1:1" x14ac:dyDescent="0.25">
      <c r="A689" s="11"/>
    </row>
    <row r="690" spans="1:1" x14ac:dyDescent="0.25">
      <c r="A690" s="11"/>
    </row>
    <row r="691" spans="1:1" x14ac:dyDescent="0.25">
      <c r="A691" s="11"/>
    </row>
    <row r="692" spans="1:1" x14ac:dyDescent="0.25">
      <c r="A692" s="11"/>
    </row>
    <row r="693" spans="1:1" x14ac:dyDescent="0.25">
      <c r="A693" s="11"/>
    </row>
    <row r="694" spans="1:1" x14ac:dyDescent="0.25">
      <c r="A694" s="11"/>
    </row>
    <row r="695" spans="1:1" x14ac:dyDescent="0.25">
      <c r="A695" s="11"/>
    </row>
    <row r="696" spans="1:1" x14ac:dyDescent="0.25">
      <c r="A696" s="11"/>
    </row>
    <row r="697" spans="1:1" x14ac:dyDescent="0.25">
      <c r="A697" s="11"/>
    </row>
    <row r="698" spans="1:1" x14ac:dyDescent="0.25">
      <c r="A698" s="11"/>
    </row>
    <row r="699" spans="1:1" x14ac:dyDescent="0.25">
      <c r="A699" s="11"/>
    </row>
    <row r="700" spans="1:1" x14ac:dyDescent="0.25">
      <c r="A700" s="11"/>
    </row>
    <row r="701" spans="1:1" x14ac:dyDescent="0.25">
      <c r="A701" s="11"/>
    </row>
    <row r="702" spans="1:1" x14ac:dyDescent="0.25">
      <c r="A702" s="11"/>
    </row>
    <row r="703" spans="1:1" x14ac:dyDescent="0.25">
      <c r="A703" s="11"/>
    </row>
    <row r="704" spans="1:1" x14ac:dyDescent="0.25">
      <c r="A704" s="11"/>
    </row>
    <row r="705" spans="1:1" x14ac:dyDescent="0.25">
      <c r="A705" s="11"/>
    </row>
    <row r="706" spans="1:1" x14ac:dyDescent="0.25">
      <c r="A706" s="11"/>
    </row>
    <row r="707" spans="1:1" x14ac:dyDescent="0.25">
      <c r="A707" s="11"/>
    </row>
    <row r="708" spans="1:1" x14ac:dyDescent="0.25">
      <c r="A708" s="11"/>
    </row>
    <row r="709" spans="1:1" x14ac:dyDescent="0.25">
      <c r="A709" s="11"/>
    </row>
    <row r="710" spans="1:1" x14ac:dyDescent="0.25">
      <c r="A710" s="11"/>
    </row>
    <row r="711" spans="1:1" x14ac:dyDescent="0.25">
      <c r="A711" s="11"/>
    </row>
    <row r="712" spans="1:1" x14ac:dyDescent="0.25">
      <c r="A712" s="11"/>
    </row>
    <row r="713" spans="1:1" x14ac:dyDescent="0.25">
      <c r="A713" s="11"/>
    </row>
    <row r="714" spans="1:1" x14ac:dyDescent="0.25">
      <c r="A714" s="11"/>
    </row>
    <row r="715" spans="1:1" x14ac:dyDescent="0.25">
      <c r="A715" s="11"/>
    </row>
    <row r="716" spans="1:1" x14ac:dyDescent="0.25">
      <c r="A716" s="11"/>
    </row>
    <row r="717" spans="1:1" x14ac:dyDescent="0.25">
      <c r="A717" s="11"/>
    </row>
    <row r="718" spans="1:1" x14ac:dyDescent="0.25">
      <c r="A718" s="11"/>
    </row>
    <row r="719" spans="1:1" x14ac:dyDescent="0.25">
      <c r="A719" s="11"/>
    </row>
    <row r="720" spans="1:1" x14ac:dyDescent="0.25">
      <c r="A720" s="11"/>
    </row>
    <row r="721" spans="1:1" x14ac:dyDescent="0.25">
      <c r="A721" s="11"/>
    </row>
    <row r="722" spans="1:1" x14ac:dyDescent="0.25">
      <c r="A722" s="11"/>
    </row>
    <row r="723" spans="1:1" x14ac:dyDescent="0.25">
      <c r="A723" s="11"/>
    </row>
    <row r="724" spans="1:1" x14ac:dyDescent="0.25">
      <c r="A724" s="11"/>
    </row>
    <row r="725" spans="1:1" x14ac:dyDescent="0.25">
      <c r="A725" s="11"/>
    </row>
    <row r="726" spans="1:1" x14ac:dyDescent="0.25">
      <c r="A726" s="11"/>
    </row>
    <row r="727" spans="1:1" x14ac:dyDescent="0.25">
      <c r="A727" s="11"/>
    </row>
    <row r="728" spans="1:1" x14ac:dyDescent="0.25">
      <c r="A728" s="11"/>
    </row>
    <row r="729" spans="1:1" x14ac:dyDescent="0.25">
      <c r="A729" s="11"/>
    </row>
    <row r="730" spans="1:1" x14ac:dyDescent="0.25">
      <c r="A730" s="11"/>
    </row>
    <row r="731" spans="1:1" x14ac:dyDescent="0.25">
      <c r="A731" s="11"/>
    </row>
    <row r="732" spans="1:1" x14ac:dyDescent="0.25">
      <c r="A732" s="11"/>
    </row>
    <row r="733" spans="1:1" x14ac:dyDescent="0.25">
      <c r="A733" s="11"/>
    </row>
    <row r="734" spans="1:1" x14ac:dyDescent="0.25">
      <c r="A734" s="11"/>
    </row>
    <row r="735" spans="1:1" x14ac:dyDescent="0.25">
      <c r="A735" s="11"/>
    </row>
    <row r="736" spans="1:1" x14ac:dyDescent="0.25">
      <c r="A736" s="11"/>
    </row>
    <row r="737" spans="1:1" x14ac:dyDescent="0.25">
      <c r="A737" s="11"/>
    </row>
    <row r="738" spans="1:1" x14ac:dyDescent="0.25">
      <c r="A738" s="11"/>
    </row>
    <row r="739" spans="1:1" x14ac:dyDescent="0.25">
      <c r="A739" s="11"/>
    </row>
    <row r="740" spans="1:1" x14ac:dyDescent="0.25">
      <c r="A740" s="11"/>
    </row>
    <row r="741" spans="1:1" x14ac:dyDescent="0.25">
      <c r="A741" s="11"/>
    </row>
    <row r="742" spans="1:1" x14ac:dyDescent="0.25">
      <c r="A742" s="11"/>
    </row>
    <row r="743" spans="1:1" x14ac:dyDescent="0.25">
      <c r="A743" s="11"/>
    </row>
    <row r="744" spans="1:1" x14ac:dyDescent="0.25">
      <c r="A744" s="11"/>
    </row>
    <row r="745" spans="1:1" x14ac:dyDescent="0.25">
      <c r="A745" s="11"/>
    </row>
    <row r="746" spans="1:1" x14ac:dyDescent="0.25">
      <c r="A746" s="11"/>
    </row>
    <row r="747" spans="1:1" x14ac:dyDescent="0.25">
      <c r="A747" s="11"/>
    </row>
    <row r="748" spans="1:1" x14ac:dyDescent="0.25">
      <c r="A748" s="11"/>
    </row>
    <row r="749" spans="1:1" x14ac:dyDescent="0.25">
      <c r="A749" s="11"/>
    </row>
    <row r="750" spans="1:1" x14ac:dyDescent="0.25">
      <c r="A750" s="11"/>
    </row>
    <row r="751" spans="1:1" x14ac:dyDescent="0.25">
      <c r="A751" s="11"/>
    </row>
    <row r="752" spans="1:1" x14ac:dyDescent="0.25">
      <c r="A752" s="11"/>
    </row>
    <row r="753" spans="1:1" x14ac:dyDescent="0.25">
      <c r="A753" s="11"/>
    </row>
    <row r="754" spans="1:1" x14ac:dyDescent="0.25">
      <c r="A754" s="11"/>
    </row>
    <row r="755" spans="1:1" x14ac:dyDescent="0.25">
      <c r="A755" s="11"/>
    </row>
    <row r="756" spans="1:1" x14ac:dyDescent="0.25">
      <c r="A756" s="11"/>
    </row>
    <row r="757" spans="1:1" x14ac:dyDescent="0.25">
      <c r="A757" s="11"/>
    </row>
    <row r="758" spans="1:1" x14ac:dyDescent="0.25">
      <c r="A758" s="11"/>
    </row>
    <row r="759" spans="1:1" x14ac:dyDescent="0.25">
      <c r="A759" s="11"/>
    </row>
    <row r="760" spans="1:1" x14ac:dyDescent="0.25">
      <c r="A760" s="11"/>
    </row>
    <row r="761" spans="1:1" x14ac:dyDescent="0.25">
      <c r="A761" s="11"/>
    </row>
    <row r="762" spans="1:1" x14ac:dyDescent="0.25">
      <c r="A762" s="11"/>
    </row>
    <row r="763" spans="1:1" x14ac:dyDescent="0.25">
      <c r="A763" s="11"/>
    </row>
    <row r="764" spans="1:1" x14ac:dyDescent="0.25">
      <c r="A764" s="11"/>
    </row>
    <row r="765" spans="1:1" x14ac:dyDescent="0.25">
      <c r="A765" s="11"/>
    </row>
    <row r="766" spans="1:1" x14ac:dyDescent="0.25">
      <c r="A766" s="11"/>
    </row>
    <row r="767" spans="1:1" x14ac:dyDescent="0.25">
      <c r="A767" s="11"/>
    </row>
    <row r="768" spans="1:1" x14ac:dyDescent="0.25">
      <c r="A768" s="11"/>
    </row>
    <row r="769" spans="1:1" x14ac:dyDescent="0.25">
      <c r="A769" s="11"/>
    </row>
    <row r="770" spans="1:1" x14ac:dyDescent="0.25">
      <c r="A770" s="11"/>
    </row>
    <row r="771" spans="1:1" x14ac:dyDescent="0.25">
      <c r="A771" s="11"/>
    </row>
    <row r="772" spans="1:1" x14ac:dyDescent="0.25">
      <c r="A772" s="11"/>
    </row>
    <row r="773" spans="1:1" x14ac:dyDescent="0.25">
      <c r="A773" s="11"/>
    </row>
    <row r="774" spans="1:1" x14ac:dyDescent="0.25">
      <c r="A774" s="11"/>
    </row>
    <row r="775" spans="1:1" x14ac:dyDescent="0.25">
      <c r="A775" s="11"/>
    </row>
    <row r="776" spans="1:1" x14ac:dyDescent="0.25">
      <c r="A776" s="11"/>
    </row>
    <row r="777" spans="1:1" x14ac:dyDescent="0.25">
      <c r="A777" s="11"/>
    </row>
    <row r="778" spans="1:1" x14ac:dyDescent="0.25">
      <c r="A778" s="11"/>
    </row>
    <row r="779" spans="1:1" x14ac:dyDescent="0.25">
      <c r="A779" s="11"/>
    </row>
    <row r="780" spans="1:1" x14ac:dyDescent="0.25">
      <c r="A780" s="11"/>
    </row>
    <row r="781" spans="1:1" x14ac:dyDescent="0.25">
      <c r="A781" s="11"/>
    </row>
    <row r="782" spans="1:1" x14ac:dyDescent="0.25">
      <c r="A782" s="11"/>
    </row>
    <row r="783" spans="1:1" x14ac:dyDescent="0.25">
      <c r="A783" s="11"/>
    </row>
    <row r="784" spans="1:1" x14ac:dyDescent="0.25">
      <c r="A784" s="11"/>
    </row>
    <row r="785" spans="1:1" x14ac:dyDescent="0.25">
      <c r="A785" s="11"/>
    </row>
    <row r="786" spans="1:1" x14ac:dyDescent="0.25">
      <c r="A786" s="11"/>
    </row>
    <row r="787" spans="1:1" x14ac:dyDescent="0.25">
      <c r="A787" s="11"/>
    </row>
    <row r="788" spans="1:1" x14ac:dyDescent="0.25">
      <c r="A788" s="11"/>
    </row>
    <row r="789" spans="1:1" x14ac:dyDescent="0.25">
      <c r="A789" s="11"/>
    </row>
    <row r="790" spans="1:1" x14ac:dyDescent="0.25">
      <c r="A790" s="11"/>
    </row>
    <row r="791" spans="1:1" x14ac:dyDescent="0.25">
      <c r="A791" s="11"/>
    </row>
    <row r="792" spans="1:1" x14ac:dyDescent="0.25">
      <c r="A792" s="11"/>
    </row>
    <row r="793" spans="1:1" x14ac:dyDescent="0.25">
      <c r="A793" s="11"/>
    </row>
    <row r="794" spans="1:1" x14ac:dyDescent="0.25">
      <c r="A794" s="11"/>
    </row>
    <row r="795" spans="1:1" x14ac:dyDescent="0.25">
      <c r="A795" s="11"/>
    </row>
    <row r="796" spans="1:1" x14ac:dyDescent="0.25">
      <c r="A796" s="11"/>
    </row>
    <row r="797" spans="1:1" x14ac:dyDescent="0.25">
      <c r="A797" s="11"/>
    </row>
    <row r="798" spans="1:1" x14ac:dyDescent="0.25">
      <c r="A798" s="11"/>
    </row>
    <row r="799" spans="1:1" x14ac:dyDescent="0.25">
      <c r="A799" s="11"/>
    </row>
    <row r="800" spans="1:1" x14ac:dyDescent="0.25">
      <c r="A800" s="11"/>
    </row>
    <row r="801" spans="1:1" x14ac:dyDescent="0.25">
      <c r="A801" s="11"/>
    </row>
    <row r="802" spans="1:1" x14ac:dyDescent="0.25">
      <c r="A802" s="11"/>
    </row>
    <row r="803" spans="1:1" x14ac:dyDescent="0.25">
      <c r="A803" s="11"/>
    </row>
    <row r="804" spans="1:1" x14ac:dyDescent="0.25">
      <c r="A804" s="11"/>
    </row>
    <row r="805" spans="1:1" x14ac:dyDescent="0.25">
      <c r="A805" s="11"/>
    </row>
    <row r="806" spans="1:1" x14ac:dyDescent="0.25">
      <c r="A806" s="11"/>
    </row>
    <row r="807" spans="1:1" x14ac:dyDescent="0.25">
      <c r="A807" s="11"/>
    </row>
    <row r="808" spans="1:1" x14ac:dyDescent="0.25">
      <c r="A808" s="11"/>
    </row>
    <row r="809" spans="1:1" x14ac:dyDescent="0.25">
      <c r="A809" s="11"/>
    </row>
    <row r="810" spans="1:1" x14ac:dyDescent="0.25">
      <c r="A810" s="11"/>
    </row>
    <row r="811" spans="1:1" x14ac:dyDescent="0.25">
      <c r="A811" s="11"/>
    </row>
    <row r="812" spans="1:1" x14ac:dyDescent="0.25">
      <c r="A812" s="11"/>
    </row>
    <row r="813" spans="1:1" x14ac:dyDescent="0.25">
      <c r="A813" s="11"/>
    </row>
    <row r="814" spans="1:1" x14ac:dyDescent="0.25">
      <c r="A814" s="11"/>
    </row>
    <row r="815" spans="1:1" x14ac:dyDescent="0.25">
      <c r="A815" s="11"/>
    </row>
    <row r="816" spans="1:1" x14ac:dyDescent="0.25">
      <c r="A816" s="11"/>
    </row>
    <row r="817" spans="1:1" x14ac:dyDescent="0.25">
      <c r="A817" s="11"/>
    </row>
    <row r="818" spans="1:1" x14ac:dyDescent="0.25">
      <c r="A818" s="11"/>
    </row>
    <row r="819" spans="1:1" x14ac:dyDescent="0.25">
      <c r="A819" s="11"/>
    </row>
    <row r="820" spans="1:1" x14ac:dyDescent="0.25">
      <c r="A820" s="11"/>
    </row>
    <row r="821" spans="1:1" x14ac:dyDescent="0.25">
      <c r="A821" s="11"/>
    </row>
    <row r="822" spans="1:1" x14ac:dyDescent="0.25">
      <c r="A822" s="11"/>
    </row>
    <row r="823" spans="1:1" x14ac:dyDescent="0.25">
      <c r="A823" s="11"/>
    </row>
    <row r="824" spans="1:1" x14ac:dyDescent="0.25">
      <c r="A824" s="11"/>
    </row>
    <row r="825" spans="1:1" x14ac:dyDescent="0.25">
      <c r="A825" s="11"/>
    </row>
    <row r="826" spans="1:1" x14ac:dyDescent="0.25">
      <c r="A826" s="11"/>
    </row>
    <row r="827" spans="1:1" x14ac:dyDescent="0.25">
      <c r="A827" s="11"/>
    </row>
    <row r="828" spans="1:1" x14ac:dyDescent="0.25">
      <c r="A828" s="11"/>
    </row>
    <row r="829" spans="1:1" x14ac:dyDescent="0.25">
      <c r="A829" s="11"/>
    </row>
    <row r="830" spans="1:1" x14ac:dyDescent="0.25">
      <c r="A830" s="11"/>
    </row>
    <row r="831" spans="1:1" x14ac:dyDescent="0.25">
      <c r="A831" s="11"/>
    </row>
    <row r="832" spans="1:1" x14ac:dyDescent="0.25">
      <c r="A832" s="11"/>
    </row>
    <row r="833" spans="1:1" x14ac:dyDescent="0.25">
      <c r="A833" s="11"/>
    </row>
    <row r="834" spans="1:1" x14ac:dyDescent="0.25">
      <c r="A834" s="11"/>
    </row>
    <row r="835" spans="1:1" x14ac:dyDescent="0.25">
      <c r="A835" s="11"/>
    </row>
    <row r="836" spans="1:1" x14ac:dyDescent="0.25">
      <c r="A836" s="11"/>
    </row>
    <row r="837" spans="1:1" x14ac:dyDescent="0.25">
      <c r="A837" s="11"/>
    </row>
    <row r="838" spans="1:1" x14ac:dyDescent="0.25">
      <c r="A838" s="11"/>
    </row>
    <row r="839" spans="1:1" x14ac:dyDescent="0.25">
      <c r="A839" s="11"/>
    </row>
    <row r="840" spans="1:1" x14ac:dyDescent="0.25">
      <c r="A840" s="11"/>
    </row>
    <row r="841" spans="1:1" x14ac:dyDescent="0.25">
      <c r="A841" s="11"/>
    </row>
    <row r="842" spans="1:1" x14ac:dyDescent="0.25">
      <c r="A842" s="11"/>
    </row>
    <row r="843" spans="1:1" x14ac:dyDescent="0.25">
      <c r="A843" s="11"/>
    </row>
    <row r="844" spans="1:1" x14ac:dyDescent="0.25">
      <c r="A844" s="11"/>
    </row>
    <row r="845" spans="1:1" x14ac:dyDescent="0.25">
      <c r="A845" s="11"/>
    </row>
    <row r="846" spans="1:1" x14ac:dyDescent="0.25">
      <c r="A846" s="11"/>
    </row>
    <row r="847" spans="1:1" x14ac:dyDescent="0.25">
      <c r="A847" s="11"/>
    </row>
    <row r="848" spans="1:1" x14ac:dyDescent="0.25">
      <c r="A848" s="11"/>
    </row>
    <row r="849" spans="1:1" x14ac:dyDescent="0.25">
      <c r="A849" s="11"/>
    </row>
    <row r="850" spans="1:1" x14ac:dyDescent="0.25">
      <c r="A850" s="11"/>
    </row>
    <row r="851" spans="1:1" x14ac:dyDescent="0.25">
      <c r="A851" s="11"/>
    </row>
    <row r="852" spans="1:1" x14ac:dyDescent="0.25">
      <c r="A852" s="11"/>
    </row>
    <row r="853" spans="1:1" x14ac:dyDescent="0.25">
      <c r="A853" s="11"/>
    </row>
    <row r="854" spans="1:1" x14ac:dyDescent="0.25">
      <c r="A854" s="11"/>
    </row>
    <row r="855" spans="1:1" x14ac:dyDescent="0.25">
      <c r="A855" s="11"/>
    </row>
    <row r="856" spans="1:1" x14ac:dyDescent="0.25">
      <c r="A856" s="11"/>
    </row>
    <row r="857" spans="1:1" x14ac:dyDescent="0.25">
      <c r="A857" s="11"/>
    </row>
    <row r="858" spans="1:1" x14ac:dyDescent="0.25">
      <c r="A858" s="11"/>
    </row>
    <row r="859" spans="1:1" x14ac:dyDescent="0.25">
      <c r="A859" s="11"/>
    </row>
    <row r="860" spans="1:1" x14ac:dyDescent="0.25">
      <c r="A860" s="11"/>
    </row>
    <row r="861" spans="1:1" x14ac:dyDescent="0.25">
      <c r="A861" s="11"/>
    </row>
    <row r="862" spans="1:1" x14ac:dyDescent="0.25">
      <c r="A862" s="11"/>
    </row>
    <row r="863" spans="1:1" x14ac:dyDescent="0.25">
      <c r="A863" s="11"/>
    </row>
    <row r="864" spans="1:1" x14ac:dyDescent="0.25">
      <c r="A864" s="11"/>
    </row>
    <row r="865" spans="1:1" x14ac:dyDescent="0.25">
      <c r="A865" s="11"/>
    </row>
    <row r="866" spans="1:1" x14ac:dyDescent="0.25">
      <c r="A866" s="11"/>
    </row>
    <row r="867" spans="1:1" x14ac:dyDescent="0.25">
      <c r="A867" s="11"/>
    </row>
    <row r="868" spans="1:1" x14ac:dyDescent="0.25">
      <c r="A868" s="11"/>
    </row>
    <row r="869" spans="1:1" x14ac:dyDescent="0.25">
      <c r="A869" s="11"/>
    </row>
    <row r="870" spans="1:1" x14ac:dyDescent="0.25">
      <c r="A870" s="11"/>
    </row>
    <row r="871" spans="1:1" x14ac:dyDescent="0.25">
      <c r="A871" s="11"/>
    </row>
    <row r="872" spans="1:1" x14ac:dyDescent="0.25">
      <c r="A872" s="11"/>
    </row>
    <row r="873" spans="1:1" x14ac:dyDescent="0.25">
      <c r="A873" s="11"/>
    </row>
    <row r="874" spans="1:1" x14ac:dyDescent="0.25">
      <c r="A874" s="11"/>
    </row>
    <row r="875" spans="1:1" x14ac:dyDescent="0.25">
      <c r="A875" s="11"/>
    </row>
    <row r="876" spans="1:1" x14ac:dyDescent="0.25">
      <c r="A876" s="11"/>
    </row>
    <row r="877" spans="1:1" x14ac:dyDescent="0.25">
      <c r="A877" s="11"/>
    </row>
    <row r="878" spans="1:1" x14ac:dyDescent="0.25">
      <c r="A878" s="11"/>
    </row>
    <row r="879" spans="1:1" x14ac:dyDescent="0.25">
      <c r="A879" s="11"/>
    </row>
    <row r="880" spans="1:1" x14ac:dyDescent="0.25">
      <c r="A880" s="11"/>
    </row>
    <row r="881" spans="1:1" x14ac:dyDescent="0.25">
      <c r="A881" s="11"/>
    </row>
    <row r="882" spans="1:1" x14ac:dyDescent="0.25">
      <c r="A882" s="11"/>
    </row>
    <row r="883" spans="1:1" x14ac:dyDescent="0.25">
      <c r="A883" s="11"/>
    </row>
    <row r="884" spans="1:1" x14ac:dyDescent="0.25">
      <c r="A884" s="11"/>
    </row>
    <row r="885" spans="1:1" x14ac:dyDescent="0.25">
      <c r="A885" s="11"/>
    </row>
    <row r="886" spans="1:1" x14ac:dyDescent="0.25">
      <c r="A886" s="11"/>
    </row>
    <row r="887" spans="1:1" x14ac:dyDescent="0.25">
      <c r="A887" s="11"/>
    </row>
    <row r="888" spans="1:1" x14ac:dyDescent="0.25">
      <c r="A888" s="11"/>
    </row>
    <row r="889" spans="1:1" x14ac:dyDescent="0.25">
      <c r="A889" s="11"/>
    </row>
    <row r="890" spans="1:1" x14ac:dyDescent="0.25">
      <c r="A890" s="11"/>
    </row>
    <row r="891" spans="1:1" x14ac:dyDescent="0.25">
      <c r="A891" s="11"/>
    </row>
    <row r="892" spans="1:1" x14ac:dyDescent="0.25">
      <c r="A892" s="11"/>
    </row>
    <row r="893" spans="1:1" x14ac:dyDescent="0.25">
      <c r="A893" s="11"/>
    </row>
    <row r="894" spans="1:1" x14ac:dyDescent="0.25">
      <c r="A894" s="11"/>
    </row>
    <row r="895" spans="1:1" x14ac:dyDescent="0.25">
      <c r="A895" s="11"/>
    </row>
    <row r="896" spans="1:1" x14ac:dyDescent="0.25">
      <c r="A896" s="11"/>
    </row>
    <row r="897" spans="1:1" x14ac:dyDescent="0.25">
      <c r="A897" s="11"/>
    </row>
    <row r="898" spans="1:1" x14ac:dyDescent="0.25">
      <c r="A898" s="11"/>
    </row>
    <row r="899" spans="1:1" x14ac:dyDescent="0.25">
      <c r="A899" s="11"/>
    </row>
    <row r="900" spans="1:1" x14ac:dyDescent="0.25">
      <c r="A900" s="11"/>
    </row>
    <row r="901" spans="1:1" x14ac:dyDescent="0.25">
      <c r="A901" s="11"/>
    </row>
    <row r="902" spans="1:1" x14ac:dyDescent="0.25">
      <c r="A902" s="11"/>
    </row>
    <row r="903" spans="1:1" x14ac:dyDescent="0.25">
      <c r="A903" s="11"/>
    </row>
    <row r="904" spans="1:1" x14ac:dyDescent="0.25">
      <c r="A904" s="11"/>
    </row>
    <row r="905" spans="1:1" x14ac:dyDescent="0.25">
      <c r="A905" s="11"/>
    </row>
    <row r="906" spans="1:1" x14ac:dyDescent="0.25">
      <c r="A906" s="11"/>
    </row>
    <row r="907" spans="1:1" x14ac:dyDescent="0.25">
      <c r="A907" s="11"/>
    </row>
    <row r="908" spans="1:1" x14ac:dyDescent="0.25">
      <c r="A908" s="11"/>
    </row>
    <row r="909" spans="1:1" x14ac:dyDescent="0.25">
      <c r="A909" s="11"/>
    </row>
    <row r="910" spans="1:1" x14ac:dyDescent="0.25">
      <c r="A910" s="11"/>
    </row>
    <row r="911" spans="1:1" x14ac:dyDescent="0.25">
      <c r="A911" s="11"/>
    </row>
    <row r="912" spans="1:1" x14ac:dyDescent="0.25">
      <c r="A912" s="11"/>
    </row>
    <row r="913" spans="1:1" x14ac:dyDescent="0.25">
      <c r="A913" s="11"/>
    </row>
    <row r="914" spans="1:1" x14ac:dyDescent="0.25">
      <c r="A914" s="11"/>
    </row>
    <row r="915" spans="1:1" x14ac:dyDescent="0.25">
      <c r="A915" s="11"/>
    </row>
    <row r="916" spans="1:1" x14ac:dyDescent="0.25">
      <c r="A916" s="11"/>
    </row>
    <row r="917" spans="1:1" x14ac:dyDescent="0.25">
      <c r="A917" s="11"/>
    </row>
    <row r="918" spans="1:1" x14ac:dyDescent="0.25">
      <c r="A918" s="11"/>
    </row>
    <row r="919" spans="1:1" x14ac:dyDescent="0.25">
      <c r="A919" s="11"/>
    </row>
    <row r="920" spans="1:1" x14ac:dyDescent="0.25">
      <c r="A920" s="11"/>
    </row>
    <row r="921" spans="1:1" x14ac:dyDescent="0.25">
      <c r="A921" s="11"/>
    </row>
    <row r="922" spans="1:1" x14ac:dyDescent="0.25">
      <c r="A922" s="11"/>
    </row>
    <row r="923" spans="1:1" x14ac:dyDescent="0.25">
      <c r="A923" s="11"/>
    </row>
    <row r="924" spans="1:1" x14ac:dyDescent="0.25">
      <c r="A924" s="11"/>
    </row>
    <row r="925" spans="1:1" x14ac:dyDescent="0.25">
      <c r="A925" s="11"/>
    </row>
    <row r="926" spans="1:1" x14ac:dyDescent="0.25">
      <c r="A926" s="11"/>
    </row>
    <row r="927" spans="1:1" x14ac:dyDescent="0.25">
      <c r="A927" s="11"/>
    </row>
    <row r="928" spans="1:1" x14ac:dyDescent="0.25">
      <c r="A928" s="11"/>
    </row>
    <row r="929" spans="1:1" x14ac:dyDescent="0.25">
      <c r="A929" s="11"/>
    </row>
    <row r="930" spans="1:1" x14ac:dyDescent="0.25">
      <c r="A930" s="11"/>
    </row>
    <row r="931" spans="1:1" x14ac:dyDescent="0.25">
      <c r="A931" s="11"/>
    </row>
    <row r="932" spans="1:1" x14ac:dyDescent="0.25">
      <c r="A932" s="11"/>
    </row>
    <row r="933" spans="1:1" x14ac:dyDescent="0.25">
      <c r="A933" s="11"/>
    </row>
    <row r="934" spans="1:1" x14ac:dyDescent="0.25">
      <c r="A934" s="11"/>
    </row>
    <row r="935" spans="1:1" x14ac:dyDescent="0.25">
      <c r="A935" s="11"/>
    </row>
    <row r="936" spans="1:1" x14ac:dyDescent="0.25">
      <c r="A936" s="11"/>
    </row>
    <row r="937" spans="1:1" x14ac:dyDescent="0.25">
      <c r="A937" s="11"/>
    </row>
    <row r="938" spans="1:1" x14ac:dyDescent="0.25">
      <c r="A938" s="11"/>
    </row>
    <row r="939" spans="1:1" x14ac:dyDescent="0.25">
      <c r="A939" s="11"/>
    </row>
    <row r="940" spans="1:1" x14ac:dyDescent="0.25">
      <c r="A940" s="11"/>
    </row>
    <row r="941" spans="1:1" x14ac:dyDescent="0.25">
      <c r="A941" s="11"/>
    </row>
    <row r="942" spans="1:1" x14ac:dyDescent="0.25">
      <c r="A942" s="11"/>
    </row>
    <row r="943" spans="1:1" x14ac:dyDescent="0.25">
      <c r="A943" s="11"/>
    </row>
    <row r="944" spans="1:1" x14ac:dyDescent="0.25">
      <c r="A944" s="11"/>
    </row>
    <row r="945" spans="1:1" x14ac:dyDescent="0.25">
      <c r="A945" s="11"/>
    </row>
    <row r="946" spans="1:1" x14ac:dyDescent="0.25">
      <c r="A946" s="11"/>
    </row>
    <row r="947" spans="1:1" x14ac:dyDescent="0.25">
      <c r="A947" s="11"/>
    </row>
    <row r="948" spans="1:1" x14ac:dyDescent="0.25">
      <c r="A948" s="11"/>
    </row>
    <row r="949" spans="1:1" x14ac:dyDescent="0.25">
      <c r="A949" s="11"/>
    </row>
    <row r="950" spans="1:1" x14ac:dyDescent="0.25">
      <c r="A950" s="11"/>
    </row>
    <row r="951" spans="1:1" x14ac:dyDescent="0.25">
      <c r="A951" s="11"/>
    </row>
    <row r="952" spans="1:1" x14ac:dyDescent="0.25">
      <c r="A952" s="11"/>
    </row>
    <row r="953" spans="1:1" x14ac:dyDescent="0.25">
      <c r="A953" s="11"/>
    </row>
    <row r="954" spans="1:1" x14ac:dyDescent="0.25">
      <c r="A954" s="11"/>
    </row>
    <row r="955" spans="1:1" x14ac:dyDescent="0.25">
      <c r="A955" s="11"/>
    </row>
    <row r="956" spans="1:1" x14ac:dyDescent="0.25">
      <c r="A956" s="11"/>
    </row>
    <row r="957" spans="1:1" x14ac:dyDescent="0.25">
      <c r="A957" s="11"/>
    </row>
    <row r="958" spans="1:1" x14ac:dyDescent="0.25">
      <c r="A958" s="11"/>
    </row>
    <row r="959" spans="1:1" x14ac:dyDescent="0.25">
      <c r="A959" s="11"/>
    </row>
    <row r="960" spans="1:1" x14ac:dyDescent="0.25">
      <c r="A960" s="11"/>
    </row>
    <row r="961" spans="1:1" x14ac:dyDescent="0.25">
      <c r="A961" s="11"/>
    </row>
    <row r="962" spans="1:1" x14ac:dyDescent="0.25">
      <c r="A962" s="11"/>
    </row>
    <row r="963" spans="1:1" x14ac:dyDescent="0.25">
      <c r="A963" s="11"/>
    </row>
    <row r="964" spans="1:1" x14ac:dyDescent="0.25">
      <c r="A964" s="11"/>
    </row>
    <row r="965" spans="1:1" x14ac:dyDescent="0.25">
      <c r="A965" s="11"/>
    </row>
    <row r="966" spans="1:1" x14ac:dyDescent="0.25">
      <c r="A966" s="11"/>
    </row>
    <row r="967" spans="1:1" x14ac:dyDescent="0.25">
      <c r="A967" s="11"/>
    </row>
    <row r="968" spans="1:1" x14ac:dyDescent="0.25">
      <c r="A968" s="11"/>
    </row>
    <row r="969" spans="1:1" x14ac:dyDescent="0.25">
      <c r="A969" s="11"/>
    </row>
    <row r="970" spans="1:1" x14ac:dyDescent="0.25">
      <c r="A970" s="11"/>
    </row>
    <row r="971" spans="1:1" x14ac:dyDescent="0.25">
      <c r="A971" s="11"/>
    </row>
    <row r="972" spans="1:1" x14ac:dyDescent="0.25">
      <c r="A972" s="11"/>
    </row>
    <row r="973" spans="1:1" x14ac:dyDescent="0.25">
      <c r="A973" s="11"/>
    </row>
    <row r="974" spans="1:1" x14ac:dyDescent="0.25">
      <c r="A974" s="11"/>
    </row>
    <row r="975" spans="1:1" x14ac:dyDescent="0.25">
      <c r="A975" s="11"/>
    </row>
    <row r="976" spans="1:1" x14ac:dyDescent="0.25">
      <c r="A976" s="11"/>
    </row>
    <row r="977" spans="1:1" x14ac:dyDescent="0.25">
      <c r="A977" s="11"/>
    </row>
    <row r="978" spans="1:1" x14ac:dyDescent="0.25">
      <c r="A978" s="11"/>
    </row>
    <row r="979" spans="1:1" x14ac:dyDescent="0.25">
      <c r="A979" s="11"/>
    </row>
    <row r="980" spans="1:1" x14ac:dyDescent="0.25">
      <c r="A980" s="11"/>
    </row>
    <row r="981" spans="1:1" x14ac:dyDescent="0.25">
      <c r="A981" s="11"/>
    </row>
    <row r="982" spans="1:1" x14ac:dyDescent="0.25">
      <c r="A982" s="11"/>
    </row>
    <row r="983" spans="1:1" x14ac:dyDescent="0.25">
      <c r="A983" s="11"/>
    </row>
    <row r="984" spans="1:1" x14ac:dyDescent="0.25">
      <c r="A984" s="11"/>
    </row>
    <row r="985" spans="1:1" x14ac:dyDescent="0.25">
      <c r="A985" s="11"/>
    </row>
    <row r="986" spans="1:1" x14ac:dyDescent="0.25">
      <c r="A986" s="11"/>
    </row>
    <row r="987" spans="1:1" x14ac:dyDescent="0.25">
      <c r="A987" s="11"/>
    </row>
    <row r="988" spans="1:1" x14ac:dyDescent="0.25">
      <c r="A988" s="11"/>
    </row>
    <row r="989" spans="1:1" x14ac:dyDescent="0.25">
      <c r="A989" s="11"/>
    </row>
    <row r="990" spans="1:1" x14ac:dyDescent="0.25">
      <c r="A990" s="11"/>
    </row>
    <row r="991" spans="1:1" x14ac:dyDescent="0.25">
      <c r="A991" s="11"/>
    </row>
    <row r="992" spans="1:1" x14ac:dyDescent="0.25">
      <c r="A992" s="11"/>
    </row>
    <row r="993" spans="1:1" x14ac:dyDescent="0.25">
      <c r="A993" s="11"/>
    </row>
    <row r="994" spans="1:1" x14ac:dyDescent="0.25">
      <c r="A994" s="11"/>
    </row>
    <row r="995" spans="1:1" x14ac:dyDescent="0.25">
      <c r="A995" s="11"/>
    </row>
    <row r="996" spans="1:1" x14ac:dyDescent="0.25">
      <c r="A996" s="11"/>
    </row>
    <row r="997" spans="1:1" x14ac:dyDescent="0.25">
      <c r="A997" s="11"/>
    </row>
    <row r="998" spans="1:1" x14ac:dyDescent="0.25">
      <c r="A998" s="11"/>
    </row>
    <row r="999" spans="1:1" x14ac:dyDescent="0.25">
      <c r="A999" s="11"/>
    </row>
    <row r="1000" spans="1:1" x14ac:dyDescent="0.25">
      <c r="A1000" s="11"/>
    </row>
    <row r="1001" spans="1:1" x14ac:dyDescent="0.25">
      <c r="A1001" s="11"/>
    </row>
    <row r="1002" spans="1:1" x14ac:dyDescent="0.25">
      <c r="A1002" s="1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154E8-5A8E-4D9E-9957-48F833D22500}">
  <sheetPr codeName="Sheet4"/>
  <dimension ref="A1:B121"/>
  <sheetViews>
    <sheetView workbookViewId="0">
      <selection activeCell="A14" sqref="A14"/>
    </sheetView>
  </sheetViews>
  <sheetFormatPr defaultRowHeight="15" x14ac:dyDescent="0.25"/>
  <cols>
    <col min="1" max="1" width="10.28515625" customWidth="1"/>
  </cols>
  <sheetData>
    <row r="1" spans="1:2" x14ac:dyDescent="0.25">
      <c r="A1" s="2" t="s">
        <v>16</v>
      </c>
      <c r="B1" t="s">
        <v>24</v>
      </c>
    </row>
    <row r="2" spans="1:2" x14ac:dyDescent="0.25">
      <c r="A2" s="4">
        <f>YEAR(Historical_Data!A3)*100+MONTH(Historical_Data!A3)</f>
        <v>201501</v>
      </c>
      <c r="B2">
        <f>LN(Historical_Data!F3/Historical_Data!F2)</f>
        <v>-4.545827501875678E-2</v>
      </c>
    </row>
    <row r="3" spans="1:2" x14ac:dyDescent="0.25">
      <c r="A3" s="4">
        <f>YEAR(Historical_Data!A4)*100+MONTH(Historical_Data!A4)</f>
        <v>201502</v>
      </c>
      <c r="B3">
        <f>LN(Historical_Data!F4/Historical_Data!F3)</f>
        <v>5.4763860385946696E-2</v>
      </c>
    </row>
    <row r="4" spans="1:2" x14ac:dyDescent="0.25">
      <c r="A4" s="4">
        <f>YEAR(Historical_Data!A5)*100+MONTH(Historical_Data!A5)</f>
        <v>201503</v>
      </c>
      <c r="B4">
        <f>LN(Historical_Data!F5/Historical_Data!F4)</f>
        <v>-1.9415671980418801E-3</v>
      </c>
    </row>
    <row r="5" spans="1:2" x14ac:dyDescent="0.25">
      <c r="A5" s="4">
        <f>YEAR(Historical_Data!A6)*100+MONTH(Historical_Data!A6)</f>
        <v>201504</v>
      </c>
      <c r="B5">
        <f>LN(Historical_Data!F6/Historical_Data!F5)</f>
        <v>6.5064172253838204E-2</v>
      </c>
    </row>
    <row r="6" spans="1:2" x14ac:dyDescent="0.25">
      <c r="A6" s="4">
        <f>YEAR(Historical_Data!A7)*100+MONTH(Historical_Data!A7)</f>
        <v>201505</v>
      </c>
      <c r="B6">
        <f>LN(Historical_Data!F7/Historical_Data!F6)</f>
        <v>-9.6205331542274525E-3</v>
      </c>
    </row>
    <row r="7" spans="1:2" x14ac:dyDescent="0.25">
      <c r="A7" s="4">
        <f>YEAR(Historical_Data!A8)*100+MONTH(Historical_Data!A8)</f>
        <v>201506</v>
      </c>
      <c r="B7">
        <f>LN(Historical_Data!F8/Historical_Data!F7)</f>
        <v>-3.4536371260581455E-2</v>
      </c>
    </row>
    <row r="8" spans="1:2" x14ac:dyDescent="0.25">
      <c r="A8" s="4">
        <f>YEAR(Historical_Data!A9)*100+MONTH(Historical_Data!A9)</f>
        <v>201507</v>
      </c>
      <c r="B8">
        <f>LN(Historical_Data!F9/Historical_Data!F8)</f>
        <v>-4.1274162307153306E-3</v>
      </c>
    </row>
    <row r="9" spans="1:2" x14ac:dyDescent="0.25">
      <c r="A9" s="4">
        <f>YEAR(Historical_Data!A10)*100+MONTH(Historical_Data!A10)</f>
        <v>201508</v>
      </c>
      <c r="B9">
        <f>LN(Historical_Data!F10/Historical_Data!F9)</f>
        <v>-9.1065772270928325E-2</v>
      </c>
    </row>
    <row r="10" spans="1:2" x14ac:dyDescent="0.25">
      <c r="A10" s="4">
        <f>YEAR(Historical_Data!A11)*100+MONTH(Historical_Data!A11)</f>
        <v>201509</v>
      </c>
      <c r="B10">
        <f>LN(Historical_Data!F11/Historical_Data!F10)</f>
        <v>-1.1674977388550155E-2</v>
      </c>
    </row>
    <row r="11" spans="1:2" x14ac:dyDescent="0.25">
      <c r="A11" s="4">
        <f>YEAR(Historical_Data!A12)*100+MONTH(Historical_Data!A12)</f>
        <v>201510</v>
      </c>
      <c r="B11">
        <f>LN(Historical_Data!F12/Historical_Data!F11)</f>
        <v>-3.4313003534836545E-2</v>
      </c>
    </row>
    <row r="12" spans="1:2" x14ac:dyDescent="0.25">
      <c r="A12" s="4">
        <f>YEAR(Historical_Data!A13)*100+MONTH(Historical_Data!A13)</f>
        <v>201511</v>
      </c>
      <c r="B12">
        <f>LN(Historical_Data!F13/Historical_Data!F12)</f>
        <v>-4.7226837321412011E-3</v>
      </c>
    </row>
    <row r="13" spans="1:2" x14ac:dyDescent="0.25">
      <c r="A13" s="4">
        <f>YEAR(Historical_Data!A14)*100+MONTH(Historical_Data!A14)</f>
        <v>201512</v>
      </c>
      <c r="B13">
        <f>LN(Historical_Data!F14/Historical_Data!F13)</f>
        <v>-3.6581980854929284E-3</v>
      </c>
    </row>
    <row r="14" spans="1:2" x14ac:dyDescent="0.25">
      <c r="A14" s="4">
        <f>YEAR(Historical_Data!A15)*100+MONTH(Historical_Data!A15)</f>
        <v>201601</v>
      </c>
      <c r="B14">
        <f>LN(Historical_Data!F15/Historical_Data!F14)</f>
        <v>-9.7863961545389136E-2</v>
      </c>
    </row>
    <row r="15" spans="1:2" x14ac:dyDescent="0.25">
      <c r="A15" s="4">
        <f>YEAR(Historical_Data!A16)*100+MONTH(Historical_Data!A16)</f>
        <v>201602</v>
      </c>
      <c r="B15">
        <f>LN(Historical_Data!F16/Historical_Data!F15)</f>
        <v>4.8794020615370366E-2</v>
      </c>
    </row>
    <row r="16" spans="1:2" x14ac:dyDescent="0.25">
      <c r="A16" s="4">
        <f>YEAR(Historical_Data!A17)*100+MONTH(Historical_Data!A17)</f>
        <v>201603</v>
      </c>
      <c r="B16">
        <f>LN(Historical_Data!F17/Historical_Data!F16)</f>
        <v>0.15499183634661903</v>
      </c>
    </row>
    <row r="17" spans="1:2" x14ac:dyDescent="0.25">
      <c r="A17" s="4">
        <f>YEAR(Historical_Data!A18)*100+MONTH(Historical_Data!A18)</f>
        <v>201604</v>
      </c>
      <c r="B17">
        <f>LN(Historical_Data!F18/Historical_Data!F17)</f>
        <v>-3.7059864713844745E-2</v>
      </c>
    </row>
    <row r="18" spans="1:2" x14ac:dyDescent="0.25">
      <c r="A18" s="4">
        <f>YEAR(Historical_Data!A19)*100+MONTH(Historical_Data!A19)</f>
        <v>201605</v>
      </c>
      <c r="B18">
        <f>LN(Historical_Data!F19/Historical_Data!F18)</f>
        <v>5.2067055123588842E-2</v>
      </c>
    </row>
    <row r="19" spans="1:2" x14ac:dyDescent="0.25">
      <c r="A19" s="4">
        <f>YEAR(Historical_Data!A20)*100+MONTH(Historical_Data!A20)</f>
        <v>201606</v>
      </c>
      <c r="B19">
        <f>LN(Historical_Data!F20/Historical_Data!F19)</f>
        <v>-3.2265172075350832E-3</v>
      </c>
    </row>
    <row r="20" spans="1:2" x14ac:dyDescent="0.25">
      <c r="A20" s="4">
        <f>YEAR(Historical_Data!A21)*100+MONTH(Historical_Data!A21)</f>
        <v>201607</v>
      </c>
      <c r="B20">
        <f>LN(Historical_Data!F21/Historical_Data!F20)</f>
        <v>5.6609363196365975E-2</v>
      </c>
    </row>
    <row r="21" spans="1:2" x14ac:dyDescent="0.25">
      <c r="A21" s="4">
        <f>YEAR(Historical_Data!A22)*100+MONTH(Historical_Data!A22)</f>
        <v>201608</v>
      </c>
      <c r="B21">
        <f>LN(Historical_Data!F22/Historical_Data!F21)</f>
        <v>-1.0892127622742782E-2</v>
      </c>
    </row>
    <row r="22" spans="1:2" x14ac:dyDescent="0.25">
      <c r="A22" s="4">
        <f>YEAR(Historical_Data!A23)*100+MONTH(Historical_Data!A23)</f>
        <v>201609</v>
      </c>
      <c r="B22">
        <f>LN(Historical_Data!F23/Historical_Data!F22)</f>
        <v>8.4105549986495595E-3</v>
      </c>
    </row>
    <row r="23" spans="1:2" x14ac:dyDescent="0.25">
      <c r="A23" s="4">
        <f>YEAR(Historical_Data!A24)*100+MONTH(Historical_Data!A24)</f>
        <v>201610</v>
      </c>
      <c r="B23">
        <f>LN(Historical_Data!F24/Historical_Data!F23)</f>
        <v>-3.3022461685503865E-2</v>
      </c>
    </row>
    <row r="24" spans="1:2" x14ac:dyDescent="0.25">
      <c r="A24" s="4">
        <f>YEAR(Historical_Data!A25)*100+MONTH(Historical_Data!A25)</f>
        <v>201611</v>
      </c>
      <c r="B24">
        <f>LN(Historical_Data!F25/Historical_Data!F24)</f>
        <v>5.4015805865741652E-2</v>
      </c>
    </row>
    <row r="25" spans="1:2" x14ac:dyDescent="0.25">
      <c r="A25" s="4">
        <f>YEAR(Historical_Data!A26)*100+MONTH(Historical_Data!A26)</f>
        <v>201612</v>
      </c>
      <c r="B25">
        <f>LN(Historical_Data!F26/Historical_Data!F25)</f>
        <v>3.2005092613265909E-2</v>
      </c>
    </row>
    <row r="26" spans="1:2" x14ac:dyDescent="0.25">
      <c r="A26" s="4">
        <f>YEAR(Historical_Data!A27)*100+MONTH(Historical_Data!A27)</f>
        <v>201701</v>
      </c>
      <c r="B26">
        <f>LN(Historical_Data!F27/Historical_Data!F26)</f>
        <v>5.0111797708033153E-2</v>
      </c>
    </row>
    <row r="27" spans="1:2" x14ac:dyDescent="0.25">
      <c r="A27" s="4">
        <f>YEAR(Historical_Data!A28)*100+MONTH(Historical_Data!A28)</f>
        <v>201702</v>
      </c>
      <c r="B27">
        <f>LN(Historical_Data!F28/Historical_Data!F27)</f>
        <v>2.9917166920844711E-2</v>
      </c>
    </row>
    <row r="28" spans="1:2" x14ac:dyDescent="0.25">
      <c r="A28" s="4">
        <f>YEAR(Historical_Data!A29)*100+MONTH(Historical_Data!A29)</f>
        <v>201703</v>
      </c>
      <c r="B28">
        <f>LN(Historical_Data!F29/Historical_Data!F28)</f>
        <v>-2.4221364443314859E-2</v>
      </c>
    </row>
    <row r="29" spans="1:2" x14ac:dyDescent="0.25">
      <c r="A29" s="4">
        <f>YEAR(Historical_Data!A30)*100+MONTH(Historical_Data!A30)</f>
        <v>201704</v>
      </c>
      <c r="B29">
        <f>LN(Historical_Data!F30/Historical_Data!F29)</f>
        <v>-8.2874668821466851E-2</v>
      </c>
    </row>
    <row r="30" spans="1:2" x14ac:dyDescent="0.25">
      <c r="A30" s="4">
        <f>YEAR(Historical_Data!A31)*100+MONTH(Historical_Data!A31)</f>
        <v>201705</v>
      </c>
      <c r="B30">
        <f>LN(Historical_Data!F31/Historical_Data!F30)</f>
        <v>-4.8967921310697014E-2</v>
      </c>
    </row>
    <row r="31" spans="1:2" x14ac:dyDescent="0.25">
      <c r="A31" s="4">
        <f>YEAR(Historical_Data!A32)*100+MONTH(Historical_Data!A32)</f>
        <v>201706</v>
      </c>
      <c r="B31">
        <f>LN(Historical_Data!F32/Historical_Data!F31)</f>
        <v>1.7552740576693961E-2</v>
      </c>
    </row>
    <row r="32" spans="1:2" x14ac:dyDescent="0.25">
      <c r="A32" s="4">
        <f>YEAR(Historical_Data!A33)*100+MONTH(Historical_Data!A33)</f>
        <v>201707</v>
      </c>
      <c r="B32">
        <f>LN(Historical_Data!F33/Historical_Data!F32)</f>
        <v>-6.1392853712510097E-2</v>
      </c>
    </row>
    <row r="33" spans="1:2" x14ac:dyDescent="0.25">
      <c r="A33" s="4">
        <f>YEAR(Historical_Data!A34)*100+MONTH(Historical_Data!A34)</f>
        <v>201708</v>
      </c>
      <c r="B33">
        <f>LN(Historical_Data!F34/Historical_Data!F33)</f>
        <v>-1.1400743320323981E-2</v>
      </c>
    </row>
    <row r="34" spans="1:2" x14ac:dyDescent="0.25">
      <c r="A34" s="4">
        <f>YEAR(Historical_Data!A35)*100+MONTH(Historical_Data!A35)</f>
        <v>201709</v>
      </c>
      <c r="B34">
        <f>LN(Historical_Data!F35/Historical_Data!F34)</f>
        <v>2.4740996861649246E-2</v>
      </c>
    </row>
    <row r="35" spans="1:2" x14ac:dyDescent="0.25">
      <c r="A35" s="4">
        <f>YEAR(Historical_Data!A36)*100+MONTH(Historical_Data!A36)</f>
        <v>201710</v>
      </c>
      <c r="B35">
        <f>LN(Historical_Data!F36/Historical_Data!F35)</f>
        <v>6.0057344233377954E-2</v>
      </c>
    </row>
    <row r="36" spans="1:2" x14ac:dyDescent="0.25">
      <c r="A36" s="4">
        <f>YEAR(Historical_Data!A37)*100+MONTH(Historical_Data!A37)</f>
        <v>201711</v>
      </c>
      <c r="B36">
        <f>LN(Historical_Data!F37/Historical_Data!F36)</f>
        <v>-5.8493950333035226E-4</v>
      </c>
    </row>
    <row r="37" spans="1:2" x14ac:dyDescent="0.25">
      <c r="A37" s="4">
        <f>YEAR(Historical_Data!A38)*100+MONTH(Historical_Data!A38)</f>
        <v>201712</v>
      </c>
      <c r="B37">
        <f>LN(Historical_Data!F38/Historical_Data!F37)</f>
        <v>6.367246714465721E-3</v>
      </c>
    </row>
    <row r="38" spans="1:2" x14ac:dyDescent="0.25">
      <c r="A38" s="4">
        <f>YEAR(Historical_Data!A39)*100+MONTH(Historical_Data!A39)</f>
        <v>201801</v>
      </c>
      <c r="B38">
        <f>LN(Historical_Data!F39/Historical_Data!F38)</f>
        <v>6.4856708055204132E-2</v>
      </c>
    </row>
    <row r="39" spans="1:2" x14ac:dyDescent="0.25">
      <c r="A39" s="4">
        <f>YEAR(Historical_Data!A40)*100+MONTH(Historical_Data!A40)</f>
        <v>201802</v>
      </c>
      <c r="B39">
        <f>LN(Historical_Data!F40/Historical_Data!F39)</f>
        <v>-4.9270237776096383E-2</v>
      </c>
    </row>
    <row r="40" spans="1:2" x14ac:dyDescent="0.25">
      <c r="A40" s="4">
        <f>YEAR(Historical_Data!A41)*100+MONTH(Historical_Data!A41)</f>
        <v>201803</v>
      </c>
      <c r="B40">
        <f>LN(Historical_Data!F41/Historical_Data!F40)</f>
        <v>-5.7235842809033304E-3</v>
      </c>
    </row>
    <row r="41" spans="1:2" x14ac:dyDescent="0.25">
      <c r="A41" s="4">
        <f>YEAR(Historical_Data!A42)*100+MONTH(Historical_Data!A42)</f>
        <v>201804</v>
      </c>
      <c r="B41">
        <f>LN(Historical_Data!F42/Historical_Data!F41)</f>
        <v>-5.6786748539110248E-2</v>
      </c>
    </row>
    <row r="42" spans="1:2" x14ac:dyDescent="0.25">
      <c r="A42" s="4">
        <f>YEAR(Historical_Data!A43)*100+MONTH(Historical_Data!A43)</f>
        <v>201805</v>
      </c>
      <c r="B42">
        <f>LN(Historical_Data!F43/Historical_Data!F42)</f>
        <v>-2.5501729930205976E-2</v>
      </c>
    </row>
    <row r="43" spans="1:2" x14ac:dyDescent="0.25">
      <c r="A43" s="4">
        <f>YEAR(Historical_Data!A44)*100+MONTH(Historical_Data!A44)</f>
        <v>201806</v>
      </c>
      <c r="B43">
        <f>LN(Historical_Data!F44/Historical_Data!F43)</f>
        <v>-4.1902990987664984E-4</v>
      </c>
    </row>
    <row r="44" spans="1:2" x14ac:dyDescent="0.25">
      <c r="A44" s="4">
        <f>YEAR(Historical_Data!A45)*100+MONTH(Historical_Data!A45)</f>
        <v>201807</v>
      </c>
      <c r="B44">
        <f>LN(Historical_Data!F45/Historical_Data!F44)</f>
        <v>3.6753553226762443E-2</v>
      </c>
    </row>
    <row r="45" spans="1:2" x14ac:dyDescent="0.25">
      <c r="A45" s="4">
        <f>YEAR(Historical_Data!A46)*100+MONTH(Historical_Data!A46)</f>
        <v>201808</v>
      </c>
      <c r="B45">
        <f>LN(Historical_Data!F46/Historical_Data!F45)</f>
        <v>1.063785866105115E-2</v>
      </c>
    </row>
    <row r="46" spans="1:2" x14ac:dyDescent="0.25">
      <c r="A46" s="4">
        <f>YEAR(Historical_Data!A47)*100+MONTH(Historical_Data!A47)</f>
        <v>201809</v>
      </c>
      <c r="B46">
        <f>LN(Historical_Data!F47/Historical_Data!F46)</f>
        <v>4.2526771114397705E-2</v>
      </c>
    </row>
    <row r="47" spans="1:2" x14ac:dyDescent="0.25">
      <c r="A47" s="4">
        <f>YEAR(Historical_Data!A48)*100+MONTH(Historical_Data!A48)</f>
        <v>201810</v>
      </c>
      <c r="B47">
        <f>LN(Historical_Data!F48/Historical_Data!F47)</f>
        <v>-0.27000557803120606</v>
      </c>
    </row>
    <row r="48" spans="1:2" x14ac:dyDescent="0.25">
      <c r="A48" s="4">
        <f>YEAR(Historical_Data!A49)*100+MONTH(Historical_Data!A49)</f>
        <v>201811</v>
      </c>
      <c r="B48">
        <f>LN(Historical_Data!F49/Historical_Data!F48)</f>
        <v>7.3792587964510672E-2</v>
      </c>
    </row>
    <row r="49" spans="1:2" x14ac:dyDescent="0.25">
      <c r="A49" s="4">
        <f>YEAR(Historical_Data!A50)*100+MONTH(Historical_Data!A50)</f>
        <v>201812</v>
      </c>
      <c r="B49">
        <f>LN(Historical_Data!F50/Historical_Data!F49)</f>
        <v>-7.6501545934704138E-2</v>
      </c>
    </row>
    <row r="50" spans="1:2" x14ac:dyDescent="0.25">
      <c r="A50" s="4">
        <f>YEAR(Historical_Data!A51)*100+MONTH(Historical_Data!A51)</f>
        <v>201901</v>
      </c>
      <c r="B50">
        <f>LN(Historical_Data!F51/Historical_Data!F50)</f>
        <v>0.16766995128658568</v>
      </c>
    </row>
    <row r="51" spans="1:2" x14ac:dyDescent="0.25">
      <c r="A51" s="4">
        <f>YEAR(Historical_Data!A52)*100+MONTH(Historical_Data!A52)</f>
        <v>201902</v>
      </c>
      <c r="B51">
        <f>LN(Historical_Data!F52/Historical_Data!F51)</f>
        <v>2.7226001973755427E-2</v>
      </c>
    </row>
    <row r="52" spans="1:2" x14ac:dyDescent="0.25">
      <c r="A52" s="4">
        <f>YEAR(Historical_Data!A53)*100+MONTH(Historical_Data!A53)</f>
        <v>201903</v>
      </c>
      <c r="B52">
        <f>LN(Historical_Data!F53/Historical_Data!F52)</f>
        <v>3.2857502779691912E-2</v>
      </c>
    </row>
    <row r="53" spans="1:2" x14ac:dyDescent="0.25">
      <c r="A53" s="4">
        <f>YEAR(Historical_Data!A54)*100+MONTH(Historical_Data!A54)</f>
        <v>201904</v>
      </c>
      <c r="B53">
        <f>LN(Historical_Data!F54/Historical_Data!F53)</f>
        <v>-5.8996772092512785E-3</v>
      </c>
    </row>
    <row r="54" spans="1:2" x14ac:dyDescent="0.25">
      <c r="A54" s="4">
        <f>YEAR(Historical_Data!A55)*100+MONTH(Historical_Data!A55)</f>
        <v>201905</v>
      </c>
      <c r="B54">
        <f>LN(Historical_Data!F55/Historical_Data!F54)</f>
        <v>-9.9460821910162242E-2</v>
      </c>
    </row>
    <row r="55" spans="1:2" x14ac:dyDescent="0.25">
      <c r="A55" s="4">
        <f>YEAR(Historical_Data!A56)*100+MONTH(Historical_Data!A56)</f>
        <v>201906</v>
      </c>
      <c r="B55">
        <f>LN(Historical_Data!F56/Historical_Data!F55)</f>
        <v>9.4228968105237787E-2</v>
      </c>
    </row>
    <row r="56" spans="1:2" x14ac:dyDescent="0.25">
      <c r="A56" s="4">
        <f>YEAR(Historical_Data!A57)*100+MONTH(Historical_Data!A57)</f>
        <v>201907</v>
      </c>
      <c r="B56">
        <f>LN(Historical_Data!F57/Historical_Data!F56)</f>
        <v>7.2303912620351657E-2</v>
      </c>
    </row>
    <row r="57" spans="1:2" x14ac:dyDescent="0.25">
      <c r="A57" s="4">
        <f>YEAR(Historical_Data!A58)*100+MONTH(Historical_Data!A58)</f>
        <v>201908</v>
      </c>
      <c r="B57">
        <f>LN(Historical_Data!F58/Historical_Data!F57)</f>
        <v>-8.9639658569007741E-2</v>
      </c>
    </row>
    <row r="58" spans="1:2" x14ac:dyDescent="0.25">
      <c r="A58" s="4">
        <f>YEAR(Historical_Data!A59)*100+MONTH(Historical_Data!A59)</f>
        <v>201909</v>
      </c>
      <c r="B58">
        <f>LN(Historical_Data!F59/Historical_Data!F58)</f>
        <v>8.2146703461285983E-2</v>
      </c>
    </row>
    <row r="59" spans="1:2" x14ac:dyDescent="0.25">
      <c r="A59" s="4">
        <f>YEAR(Historical_Data!A60)*100+MONTH(Historical_Data!A60)</f>
        <v>201910</v>
      </c>
      <c r="B59">
        <f>LN(Historical_Data!F60/Historical_Data!F59)</f>
        <v>-8.3803099966819727E-2</v>
      </c>
    </row>
    <row r="60" spans="1:2" x14ac:dyDescent="0.25">
      <c r="A60" s="4">
        <f>YEAR(Historical_Data!A61)*100+MONTH(Historical_Data!A61)</f>
        <v>201911</v>
      </c>
      <c r="B60">
        <f>LN(Historical_Data!F61/Historical_Data!F60)</f>
        <v>5.3695875682658149E-3</v>
      </c>
    </row>
    <row r="61" spans="1:2" x14ac:dyDescent="0.25">
      <c r="A61" s="4">
        <f>YEAR(Historical_Data!A62)*100+MONTH(Historical_Data!A62)</f>
        <v>201912</v>
      </c>
      <c r="B61">
        <f>LN(Historical_Data!F62/Historical_Data!F61)</f>
        <v>8.6877581102460712E-3</v>
      </c>
    </row>
    <row r="62" spans="1:2" x14ac:dyDescent="0.25">
      <c r="A62" s="4">
        <f>YEAR(Historical_Data!A63)*100+MONTH(Historical_Data!A63)</f>
        <v>202001</v>
      </c>
      <c r="B62">
        <f>LN(Historical_Data!F63/Historical_Data!F62)</f>
        <v>6.9798159092225073E-2</v>
      </c>
    </row>
    <row r="63" spans="1:2" x14ac:dyDescent="0.25">
      <c r="A63" s="4">
        <f>YEAR(Historical_Data!A64)*100+MONTH(Historical_Data!A64)</f>
        <v>202002</v>
      </c>
      <c r="B63">
        <f>LN(Historical_Data!F64/Historical_Data!F63)</f>
        <v>-9.9248952678363089E-2</v>
      </c>
    </row>
    <row r="64" spans="1:2" x14ac:dyDescent="0.25">
      <c r="A64" s="4">
        <f>YEAR(Historical_Data!A65)*100+MONTH(Historical_Data!A65)</f>
        <v>202003</v>
      </c>
      <c r="B64">
        <f>LN(Historical_Data!F65/Historical_Data!F64)</f>
        <v>-0.14940028415651588</v>
      </c>
    </row>
    <row r="65" spans="1:2" x14ac:dyDescent="0.25">
      <c r="A65" s="4">
        <f>YEAR(Historical_Data!A66)*100+MONTH(Historical_Data!A66)</f>
        <v>202004</v>
      </c>
      <c r="B65">
        <f>LN(Historical_Data!F66/Historical_Data!F65)</f>
        <v>0.12388450157262576</v>
      </c>
    </row>
    <row r="66" spans="1:2" x14ac:dyDescent="0.25">
      <c r="A66" s="4">
        <f>YEAR(Historical_Data!A67)*100+MONTH(Historical_Data!A67)</f>
        <v>202005</v>
      </c>
      <c r="B66">
        <f>LN(Historical_Data!F67/Historical_Data!F66)</f>
        <v>-5.2704316303649797E-3</v>
      </c>
    </row>
    <row r="67" spans="1:2" x14ac:dyDescent="0.25">
      <c r="A67" s="4">
        <f>YEAR(Historical_Data!A68)*100+MONTH(Historical_Data!A68)</f>
        <v>202006</v>
      </c>
      <c r="B67">
        <f>LN(Historical_Data!F68/Historical_Data!F67)</f>
        <v>-2.0303356514762127E-2</v>
      </c>
    </row>
    <row r="68" spans="1:2" x14ac:dyDescent="0.25">
      <c r="A68" s="4">
        <f>YEAR(Historical_Data!A69)*100+MONTH(Historical_Data!A69)</f>
        <v>202007</v>
      </c>
      <c r="B68">
        <f>LN(Historical_Data!F69/Historical_Data!F68)</f>
        <v>1.7808601682723364E-2</v>
      </c>
    </row>
    <row r="69" spans="1:2" x14ac:dyDescent="0.25">
      <c r="A69" s="4">
        <f>YEAR(Historical_Data!A70)*100+MONTH(Historical_Data!A70)</f>
        <v>202008</v>
      </c>
      <c r="B69">
        <f>LN(Historical_Data!F70/Historical_Data!F69)</f>
        <v>3.0050023131321115E-3</v>
      </c>
    </row>
    <row r="70" spans="1:2" x14ac:dyDescent="0.25">
      <c r="A70" s="4">
        <f>YEAR(Historical_Data!A71)*100+MONTH(Historical_Data!A71)</f>
        <v>202009</v>
      </c>
      <c r="B70">
        <f>LN(Historical_Data!F71/Historical_Data!F70)</f>
        <v>-3.8061320618787165E-4</v>
      </c>
    </row>
    <row r="71" spans="1:2" x14ac:dyDescent="0.25">
      <c r="A71" s="4">
        <f>YEAR(Historical_Data!A72)*100+MONTH(Historical_Data!A72)</f>
        <v>202010</v>
      </c>
      <c r="B71">
        <f>LN(Historical_Data!F72/Historical_Data!F71)</f>
        <v>-8.5853912875948804E-2</v>
      </c>
    </row>
    <row r="72" spans="1:2" x14ac:dyDescent="0.25">
      <c r="A72" s="4">
        <f>YEAR(Historical_Data!A73)*100+MONTH(Historical_Data!A73)</f>
        <v>202011</v>
      </c>
      <c r="B72">
        <f>LN(Historical_Data!F73/Historical_Data!F72)</f>
        <v>0.10094449363971612</v>
      </c>
    </row>
    <row r="73" spans="1:2" x14ac:dyDescent="0.25">
      <c r="A73" s="4">
        <f>YEAR(Historical_Data!A74)*100+MONTH(Historical_Data!A74)</f>
        <v>202012</v>
      </c>
      <c r="B73">
        <f>LN(Historical_Data!F74/Historical_Data!F73)</f>
        <v>3.3322352756477325E-2</v>
      </c>
    </row>
    <row r="74" spans="1:2" x14ac:dyDescent="0.25">
      <c r="A74" s="4">
        <f>YEAR(Historical_Data!A75)*100+MONTH(Historical_Data!A75)</f>
        <v>202101</v>
      </c>
      <c r="B74">
        <f>LN(Historical_Data!F75/Historical_Data!F74)</f>
        <v>-5.5281582237901597E-2</v>
      </c>
    </row>
    <row r="75" spans="1:2" x14ac:dyDescent="0.25">
      <c r="A75" s="4">
        <f>YEAR(Historical_Data!A76)*100+MONTH(Historical_Data!A76)</f>
        <v>202102</v>
      </c>
      <c r="B75">
        <f>LN(Historical_Data!F76/Historical_Data!F75)</f>
        <v>-1.5123040532184463E-3</v>
      </c>
    </row>
    <row r="76" spans="1:2" x14ac:dyDescent="0.25">
      <c r="A76" s="4">
        <f>YEAR(Historical_Data!A77)*100+MONTH(Historical_Data!A77)</f>
        <v>202103</v>
      </c>
      <c r="B76">
        <f>LN(Historical_Data!F77/Historical_Data!F76)</f>
        <v>0.12704125081350867</v>
      </c>
    </row>
    <row r="77" spans="1:2" x14ac:dyDescent="0.25">
      <c r="A77" s="4">
        <f>YEAR(Historical_Data!A78)*100+MONTH(Historical_Data!A78)</f>
        <v>202104</v>
      </c>
      <c r="B77">
        <f>LN(Historical_Data!F78/Historical_Data!F77)</f>
        <v>6.2679440534705297E-2</v>
      </c>
    </row>
    <row r="78" spans="1:2" x14ac:dyDescent="0.25">
      <c r="A78" s="4">
        <f>YEAR(Historical_Data!A79)*100+MONTH(Historical_Data!A79)</f>
        <v>202105</v>
      </c>
      <c r="B78">
        <f>LN(Historical_Data!F79/Historical_Data!F78)</f>
        <v>1.3024521070768335E-2</v>
      </c>
    </row>
    <row r="79" spans="1:2" x14ac:dyDescent="0.25">
      <c r="A79" s="4">
        <f>YEAR(Historical_Data!A80)*100+MONTH(Historical_Data!A80)</f>
        <v>202106</v>
      </c>
      <c r="B79">
        <f>LN(Historical_Data!F80/Historical_Data!F79)</f>
        <v>3.074468462165382E-2</v>
      </c>
    </row>
    <row r="80" spans="1:2" x14ac:dyDescent="0.25">
      <c r="A80" s="4">
        <f>YEAR(Historical_Data!A81)*100+MONTH(Historical_Data!A81)</f>
        <v>202107</v>
      </c>
      <c r="B80">
        <f>LN(Historical_Data!F81/Historical_Data!F80)</f>
        <v>-3.9163300209937038E-2</v>
      </c>
    </row>
    <row r="81" spans="1:2" x14ac:dyDescent="0.25">
      <c r="A81" s="4">
        <f>YEAR(Historical_Data!A82)*100+MONTH(Historical_Data!A82)</f>
        <v>202108</v>
      </c>
      <c r="B81">
        <f>LN(Historical_Data!F82/Historical_Data!F81)</f>
        <v>-4.4079589874793977E-3</v>
      </c>
    </row>
    <row r="82" spans="1:2" x14ac:dyDescent="0.25">
      <c r="A82" s="4">
        <f>YEAR(Historical_Data!A83)*100+MONTH(Historical_Data!A83)</f>
        <v>202109</v>
      </c>
      <c r="B82">
        <f>LN(Historical_Data!F83/Historical_Data!F82)</f>
        <v>1.3490783384580282E-3</v>
      </c>
    </row>
    <row r="83" spans="1:2" x14ac:dyDescent="0.25">
      <c r="A83" s="4">
        <f>YEAR(Historical_Data!A84)*100+MONTH(Historical_Data!A84)</f>
        <v>202110</v>
      </c>
      <c r="B83">
        <f>LN(Historical_Data!F84/Historical_Data!F83)</f>
        <v>-0.10485689361100584</v>
      </c>
    </row>
    <row r="84" spans="1:2" x14ac:dyDescent="0.25">
      <c r="A84" s="4">
        <f>YEAR(Historical_Data!A85)*100+MONTH(Historical_Data!A85)</f>
        <v>202111</v>
      </c>
      <c r="B84">
        <f>LN(Historical_Data!F85/Historical_Data!F84)</f>
        <v>-2.111167550217187E-2</v>
      </c>
    </row>
    <row r="85" spans="1:2" x14ac:dyDescent="0.25">
      <c r="A85" s="4">
        <f>YEAR(Historical_Data!A86)*100+MONTH(Historical_Data!A86)</f>
        <v>202112</v>
      </c>
      <c r="B85">
        <f>LN(Historical_Data!F86/Historical_Data!F85)</f>
        <v>0.14552687496092573</v>
      </c>
    </row>
    <row r="86" spans="1:2" x14ac:dyDescent="0.25">
      <c r="A86" s="4">
        <f>YEAR(Historical_Data!A87)*100+MONTH(Historical_Data!A87)</f>
        <v>202201</v>
      </c>
      <c r="B86">
        <f>LN(Historical_Data!F87/Historical_Data!F86)</f>
        <v>-6.7335735213361564E-4</v>
      </c>
    </row>
    <row r="87" spans="1:2" x14ac:dyDescent="0.25">
      <c r="A87" s="4">
        <f>YEAR(Historical_Data!A88)*100+MONTH(Historical_Data!A88)</f>
        <v>202202</v>
      </c>
      <c r="B87">
        <f>LN(Historical_Data!F88/Historical_Data!F87)</f>
        <v>-8.6433207741743318E-2</v>
      </c>
    </row>
    <row r="88" spans="1:2" x14ac:dyDescent="0.25">
      <c r="A88" s="4">
        <f>YEAR(Historical_Data!A89)*100+MONTH(Historical_Data!A89)</f>
        <v>202203</v>
      </c>
      <c r="B88">
        <f>LN(Historical_Data!F89/Historical_Data!F88)</f>
        <v>7.1469148290650944E-2</v>
      </c>
    </row>
    <row r="89" spans="1:2" x14ac:dyDescent="0.25">
      <c r="A89" s="4">
        <f>YEAR(Historical_Data!A90)*100+MONTH(Historical_Data!A90)</f>
        <v>202204</v>
      </c>
      <c r="B89">
        <f>LN(Historical_Data!F90/Historical_Data!F89)</f>
        <v>1.6703480423180168E-2</v>
      </c>
    </row>
    <row r="90" spans="1:2" x14ac:dyDescent="0.25">
      <c r="A90" s="4">
        <f>YEAR(Historical_Data!A91)*100+MONTH(Historical_Data!A91)</f>
        <v>202205</v>
      </c>
      <c r="B90">
        <f>LN(Historical_Data!F91/Historical_Data!F90)</f>
        <v>4.8930367631101528E-2</v>
      </c>
    </row>
    <row r="91" spans="1:2" x14ac:dyDescent="0.25">
      <c r="A91" s="4">
        <f>YEAR(Historical_Data!A92)*100+MONTH(Historical_Data!A92)</f>
        <v>202206</v>
      </c>
      <c r="B91">
        <f>LN(Historical_Data!F92/Historical_Data!F91)</f>
        <v>2.88420339280854E-2</v>
      </c>
    </row>
    <row r="92" spans="1:2" x14ac:dyDescent="0.25">
      <c r="A92" s="4">
        <f>YEAR(Historical_Data!A93)*100+MONTH(Historical_Data!A93)</f>
        <v>202207</v>
      </c>
      <c r="B92">
        <f>LN(Historical_Data!F93/Historical_Data!F92)</f>
        <v>-7.6513614712587177E-2</v>
      </c>
    </row>
    <row r="93" spans="1:2" x14ac:dyDescent="0.25">
      <c r="A93" s="4">
        <f>YEAR(Historical_Data!A94)*100+MONTH(Historical_Data!A94)</f>
        <v>202208</v>
      </c>
      <c r="B93">
        <f>LN(Historical_Data!F94/Historical_Data!F93)</f>
        <v>-1.8053219013878938E-2</v>
      </c>
    </row>
    <row r="94" spans="1:2" x14ac:dyDescent="0.25">
      <c r="A94" s="4">
        <f>YEAR(Historical_Data!A95)*100+MONTH(Historical_Data!A95)</f>
        <v>202209</v>
      </c>
      <c r="B94">
        <f>LN(Historical_Data!F95/Historical_Data!F94)</f>
        <v>-6.5493554002846482E-2</v>
      </c>
    </row>
    <row r="95" spans="1:2" x14ac:dyDescent="0.25">
      <c r="A95" s="4">
        <f>YEAR(Historical_Data!A96)*100+MONTH(Historical_Data!A96)</f>
        <v>202210</v>
      </c>
      <c r="B95">
        <f>LN(Historical_Data!F96/Historical_Data!F95)</f>
        <v>0.15182738005273058</v>
      </c>
    </row>
    <row r="96" spans="1:2" x14ac:dyDescent="0.25">
      <c r="A96" s="4">
        <f>YEAR(Historical_Data!A97)*100+MONTH(Historical_Data!A97)</f>
        <v>202211</v>
      </c>
      <c r="B96">
        <f>LN(Historical_Data!F97/Historical_Data!F96)</f>
        <v>7.3921914255802926E-2</v>
      </c>
    </row>
    <row r="97" spans="1:2" x14ac:dyDescent="0.25">
      <c r="A97" s="4">
        <f>YEAR(Historical_Data!A98)*100+MONTH(Historical_Data!A98)</f>
        <v>202212</v>
      </c>
      <c r="B97">
        <f>LN(Historical_Data!F98/Historical_Data!F97)</f>
        <v>-4.3443104854840382E-2</v>
      </c>
    </row>
    <row r="98" spans="1:2" x14ac:dyDescent="0.25">
      <c r="A98" s="4">
        <f>YEAR(Historical_Data!A99)*100+MONTH(Historical_Data!A99)</f>
        <v>202301</v>
      </c>
      <c r="B98">
        <f>LN(Historical_Data!F99/Historical_Data!F98)</f>
        <v>-4.4706695879808606E-2</v>
      </c>
    </row>
    <row r="99" spans="1:2" x14ac:dyDescent="0.25">
      <c r="A99" s="4">
        <f>YEAR(Historical_Data!A100)*100+MONTH(Historical_Data!A100)</f>
        <v>202302</v>
      </c>
      <c r="B99">
        <f>LN(Historical_Data!F100/Historical_Data!F99)</f>
        <v>-4.1137442232209526E-2</v>
      </c>
    </row>
    <row r="100" spans="1:2" x14ac:dyDescent="0.25">
      <c r="A100" s="4">
        <f>YEAR(Historical_Data!A101)*100+MONTH(Historical_Data!A101)</f>
        <v>202303</v>
      </c>
      <c r="B100">
        <f>LN(Historical_Data!F101/Historical_Data!F100)</f>
        <v>2.5957168969113417E-2</v>
      </c>
    </row>
    <row r="101" spans="1:2" x14ac:dyDescent="0.25">
      <c r="A101" s="4">
        <f>YEAR(Historical_Data!A102)*100+MONTH(Historical_Data!A102)</f>
        <v>202304</v>
      </c>
      <c r="B101">
        <f>LN(Historical_Data!F102/Historical_Data!F101)</f>
        <v>-3.6353546454445107E-2</v>
      </c>
    </row>
    <row r="102" spans="1:2" x14ac:dyDescent="0.25">
      <c r="A102" s="4">
        <f>YEAR(Historical_Data!A103)*100+MONTH(Historical_Data!A103)</f>
        <v>202305</v>
      </c>
      <c r="B102">
        <f>LN(Historical_Data!F103/Historical_Data!F102)</f>
        <v>1.7098525920693674E-2</v>
      </c>
    </row>
    <row r="103" spans="1:2" x14ac:dyDescent="0.25">
      <c r="A103" s="4">
        <f>YEAR(Historical_Data!A104)*100+MONTH(Historical_Data!A104)</f>
        <v>202306</v>
      </c>
      <c r="B103">
        <f>LN(Historical_Data!F104/Historical_Data!F103)</f>
        <v>5.3335239942850603E-2</v>
      </c>
    </row>
    <row r="104" spans="1:2" x14ac:dyDescent="0.25">
      <c r="A104" s="4">
        <f>YEAR(Historical_Data!A105)*100+MONTH(Historical_Data!A105)</f>
        <v>202307</v>
      </c>
      <c r="B104">
        <f>LN(Historical_Data!F105/Historical_Data!F104)</f>
        <v>7.4641604789049715E-2</v>
      </c>
    </row>
    <row r="105" spans="1:2" x14ac:dyDescent="0.25">
      <c r="A105" s="4">
        <f>YEAR(Historical_Data!A106)*100+MONTH(Historical_Data!A106)</f>
        <v>202308</v>
      </c>
      <c r="B105">
        <f>LN(Historical_Data!F106/Historical_Data!F105)</f>
        <v>1.8212956771360814E-2</v>
      </c>
    </row>
    <row r="106" spans="1:2" x14ac:dyDescent="0.25">
      <c r="A106" s="4">
        <f>YEAR(Historical_Data!A107)*100+MONTH(Historical_Data!A107)</f>
        <v>202309</v>
      </c>
      <c r="B106">
        <f>LN(Historical_Data!F107/Historical_Data!F106)</f>
        <v>-3.4050483291227576E-2</v>
      </c>
    </row>
    <row r="107" spans="1:2" x14ac:dyDescent="0.25">
      <c r="A107" s="4">
        <f>YEAR(Historical_Data!A108)*100+MONTH(Historical_Data!A108)</f>
        <v>202310</v>
      </c>
      <c r="B107">
        <f>LN(Historical_Data!F108/Historical_Data!F107)</f>
        <v>3.046498054195498E-2</v>
      </c>
    </row>
    <row r="108" spans="1:2" x14ac:dyDescent="0.25">
      <c r="A108" s="4">
        <f>YEAR(Historical_Data!A109)*100+MONTH(Historical_Data!A109)</f>
        <v>202311</v>
      </c>
      <c r="B108">
        <f>LN(Historical_Data!F109/Historical_Data!F108)</f>
        <v>9.1885187862443832E-2</v>
      </c>
    </row>
    <row r="109" spans="1:2" x14ac:dyDescent="0.25">
      <c r="A109" s="4">
        <f>YEAR(Historical_Data!A110)*100+MONTH(Historical_Data!A110)</f>
        <v>202312</v>
      </c>
      <c r="B109">
        <f>LN(Historical_Data!F110/Historical_Data!F109)</f>
        <v>4.2263171883129481E-2</v>
      </c>
    </row>
    <row r="110" spans="1:2" x14ac:dyDescent="0.25">
      <c r="A110" s="4">
        <f>YEAR(Historical_Data!A111)*100+MONTH(Historical_Data!A111)</f>
        <v>202401</v>
      </c>
      <c r="B110">
        <f>LN(Historical_Data!F111/Historical_Data!F110)</f>
        <v>0.1159673451303638</v>
      </c>
    </row>
    <row r="111" spans="1:2" x14ac:dyDescent="0.25">
      <c r="A111" s="4">
        <f>YEAR(Historical_Data!A112)*100+MONTH(Historical_Data!A112)</f>
        <v>202402</v>
      </c>
      <c r="B111">
        <f>LN(Historical_Data!F112/Historical_Data!F111)</f>
        <v>7.4316321747932646E-3</v>
      </c>
    </row>
    <row r="112" spans="1:2" x14ac:dyDescent="0.25">
      <c r="A112" s="4">
        <f>YEAR(Historical_Data!A113)*100+MONTH(Historical_Data!A113)</f>
        <v>202403</v>
      </c>
      <c r="B112">
        <f>LN(Historical_Data!F113/Historical_Data!F112)</f>
        <v>4.0621699345721893E-2</v>
      </c>
    </row>
    <row r="113" spans="1:2" x14ac:dyDescent="0.25">
      <c r="A113" s="4">
        <f>YEAR(Historical_Data!A114)*100+MONTH(Historical_Data!A114)</f>
        <v>202404</v>
      </c>
      <c r="B113">
        <f>LN(Historical_Data!F114/Historical_Data!F113)</f>
        <v>-0.13887217305824176</v>
      </c>
    </row>
    <row r="114" spans="1:2" x14ac:dyDescent="0.25">
      <c r="A114" s="4">
        <f>YEAR(Historical_Data!A115)*100+MONTH(Historical_Data!A115)</f>
        <v>202405</v>
      </c>
      <c r="B114">
        <f>LN(Historical_Data!F115/Historical_Data!F114)</f>
        <v>3.9033753008634298E-3</v>
      </c>
    </row>
    <row r="115" spans="1:2" x14ac:dyDescent="0.25">
      <c r="A115" s="4">
        <f>YEAR(Historical_Data!A116)*100+MONTH(Historical_Data!A116)</f>
        <v>202406</v>
      </c>
      <c r="B115">
        <f>LN(Historical_Data!F116/Historical_Data!F115)</f>
        <v>4.5785266121623487E-2</v>
      </c>
    </row>
    <row r="116" spans="1:2" x14ac:dyDescent="0.25">
      <c r="A116" s="4">
        <f>YEAR(Historical_Data!A117)*100+MONTH(Historical_Data!A117)</f>
        <v>202407</v>
      </c>
      <c r="B116">
        <f>LN(Historical_Data!F117/Historical_Data!F116)</f>
        <v>0.10522170111107436</v>
      </c>
    </row>
    <row r="117" spans="1:2" x14ac:dyDescent="0.25">
      <c r="A117" s="4">
        <f>YEAR(Historical_Data!A118)*100+MONTH(Historical_Data!A118)</f>
        <v>202408</v>
      </c>
      <c r="B117">
        <f>LN(Historical_Data!F118/Historical_Data!F117)</f>
        <v>5.0686835740674403E-2</v>
      </c>
    </row>
    <row r="118" spans="1:2" x14ac:dyDescent="0.25">
      <c r="A118" s="4">
        <f>YEAR(Historical_Data!A119)*100+MONTH(Historical_Data!A119)</f>
        <v>202409</v>
      </c>
      <c r="B118">
        <f>LN(Historical_Data!F119/Historical_Data!F118)</f>
        <v>9.8321768499582698E-2</v>
      </c>
    </row>
    <row r="119" spans="1:2" x14ac:dyDescent="0.25">
      <c r="A119" s="4">
        <f>YEAR(Historical_Data!A120)*100+MONTH(Historical_Data!A120)</f>
        <v>202410</v>
      </c>
      <c r="B119">
        <f>LN(Historical_Data!F120/Historical_Data!F119)</f>
        <v>-6.715943863351255E-2</v>
      </c>
    </row>
    <row r="120" spans="1:2" x14ac:dyDescent="0.25">
      <c r="A120" s="4">
        <f>YEAR(Historical_Data!A121)*100+MONTH(Historical_Data!A121)</f>
        <v>202411</v>
      </c>
      <c r="B120">
        <f>LN(Historical_Data!F121/Historical_Data!F120)</f>
        <v>9.5389295791558956E-2</v>
      </c>
    </row>
    <row r="121" spans="1:2" x14ac:dyDescent="0.25">
      <c r="A121" s="4">
        <f>YEAR(Historical_Data!A122)*100+MONTH(Historical_Data!A122)</f>
        <v>202412</v>
      </c>
      <c r="B121">
        <f>LN(Historical_Data!F122/Historical_Data!F121)</f>
        <v>-2.6049783209065484E-2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27D4D-B531-4328-A924-210E02315593}">
  <sheetPr codeName="Sheet6"/>
  <dimension ref="A1:AA124"/>
  <sheetViews>
    <sheetView workbookViewId="0"/>
  </sheetViews>
  <sheetFormatPr defaultColWidth="7.5703125" defaultRowHeight="15" x14ac:dyDescent="0.25"/>
  <cols>
    <col min="1" max="1" width="9.28515625" style="2" customWidth="1"/>
    <col min="2" max="6" width="7.5703125" style="2" customWidth="1"/>
    <col min="7" max="7" width="7.5703125" style="2"/>
    <col min="8" max="8" width="18.140625" style="2" customWidth="1"/>
    <col min="9" max="9" width="10.42578125" style="2" bestFit="1" customWidth="1"/>
    <col min="10" max="10" width="9.140625" style="2" bestFit="1" customWidth="1"/>
    <col min="11" max="12" width="8.140625" style="2" bestFit="1" customWidth="1"/>
    <col min="13" max="18" width="7.5703125" style="2"/>
    <col min="19" max="19" width="12.42578125" style="2" customWidth="1"/>
    <col min="20" max="20" width="9.7109375" style="2" bestFit="1" customWidth="1"/>
    <col min="21" max="23" width="7.85546875" style="2" customWidth="1"/>
    <col min="24" max="16384" width="7.5703125" style="2"/>
  </cols>
  <sheetData>
    <row r="1" spans="1:27" ht="18.75" x14ac:dyDescent="0.3">
      <c r="A1" s="14" t="s">
        <v>34</v>
      </c>
    </row>
    <row r="3" spans="1:27" ht="14.85" customHeight="1" x14ac:dyDescent="0.25">
      <c r="A3" s="15" t="s">
        <v>16</v>
      </c>
      <c r="B3" s="15" t="s">
        <v>4</v>
      </c>
      <c r="C3" s="15" t="s">
        <v>5</v>
      </c>
      <c r="D3" s="15" t="s">
        <v>6</v>
      </c>
      <c r="E3" s="15" t="s">
        <v>7</v>
      </c>
      <c r="F3" s="15" t="s">
        <v>24</v>
      </c>
      <c r="G3" s="16"/>
      <c r="H3" s="17" t="s">
        <v>35</v>
      </c>
      <c r="S3" s="18" t="s">
        <v>36</v>
      </c>
    </row>
    <row r="4" spans="1:27" ht="14.85" customHeight="1" x14ac:dyDescent="0.25">
      <c r="A4" s="19">
        <v>201501</v>
      </c>
      <c r="B4" s="20">
        <f>INDEX(FF3_data, MATCH($A4,FF3_time,0),MATCH(B$3,FF3_label,0))/100</f>
        <v>-3.1099999999999999E-2</v>
      </c>
      <c r="C4" s="20">
        <f t="shared" ref="B4:E5" si="0">INDEX(FF3_data, MATCH($A4,FF3_time,0),MATCH(C$3,FF3_label,0))/100</f>
        <v>-5.6000000000000008E-3</v>
      </c>
      <c r="D4" s="20">
        <f t="shared" si="0"/>
        <v>-3.5900000000000001E-2</v>
      </c>
      <c r="E4" s="20">
        <f t="shared" si="0"/>
        <v>0</v>
      </c>
      <c r="F4" s="20">
        <f>INDEX(US_data, MATCH($A4,US_time,0),MATCH(F$3,US_label,0))-E4</f>
        <v>-4.545827501875678E-2</v>
      </c>
      <c r="G4" s="21"/>
      <c r="I4" s="22" t="s">
        <v>6</v>
      </c>
      <c r="J4" s="22" t="s">
        <v>5</v>
      </c>
      <c r="K4" s="22" t="s">
        <v>4</v>
      </c>
      <c r="L4" s="23" t="s">
        <v>37</v>
      </c>
      <c r="S4" s="1" t="s">
        <v>38</v>
      </c>
    </row>
    <row r="5" spans="1:27" x14ac:dyDescent="0.25">
      <c r="A5" s="19">
        <v>201502</v>
      </c>
      <c r="B5" s="20">
        <f>INDEX(FF3_data, MATCH($A5,FF3_time,0),MATCH(B$3,FF3_label,0))/100</f>
        <v>6.13E-2</v>
      </c>
      <c r="C5" s="20">
        <f t="shared" si="0"/>
        <v>6.3E-3</v>
      </c>
      <c r="D5" s="20">
        <f t="shared" si="0"/>
        <v>-1.8600000000000002E-2</v>
      </c>
      <c r="E5" s="20">
        <f t="shared" si="0"/>
        <v>0</v>
      </c>
      <c r="F5" s="20">
        <f>INDEX(US_data, MATCH($A5,US_time,0),MATCH(F$3,US_label,0))-E5</f>
        <v>5.4763860385946696E-2</v>
      </c>
      <c r="G5" s="24"/>
      <c r="H5" s="25" t="s">
        <v>39</v>
      </c>
      <c r="I5" s="26">
        <f t="array" ref="I5:L9">LINEST(F4:F123,B4:D123,TRUE,TRUE)</f>
        <v>0.32123897752867414</v>
      </c>
      <c r="J5" s="26">
        <v>-0.18568784746633304</v>
      </c>
      <c r="K5" s="26">
        <v>0.87532686848317054</v>
      </c>
      <c r="L5" s="26">
        <v>-2.9771598241460618E-3</v>
      </c>
      <c r="M5" s="28" t="s">
        <v>40</v>
      </c>
      <c r="S5" s="29" t="s">
        <v>41</v>
      </c>
      <c r="T5" s="30" t="s">
        <v>42</v>
      </c>
      <c r="U5" s="31" t="s">
        <v>43</v>
      </c>
      <c r="V5" s="30" t="s">
        <v>44</v>
      </c>
      <c r="W5" s="32" t="s">
        <v>37</v>
      </c>
      <c r="AA5" s="2">
        <f>MATCH($A4,US_time,0)</f>
        <v>1</v>
      </c>
    </row>
    <row r="6" spans="1:27" x14ac:dyDescent="0.25">
      <c r="A6" s="19">
        <v>201503</v>
      </c>
      <c r="B6" s="20">
        <f t="shared" ref="B6:E10" si="1">INDEX(FF3_data, MATCH($A6,FF3_time,0),MATCH(B$3,FF3_label,0))/100</f>
        <v>-1.1200000000000002E-2</v>
      </c>
      <c r="C6" s="20">
        <f t="shared" si="1"/>
        <v>3.04E-2</v>
      </c>
      <c r="D6" s="20">
        <f t="shared" si="1"/>
        <v>-3.8E-3</v>
      </c>
      <c r="E6" s="20">
        <f t="shared" si="1"/>
        <v>0</v>
      </c>
      <c r="F6" s="20">
        <f>INDEX(US_data, MATCH($A6,US_time,0),MATCH(F$3,US_label,0))-E6</f>
        <v>-1.9415671980418801E-3</v>
      </c>
      <c r="G6" s="24"/>
      <c r="H6" s="25" t="s">
        <v>45</v>
      </c>
      <c r="I6" s="26">
        <v>0.13298921073084949</v>
      </c>
      <c r="J6" s="26">
        <v>0.18781648322678374</v>
      </c>
      <c r="K6" s="26">
        <v>0.11401458594900803</v>
      </c>
      <c r="L6" s="26">
        <v>5.1249308958240787E-3</v>
      </c>
      <c r="M6" s="28" t="s">
        <v>46</v>
      </c>
      <c r="S6" s="33" t="s">
        <v>47</v>
      </c>
      <c r="T6" s="2" t="s">
        <v>48</v>
      </c>
      <c r="U6" s="34" t="s">
        <v>43</v>
      </c>
      <c r="V6" s="2" t="s">
        <v>49</v>
      </c>
      <c r="W6" s="35" t="s">
        <v>50</v>
      </c>
    </row>
    <row r="7" spans="1:27" x14ac:dyDescent="0.25">
      <c r="A7" s="19">
        <v>201504</v>
      </c>
      <c r="B7" s="20">
        <f t="shared" si="1"/>
        <v>5.8999999999999999E-3</v>
      </c>
      <c r="C7" s="20">
        <f t="shared" si="1"/>
        <v>-3.0600000000000002E-2</v>
      </c>
      <c r="D7" s="20">
        <f t="shared" si="1"/>
        <v>1.8200000000000001E-2</v>
      </c>
      <c r="E7" s="20">
        <f t="shared" si="1"/>
        <v>0</v>
      </c>
      <c r="F7" s="20">
        <f>INDEX(US_data, MATCH($A7,US_time,0),MATCH(F$3,US_label,0))-E7</f>
        <v>6.5064172253838204E-2</v>
      </c>
      <c r="G7" s="24"/>
      <c r="H7" s="25" t="s">
        <v>51</v>
      </c>
      <c r="I7" s="26">
        <v>0.3676082230817741</v>
      </c>
      <c r="J7" s="26">
        <v>5.4520478505444128E-2</v>
      </c>
      <c r="K7" s="2" t="e">
        <v>#N/A</v>
      </c>
      <c r="L7" s="2" t="e">
        <v>#N/A</v>
      </c>
      <c r="M7" s="28" t="s">
        <v>52</v>
      </c>
      <c r="S7" s="33" t="s">
        <v>53</v>
      </c>
      <c r="T7" s="2" t="s">
        <v>54</v>
      </c>
      <c r="U7" s="36" t="s">
        <v>55</v>
      </c>
      <c r="V7" s="19" t="s">
        <v>56</v>
      </c>
      <c r="W7" s="37" t="s">
        <v>56</v>
      </c>
    </row>
    <row r="8" spans="1:27" x14ac:dyDescent="0.25">
      <c r="A8" s="19">
        <v>201505</v>
      </c>
      <c r="B8" s="20">
        <f t="shared" si="1"/>
        <v>1.3600000000000001E-2</v>
      </c>
      <c r="C8" s="20">
        <f t="shared" si="1"/>
        <v>9.3999999999999986E-3</v>
      </c>
      <c r="D8" s="20">
        <f t="shared" si="1"/>
        <v>-1.15E-2</v>
      </c>
      <c r="E8" s="20">
        <f t="shared" si="1"/>
        <v>0</v>
      </c>
      <c r="F8" s="20">
        <f>INDEX(US_data, MATCH($A8,US_time,0),MATCH(F$3,US_label,0))-E8</f>
        <v>-9.6205331542274525E-3</v>
      </c>
      <c r="G8" s="24"/>
      <c r="H8" s="25" t="s">
        <v>57</v>
      </c>
      <c r="I8" s="26">
        <v>22.47686504574304</v>
      </c>
      <c r="J8" s="27">
        <v>116</v>
      </c>
      <c r="K8" s="2" t="e">
        <v>#N/A</v>
      </c>
      <c r="L8" s="2" t="e">
        <v>#N/A</v>
      </c>
      <c r="M8" s="28" t="s">
        <v>58</v>
      </c>
      <c r="S8" s="38" t="s">
        <v>59</v>
      </c>
      <c r="T8" s="2" t="s">
        <v>60</v>
      </c>
      <c r="U8" s="19" t="s">
        <v>56</v>
      </c>
      <c r="V8" s="19" t="s">
        <v>56</v>
      </c>
      <c r="W8" s="37" t="s">
        <v>56</v>
      </c>
    </row>
    <row r="9" spans="1:27" x14ac:dyDescent="0.25">
      <c r="A9" s="19">
        <v>201506</v>
      </c>
      <c r="B9" s="20">
        <f t="shared" si="1"/>
        <v>-1.5300000000000001E-2</v>
      </c>
      <c r="C9" s="20">
        <f t="shared" si="1"/>
        <v>2.9100000000000001E-2</v>
      </c>
      <c r="D9" s="20">
        <f t="shared" si="1"/>
        <v>-7.9000000000000008E-3</v>
      </c>
      <c r="E9" s="20">
        <f t="shared" si="1"/>
        <v>0</v>
      </c>
      <c r="F9" s="20">
        <f>INDEX(US_data, MATCH($A9,US_time,0),MATCH(F$3,US_label,0))-E9</f>
        <v>-3.4536371260581455E-2</v>
      </c>
      <c r="G9" s="24"/>
      <c r="H9" s="25" t="s">
        <v>61</v>
      </c>
      <c r="I9" s="26">
        <v>0.20043626916591695</v>
      </c>
      <c r="J9" s="26">
        <v>0.34480797886966108</v>
      </c>
      <c r="K9" s="2" t="e">
        <v>#N/A</v>
      </c>
      <c r="L9" s="2" t="e">
        <v>#N/A</v>
      </c>
      <c r="M9" s="28" t="s">
        <v>62</v>
      </c>
      <c r="S9" s="39" t="s">
        <v>63</v>
      </c>
      <c r="T9" s="40" t="s">
        <v>64</v>
      </c>
      <c r="U9" s="41" t="s">
        <v>56</v>
      </c>
      <c r="V9" s="41" t="s">
        <v>56</v>
      </c>
      <c r="W9" s="42" t="s">
        <v>56</v>
      </c>
    </row>
    <row r="10" spans="1:27" x14ac:dyDescent="0.25">
      <c r="A10" s="19">
        <v>201507</v>
      </c>
      <c r="B10" s="20">
        <f t="shared" si="1"/>
        <v>1.54E-2</v>
      </c>
      <c r="C10" s="20">
        <f t="shared" si="1"/>
        <v>-4.1700000000000001E-2</v>
      </c>
      <c r="D10" s="20">
        <f t="shared" si="1"/>
        <v>-4.1299999999999996E-2</v>
      </c>
      <c r="E10" s="20">
        <f t="shared" si="1"/>
        <v>0</v>
      </c>
      <c r="F10" s="20">
        <f>INDEX(US_data, MATCH($A10,US_time,0),MATCH(F$3,US_label,0))-E10</f>
        <v>-4.1274162307153306E-3</v>
      </c>
      <c r="G10" s="24"/>
      <c r="I10" s="43" t="str">
        <f t="array" aca="1" ref="I10" ca="1">getformula(I9)</f>
        <v>&lt;--  {=LINEST(F4:F123,B4:D123,TRUE,TRUE)}</v>
      </c>
    </row>
    <row r="11" spans="1:27" x14ac:dyDescent="0.25">
      <c r="A11" s="19">
        <v>201508</v>
      </c>
      <c r="B11" s="20">
        <f t="shared" ref="B11:E12" si="2">INDEX(FF3_data, MATCH($A11,FF3_time,0),MATCH(B$3,FF3_label,0))/100</f>
        <v>-6.0400000000000002E-2</v>
      </c>
      <c r="C11" s="20">
        <f t="shared" si="2"/>
        <v>3.3E-3</v>
      </c>
      <c r="D11" s="20">
        <f t="shared" si="2"/>
        <v>2.7699999999999999E-2</v>
      </c>
      <c r="E11" s="20">
        <f t="shared" si="2"/>
        <v>0</v>
      </c>
      <c r="F11" s="20">
        <f>INDEX(US_data, MATCH($A11,US_time,0),MATCH(F$3,US_label,0))-E11</f>
        <v>-9.1065772270928325E-2</v>
      </c>
      <c r="G11" s="24"/>
    </row>
    <row r="12" spans="1:27" x14ac:dyDescent="0.25">
      <c r="A12" s="19">
        <v>201509</v>
      </c>
      <c r="B12" s="20">
        <f t="shared" si="2"/>
        <v>-3.0699999999999998E-2</v>
      </c>
      <c r="C12" s="20">
        <f t="shared" si="2"/>
        <v>-2.6200000000000001E-2</v>
      </c>
      <c r="D12" s="20">
        <f t="shared" si="2"/>
        <v>5.6000000000000008E-3</v>
      </c>
      <c r="E12" s="20">
        <f t="shared" si="2"/>
        <v>0</v>
      </c>
      <c r="F12" s="20">
        <f>INDEX(US_data, MATCH($A12,US_time,0),MATCH(F$3,US_label,0))-E12</f>
        <v>-1.1674977388550155E-2</v>
      </c>
      <c r="G12" s="24"/>
      <c r="H12" s="44" t="s">
        <v>37</v>
      </c>
      <c r="I12" s="45">
        <f>INDEX(LINEST(F4:F123,B4:D123,1,1),1,4)</f>
        <v>-2.9771598241460618E-3</v>
      </c>
      <c r="J12" s="43" t="str">
        <f ca="1">getformula(I12)</f>
        <v>&lt;--  =INDEX(LINEST(F4:F123,B4:D123,1,1),1,4)</v>
      </c>
    </row>
    <row r="13" spans="1:27" x14ac:dyDescent="0.25">
      <c r="A13" s="19">
        <v>201510</v>
      </c>
      <c r="B13" s="20">
        <f t="shared" ref="B13:E13" si="3">INDEX(FF3_data, MATCH($A13,FF3_time,0),MATCH(B$3,FF3_label,0))/100</f>
        <v>7.7499999999999999E-2</v>
      </c>
      <c r="C13" s="20">
        <f t="shared" si="3"/>
        <v>-1.89E-2</v>
      </c>
      <c r="D13" s="20">
        <f t="shared" si="3"/>
        <v>-4.5999999999999999E-3</v>
      </c>
      <c r="E13" s="20">
        <f t="shared" si="3"/>
        <v>0</v>
      </c>
      <c r="F13" s="20">
        <f>INDEX(US_data, MATCH($A13,US_time,0),MATCH(F$3,US_label,0))-E13</f>
        <v>-3.4313003534836545E-2</v>
      </c>
      <c r="G13" s="24"/>
      <c r="H13" s="44" t="s">
        <v>65</v>
      </c>
      <c r="I13" s="45">
        <f>INDEX(LINEST(F4:F123,B4:D123,1,1),1,3)</f>
        <v>0.87532686848317054</v>
      </c>
      <c r="J13" s="43" t="str">
        <f t="array" aca="1" ref="J13" ca="1">getformula(I13)</f>
        <v>&lt;--  =INDEX(LINEST(F4:F123,B4:D123,1,1),1,3)</v>
      </c>
    </row>
    <row r="14" spans="1:27" x14ac:dyDescent="0.25">
      <c r="A14" s="19">
        <v>201511</v>
      </c>
      <c r="B14" s="20">
        <f t="shared" ref="B14:E14" si="4">INDEX(FF3_data, MATCH($A14,FF3_time,0),MATCH(B$3,FF3_label,0))/100</f>
        <v>5.6999999999999993E-3</v>
      </c>
      <c r="C14" s="20">
        <f t="shared" si="4"/>
        <v>3.5900000000000001E-2</v>
      </c>
      <c r="D14" s="20">
        <f t="shared" si="4"/>
        <v>-4.1999999999999997E-3</v>
      </c>
      <c r="E14" s="20">
        <f t="shared" si="4"/>
        <v>0</v>
      </c>
      <c r="F14" s="20">
        <f>INDEX(US_data, MATCH($A14,US_time,0),MATCH(F$3,US_label,0))-E14</f>
        <v>-4.7226837321412011E-3</v>
      </c>
      <c r="G14" s="24"/>
      <c r="H14" s="44" t="s">
        <v>66</v>
      </c>
      <c r="I14" s="45">
        <f>INDEX(LINEST(F4:F123,B4:D123,1,1),1,2)</f>
        <v>-0.18568784746633304</v>
      </c>
      <c r="J14" s="43" t="str">
        <f t="array" aca="1" ref="J14" ca="1">getformula(I14)</f>
        <v>&lt;--  =INDEX(LINEST(F4:F123,B4:D123,1,1),1,2)</v>
      </c>
    </row>
    <row r="15" spans="1:27" x14ac:dyDescent="0.25">
      <c r="A15" s="19">
        <v>201512</v>
      </c>
      <c r="B15" s="20">
        <f t="shared" ref="B15:E15" si="5">INDEX(FF3_data, MATCH($A15,FF3_time,0),MATCH(B$3,FF3_label,0))/100</f>
        <v>-2.1700000000000001E-2</v>
      </c>
      <c r="C15" s="20">
        <f t="shared" si="5"/>
        <v>-2.8500000000000001E-2</v>
      </c>
      <c r="D15" s="20">
        <f t="shared" si="5"/>
        <v>-2.6099999999999998E-2</v>
      </c>
      <c r="E15" s="20">
        <f t="shared" si="5"/>
        <v>1E-4</v>
      </c>
      <c r="F15" s="20">
        <f>INDEX(US_data, MATCH($A15,US_time,0),MATCH(F$3,US_label,0))-E15</f>
        <v>-3.7581980854929282E-3</v>
      </c>
      <c r="G15" s="24"/>
      <c r="H15" s="44" t="s">
        <v>67</v>
      </c>
      <c r="I15" s="45">
        <f>INDEX(LINEST(F4:F123,B4:D123,1,1),1,1)</f>
        <v>0.32123897752867414</v>
      </c>
      <c r="J15" s="43" t="str">
        <f t="array" aca="1" ref="J15" ca="1">getformula(I15)</f>
        <v>&lt;--  =INDEX(LINEST(F4:F123,B4:D123,1,1),1,1)</v>
      </c>
    </row>
    <row r="16" spans="1:27" x14ac:dyDescent="0.25">
      <c r="A16" s="19">
        <v>201601</v>
      </c>
      <c r="B16" s="20">
        <f t="shared" ref="B16:E16" si="6">INDEX(FF3_data, MATCH($A16,FF3_time,0),MATCH(B$3,FF3_label,0))/100</f>
        <v>-5.7699999999999994E-2</v>
      </c>
      <c r="C16" s="20">
        <f t="shared" si="6"/>
        <v>-3.4200000000000001E-2</v>
      </c>
      <c r="D16" s="20">
        <f t="shared" si="6"/>
        <v>2.0899999999999998E-2</v>
      </c>
      <c r="E16" s="20">
        <f t="shared" si="6"/>
        <v>1E-4</v>
      </c>
      <c r="F16" s="20">
        <f>INDEX(US_data, MATCH($A16,US_time,0),MATCH(F$3,US_label,0))-E16</f>
        <v>-9.7963961545389139E-2</v>
      </c>
      <c r="G16" s="24"/>
      <c r="H16" s="44" t="s">
        <v>68</v>
      </c>
      <c r="I16" s="45">
        <f>INDEX(LINEST(F4:F123,B4:D123,1,1),3,1)</f>
        <v>0.3676082230817741</v>
      </c>
      <c r="J16" s="43" t="str">
        <f t="array" aca="1" ref="J16" ca="1">getformula(I16)</f>
        <v>&lt;--  =INDEX(LINEST(F4:F123,B4:D123,1,1),3,1)</v>
      </c>
    </row>
    <row r="17" spans="1:16" x14ac:dyDescent="0.25">
      <c r="A17" s="19">
        <v>201602</v>
      </c>
      <c r="B17" s="20">
        <f t="shared" ref="B17:E17" si="7">INDEX(FF3_data, MATCH($A17,FF3_time,0),MATCH(B$3,FF3_label,0))/100</f>
        <v>-7.000000000000001E-4</v>
      </c>
      <c r="C17" s="20">
        <f t="shared" si="7"/>
        <v>7.4000000000000003E-3</v>
      </c>
      <c r="D17" s="20">
        <f t="shared" si="7"/>
        <v>-5.6999999999999993E-3</v>
      </c>
      <c r="E17" s="20">
        <f t="shared" si="7"/>
        <v>2.0000000000000001E-4</v>
      </c>
      <c r="F17" s="20">
        <f>INDEX(US_data, MATCH($A17,US_time,0),MATCH(F$3,US_label,0))-E17</f>
        <v>4.8594020615370367E-2</v>
      </c>
      <c r="G17" s="24"/>
      <c r="H17" s="44" t="s">
        <v>69</v>
      </c>
      <c r="I17" s="45">
        <f>(INDEX(LINEST(F4:F123,B4:D123,1,1),1,4)-0)/INDEX(LINEST(F4:F123,B4:D123,1,1),2,4)</f>
        <v>-0.58091706691536582</v>
      </c>
      <c r="J17" s="43" t="str">
        <f t="array" aca="1" ref="J17" ca="1">getformula(I17)</f>
        <v>&lt;--  =(INDEX(LINEST(F4:F123,B4:D123,1,1),1,4)-0)/INDEX(LINEST(F4:F123,B4:D123,1,1),2,4)</v>
      </c>
    </row>
    <row r="18" spans="1:16" x14ac:dyDescent="0.25">
      <c r="A18" s="19">
        <v>201603</v>
      </c>
      <c r="B18" s="20">
        <f t="shared" ref="B18:E18" si="8">INDEX(FF3_data, MATCH($A18,FF3_time,0),MATCH(B$3,FF3_label,0))/100</f>
        <v>6.9599999999999995E-2</v>
      </c>
      <c r="C18" s="20">
        <f t="shared" si="8"/>
        <v>8.199999999999999E-3</v>
      </c>
      <c r="D18" s="20">
        <f t="shared" si="8"/>
        <v>1.1899999999999999E-2</v>
      </c>
      <c r="E18" s="20">
        <f t="shared" si="8"/>
        <v>2.0000000000000001E-4</v>
      </c>
      <c r="F18" s="20">
        <f>INDEX(US_data, MATCH($A18,US_time,0),MATCH(F$3,US_label,0))-E18</f>
        <v>0.15479183634661903</v>
      </c>
      <c r="G18" s="24"/>
      <c r="H18" s="44" t="s">
        <v>70</v>
      </c>
      <c r="I18" s="45">
        <f>(INDEX(LINEST(F4:F123,B4:D123,1,1),1,3)-0)/INDEX(LINEST(F4:F123,B4:D123,1,1),2,3)</f>
        <v>7.6773235739737054</v>
      </c>
      <c r="J18" s="43" t="str">
        <f t="array" aca="1" ref="J18" ca="1">getformula(I18)</f>
        <v>&lt;--  =(INDEX(LINEST(F4:F123,B4:D123,1,1),1,3)-0)/INDEX(LINEST(F4:F123,B4:D123,1,1),2,3)</v>
      </c>
    </row>
    <row r="19" spans="1:16" x14ac:dyDescent="0.25">
      <c r="A19" s="19">
        <v>201604</v>
      </c>
      <c r="B19" s="20">
        <f t="shared" ref="B19:E19" si="9">INDEX(FF3_data, MATCH($A19,FF3_time,0),MATCH(B$3,FF3_label,0))/100</f>
        <v>9.1000000000000004E-3</v>
      </c>
      <c r="C19" s="20">
        <f t="shared" si="9"/>
        <v>7.6E-3</v>
      </c>
      <c r="D19" s="20">
        <f t="shared" si="9"/>
        <v>3.2799999999999996E-2</v>
      </c>
      <c r="E19" s="20">
        <f t="shared" si="9"/>
        <v>1E-4</v>
      </c>
      <c r="F19" s="20">
        <f>INDEX(US_data, MATCH($A19,US_time,0),MATCH(F$3,US_label,0))-E19</f>
        <v>-3.7159864713844748E-2</v>
      </c>
      <c r="G19" s="24"/>
      <c r="H19" s="44" t="s">
        <v>71</v>
      </c>
      <c r="I19" s="45">
        <f>(INDEX(LINEST(F4:F123,B4:D123,1,1),1,2)-0)/INDEX(LINEST(F4:F123,B4:D123,1,1),2,2)</f>
        <v>-0.98866640603700151</v>
      </c>
      <c r="J19" s="43" t="str">
        <f t="array" aca="1" ref="J19" ca="1">getformula(I19)</f>
        <v>&lt;--  =(INDEX(LINEST(F4:F123,B4:D123,1,1),1,2)-0)/INDEX(LINEST(F4:F123,B4:D123,1,1),2,2)</v>
      </c>
    </row>
    <row r="20" spans="1:16" x14ac:dyDescent="0.25">
      <c r="A20" s="19">
        <v>201605</v>
      </c>
      <c r="B20" s="20">
        <f t="shared" ref="B20:E20" si="10">INDEX(FF3_data, MATCH($A20,FF3_time,0),MATCH(B$3,FF3_label,0))/100</f>
        <v>1.78E-2</v>
      </c>
      <c r="C20" s="20">
        <f t="shared" si="10"/>
        <v>-1.7000000000000001E-3</v>
      </c>
      <c r="D20" s="20">
        <f t="shared" si="10"/>
        <v>-1.66E-2</v>
      </c>
      <c r="E20" s="20">
        <f t="shared" si="10"/>
        <v>1E-4</v>
      </c>
      <c r="F20" s="20">
        <f>INDEX(US_data, MATCH($A20,US_time,0),MATCH(F$3,US_label,0))-E20</f>
        <v>5.1967055123588839E-2</v>
      </c>
      <c r="G20" s="24"/>
      <c r="H20" s="44" t="s">
        <v>72</v>
      </c>
      <c r="I20" s="45">
        <f>(INDEX(LINEST(F4:F123,B4:D123,1,1),1,1)-0)/INDEX(LINEST(F4:F123,B4:D123,1,1),2,1)</f>
        <v>2.4155266112437825</v>
      </c>
      <c r="J20" s="43" t="str">
        <f t="array" aca="1" ref="J20" ca="1">getformula(I20)</f>
        <v>&lt;--  =(INDEX(LINEST(F4:F123,B4:D123,1,1),1,1)-0)/INDEX(LINEST(F4:F123,B4:D123,1,1),2,1)</v>
      </c>
    </row>
    <row r="21" spans="1:16" x14ac:dyDescent="0.25">
      <c r="A21" s="19">
        <v>201606</v>
      </c>
      <c r="B21" s="20">
        <f t="shared" ref="B21:E21" si="11">INDEX(FF3_data, MATCH($A21,FF3_time,0),MATCH(B$3,FF3_label,0))/100</f>
        <v>-5.0000000000000001E-4</v>
      </c>
      <c r="C21" s="20">
        <f t="shared" si="11"/>
        <v>6.0999999999999995E-3</v>
      </c>
      <c r="D21" s="20">
        <f t="shared" si="11"/>
        <v>-1.4800000000000001E-2</v>
      </c>
      <c r="E21" s="20">
        <f t="shared" si="11"/>
        <v>2.0000000000000001E-4</v>
      </c>
      <c r="F21" s="20">
        <f>INDEX(US_data, MATCH($A21,US_time,0),MATCH(F$3,US_label,0))-E21</f>
        <v>-3.4265172075350833E-3</v>
      </c>
      <c r="G21" s="24"/>
      <c r="H21" s="44" t="s">
        <v>60</v>
      </c>
      <c r="I21" s="2">
        <f>INDEX(LINEST(F4:F123,B4:D123,1,1),4,2)</f>
        <v>116</v>
      </c>
      <c r="J21" s="43" t="str">
        <f t="array" aca="1" ref="J21" ca="1">getformula(I21)</f>
        <v>&lt;--  =INDEX(LINEST(F4:F123,B4:D123,1,1),4,2)</v>
      </c>
    </row>
    <row r="22" spans="1:16" x14ac:dyDescent="0.25">
      <c r="A22" s="19">
        <v>201607</v>
      </c>
      <c r="B22" s="20">
        <f t="shared" ref="B22:E22" si="12">INDEX(FF3_data, MATCH($A22,FF3_time,0),MATCH(B$3,FF3_label,0))/100</f>
        <v>3.95E-2</v>
      </c>
      <c r="C22" s="20">
        <f t="shared" si="12"/>
        <v>2.4900000000000002E-2</v>
      </c>
      <c r="D22" s="20">
        <f t="shared" si="12"/>
        <v>-1.32E-2</v>
      </c>
      <c r="E22" s="20">
        <f t="shared" si="12"/>
        <v>2.0000000000000001E-4</v>
      </c>
      <c r="F22" s="20">
        <f>INDEX(US_data, MATCH($A22,US_time,0),MATCH(F$3,US_label,0))-E22</f>
        <v>5.6409363196365976E-2</v>
      </c>
      <c r="G22" s="24"/>
      <c r="H22" s="44" t="s">
        <v>73</v>
      </c>
      <c r="I22" s="26">
        <f>_xlfn.T.DIST.2T(ABS(I17),$I$21)</f>
        <v>0.56242330935691265</v>
      </c>
      <c r="J22" s="43" t="str">
        <f t="array" aca="1" ref="J22" ca="1">getformula(I22)</f>
        <v>&lt;--  =T.DIST.2T(ABS(I17),$I$21)</v>
      </c>
    </row>
    <row r="23" spans="1:16" x14ac:dyDescent="0.25">
      <c r="A23" s="19">
        <v>201608</v>
      </c>
      <c r="B23" s="20">
        <f t="shared" ref="B23:E23" si="13">INDEX(FF3_data, MATCH($A23,FF3_time,0),MATCH(B$3,FF3_label,0))/100</f>
        <v>4.8999999999999998E-3</v>
      </c>
      <c r="C23" s="20">
        <f t="shared" si="13"/>
        <v>1.1599999999999999E-2</v>
      </c>
      <c r="D23" s="20">
        <f t="shared" si="13"/>
        <v>3.1800000000000002E-2</v>
      </c>
      <c r="E23" s="20">
        <f t="shared" si="13"/>
        <v>2.0000000000000001E-4</v>
      </c>
      <c r="F23" s="20">
        <f>INDEX(US_data, MATCH($A23,US_time,0),MATCH(F$3,US_label,0))-E23</f>
        <v>-1.1092127622742783E-2</v>
      </c>
      <c r="G23" s="24"/>
      <c r="H23" s="44" t="s">
        <v>74</v>
      </c>
      <c r="I23" s="46">
        <f>_xlfn.T.DIST.2T(ABS(I18),$I$21)</f>
        <v>5.608547404002385E-12</v>
      </c>
      <c r="J23" s="43" t="str">
        <f t="array" aca="1" ref="J23" ca="1">getformula(I23)</f>
        <v>&lt;--  =T.DIST.2T(ABS(I18),$I$21)</v>
      </c>
    </row>
    <row r="24" spans="1:16" x14ac:dyDescent="0.25">
      <c r="A24" s="19">
        <v>201609</v>
      </c>
      <c r="B24" s="20">
        <f t="shared" ref="B24:E24" si="14">INDEX(FF3_data, MATCH($A24,FF3_time,0),MATCH(B$3,FF3_label,0))/100</f>
        <v>2.5000000000000001E-3</v>
      </c>
      <c r="C24" s="20">
        <f t="shared" si="14"/>
        <v>2.12E-2</v>
      </c>
      <c r="D24" s="20">
        <f t="shared" si="14"/>
        <v>-1.24E-2</v>
      </c>
      <c r="E24" s="20">
        <f t="shared" si="14"/>
        <v>2.0000000000000001E-4</v>
      </c>
      <c r="F24" s="20">
        <f>INDEX(US_data, MATCH($A24,US_time,0),MATCH(F$3,US_label,0))-E24</f>
        <v>8.210554998649559E-3</v>
      </c>
      <c r="G24" s="24"/>
      <c r="H24" s="44" t="s">
        <v>75</v>
      </c>
      <c r="I24" s="26">
        <f>_xlfn.T.DIST.2T(ABS(I19),$I$21)</f>
        <v>0.32488414864058579</v>
      </c>
      <c r="J24" s="43" t="str">
        <f t="array" aca="1" ref="J24" ca="1">getformula(I24)</f>
        <v>&lt;--  =T.DIST.2T(ABS(I19),$I$21)</v>
      </c>
    </row>
    <row r="25" spans="1:16" x14ac:dyDescent="0.25">
      <c r="A25" s="19">
        <v>201610</v>
      </c>
      <c r="B25" s="20">
        <f t="shared" ref="B25:E25" si="15">INDEX(FF3_data, MATCH($A25,FF3_time,0),MATCH(B$3,FF3_label,0))/100</f>
        <v>-2.0199999999999999E-2</v>
      </c>
      <c r="C25" s="20">
        <f t="shared" si="15"/>
        <v>-4.4000000000000004E-2</v>
      </c>
      <c r="D25" s="20">
        <f t="shared" si="15"/>
        <v>4.0899999999999999E-2</v>
      </c>
      <c r="E25" s="20">
        <f t="shared" si="15"/>
        <v>2.0000000000000001E-4</v>
      </c>
      <c r="F25" s="20">
        <f>INDEX(US_data, MATCH($A25,US_time,0),MATCH(F$3,US_label,0))-E25</f>
        <v>-3.3222461685503864E-2</v>
      </c>
      <c r="G25" s="24"/>
      <c r="H25" s="44" t="s">
        <v>76</v>
      </c>
      <c r="I25" s="26">
        <f>_xlfn.T.DIST.2T(ABS(I20),$I$21)</f>
        <v>1.7273369913894592E-2</v>
      </c>
      <c r="J25" s="43" t="str">
        <f t="array" aca="1" ref="J25" ca="1">getformula(I25)</f>
        <v>&lt;--  =T.DIST.2T(ABS(I20),$I$21)</v>
      </c>
    </row>
    <row r="26" spans="1:16" x14ac:dyDescent="0.25">
      <c r="A26" s="19">
        <v>201611</v>
      </c>
      <c r="B26" s="20">
        <f t="shared" ref="B26:E43" si="16">INDEX(FF3_data, MATCH($A26,FF3_time,0),MATCH(B$3,FF3_label,0))/100</f>
        <v>4.8600000000000004E-2</v>
      </c>
      <c r="C26" s="20">
        <f t="shared" si="16"/>
        <v>5.7099999999999998E-2</v>
      </c>
      <c r="D26" s="20">
        <f t="shared" si="16"/>
        <v>8.2100000000000006E-2</v>
      </c>
      <c r="E26" s="20">
        <f t="shared" si="16"/>
        <v>1E-4</v>
      </c>
      <c r="F26" s="20">
        <f>INDEX(US_data, MATCH($A26,US_time,0),MATCH(F$3,US_label,0))-E26</f>
        <v>5.3915805865741649E-2</v>
      </c>
      <c r="G26" s="24"/>
      <c r="H26" s="47" t="s">
        <v>77</v>
      </c>
    </row>
    <row r="27" spans="1:16" x14ac:dyDescent="0.25">
      <c r="A27" s="19">
        <v>201612</v>
      </c>
      <c r="B27" s="20">
        <f t="shared" si="16"/>
        <v>1.8200000000000001E-2</v>
      </c>
      <c r="C27" s="20">
        <f t="shared" si="16"/>
        <v>1E-3</v>
      </c>
      <c r="D27" s="20">
        <f t="shared" si="16"/>
        <v>3.5299999999999998E-2</v>
      </c>
      <c r="E27" s="20">
        <f t="shared" si="16"/>
        <v>2.9999999999999997E-4</v>
      </c>
      <c r="F27" s="20">
        <f>INDEX(US_data, MATCH($A27,US_time,0),MATCH(F$3,US_label,0))-E27</f>
        <v>3.1705092613265907E-2</v>
      </c>
      <c r="G27" s="24"/>
    </row>
    <row r="28" spans="1:16" ht="15.75" x14ac:dyDescent="0.25">
      <c r="A28" s="19">
        <v>201701</v>
      </c>
      <c r="B28" s="20">
        <f t="shared" si="16"/>
        <v>1.9400000000000001E-2</v>
      </c>
      <c r="C28" s="20">
        <f t="shared" si="16"/>
        <v>-1.18E-2</v>
      </c>
      <c r="D28" s="20">
        <f t="shared" si="16"/>
        <v>-2.75E-2</v>
      </c>
      <c r="E28" s="20">
        <f t="shared" si="16"/>
        <v>4.0000000000000002E-4</v>
      </c>
      <c r="F28" s="20">
        <f>INDEX(US_data, MATCH($A28,US_time,0),MATCH(F$3,US_label,0))-E28</f>
        <v>4.9711797708033155E-2</v>
      </c>
      <c r="G28" s="24"/>
      <c r="H28" s="17" t="s">
        <v>78</v>
      </c>
      <c r="I28" s="7"/>
      <c r="J28" s="7"/>
      <c r="K28" s="7"/>
      <c r="L28" s="7"/>
      <c r="M28" s="7"/>
      <c r="N28" s="7"/>
      <c r="O28" s="7"/>
      <c r="P28" s="7"/>
    </row>
    <row r="29" spans="1:16" x14ac:dyDescent="0.25">
      <c r="A29" s="19">
        <v>201702</v>
      </c>
      <c r="B29" s="20">
        <f t="shared" si="16"/>
        <v>3.5699999999999996E-2</v>
      </c>
      <c r="C29" s="20">
        <f t="shared" si="16"/>
        <v>-2.0499999999999997E-2</v>
      </c>
      <c r="D29" s="20">
        <f t="shared" si="16"/>
        <v>-1.67E-2</v>
      </c>
      <c r="E29" s="20">
        <f t="shared" si="16"/>
        <v>4.0000000000000002E-4</v>
      </c>
      <c r="F29" s="20">
        <f>INDEX(US_data, MATCH($A29,US_time,0),MATCH(F$3,US_label,0))-E29</f>
        <v>2.951716692084471E-2</v>
      </c>
      <c r="G29" s="24"/>
    </row>
    <row r="30" spans="1:16" x14ac:dyDescent="0.25">
      <c r="A30" s="19">
        <v>201703</v>
      </c>
      <c r="B30" s="20">
        <f t="shared" si="16"/>
        <v>1.7000000000000001E-3</v>
      </c>
      <c r="C30" s="20">
        <f t="shared" si="16"/>
        <v>1.1399999999999999E-2</v>
      </c>
      <c r="D30" s="20">
        <f t="shared" si="16"/>
        <v>-3.3500000000000002E-2</v>
      </c>
      <c r="E30" s="20">
        <f t="shared" si="16"/>
        <v>2.9999999999999997E-4</v>
      </c>
      <c r="F30" s="20">
        <f>INDEX(US_data, MATCH($A30,US_time,0),MATCH(F$3,US_label,0))-E30</f>
        <v>-2.4521364443314861E-2</v>
      </c>
      <c r="G30" s="24"/>
      <c r="H30" t="s">
        <v>79</v>
      </c>
      <c r="I30"/>
      <c r="J30"/>
      <c r="K30"/>
      <c r="L30"/>
      <c r="M30"/>
      <c r="N30"/>
      <c r="O30"/>
      <c r="P30"/>
    </row>
    <row r="31" spans="1:16" ht="15.75" thickBot="1" x14ac:dyDescent="0.3">
      <c r="A31" s="19">
        <v>201704</v>
      </c>
      <c r="B31" s="20">
        <f t="shared" si="16"/>
        <v>1.09E-2</v>
      </c>
      <c r="C31" s="20">
        <f t="shared" si="16"/>
        <v>7.3000000000000001E-3</v>
      </c>
      <c r="D31" s="20">
        <f t="shared" si="16"/>
        <v>-2.1299999999999999E-2</v>
      </c>
      <c r="E31" s="20">
        <f t="shared" si="16"/>
        <v>5.0000000000000001E-4</v>
      </c>
      <c r="F31" s="20">
        <f>INDEX(US_data, MATCH($A31,US_time,0),MATCH(F$3,US_label,0))-E31</f>
        <v>-8.3374668821466852E-2</v>
      </c>
      <c r="G31" s="24"/>
      <c r="H31"/>
      <c r="I31"/>
      <c r="J31"/>
      <c r="K31"/>
      <c r="L31"/>
      <c r="M31"/>
      <c r="N31"/>
      <c r="O31"/>
      <c r="P31"/>
    </row>
    <row r="32" spans="1:16" x14ac:dyDescent="0.25">
      <c r="A32" s="19">
        <v>201705</v>
      </c>
      <c r="B32" s="20">
        <f t="shared" si="16"/>
        <v>1.06E-2</v>
      </c>
      <c r="C32" s="20">
        <f t="shared" si="16"/>
        <v>-2.5699999999999997E-2</v>
      </c>
      <c r="D32" s="20">
        <f t="shared" si="16"/>
        <v>-3.78E-2</v>
      </c>
      <c r="E32" s="20">
        <f t="shared" si="16"/>
        <v>5.9999999999999995E-4</v>
      </c>
      <c r="F32" s="20">
        <f>INDEX(US_data, MATCH($A32,US_time,0),MATCH(F$3,US_label,0))-E32</f>
        <v>-4.9567921310697018E-2</v>
      </c>
      <c r="G32" s="24"/>
      <c r="H32" s="50" t="s">
        <v>80</v>
      </c>
      <c r="I32" s="50"/>
      <c r="J32"/>
      <c r="K32"/>
      <c r="L32"/>
      <c r="M32"/>
      <c r="N32"/>
      <c r="O32"/>
      <c r="P32"/>
    </row>
    <row r="33" spans="1:16" x14ac:dyDescent="0.25">
      <c r="A33" s="19">
        <v>201706</v>
      </c>
      <c r="B33" s="20">
        <f t="shared" si="16"/>
        <v>7.8000000000000005E-3</v>
      </c>
      <c r="C33" s="20">
        <f t="shared" si="16"/>
        <v>2.2499999999999999E-2</v>
      </c>
      <c r="D33" s="20">
        <f t="shared" si="16"/>
        <v>1.4800000000000001E-2</v>
      </c>
      <c r="E33" s="20">
        <f t="shared" si="16"/>
        <v>5.9999999999999995E-4</v>
      </c>
      <c r="F33" s="20">
        <f>INDEX(US_data, MATCH($A33,US_time,0),MATCH(F$3,US_label,0))-E33</f>
        <v>1.6952740576693961E-2</v>
      </c>
      <c r="G33" s="24"/>
      <c r="H33" t="s">
        <v>81</v>
      </c>
      <c r="I33">
        <v>0.60630677418931789</v>
      </c>
      <c r="J33"/>
      <c r="K33"/>
      <c r="L33"/>
      <c r="M33"/>
      <c r="N33"/>
      <c r="O33"/>
      <c r="P33"/>
    </row>
    <row r="34" spans="1:16" x14ac:dyDescent="0.25">
      <c r="A34" s="19">
        <v>201707</v>
      </c>
      <c r="B34" s="20">
        <f t="shared" si="16"/>
        <v>1.8700000000000001E-2</v>
      </c>
      <c r="C34" s="20">
        <f t="shared" si="16"/>
        <v>-1.4999999999999999E-2</v>
      </c>
      <c r="D34" s="20">
        <f t="shared" si="16"/>
        <v>-3.0999999999999999E-3</v>
      </c>
      <c r="E34" s="20">
        <f t="shared" si="16"/>
        <v>7.000000000000001E-4</v>
      </c>
      <c r="F34" s="20">
        <f>INDEX(US_data, MATCH($A34,US_time,0),MATCH(F$3,US_label,0))-E34</f>
        <v>-6.2092853712510096E-2</v>
      </c>
      <c r="G34" s="24"/>
      <c r="H34" t="s">
        <v>82</v>
      </c>
      <c r="I34">
        <v>0.36760790442785651</v>
      </c>
      <c r="J34"/>
      <c r="K34"/>
      <c r="L34"/>
      <c r="M34"/>
      <c r="N34"/>
      <c r="O34"/>
      <c r="P34"/>
    </row>
    <row r="35" spans="1:16" x14ac:dyDescent="0.25">
      <c r="A35" s="19">
        <v>201708</v>
      </c>
      <c r="B35" s="20">
        <f t="shared" si="16"/>
        <v>1.6000000000000001E-3</v>
      </c>
      <c r="C35" s="20">
        <f t="shared" si="16"/>
        <v>-1.67E-2</v>
      </c>
      <c r="D35" s="20">
        <f t="shared" si="16"/>
        <v>-2.1000000000000001E-2</v>
      </c>
      <c r="E35" s="20">
        <f t="shared" si="16"/>
        <v>8.9999999999999998E-4</v>
      </c>
      <c r="F35" s="20">
        <f>INDEX(US_data, MATCH($A35,US_time,0),MATCH(F$3,US_label,0))-E35</f>
        <v>-1.230074332032398E-2</v>
      </c>
      <c r="G35" s="24"/>
      <c r="H35" t="s">
        <v>83</v>
      </c>
      <c r="I35">
        <v>0.35125293643892175</v>
      </c>
      <c r="J35"/>
      <c r="K35"/>
      <c r="L35"/>
      <c r="M35"/>
      <c r="N35"/>
      <c r="O35"/>
      <c r="P35"/>
    </row>
    <row r="36" spans="1:16" x14ac:dyDescent="0.25">
      <c r="A36" s="19">
        <v>201709</v>
      </c>
      <c r="B36" s="20">
        <f t="shared" si="16"/>
        <v>2.5099999999999997E-2</v>
      </c>
      <c r="C36" s="20">
        <f t="shared" si="16"/>
        <v>4.4699999999999997E-2</v>
      </c>
      <c r="D36" s="20">
        <f t="shared" si="16"/>
        <v>3.1200000000000002E-2</v>
      </c>
      <c r="E36" s="20">
        <f t="shared" si="16"/>
        <v>8.9999999999999998E-4</v>
      </c>
      <c r="F36" s="20">
        <f>INDEX(US_data, MATCH($A36,US_time,0),MATCH(F$3,US_label,0))-E36</f>
        <v>2.3840996861649245E-2</v>
      </c>
      <c r="G36" s="24"/>
      <c r="H36" t="s">
        <v>84</v>
      </c>
      <c r="I36">
        <v>5.4520455369243929E-2</v>
      </c>
      <c r="J36"/>
      <c r="K36"/>
      <c r="L36"/>
      <c r="M36"/>
      <c r="N36"/>
      <c r="O36"/>
      <c r="P36"/>
    </row>
    <row r="37" spans="1:16" ht="15.75" thickBot="1" x14ac:dyDescent="0.3">
      <c r="A37" s="19">
        <v>201710</v>
      </c>
      <c r="B37" s="20">
        <f t="shared" si="16"/>
        <v>2.2499999999999999E-2</v>
      </c>
      <c r="C37" s="20">
        <f t="shared" si="16"/>
        <v>-1.9400000000000001E-2</v>
      </c>
      <c r="D37" s="20">
        <f t="shared" si="16"/>
        <v>1.9E-3</v>
      </c>
      <c r="E37" s="20">
        <f t="shared" si="16"/>
        <v>8.9999999999999998E-4</v>
      </c>
      <c r="F37" s="20">
        <f>INDEX(US_data, MATCH($A37,US_time,0),MATCH(F$3,US_label,0))-E37</f>
        <v>5.9157344233377956E-2</v>
      </c>
      <c r="G37" s="24"/>
      <c r="H37" s="48" t="s">
        <v>85</v>
      </c>
      <c r="I37" s="48">
        <v>120</v>
      </c>
      <c r="J37"/>
      <c r="K37"/>
      <c r="L37"/>
      <c r="M37"/>
      <c r="N37"/>
      <c r="O37"/>
      <c r="P37"/>
    </row>
    <row r="38" spans="1:16" x14ac:dyDescent="0.25">
      <c r="A38" s="19">
        <v>201711</v>
      </c>
      <c r="B38" s="20">
        <f t="shared" si="16"/>
        <v>3.1200000000000002E-2</v>
      </c>
      <c r="C38" s="20">
        <f t="shared" si="16"/>
        <v>-5.4000000000000003E-3</v>
      </c>
      <c r="D38" s="20">
        <f t="shared" si="16"/>
        <v>-2.9999999999999997E-4</v>
      </c>
      <c r="E38" s="20">
        <f t="shared" si="16"/>
        <v>8.0000000000000004E-4</v>
      </c>
      <c r="F38" s="20">
        <f>INDEX(US_data, MATCH($A38,US_time,0),MATCH(F$3,US_label,0))-E38</f>
        <v>-1.3849395033303522E-3</v>
      </c>
      <c r="G38" s="24"/>
      <c r="H38"/>
      <c r="I38"/>
      <c r="J38"/>
      <c r="K38"/>
      <c r="L38"/>
      <c r="M38"/>
      <c r="N38"/>
      <c r="O38"/>
      <c r="P38"/>
    </row>
    <row r="39" spans="1:16" ht="15.75" thickBot="1" x14ac:dyDescent="0.3">
      <c r="A39" s="19">
        <v>201712</v>
      </c>
      <c r="B39" s="20">
        <f t="shared" si="16"/>
        <v>1.06E-2</v>
      </c>
      <c r="C39" s="20">
        <f t="shared" si="16"/>
        <v>-1.32E-2</v>
      </c>
      <c r="D39" s="20">
        <f t="shared" si="16"/>
        <v>5.9999999999999995E-4</v>
      </c>
      <c r="E39" s="20">
        <f t="shared" si="16"/>
        <v>8.9999999999999998E-4</v>
      </c>
      <c r="F39" s="20">
        <f>INDEX(US_data, MATCH($A39,US_time,0),MATCH(F$3,US_label,0))-E39</f>
        <v>5.4672467144657212E-3</v>
      </c>
      <c r="G39" s="24"/>
      <c r="H39" t="s">
        <v>86</v>
      </c>
      <c r="I39"/>
      <c r="J39"/>
      <c r="K39"/>
      <c r="L39"/>
      <c r="M39"/>
      <c r="N39"/>
      <c r="O39"/>
      <c r="P39"/>
    </row>
    <row r="40" spans="1:16" x14ac:dyDescent="0.25">
      <c r="A40" s="19">
        <v>201801</v>
      </c>
      <c r="B40" s="20">
        <f t="shared" si="16"/>
        <v>5.57E-2</v>
      </c>
      <c r="C40" s="20">
        <f t="shared" si="16"/>
        <v>-3.1200000000000002E-2</v>
      </c>
      <c r="D40" s="20">
        <f t="shared" si="16"/>
        <v>-1.2800000000000001E-2</v>
      </c>
      <c r="E40" s="20">
        <f t="shared" si="16"/>
        <v>1.1999999999999999E-3</v>
      </c>
      <c r="F40" s="20">
        <f>INDEX(US_data, MATCH($A40,US_time,0),MATCH(F$3,US_label,0))-E40</f>
        <v>6.3656708055204125E-2</v>
      </c>
      <c r="G40" s="24"/>
      <c r="H40" s="49"/>
      <c r="I40" s="49" t="s">
        <v>60</v>
      </c>
      <c r="J40" s="49" t="s">
        <v>87</v>
      </c>
      <c r="K40" s="49" t="s">
        <v>88</v>
      </c>
      <c r="L40" s="49" t="s">
        <v>59</v>
      </c>
      <c r="M40" s="49" t="s">
        <v>89</v>
      </c>
      <c r="N40"/>
      <c r="O40"/>
      <c r="P40"/>
    </row>
    <row r="41" spans="1:16" x14ac:dyDescent="0.25">
      <c r="A41" s="19">
        <v>201802</v>
      </c>
      <c r="B41" s="20">
        <f t="shared" si="16"/>
        <v>-3.6499999999999998E-2</v>
      </c>
      <c r="C41" s="20">
        <f t="shared" si="16"/>
        <v>2.5999999999999999E-3</v>
      </c>
      <c r="D41" s="20">
        <f t="shared" si="16"/>
        <v>-1.04E-2</v>
      </c>
      <c r="E41" s="20">
        <f t="shared" si="16"/>
        <v>1.1000000000000001E-3</v>
      </c>
      <c r="F41" s="20">
        <f>INDEX(US_data, MATCH($A41,US_time,0),MATCH(F$3,US_label,0))-E41</f>
        <v>-5.037023777609638E-2</v>
      </c>
      <c r="G41" s="24"/>
      <c r="H41" t="s">
        <v>90</v>
      </c>
      <c r="I41">
        <v>3</v>
      </c>
      <c r="J41">
        <v>0.20043582431144208</v>
      </c>
      <c r="K41">
        <v>6.681194143714736E-2</v>
      </c>
      <c r="L41">
        <v>22.476834236335307</v>
      </c>
      <c r="M41">
        <v>1.5242854966692449E-11</v>
      </c>
      <c r="N41"/>
      <c r="O41"/>
      <c r="P41"/>
    </row>
    <row r="42" spans="1:16" x14ac:dyDescent="0.25">
      <c r="A42" s="19">
        <v>201803</v>
      </c>
      <c r="B42" s="20">
        <f t="shared" si="16"/>
        <v>-2.35E-2</v>
      </c>
      <c r="C42" s="20">
        <f t="shared" si="16"/>
        <v>4.0599999999999997E-2</v>
      </c>
      <c r="D42" s="20">
        <f t="shared" si="16"/>
        <v>-2E-3</v>
      </c>
      <c r="E42" s="20">
        <f t="shared" si="16"/>
        <v>1.1000000000000001E-3</v>
      </c>
      <c r="F42" s="20">
        <f>INDEX(US_data, MATCH($A42,US_time,0),MATCH(F$3,US_label,0))-E42</f>
        <v>-6.8235842809033307E-3</v>
      </c>
      <c r="G42" s="24"/>
      <c r="H42" t="s">
        <v>91</v>
      </c>
      <c r="I42">
        <v>116</v>
      </c>
      <c r="J42">
        <v>0.34480768622568742</v>
      </c>
      <c r="K42">
        <v>2.9724800536697193E-3</v>
      </c>
      <c r="L42"/>
      <c r="M42"/>
      <c r="N42"/>
      <c r="O42"/>
      <c r="P42"/>
    </row>
    <row r="43" spans="1:16" ht="15.75" thickBot="1" x14ac:dyDescent="0.3">
      <c r="A43" s="19">
        <v>201804</v>
      </c>
      <c r="B43" s="20">
        <f t="shared" si="16"/>
        <v>2.8999999999999998E-3</v>
      </c>
      <c r="C43" s="20">
        <f t="shared" si="16"/>
        <v>1.1299999999999999E-2</v>
      </c>
      <c r="D43" s="20">
        <f t="shared" si="16"/>
        <v>5.4000000000000003E-3</v>
      </c>
      <c r="E43" s="20">
        <f t="shared" si="16"/>
        <v>1.4000000000000002E-3</v>
      </c>
      <c r="F43" s="20">
        <f>INDEX(US_data, MATCH($A43,US_time,0),MATCH(F$3,US_label,0))-E43</f>
        <v>-5.8186748539110246E-2</v>
      </c>
      <c r="G43" s="24"/>
      <c r="H43" s="48" t="s">
        <v>92</v>
      </c>
      <c r="I43" s="48">
        <v>119</v>
      </c>
      <c r="J43" s="48">
        <v>0.54524351053712949</v>
      </c>
      <c r="K43" s="48"/>
      <c r="L43" s="48"/>
      <c r="M43" s="48"/>
      <c r="N43"/>
      <c r="O43"/>
      <c r="P43"/>
    </row>
    <row r="44" spans="1:16" ht="15.75" thickBot="1" x14ac:dyDescent="0.3">
      <c r="A44" s="19">
        <v>201805</v>
      </c>
      <c r="B44" s="20">
        <f t="shared" ref="B44:E63" si="17">INDEX(FF3_data, MATCH($A44,FF3_time,0),MATCH(B$3,FF3_label,0))/100</f>
        <v>2.6499999999999999E-2</v>
      </c>
      <c r="C44" s="20">
        <f t="shared" si="17"/>
        <v>5.2600000000000001E-2</v>
      </c>
      <c r="D44" s="20">
        <f t="shared" si="17"/>
        <v>-3.2199999999999999E-2</v>
      </c>
      <c r="E44" s="20">
        <f t="shared" si="17"/>
        <v>1.4000000000000002E-3</v>
      </c>
      <c r="F44" s="20">
        <f>INDEX(US_data, MATCH($A44,US_time,0),MATCH(F$3,US_label,0))-E44</f>
        <v>-2.6901729930205974E-2</v>
      </c>
      <c r="G44" s="24"/>
      <c r="H44"/>
      <c r="I44"/>
      <c r="J44"/>
      <c r="K44"/>
      <c r="L44"/>
      <c r="M44"/>
      <c r="N44"/>
      <c r="O44"/>
      <c r="P44"/>
    </row>
    <row r="45" spans="1:16" x14ac:dyDescent="0.25">
      <c r="A45" s="19">
        <v>201806</v>
      </c>
      <c r="B45" s="20">
        <f t="shared" si="17"/>
        <v>4.7999999999999996E-3</v>
      </c>
      <c r="C45" s="20">
        <f t="shared" si="17"/>
        <v>1.1399999999999999E-2</v>
      </c>
      <c r="D45" s="20">
        <f t="shared" si="17"/>
        <v>-2.3300000000000001E-2</v>
      </c>
      <c r="E45" s="20">
        <f t="shared" si="17"/>
        <v>1.4000000000000002E-3</v>
      </c>
      <c r="F45" s="20">
        <f>INDEX(US_data, MATCH($A45,US_time,0),MATCH(F$3,US_label,0))-E45</f>
        <v>-1.8190299098766499E-3</v>
      </c>
      <c r="G45" s="24"/>
      <c r="H45" s="49"/>
      <c r="I45" s="49" t="s">
        <v>93</v>
      </c>
      <c r="J45" s="49" t="s">
        <v>84</v>
      </c>
      <c r="K45" s="49" t="s">
        <v>94</v>
      </c>
      <c r="L45" s="49" t="s">
        <v>95</v>
      </c>
      <c r="M45" s="49" t="s">
        <v>96</v>
      </c>
      <c r="N45" s="49" t="s">
        <v>97</v>
      </c>
      <c r="O45" s="49" t="s">
        <v>98</v>
      </c>
      <c r="P45" s="49" t="s">
        <v>99</v>
      </c>
    </row>
    <row r="46" spans="1:16" x14ac:dyDescent="0.25">
      <c r="A46" s="19">
        <v>201807</v>
      </c>
      <c r="B46" s="20">
        <f t="shared" si="17"/>
        <v>3.1899999999999998E-2</v>
      </c>
      <c r="C46" s="20">
        <f t="shared" si="17"/>
        <v>-2.2200000000000001E-2</v>
      </c>
      <c r="D46" s="20">
        <f t="shared" si="17"/>
        <v>4.5000000000000005E-3</v>
      </c>
      <c r="E46" s="20">
        <f t="shared" si="17"/>
        <v>1.6000000000000001E-3</v>
      </c>
      <c r="F46" s="20">
        <f>INDEX(US_data, MATCH($A46,US_time,0),MATCH(F$3,US_label,0))-E46</f>
        <v>3.5153553226762446E-2</v>
      </c>
      <c r="G46" s="24"/>
      <c r="H46" t="s">
        <v>100</v>
      </c>
      <c r="I46">
        <v>-2.9771464424413717E-3</v>
      </c>
      <c r="J46">
        <v>5.124928721018749E-3</v>
      </c>
      <c r="K46">
        <v>-0.58091470233161902</v>
      </c>
      <c r="L46">
        <v>0.5624248977396592</v>
      </c>
      <c r="M46">
        <v>-1.3127713528040513E-2</v>
      </c>
      <c r="N46">
        <v>7.1734206431577699E-3</v>
      </c>
      <c r="O46">
        <v>-1.3127713528040513E-2</v>
      </c>
      <c r="P46">
        <v>7.1734206431577699E-3</v>
      </c>
    </row>
    <row r="47" spans="1:16" x14ac:dyDescent="0.25">
      <c r="A47" s="19">
        <v>201808</v>
      </c>
      <c r="B47" s="20">
        <f t="shared" si="17"/>
        <v>3.44E-2</v>
      </c>
      <c r="C47" s="20">
        <f t="shared" si="17"/>
        <v>1.15E-2</v>
      </c>
      <c r="D47" s="20">
        <f t="shared" si="17"/>
        <v>-0.04</v>
      </c>
      <c r="E47" s="20">
        <f t="shared" si="17"/>
        <v>1.6000000000000001E-3</v>
      </c>
      <c r="F47" s="20">
        <f>INDEX(US_data, MATCH($A47,US_time,0),MATCH(F$3,US_label,0))-E47</f>
        <v>9.0378586610511489E-3</v>
      </c>
      <c r="G47" s="24"/>
      <c r="H47" t="s">
        <v>4</v>
      </c>
      <c r="I47">
        <v>0.87532577831667213</v>
      </c>
      <c r="J47">
        <v>0.11401453756600848</v>
      </c>
      <c r="K47">
        <v>7.6773172702639272</v>
      </c>
      <c r="L47">
        <v>5.6087302972433005E-12</v>
      </c>
      <c r="M47">
        <v>0.64950562055508698</v>
      </c>
      <c r="N47">
        <v>1.1011459360782572</v>
      </c>
      <c r="O47">
        <v>0.64950562055508698</v>
      </c>
      <c r="P47">
        <v>1.1011459360782572</v>
      </c>
    </row>
    <row r="48" spans="1:16" x14ac:dyDescent="0.25">
      <c r="A48" s="19">
        <v>201809</v>
      </c>
      <c r="B48" s="20">
        <f t="shared" si="17"/>
        <v>5.9999999999999995E-4</v>
      </c>
      <c r="C48" s="20">
        <f t="shared" si="17"/>
        <v>-2.29E-2</v>
      </c>
      <c r="D48" s="20">
        <f t="shared" si="17"/>
        <v>-1.7100000000000001E-2</v>
      </c>
      <c r="E48" s="20">
        <f t="shared" si="17"/>
        <v>1.5E-3</v>
      </c>
      <c r="F48" s="20">
        <f>INDEX(US_data, MATCH($A48,US_time,0),MATCH(F$3,US_label,0))-E48</f>
        <v>4.1026771114397703E-2</v>
      </c>
      <c r="G48" s="24"/>
      <c r="H48" t="s">
        <v>5</v>
      </c>
      <c r="I48">
        <v>-0.18568658065656776</v>
      </c>
      <c r="J48">
        <v>0.18781640352536005</v>
      </c>
      <c r="K48">
        <v>-0.98866008064889443</v>
      </c>
      <c r="L48">
        <v>0.32488723116683327</v>
      </c>
      <c r="M48">
        <v>-0.55768063316724503</v>
      </c>
      <c r="N48">
        <v>0.18630747185410948</v>
      </c>
      <c r="O48">
        <v>-0.55768063316724503</v>
      </c>
      <c r="P48">
        <v>0.18630747185410948</v>
      </c>
    </row>
    <row r="49" spans="1:16" ht="15.75" thickBot="1" x14ac:dyDescent="0.3">
      <c r="A49" s="19">
        <v>201810</v>
      </c>
      <c r="B49" s="20">
        <f t="shared" si="17"/>
        <v>-7.6799999999999993E-2</v>
      </c>
      <c r="C49" s="20">
        <f t="shared" si="17"/>
        <v>-4.7400000000000005E-2</v>
      </c>
      <c r="D49" s="20">
        <f t="shared" si="17"/>
        <v>3.4000000000000002E-2</v>
      </c>
      <c r="E49" s="20">
        <f t="shared" si="17"/>
        <v>1.9E-3</v>
      </c>
      <c r="F49" s="20">
        <f>INDEX(US_data, MATCH($A49,US_time,0),MATCH(F$3,US_label,0))-E49</f>
        <v>-0.27190557803120607</v>
      </c>
      <c r="G49" s="24"/>
      <c r="H49" s="48" t="s">
        <v>6</v>
      </c>
      <c r="I49" s="48">
        <v>0.32123855273243845</v>
      </c>
      <c r="J49" s="48">
        <v>0.13298915429581645</v>
      </c>
      <c r="K49" s="48">
        <v>2.4155244420750774</v>
      </c>
      <c r="L49" s="48">
        <v>1.7273467744139188E-2</v>
      </c>
      <c r="M49" s="48">
        <v>5.7836775689100395E-2</v>
      </c>
      <c r="N49" s="48">
        <v>0.58464032977577651</v>
      </c>
      <c r="O49" s="48">
        <v>5.7836775689100395E-2</v>
      </c>
      <c r="P49" s="48">
        <v>0.58464032977577651</v>
      </c>
    </row>
    <row r="50" spans="1:16" x14ac:dyDescent="0.25">
      <c r="A50" s="19">
        <v>201811</v>
      </c>
      <c r="B50" s="20">
        <f t="shared" si="17"/>
        <v>1.6899999999999998E-2</v>
      </c>
      <c r="C50" s="20">
        <f t="shared" si="17"/>
        <v>-6.8000000000000005E-3</v>
      </c>
      <c r="D50" s="20">
        <f t="shared" si="17"/>
        <v>2.8000000000000004E-3</v>
      </c>
      <c r="E50" s="20">
        <f t="shared" si="17"/>
        <v>1.8E-3</v>
      </c>
      <c r="F50" s="20">
        <f>INDEX(US_data, MATCH($A50,US_time,0),MATCH(F$3,US_label,0))-E50</f>
        <v>7.1992587964510676E-2</v>
      </c>
      <c r="G50" s="24"/>
      <c r="H50"/>
      <c r="I50"/>
      <c r="J50"/>
      <c r="K50"/>
      <c r="L50"/>
      <c r="M50"/>
      <c r="N50"/>
      <c r="O50"/>
      <c r="P50"/>
    </row>
    <row r="51" spans="1:16" x14ac:dyDescent="0.25">
      <c r="A51" s="19">
        <v>201812</v>
      </c>
      <c r="B51" s="20">
        <f t="shared" si="17"/>
        <v>-9.5700000000000007E-2</v>
      </c>
      <c r="C51" s="20">
        <f t="shared" si="17"/>
        <v>-2.3700000000000002E-2</v>
      </c>
      <c r="D51" s="20">
        <f t="shared" si="17"/>
        <v>-1.8799999999999997E-2</v>
      </c>
      <c r="E51" s="20">
        <f t="shared" si="17"/>
        <v>2E-3</v>
      </c>
      <c r="F51" s="20">
        <f>INDEX(US_data, MATCH($A51,US_time,0),MATCH(F$3,US_label,0))-E51</f>
        <v>-7.8501545934704139E-2</v>
      </c>
      <c r="G51" s="24"/>
      <c r="H51"/>
      <c r="I51"/>
      <c r="J51"/>
      <c r="K51"/>
      <c r="L51"/>
      <c r="M51"/>
      <c r="N51"/>
      <c r="O51"/>
      <c r="P51"/>
    </row>
    <row r="52" spans="1:16" x14ac:dyDescent="0.25">
      <c r="A52" s="19">
        <v>201901</v>
      </c>
      <c r="B52" s="20">
        <f t="shared" si="17"/>
        <v>8.4000000000000005E-2</v>
      </c>
      <c r="C52" s="20">
        <f t="shared" si="17"/>
        <v>2.8799999999999999E-2</v>
      </c>
      <c r="D52" s="20">
        <f t="shared" si="17"/>
        <v>-4.5000000000000005E-3</v>
      </c>
      <c r="E52" s="20">
        <f t="shared" si="17"/>
        <v>2.0999999999999999E-3</v>
      </c>
      <c r="F52" s="20">
        <f>INDEX(US_data, MATCH($A52,US_time,0),MATCH(F$3,US_label,0))-E52</f>
        <v>0.16556995128658569</v>
      </c>
      <c r="G52" s="24"/>
      <c r="H52"/>
      <c r="I52"/>
      <c r="J52"/>
      <c r="K52"/>
      <c r="L52"/>
      <c r="M52"/>
      <c r="N52"/>
      <c r="O52"/>
      <c r="P52"/>
    </row>
    <row r="53" spans="1:16" x14ac:dyDescent="0.25">
      <c r="A53" s="19">
        <v>201902</v>
      </c>
      <c r="B53" s="20">
        <f t="shared" si="17"/>
        <v>3.4000000000000002E-2</v>
      </c>
      <c r="C53" s="20">
        <f t="shared" si="17"/>
        <v>2.06E-2</v>
      </c>
      <c r="D53" s="20">
        <f t="shared" si="17"/>
        <v>-2.7099999999999999E-2</v>
      </c>
      <c r="E53" s="20">
        <f t="shared" si="17"/>
        <v>1.8E-3</v>
      </c>
      <c r="F53" s="20">
        <f>INDEX(US_data, MATCH($A53,US_time,0),MATCH(F$3,US_label,0))-E53</f>
        <v>2.5426001973755427E-2</v>
      </c>
      <c r="G53" s="24"/>
    </row>
    <row r="54" spans="1:16" x14ac:dyDescent="0.25">
      <c r="A54" s="19">
        <v>201903</v>
      </c>
      <c r="B54" s="20">
        <f t="shared" si="17"/>
        <v>1.1000000000000001E-2</v>
      </c>
      <c r="C54" s="20">
        <f t="shared" si="17"/>
        <v>-3.0499999999999999E-2</v>
      </c>
      <c r="D54" s="20">
        <f t="shared" si="17"/>
        <v>-4.1200000000000001E-2</v>
      </c>
      <c r="E54" s="20">
        <f t="shared" si="17"/>
        <v>1.9E-3</v>
      </c>
      <c r="F54" s="20">
        <f>INDEX(US_data, MATCH($A54,US_time,0),MATCH(F$3,US_label,0))-E54</f>
        <v>3.0957502779691913E-2</v>
      </c>
      <c r="G54" s="24"/>
    </row>
    <row r="55" spans="1:16" x14ac:dyDescent="0.25">
      <c r="A55" s="19">
        <v>201904</v>
      </c>
      <c r="B55" s="20">
        <f t="shared" si="17"/>
        <v>3.9699999999999999E-2</v>
      </c>
      <c r="C55" s="20">
        <f t="shared" si="17"/>
        <v>-1.72E-2</v>
      </c>
      <c r="D55" s="20">
        <f t="shared" si="17"/>
        <v>2.1600000000000001E-2</v>
      </c>
      <c r="E55" s="20">
        <f t="shared" si="17"/>
        <v>2.0999999999999999E-3</v>
      </c>
      <c r="F55" s="20">
        <f>INDEX(US_data, MATCH($A55,US_time,0),MATCH(F$3,US_label,0))-E55</f>
        <v>-7.9996772092512779E-3</v>
      </c>
      <c r="G55" s="24"/>
    </row>
    <row r="56" spans="1:16" x14ac:dyDescent="0.25">
      <c r="A56" s="19">
        <v>201905</v>
      </c>
      <c r="B56" s="20">
        <f t="shared" si="17"/>
        <v>-6.9400000000000003E-2</v>
      </c>
      <c r="C56" s="20">
        <f t="shared" si="17"/>
        <v>-1.3100000000000001E-2</v>
      </c>
      <c r="D56" s="20">
        <f t="shared" si="17"/>
        <v>-2.3700000000000002E-2</v>
      </c>
      <c r="E56" s="20">
        <f t="shared" si="17"/>
        <v>2.0999999999999999E-3</v>
      </c>
      <c r="F56" s="20">
        <f>INDEX(US_data, MATCH($A56,US_time,0),MATCH(F$3,US_label,0))-E56</f>
        <v>-0.10156082191016225</v>
      </c>
      <c r="G56" s="24"/>
    </row>
    <row r="57" spans="1:16" x14ac:dyDescent="0.25">
      <c r="A57" s="19">
        <v>201906</v>
      </c>
      <c r="B57" s="20">
        <f t="shared" si="17"/>
        <v>6.93E-2</v>
      </c>
      <c r="C57" s="20">
        <f t="shared" si="17"/>
        <v>2.8000000000000004E-3</v>
      </c>
      <c r="D57" s="20">
        <f t="shared" si="17"/>
        <v>-6.9999999999999993E-3</v>
      </c>
      <c r="E57" s="20">
        <f t="shared" si="17"/>
        <v>1.8E-3</v>
      </c>
      <c r="F57" s="20">
        <f>INDEX(US_data, MATCH($A57,US_time,0),MATCH(F$3,US_label,0))-E57</f>
        <v>9.2428968105237791E-2</v>
      </c>
      <c r="G57" s="24"/>
    </row>
    <row r="58" spans="1:16" x14ac:dyDescent="0.25">
      <c r="A58" s="19">
        <v>201907</v>
      </c>
      <c r="B58" s="20">
        <f t="shared" si="17"/>
        <v>1.1899999999999999E-2</v>
      </c>
      <c r="C58" s="20">
        <f t="shared" si="17"/>
        <v>-1.9299999999999998E-2</v>
      </c>
      <c r="D58" s="20">
        <f t="shared" si="17"/>
        <v>4.6999999999999993E-3</v>
      </c>
      <c r="E58" s="20">
        <f t="shared" si="17"/>
        <v>1.9E-3</v>
      </c>
      <c r="F58" s="20">
        <f>INDEX(US_data, MATCH($A58,US_time,0),MATCH(F$3,US_label,0))-E58</f>
        <v>7.0403912620351658E-2</v>
      </c>
      <c r="G58" s="24"/>
    </row>
    <row r="59" spans="1:16" x14ac:dyDescent="0.25">
      <c r="A59" s="19">
        <v>201908</v>
      </c>
      <c r="B59" s="20">
        <f t="shared" si="17"/>
        <v>-2.58E-2</v>
      </c>
      <c r="C59" s="20">
        <f t="shared" si="17"/>
        <v>-2.3900000000000001E-2</v>
      </c>
      <c r="D59" s="20">
        <f t="shared" si="17"/>
        <v>-4.7899999999999998E-2</v>
      </c>
      <c r="E59" s="20">
        <f t="shared" si="17"/>
        <v>1.6000000000000001E-3</v>
      </c>
      <c r="F59" s="20">
        <f>INDEX(US_data, MATCH($A59,US_time,0),MATCH(F$3,US_label,0))-E59</f>
        <v>-9.1239658569007745E-2</v>
      </c>
      <c r="G59" s="24"/>
    </row>
    <row r="60" spans="1:16" x14ac:dyDescent="0.25">
      <c r="A60" s="19">
        <v>201909</v>
      </c>
      <c r="B60" s="20">
        <f t="shared" si="17"/>
        <v>1.43E-2</v>
      </c>
      <c r="C60" s="20">
        <f t="shared" si="17"/>
        <v>-9.7000000000000003E-3</v>
      </c>
      <c r="D60" s="20">
        <f t="shared" si="17"/>
        <v>6.7699999999999996E-2</v>
      </c>
      <c r="E60" s="20">
        <f t="shared" si="17"/>
        <v>1.8E-3</v>
      </c>
      <c r="F60" s="20">
        <f>INDEX(US_data, MATCH($A60,US_time,0),MATCH(F$3,US_label,0))-E60</f>
        <v>8.0346703461285987E-2</v>
      </c>
      <c r="G60" s="24"/>
    </row>
    <row r="61" spans="1:16" x14ac:dyDescent="0.25">
      <c r="A61" s="19">
        <v>201910</v>
      </c>
      <c r="B61" s="20">
        <f t="shared" si="17"/>
        <v>2.06E-2</v>
      </c>
      <c r="C61" s="20">
        <f t="shared" si="17"/>
        <v>2.8999999999999998E-3</v>
      </c>
      <c r="D61" s="20">
        <f t="shared" si="17"/>
        <v>-1.9E-2</v>
      </c>
      <c r="E61" s="20">
        <f t="shared" si="17"/>
        <v>1.6000000000000001E-3</v>
      </c>
      <c r="F61" s="20">
        <f>INDEX(US_data, MATCH($A61,US_time,0),MATCH(F$3,US_label,0))-E61</f>
        <v>-8.5403099966819732E-2</v>
      </c>
      <c r="G61" s="24"/>
    </row>
    <row r="62" spans="1:16" x14ac:dyDescent="0.25">
      <c r="A62" s="19">
        <v>201911</v>
      </c>
      <c r="B62" s="20">
        <f t="shared" si="17"/>
        <v>3.8800000000000001E-2</v>
      </c>
      <c r="C62" s="20">
        <f t="shared" si="17"/>
        <v>7.8000000000000005E-3</v>
      </c>
      <c r="D62" s="20">
        <f t="shared" si="17"/>
        <v>-1.9900000000000001E-2</v>
      </c>
      <c r="E62" s="20">
        <f t="shared" si="17"/>
        <v>1.1999999999999999E-3</v>
      </c>
      <c r="F62" s="20">
        <f>INDEX(US_data, MATCH($A62,US_time,0),MATCH(F$3,US_label,0))-E62</f>
        <v>4.1695875682658153E-3</v>
      </c>
      <c r="G62" s="24"/>
    </row>
    <row r="63" spans="1:16" x14ac:dyDescent="0.25">
      <c r="A63" s="19">
        <v>201912</v>
      </c>
      <c r="B63" s="20">
        <f t="shared" si="17"/>
        <v>2.7699999999999999E-2</v>
      </c>
      <c r="C63" s="20">
        <f t="shared" si="17"/>
        <v>7.3000000000000001E-3</v>
      </c>
      <c r="D63" s="20">
        <f t="shared" si="17"/>
        <v>1.78E-2</v>
      </c>
      <c r="E63" s="20">
        <f t="shared" si="17"/>
        <v>1.4000000000000002E-3</v>
      </c>
      <c r="F63" s="20">
        <f>INDEX(US_data, MATCH($A63,US_time,0),MATCH(F$3,US_label,0))-E63</f>
        <v>7.287758110246071E-3</v>
      </c>
      <c r="G63" s="24"/>
    </row>
    <row r="64" spans="1:16" x14ac:dyDescent="0.25">
      <c r="A64" s="19">
        <v>202001</v>
      </c>
      <c r="B64" s="20">
        <f t="shared" ref="B64:E83" si="18">INDEX(FF3_data, MATCH($A64,FF3_time,0),MATCH(B$3,FF3_label,0))/100</f>
        <v>-1.1000000000000001E-3</v>
      </c>
      <c r="C64" s="20">
        <f t="shared" si="18"/>
        <v>-3.1300000000000001E-2</v>
      </c>
      <c r="D64" s="20">
        <f t="shared" si="18"/>
        <v>-6.25E-2</v>
      </c>
      <c r="E64" s="20">
        <f t="shared" si="18"/>
        <v>1.2999999999999999E-3</v>
      </c>
      <c r="F64" s="20">
        <f>INDEX(US_data, MATCH($A64,US_time,0),MATCH(F$3,US_label,0))-E64</f>
        <v>6.8498159092225078E-2</v>
      </c>
      <c r="G64" s="24"/>
    </row>
    <row r="65" spans="1:7" x14ac:dyDescent="0.25">
      <c r="A65" s="19">
        <v>202002</v>
      </c>
      <c r="B65" s="20">
        <f t="shared" si="18"/>
        <v>-8.1300000000000011E-2</v>
      </c>
      <c r="C65" s="20">
        <f t="shared" si="18"/>
        <v>1.0700000000000001E-2</v>
      </c>
      <c r="D65" s="20">
        <f t="shared" si="18"/>
        <v>-3.7999999999999999E-2</v>
      </c>
      <c r="E65" s="20">
        <f t="shared" si="18"/>
        <v>1.1999999999999999E-3</v>
      </c>
      <c r="F65" s="20">
        <f>INDEX(US_data, MATCH($A65,US_time,0),MATCH(F$3,US_label,0))-E65</f>
        <v>-0.1004489526783631</v>
      </c>
      <c r="G65" s="24"/>
    </row>
    <row r="66" spans="1:7" x14ac:dyDescent="0.25">
      <c r="A66" s="19">
        <v>202003</v>
      </c>
      <c r="B66" s="20">
        <f t="shared" si="18"/>
        <v>-0.13390000000000002</v>
      </c>
      <c r="C66" s="20">
        <f t="shared" si="18"/>
        <v>-4.7899999999999998E-2</v>
      </c>
      <c r="D66" s="20">
        <f t="shared" si="18"/>
        <v>-0.13880000000000001</v>
      </c>
      <c r="E66" s="20">
        <f t="shared" si="18"/>
        <v>1.2999999999999999E-3</v>
      </c>
      <c r="F66" s="20">
        <f>INDEX(US_data, MATCH($A66,US_time,0),MATCH(F$3,US_label,0))-E66</f>
        <v>-0.15070028415651587</v>
      </c>
      <c r="G66" s="24"/>
    </row>
    <row r="67" spans="1:7" x14ac:dyDescent="0.25">
      <c r="A67" s="19">
        <v>202004</v>
      </c>
      <c r="B67" s="20">
        <f t="shared" si="18"/>
        <v>0.13650000000000001</v>
      </c>
      <c r="C67" s="20">
        <f t="shared" si="18"/>
        <v>2.4500000000000001E-2</v>
      </c>
      <c r="D67" s="20">
        <f t="shared" si="18"/>
        <v>-1.34E-2</v>
      </c>
      <c r="E67" s="20">
        <f t="shared" si="18"/>
        <v>0</v>
      </c>
      <c r="F67" s="20">
        <f>INDEX(US_data, MATCH($A67,US_time,0),MATCH(F$3,US_label,0))-E67</f>
        <v>0.12388450157262576</v>
      </c>
      <c r="G67" s="24"/>
    </row>
    <row r="68" spans="1:7" x14ac:dyDescent="0.25">
      <c r="A68" s="19">
        <v>202005</v>
      </c>
      <c r="B68" s="20">
        <f t="shared" si="18"/>
        <v>5.5800000000000002E-2</v>
      </c>
      <c r="C68" s="20">
        <f t="shared" si="18"/>
        <v>2.4900000000000002E-2</v>
      </c>
      <c r="D68" s="20">
        <f t="shared" si="18"/>
        <v>-4.8499999999999995E-2</v>
      </c>
      <c r="E68" s="20">
        <f t="shared" si="18"/>
        <v>1E-4</v>
      </c>
      <c r="F68" s="20">
        <f>INDEX(US_data, MATCH($A68,US_time,0),MATCH(F$3,US_label,0))-E68</f>
        <v>-5.37043163036498E-3</v>
      </c>
      <c r="G68" s="24"/>
    </row>
    <row r="69" spans="1:7" x14ac:dyDescent="0.25">
      <c r="A69" s="19">
        <v>202006</v>
      </c>
      <c r="B69" s="20">
        <f t="shared" si="18"/>
        <v>2.46E-2</v>
      </c>
      <c r="C69" s="20">
        <f t="shared" si="18"/>
        <v>2.69E-2</v>
      </c>
      <c r="D69" s="20">
        <f t="shared" si="18"/>
        <v>-2.23E-2</v>
      </c>
      <c r="E69" s="20">
        <f t="shared" si="18"/>
        <v>1E-4</v>
      </c>
      <c r="F69" s="20">
        <f>INDEX(US_data, MATCH($A69,US_time,0),MATCH(F$3,US_label,0))-E69</f>
        <v>-2.0403356514762126E-2</v>
      </c>
      <c r="G69" s="24"/>
    </row>
    <row r="70" spans="1:7" x14ac:dyDescent="0.25">
      <c r="A70" s="19">
        <v>202007</v>
      </c>
      <c r="B70" s="20">
        <f t="shared" si="18"/>
        <v>5.7699999999999994E-2</v>
      </c>
      <c r="C70" s="20">
        <f t="shared" si="18"/>
        <v>-2.3E-2</v>
      </c>
      <c r="D70" s="20">
        <f t="shared" si="18"/>
        <v>-1.44E-2</v>
      </c>
      <c r="E70" s="20">
        <f t="shared" si="18"/>
        <v>1E-4</v>
      </c>
      <c r="F70" s="20">
        <f>INDEX(US_data, MATCH($A70,US_time,0),MATCH(F$3,US_label,0))-E70</f>
        <v>1.7708601682723365E-2</v>
      </c>
      <c r="G70" s="24"/>
    </row>
    <row r="71" spans="1:7" x14ac:dyDescent="0.25">
      <c r="A71" s="19">
        <v>202008</v>
      </c>
      <c r="B71" s="20">
        <f t="shared" si="18"/>
        <v>7.6299999999999993E-2</v>
      </c>
      <c r="C71" s="20">
        <f t="shared" si="18"/>
        <v>-2.8000000000000004E-3</v>
      </c>
      <c r="D71" s="20">
        <f t="shared" si="18"/>
        <v>-2.8799999999999999E-2</v>
      </c>
      <c r="E71" s="20">
        <f t="shared" si="18"/>
        <v>1E-4</v>
      </c>
      <c r="F71" s="20">
        <f>INDEX(US_data, MATCH($A71,US_time,0),MATCH(F$3,US_label,0))-E71</f>
        <v>2.9050023131321117E-3</v>
      </c>
      <c r="G71" s="24"/>
    </row>
    <row r="72" spans="1:7" x14ac:dyDescent="0.25">
      <c r="A72" s="19">
        <v>202009</v>
      </c>
      <c r="B72" s="20">
        <f t="shared" si="18"/>
        <v>-3.6299999999999999E-2</v>
      </c>
      <c r="C72" s="20">
        <f t="shared" si="18"/>
        <v>-2.9999999999999997E-4</v>
      </c>
      <c r="D72" s="20">
        <f t="shared" si="18"/>
        <v>-2.6499999999999999E-2</v>
      </c>
      <c r="E72" s="20">
        <f t="shared" si="18"/>
        <v>1E-4</v>
      </c>
      <c r="F72" s="20">
        <f>INDEX(US_data, MATCH($A72,US_time,0),MATCH(F$3,US_label,0))-E72</f>
        <v>-4.8061320618787164E-4</v>
      </c>
      <c r="G72" s="24"/>
    </row>
    <row r="73" spans="1:7" x14ac:dyDescent="0.25">
      <c r="A73" s="19">
        <v>202010</v>
      </c>
      <c r="B73" s="20">
        <f t="shared" si="18"/>
        <v>-2.1000000000000001E-2</v>
      </c>
      <c r="C73" s="20">
        <f t="shared" si="18"/>
        <v>4.2699999999999995E-2</v>
      </c>
      <c r="D73" s="20">
        <f t="shared" si="18"/>
        <v>4.3099999999999999E-2</v>
      </c>
      <c r="E73" s="20">
        <f t="shared" si="18"/>
        <v>1E-4</v>
      </c>
      <c r="F73" s="20">
        <f>INDEX(US_data, MATCH($A73,US_time,0),MATCH(F$3,US_label,0))-E73</f>
        <v>-8.5953912875948807E-2</v>
      </c>
      <c r="G73" s="24"/>
    </row>
    <row r="74" spans="1:7" x14ac:dyDescent="0.25">
      <c r="A74" s="19">
        <v>202011</v>
      </c>
      <c r="B74" s="20">
        <f t="shared" si="18"/>
        <v>0.12470000000000001</v>
      </c>
      <c r="C74" s="20">
        <f t="shared" si="18"/>
        <v>5.7200000000000001E-2</v>
      </c>
      <c r="D74" s="20">
        <f t="shared" si="18"/>
        <v>2.1499999999999998E-2</v>
      </c>
      <c r="E74" s="20">
        <f t="shared" si="18"/>
        <v>1E-4</v>
      </c>
      <c r="F74" s="20">
        <f>INDEX(US_data, MATCH($A74,US_time,0),MATCH(F$3,US_label,0))-E74</f>
        <v>0.10084449363971612</v>
      </c>
      <c r="G74" s="24"/>
    </row>
    <row r="75" spans="1:7" x14ac:dyDescent="0.25">
      <c r="A75" s="19">
        <v>202012</v>
      </c>
      <c r="B75" s="20">
        <f t="shared" si="18"/>
        <v>4.6300000000000001E-2</v>
      </c>
      <c r="C75" s="20">
        <f t="shared" si="18"/>
        <v>4.7899999999999998E-2</v>
      </c>
      <c r="D75" s="20">
        <f t="shared" si="18"/>
        <v>-1.34E-2</v>
      </c>
      <c r="E75" s="20">
        <f t="shared" si="18"/>
        <v>1E-4</v>
      </c>
      <c r="F75" s="20">
        <f>INDEX(US_data, MATCH($A75,US_time,0),MATCH(F$3,US_label,0))-E75</f>
        <v>3.3222352756477322E-2</v>
      </c>
      <c r="G75" s="24"/>
    </row>
    <row r="76" spans="1:7" x14ac:dyDescent="0.25">
      <c r="A76" s="19">
        <v>202101</v>
      </c>
      <c r="B76" s="20">
        <f t="shared" si="18"/>
        <v>-2.9999999999999997E-4</v>
      </c>
      <c r="C76" s="20">
        <f t="shared" si="18"/>
        <v>7.4999999999999997E-2</v>
      </c>
      <c r="D76" s="20">
        <f t="shared" si="18"/>
        <v>2.8500000000000001E-2</v>
      </c>
      <c r="E76" s="20">
        <f t="shared" si="18"/>
        <v>1E-4</v>
      </c>
      <c r="F76" s="20">
        <f>INDEX(US_data, MATCH($A76,US_time,0),MATCH(F$3,US_label,0))-E76</f>
        <v>-5.53815822379016E-2</v>
      </c>
      <c r="G76" s="24"/>
    </row>
    <row r="77" spans="1:7" x14ac:dyDescent="0.25">
      <c r="A77" s="19">
        <v>202102</v>
      </c>
      <c r="B77" s="20">
        <f t="shared" si="18"/>
        <v>2.7799999999999998E-2</v>
      </c>
      <c r="C77" s="20">
        <f t="shared" si="18"/>
        <v>2.07E-2</v>
      </c>
      <c r="D77" s="20">
        <f t="shared" si="18"/>
        <v>7.0999999999999994E-2</v>
      </c>
      <c r="E77" s="20">
        <f t="shared" si="18"/>
        <v>0</v>
      </c>
      <c r="F77" s="20">
        <f>INDEX(US_data, MATCH($A77,US_time,0),MATCH(F$3,US_label,0))-E77</f>
        <v>-1.5123040532184463E-3</v>
      </c>
      <c r="G77" s="24"/>
    </row>
    <row r="78" spans="1:7" x14ac:dyDescent="0.25">
      <c r="A78" s="19">
        <v>202103</v>
      </c>
      <c r="B78" s="20">
        <f t="shared" si="18"/>
        <v>3.0800000000000001E-2</v>
      </c>
      <c r="C78" s="20">
        <f t="shared" si="18"/>
        <v>-2.2799999999999997E-2</v>
      </c>
      <c r="D78" s="20">
        <f t="shared" si="18"/>
        <v>7.2700000000000001E-2</v>
      </c>
      <c r="E78" s="20">
        <f t="shared" si="18"/>
        <v>0</v>
      </c>
      <c r="F78" s="20">
        <f>INDEX(US_data, MATCH($A78,US_time,0),MATCH(F$3,US_label,0))-E78</f>
        <v>0.12704125081350867</v>
      </c>
      <c r="G78" s="24"/>
    </row>
    <row r="79" spans="1:7" x14ac:dyDescent="0.25">
      <c r="A79" s="19">
        <v>202104</v>
      </c>
      <c r="B79" s="20">
        <f t="shared" si="18"/>
        <v>4.9299999999999997E-2</v>
      </c>
      <c r="C79" s="20">
        <f t="shared" si="18"/>
        <v>-3.2000000000000001E-2</v>
      </c>
      <c r="D79" s="20">
        <f t="shared" si="18"/>
        <v>-9.4999999999999998E-3</v>
      </c>
      <c r="E79" s="20">
        <f t="shared" si="18"/>
        <v>0</v>
      </c>
      <c r="F79" s="20">
        <f>INDEX(US_data, MATCH($A79,US_time,0),MATCH(F$3,US_label,0))-E79</f>
        <v>6.2679440534705297E-2</v>
      </c>
      <c r="G79" s="24"/>
    </row>
    <row r="80" spans="1:7" x14ac:dyDescent="0.25">
      <c r="A80" s="19">
        <v>202105</v>
      </c>
      <c r="B80" s="20">
        <f t="shared" si="18"/>
        <v>2.8999999999999998E-3</v>
      </c>
      <c r="C80" s="20">
        <f t="shared" si="18"/>
        <v>-2.7000000000000001E-3</v>
      </c>
      <c r="D80" s="20">
        <f t="shared" si="18"/>
        <v>7.1300000000000002E-2</v>
      </c>
      <c r="E80" s="20">
        <f t="shared" si="18"/>
        <v>0</v>
      </c>
      <c r="F80" s="20">
        <f>INDEX(US_data, MATCH($A80,US_time,0),MATCH(F$3,US_label,0))-E80</f>
        <v>1.3024521070768335E-2</v>
      </c>
      <c r="G80" s="24"/>
    </row>
    <row r="81" spans="1:7" x14ac:dyDescent="0.25">
      <c r="A81" s="19">
        <v>202106</v>
      </c>
      <c r="B81" s="20">
        <f t="shared" si="18"/>
        <v>2.75E-2</v>
      </c>
      <c r="C81" s="20">
        <f t="shared" si="18"/>
        <v>1.6E-2</v>
      </c>
      <c r="D81" s="20">
        <f t="shared" si="18"/>
        <v>-7.7499999999999999E-2</v>
      </c>
      <c r="E81" s="20">
        <f t="shared" si="18"/>
        <v>0</v>
      </c>
      <c r="F81" s="20">
        <f>INDEX(US_data, MATCH($A81,US_time,0),MATCH(F$3,US_label,0))-E81</f>
        <v>3.074468462165382E-2</v>
      </c>
      <c r="G81" s="24"/>
    </row>
    <row r="82" spans="1:7" x14ac:dyDescent="0.25">
      <c r="A82" s="19">
        <v>202107</v>
      </c>
      <c r="B82" s="20">
        <f t="shared" si="18"/>
        <v>1.2699999999999999E-2</v>
      </c>
      <c r="C82" s="20">
        <f t="shared" si="18"/>
        <v>-3.9399999999999998E-2</v>
      </c>
      <c r="D82" s="20">
        <f t="shared" si="18"/>
        <v>-1.8100000000000002E-2</v>
      </c>
      <c r="E82" s="20">
        <f t="shared" si="18"/>
        <v>0</v>
      </c>
      <c r="F82" s="20">
        <f>INDEX(US_data, MATCH($A82,US_time,0),MATCH(F$3,US_label,0))-E82</f>
        <v>-3.9163300209937038E-2</v>
      </c>
      <c r="G82" s="24"/>
    </row>
    <row r="83" spans="1:7" x14ac:dyDescent="0.25">
      <c r="A83" s="19">
        <v>202108</v>
      </c>
      <c r="B83" s="20">
        <f t="shared" si="18"/>
        <v>2.9100000000000001E-2</v>
      </c>
      <c r="C83" s="20">
        <f t="shared" si="18"/>
        <v>-4.5999999999999999E-3</v>
      </c>
      <c r="D83" s="20">
        <f t="shared" si="18"/>
        <v>-1E-3</v>
      </c>
      <c r="E83" s="20">
        <f t="shared" si="18"/>
        <v>0</v>
      </c>
      <c r="F83" s="20">
        <f>INDEX(US_data, MATCH($A83,US_time,0),MATCH(F$3,US_label,0))-E83</f>
        <v>-4.4079589874793977E-3</v>
      </c>
      <c r="G83" s="24"/>
    </row>
    <row r="84" spans="1:7" x14ac:dyDescent="0.25">
      <c r="A84" s="19">
        <v>202109</v>
      </c>
      <c r="B84" s="20">
        <f t="shared" ref="B84:E103" si="19">INDEX(FF3_data, MATCH($A84,FF3_time,0),MATCH(B$3,FF3_label,0))/100</f>
        <v>-4.3700000000000003E-2</v>
      </c>
      <c r="C84" s="20">
        <f t="shared" si="19"/>
        <v>6.7000000000000002E-3</v>
      </c>
      <c r="D84" s="20">
        <f t="shared" si="19"/>
        <v>5.0999999999999997E-2</v>
      </c>
      <c r="E84" s="20">
        <f t="shared" si="19"/>
        <v>0</v>
      </c>
      <c r="F84" s="20">
        <f>INDEX(US_data, MATCH($A84,US_time,0),MATCH(F$3,US_label,0))-E84</f>
        <v>1.3490783384580282E-3</v>
      </c>
      <c r="G84" s="24"/>
    </row>
    <row r="85" spans="1:7" x14ac:dyDescent="0.25">
      <c r="A85" s="19">
        <v>202110</v>
      </c>
      <c r="B85" s="20">
        <f t="shared" si="19"/>
        <v>6.6500000000000004E-2</v>
      </c>
      <c r="C85" s="20">
        <f t="shared" si="19"/>
        <v>-2.3700000000000002E-2</v>
      </c>
      <c r="D85" s="20">
        <f t="shared" si="19"/>
        <v>-4.5000000000000005E-3</v>
      </c>
      <c r="E85" s="20">
        <f t="shared" si="19"/>
        <v>0</v>
      </c>
      <c r="F85" s="20">
        <f>INDEX(US_data, MATCH($A85,US_time,0),MATCH(F$3,US_label,0))-E85</f>
        <v>-0.10485689361100584</v>
      </c>
      <c r="G85" s="24"/>
    </row>
    <row r="86" spans="1:7" x14ac:dyDescent="0.25">
      <c r="A86" s="19">
        <v>202111</v>
      </c>
      <c r="B86" s="20">
        <f t="shared" si="19"/>
        <v>-1.55E-2</v>
      </c>
      <c r="C86" s="20">
        <f t="shared" si="19"/>
        <v>-1.32E-2</v>
      </c>
      <c r="D86" s="20">
        <f t="shared" si="19"/>
        <v>-4.0999999999999995E-3</v>
      </c>
      <c r="E86" s="20">
        <f t="shared" si="19"/>
        <v>0</v>
      </c>
      <c r="F86" s="20">
        <f>INDEX(US_data, MATCH($A86,US_time,0),MATCH(F$3,US_label,0))-E86</f>
        <v>-2.111167550217187E-2</v>
      </c>
      <c r="G86" s="24"/>
    </row>
    <row r="87" spans="1:7" x14ac:dyDescent="0.25">
      <c r="A87" s="19">
        <v>202112</v>
      </c>
      <c r="B87" s="20">
        <f t="shared" si="19"/>
        <v>3.1E-2</v>
      </c>
      <c r="C87" s="20">
        <f t="shared" si="19"/>
        <v>-1.6399999999999998E-2</v>
      </c>
      <c r="D87" s="20">
        <f t="shared" si="19"/>
        <v>3.2199999999999999E-2</v>
      </c>
      <c r="E87" s="20">
        <f t="shared" si="19"/>
        <v>1E-4</v>
      </c>
      <c r="F87" s="20">
        <f>INDEX(US_data, MATCH($A87,US_time,0),MATCH(F$3,US_label,0))-E87</f>
        <v>0.14542687496092574</v>
      </c>
      <c r="G87" s="24"/>
    </row>
    <row r="88" spans="1:7" x14ac:dyDescent="0.25">
      <c r="A88" s="19">
        <v>202201</v>
      </c>
      <c r="B88" s="20">
        <f t="shared" si="19"/>
        <v>-6.25E-2</v>
      </c>
      <c r="C88" s="20">
        <f t="shared" si="19"/>
        <v>-5.96E-2</v>
      </c>
      <c r="D88" s="20">
        <f t="shared" si="19"/>
        <v>0.128</v>
      </c>
      <c r="E88" s="20">
        <f t="shared" si="19"/>
        <v>0</v>
      </c>
      <c r="F88" s="20">
        <f>INDEX(US_data, MATCH($A88,US_time,0),MATCH(F$3,US_label,0))-E88</f>
        <v>-6.7335735213361564E-4</v>
      </c>
      <c r="G88" s="24"/>
    </row>
    <row r="89" spans="1:7" x14ac:dyDescent="0.25">
      <c r="A89" s="19">
        <v>202202</v>
      </c>
      <c r="B89" s="20">
        <f t="shared" si="19"/>
        <v>-2.29E-2</v>
      </c>
      <c r="C89" s="20">
        <f t="shared" si="19"/>
        <v>2.1899999999999999E-2</v>
      </c>
      <c r="D89" s="20">
        <f t="shared" si="19"/>
        <v>3.1E-2</v>
      </c>
      <c r="E89" s="20">
        <f t="shared" si="19"/>
        <v>0</v>
      </c>
      <c r="F89" s="20">
        <f>INDEX(US_data, MATCH($A89,US_time,0),MATCH(F$3,US_label,0))-E89</f>
        <v>-8.6433207741743318E-2</v>
      </c>
      <c r="G89" s="24"/>
    </row>
    <row r="90" spans="1:7" x14ac:dyDescent="0.25">
      <c r="A90" s="19">
        <v>202203</v>
      </c>
      <c r="B90" s="20">
        <f t="shared" si="19"/>
        <v>3.0600000000000002E-2</v>
      </c>
      <c r="C90" s="20">
        <f t="shared" si="19"/>
        <v>-1.66E-2</v>
      </c>
      <c r="D90" s="20">
        <f t="shared" si="19"/>
        <v>-1.7600000000000001E-2</v>
      </c>
      <c r="E90" s="20">
        <f t="shared" si="19"/>
        <v>1E-4</v>
      </c>
      <c r="F90" s="20">
        <f>INDEX(US_data, MATCH($A90,US_time,0),MATCH(F$3,US_label,0))-E90</f>
        <v>7.1369148290650941E-2</v>
      </c>
      <c r="G90" s="24"/>
    </row>
    <row r="91" spans="1:7" x14ac:dyDescent="0.25">
      <c r="A91" s="19">
        <v>202204</v>
      </c>
      <c r="B91" s="20">
        <f t="shared" si="19"/>
        <v>-9.4600000000000004E-2</v>
      </c>
      <c r="C91" s="20">
        <f t="shared" si="19"/>
        <v>-1.38E-2</v>
      </c>
      <c r="D91" s="20">
        <f t="shared" si="19"/>
        <v>6.1699999999999998E-2</v>
      </c>
      <c r="E91" s="20">
        <f t="shared" si="19"/>
        <v>1E-4</v>
      </c>
      <c r="F91" s="20">
        <f>INDEX(US_data, MATCH($A91,US_time,0),MATCH(F$3,US_label,0))-E91</f>
        <v>1.6603480423180168E-2</v>
      </c>
      <c r="G91" s="24"/>
    </row>
    <row r="92" spans="1:7" x14ac:dyDescent="0.25">
      <c r="A92" s="19">
        <v>202205</v>
      </c>
      <c r="B92" s="20">
        <f t="shared" si="19"/>
        <v>-3.4000000000000002E-3</v>
      </c>
      <c r="C92" s="20">
        <f t="shared" si="19"/>
        <v>-1.9599999999999999E-2</v>
      </c>
      <c r="D92" s="20">
        <f t="shared" si="19"/>
        <v>8.5900000000000004E-2</v>
      </c>
      <c r="E92" s="20">
        <f t="shared" si="19"/>
        <v>2.9999999999999997E-4</v>
      </c>
      <c r="F92" s="20">
        <f>INDEX(US_data, MATCH($A92,US_time,0),MATCH(F$3,US_label,0))-E92</f>
        <v>4.8630367631101526E-2</v>
      </c>
      <c r="G92" s="24"/>
    </row>
    <row r="93" spans="1:7" x14ac:dyDescent="0.25">
      <c r="A93" s="19">
        <v>202206</v>
      </c>
      <c r="B93" s="20">
        <f t="shared" si="19"/>
        <v>-8.4399999999999989E-2</v>
      </c>
      <c r="C93" s="20">
        <f t="shared" si="19"/>
        <v>2.18E-2</v>
      </c>
      <c r="D93" s="20">
        <f t="shared" si="19"/>
        <v>-6.0999999999999999E-2</v>
      </c>
      <c r="E93" s="20">
        <f t="shared" si="19"/>
        <v>5.9999999999999995E-4</v>
      </c>
      <c r="F93" s="20">
        <f>INDEX(US_data, MATCH($A93,US_time,0),MATCH(F$3,US_label,0))-E93</f>
        <v>2.82420339280854E-2</v>
      </c>
      <c r="G93" s="24"/>
    </row>
    <row r="94" spans="1:7" x14ac:dyDescent="0.25">
      <c r="A94" s="19">
        <v>202207</v>
      </c>
      <c r="B94" s="20">
        <f t="shared" si="19"/>
        <v>9.5700000000000007E-2</v>
      </c>
      <c r="C94" s="20">
        <f t="shared" si="19"/>
        <v>2.7999999999999997E-2</v>
      </c>
      <c r="D94" s="20">
        <f t="shared" si="19"/>
        <v>-4.0300000000000002E-2</v>
      </c>
      <c r="E94" s="20">
        <f t="shared" si="19"/>
        <v>8.0000000000000004E-4</v>
      </c>
      <c r="F94" s="20">
        <f>INDEX(US_data, MATCH($A94,US_time,0),MATCH(F$3,US_label,0))-E94</f>
        <v>-7.7313614712587173E-2</v>
      </c>
      <c r="G94" s="24"/>
    </row>
    <row r="95" spans="1:7" x14ac:dyDescent="0.25">
      <c r="A95" s="19">
        <v>202208</v>
      </c>
      <c r="B95" s="20">
        <f t="shared" si="19"/>
        <v>-3.7699999999999997E-2</v>
      </c>
      <c r="C95" s="20">
        <f t="shared" si="19"/>
        <v>1.3999999999999999E-2</v>
      </c>
      <c r="D95" s="20">
        <f t="shared" si="19"/>
        <v>2.8999999999999998E-3</v>
      </c>
      <c r="E95" s="20">
        <f t="shared" si="19"/>
        <v>1.9E-3</v>
      </c>
      <c r="F95" s="20">
        <f>INDEX(US_data, MATCH($A95,US_time,0),MATCH(F$3,US_label,0))-E95</f>
        <v>-1.9953219013878937E-2</v>
      </c>
      <c r="G95" s="24"/>
    </row>
    <row r="96" spans="1:7" x14ac:dyDescent="0.25">
      <c r="A96" s="19">
        <v>202209</v>
      </c>
      <c r="B96" s="20">
        <f t="shared" si="19"/>
        <v>-9.35E-2</v>
      </c>
      <c r="C96" s="20">
        <f t="shared" si="19"/>
        <v>-8.199999999999999E-3</v>
      </c>
      <c r="D96" s="20">
        <f t="shared" si="19"/>
        <v>2.0000000000000001E-4</v>
      </c>
      <c r="E96" s="20">
        <f t="shared" si="19"/>
        <v>1.9E-3</v>
      </c>
      <c r="F96" s="20">
        <f>INDEX(US_data, MATCH($A96,US_time,0),MATCH(F$3,US_label,0))-E96</f>
        <v>-6.7393554002846481E-2</v>
      </c>
      <c r="G96" s="24"/>
    </row>
    <row r="97" spans="1:7" x14ac:dyDescent="0.25">
      <c r="A97" s="19">
        <v>202210</v>
      </c>
      <c r="B97" s="20">
        <f t="shared" si="19"/>
        <v>7.8299999999999995E-2</v>
      </c>
      <c r="C97" s="20">
        <f t="shared" si="19"/>
        <v>7.000000000000001E-4</v>
      </c>
      <c r="D97" s="20">
        <f t="shared" si="19"/>
        <v>8.0600000000000005E-2</v>
      </c>
      <c r="E97" s="20">
        <f t="shared" si="19"/>
        <v>2.3E-3</v>
      </c>
      <c r="F97" s="20">
        <f>INDEX(US_data, MATCH($A97,US_time,0),MATCH(F$3,US_label,0))-E97</f>
        <v>0.14952738005273059</v>
      </c>
      <c r="G97" s="24"/>
    </row>
    <row r="98" spans="1:7" x14ac:dyDescent="0.25">
      <c r="A98" s="19">
        <v>202211</v>
      </c>
      <c r="B98" s="20">
        <f t="shared" si="19"/>
        <v>4.6100000000000002E-2</v>
      </c>
      <c r="C98" s="20">
        <f t="shared" si="19"/>
        <v>-3.5099999999999999E-2</v>
      </c>
      <c r="D98" s="20">
        <f t="shared" si="19"/>
        <v>1.41E-2</v>
      </c>
      <c r="E98" s="20">
        <f t="shared" si="19"/>
        <v>2.8999999999999998E-3</v>
      </c>
      <c r="F98" s="20">
        <f>INDEX(US_data, MATCH($A98,US_time,0),MATCH(F$3,US_label,0))-E98</f>
        <v>7.1021914255802926E-2</v>
      </c>
      <c r="G98" s="24"/>
    </row>
    <row r="99" spans="1:7" x14ac:dyDescent="0.25">
      <c r="A99" s="19">
        <v>202212</v>
      </c>
      <c r="B99" s="20">
        <f t="shared" si="19"/>
        <v>-6.4100000000000004E-2</v>
      </c>
      <c r="C99" s="20">
        <f t="shared" si="19"/>
        <v>-6.8999999999999999E-3</v>
      </c>
      <c r="D99" s="20">
        <f t="shared" si="19"/>
        <v>1.34E-2</v>
      </c>
      <c r="E99" s="20">
        <f t="shared" si="19"/>
        <v>3.3E-3</v>
      </c>
      <c r="F99" s="20">
        <f>INDEX(US_data, MATCH($A99,US_time,0),MATCH(F$3,US_label,0))-E99</f>
        <v>-4.674310485484038E-2</v>
      </c>
      <c r="G99" s="24"/>
    </row>
    <row r="100" spans="1:7" x14ac:dyDescent="0.25">
      <c r="A100" s="19">
        <v>202301</v>
      </c>
      <c r="B100" s="20">
        <f t="shared" si="19"/>
        <v>6.6400000000000001E-2</v>
      </c>
      <c r="C100" s="20">
        <f t="shared" si="19"/>
        <v>5.0099999999999999E-2</v>
      </c>
      <c r="D100" s="20">
        <f t="shared" si="19"/>
        <v>-0.04</v>
      </c>
      <c r="E100" s="20">
        <f t="shared" si="19"/>
        <v>3.4999999999999996E-3</v>
      </c>
      <c r="F100" s="20">
        <f>INDEX(US_data, MATCH($A100,US_time,0),MATCH(F$3,US_label,0))-E100</f>
        <v>-4.8206695879808609E-2</v>
      </c>
      <c r="G100" s="24"/>
    </row>
    <row r="101" spans="1:7" x14ac:dyDescent="0.25">
      <c r="A101" s="19">
        <v>202302</v>
      </c>
      <c r="B101" s="20">
        <f t="shared" si="19"/>
        <v>-2.5899999999999999E-2</v>
      </c>
      <c r="C101" s="20">
        <f t="shared" si="19"/>
        <v>1.1699999999999999E-2</v>
      </c>
      <c r="D101" s="20">
        <f t="shared" si="19"/>
        <v>-8.3000000000000001E-3</v>
      </c>
      <c r="E101" s="20">
        <f t="shared" si="19"/>
        <v>3.4000000000000002E-3</v>
      </c>
      <c r="F101" s="20">
        <f>INDEX(US_data, MATCH($A101,US_time,0),MATCH(F$3,US_label,0))-E101</f>
        <v>-4.4537442232209526E-2</v>
      </c>
      <c r="G101" s="24"/>
    </row>
    <row r="102" spans="1:7" x14ac:dyDescent="0.25">
      <c r="A102" s="19">
        <v>202303</v>
      </c>
      <c r="B102" s="20">
        <f t="shared" si="19"/>
        <v>2.5099999999999997E-2</v>
      </c>
      <c r="C102" s="20">
        <f t="shared" si="19"/>
        <v>-5.5099999999999996E-2</v>
      </c>
      <c r="D102" s="20">
        <f t="shared" si="19"/>
        <v>-8.8699999999999987E-2</v>
      </c>
      <c r="E102" s="20">
        <f t="shared" si="19"/>
        <v>3.5999999999999999E-3</v>
      </c>
      <c r="F102" s="20">
        <f>INDEX(US_data, MATCH($A102,US_time,0),MATCH(F$3,US_label,0))-E102</f>
        <v>2.2357168969113418E-2</v>
      </c>
      <c r="G102" s="24"/>
    </row>
    <row r="103" spans="1:7" x14ac:dyDescent="0.25">
      <c r="A103" s="19">
        <v>202304</v>
      </c>
      <c r="B103" s="20">
        <f t="shared" si="19"/>
        <v>6.0999999999999995E-3</v>
      </c>
      <c r="C103" s="20">
        <f t="shared" si="19"/>
        <v>-3.3599999999999998E-2</v>
      </c>
      <c r="D103" s="20">
        <f t="shared" si="19"/>
        <v>-5.0000000000000001E-4</v>
      </c>
      <c r="E103" s="20">
        <f t="shared" si="19"/>
        <v>3.4999999999999996E-3</v>
      </c>
      <c r="F103" s="20">
        <f>INDEX(US_data, MATCH($A103,US_time,0),MATCH(F$3,US_label,0))-E103</f>
        <v>-3.985354645444511E-2</v>
      </c>
      <c r="G103" s="24"/>
    </row>
    <row r="104" spans="1:7" x14ac:dyDescent="0.25">
      <c r="A104" s="19">
        <v>202305</v>
      </c>
      <c r="B104" s="20">
        <f t="shared" ref="B104:E123" si="20">INDEX(FF3_data, MATCH($A104,FF3_time,0),MATCH(B$3,FF3_label,0))/100</f>
        <v>3.4999999999999996E-3</v>
      </c>
      <c r="C104" s="20">
        <f t="shared" si="20"/>
        <v>1.6E-2</v>
      </c>
      <c r="D104" s="20">
        <f t="shared" si="20"/>
        <v>-7.7399999999999997E-2</v>
      </c>
      <c r="E104" s="20">
        <f t="shared" si="20"/>
        <v>3.5999999999999999E-3</v>
      </c>
      <c r="F104" s="20">
        <f>INDEX(US_data, MATCH($A104,US_time,0),MATCH(F$3,US_label,0))-E104</f>
        <v>1.3498525920693675E-2</v>
      </c>
      <c r="G104" s="24"/>
    </row>
    <row r="105" spans="1:7" x14ac:dyDescent="0.25">
      <c r="A105" s="19">
        <v>202306</v>
      </c>
      <c r="B105" s="20">
        <f t="shared" si="20"/>
        <v>6.4699999999999994E-2</v>
      </c>
      <c r="C105" s="20">
        <f t="shared" si="20"/>
        <v>1.55E-2</v>
      </c>
      <c r="D105" s="20">
        <f t="shared" si="20"/>
        <v>-2E-3</v>
      </c>
      <c r="E105" s="20">
        <f t="shared" si="20"/>
        <v>4.0000000000000001E-3</v>
      </c>
      <c r="F105" s="20">
        <f>INDEX(US_data, MATCH($A105,US_time,0),MATCH(F$3,US_label,0))-E105</f>
        <v>4.9335239942850606E-2</v>
      </c>
      <c r="G105" s="24"/>
    </row>
    <row r="106" spans="1:7" x14ac:dyDescent="0.25">
      <c r="A106" s="19">
        <v>202307</v>
      </c>
      <c r="B106" s="20">
        <f t="shared" si="20"/>
        <v>3.2099999999999997E-2</v>
      </c>
      <c r="C106" s="20">
        <f t="shared" si="20"/>
        <v>2.0499999999999997E-2</v>
      </c>
      <c r="D106" s="20">
        <f t="shared" si="20"/>
        <v>4.1100000000000005E-2</v>
      </c>
      <c r="E106" s="20">
        <f t="shared" si="20"/>
        <v>4.5000000000000005E-3</v>
      </c>
      <c r="F106" s="20">
        <f>INDEX(US_data, MATCH($A106,US_time,0),MATCH(F$3,US_label,0))-E106</f>
        <v>7.0141604789049711E-2</v>
      </c>
      <c r="G106" s="24"/>
    </row>
    <row r="107" spans="1:7" x14ac:dyDescent="0.25">
      <c r="A107" s="19">
        <v>202308</v>
      </c>
      <c r="B107" s="20">
        <f t="shared" si="20"/>
        <v>-2.3900000000000001E-2</v>
      </c>
      <c r="C107" s="20">
        <f t="shared" si="20"/>
        <v>-3.2000000000000001E-2</v>
      </c>
      <c r="D107" s="20">
        <f t="shared" si="20"/>
        <v>-1.0800000000000001E-2</v>
      </c>
      <c r="E107" s="20">
        <f t="shared" si="20"/>
        <v>4.5000000000000005E-3</v>
      </c>
      <c r="F107" s="20">
        <f>INDEX(US_data, MATCH($A107,US_time,0),MATCH(F$3,US_label,0))-E107</f>
        <v>1.3712956771360814E-2</v>
      </c>
      <c r="G107" s="24"/>
    </row>
    <row r="108" spans="1:7" x14ac:dyDescent="0.25">
      <c r="A108" s="19">
        <v>202309</v>
      </c>
      <c r="B108" s="20">
        <f t="shared" si="20"/>
        <v>-5.2400000000000002E-2</v>
      </c>
      <c r="C108" s="20">
        <f t="shared" si="20"/>
        <v>-2.4900000000000002E-2</v>
      </c>
      <c r="D108" s="20">
        <f t="shared" si="20"/>
        <v>1.4499999999999999E-2</v>
      </c>
      <c r="E108" s="20">
        <f t="shared" si="20"/>
        <v>4.3E-3</v>
      </c>
      <c r="F108" s="20">
        <f>INDEX(US_data, MATCH($A108,US_time,0),MATCH(F$3,US_label,0))-E108</f>
        <v>-3.8350483291227574E-2</v>
      </c>
      <c r="G108" s="24"/>
    </row>
    <row r="109" spans="1:7" x14ac:dyDescent="0.25">
      <c r="A109" s="19">
        <v>202310</v>
      </c>
      <c r="B109" s="20">
        <f t="shared" si="20"/>
        <v>-3.1800000000000002E-2</v>
      </c>
      <c r="C109" s="20">
        <f t="shared" si="20"/>
        <v>-3.8800000000000001E-2</v>
      </c>
      <c r="D109" s="20">
        <f t="shared" si="20"/>
        <v>1.9E-3</v>
      </c>
      <c r="E109" s="20">
        <f t="shared" si="20"/>
        <v>4.6999999999999993E-3</v>
      </c>
      <c r="F109" s="20">
        <f>INDEX(US_data, MATCH($A109,US_time,0),MATCH(F$3,US_label,0))-E109</f>
        <v>2.5764980541954981E-2</v>
      </c>
      <c r="G109" s="24"/>
    </row>
    <row r="110" spans="1:7" x14ac:dyDescent="0.25">
      <c r="A110" s="19">
        <v>202311</v>
      </c>
      <c r="B110" s="20">
        <f t="shared" si="20"/>
        <v>8.8300000000000003E-2</v>
      </c>
      <c r="C110" s="20">
        <f t="shared" si="20"/>
        <v>-2.9999999999999997E-4</v>
      </c>
      <c r="D110" s="20">
        <f t="shared" si="20"/>
        <v>1.66E-2</v>
      </c>
      <c r="E110" s="20">
        <f t="shared" si="20"/>
        <v>4.4000000000000003E-3</v>
      </c>
      <c r="F110" s="20">
        <f>INDEX(US_data, MATCH($A110,US_time,0),MATCH(F$3,US_label,0))-E110</f>
        <v>8.7485187862443831E-2</v>
      </c>
      <c r="G110" s="24"/>
    </row>
    <row r="111" spans="1:7" x14ac:dyDescent="0.25">
      <c r="A111" s="19">
        <v>202312</v>
      </c>
      <c r="B111" s="20">
        <f t="shared" si="20"/>
        <v>4.87E-2</v>
      </c>
      <c r="C111" s="20">
        <f t="shared" si="20"/>
        <v>6.3600000000000004E-2</v>
      </c>
      <c r="D111" s="20">
        <f t="shared" si="20"/>
        <v>4.9200000000000001E-2</v>
      </c>
      <c r="E111" s="20">
        <f t="shared" si="20"/>
        <v>4.3E-3</v>
      </c>
      <c r="F111" s="20">
        <f>INDEX(US_data, MATCH($A111,US_time,0),MATCH(F$3,US_label,0))-E111</f>
        <v>3.7963171883129483E-2</v>
      </c>
      <c r="G111" s="24"/>
    </row>
    <row r="112" spans="1:7" x14ac:dyDescent="0.25">
      <c r="A112" s="19">
        <v>202401</v>
      </c>
      <c r="B112" s="20">
        <f t="shared" si="20"/>
        <v>6.9999999999999993E-3</v>
      </c>
      <c r="C112" s="20">
        <f t="shared" si="20"/>
        <v>-5.0199999999999995E-2</v>
      </c>
      <c r="D112" s="20">
        <f t="shared" si="20"/>
        <v>-2.4700000000000003E-2</v>
      </c>
      <c r="E112" s="20">
        <f t="shared" si="20"/>
        <v>4.6999999999999993E-3</v>
      </c>
      <c r="F112" s="20">
        <f>INDEX(US_data, MATCH($A112,US_time,0),MATCH(F$3,US_label,0))-E112</f>
        <v>0.11126734513036381</v>
      </c>
      <c r="G112" s="24"/>
    </row>
    <row r="113" spans="1:7" x14ac:dyDescent="0.25">
      <c r="A113" s="19">
        <v>202402</v>
      </c>
      <c r="B113" s="20">
        <f t="shared" si="20"/>
        <v>5.0700000000000002E-2</v>
      </c>
      <c r="C113" s="20">
        <f t="shared" si="20"/>
        <v>-2.2000000000000001E-3</v>
      </c>
      <c r="D113" s="20">
        <f t="shared" si="20"/>
        <v>-3.5200000000000002E-2</v>
      </c>
      <c r="E113" s="20">
        <f t="shared" si="20"/>
        <v>4.1999999999999997E-3</v>
      </c>
      <c r="F113" s="20">
        <f>INDEX(US_data, MATCH($A113,US_time,0),MATCH(F$3,US_label,0))-E113</f>
        <v>3.2316321747932648E-3</v>
      </c>
      <c r="G113" s="24"/>
    </row>
    <row r="114" spans="1:7" x14ac:dyDescent="0.25">
      <c r="A114" s="19">
        <v>202403</v>
      </c>
      <c r="B114" s="20">
        <f t="shared" si="20"/>
        <v>2.8300000000000002E-2</v>
      </c>
      <c r="C114" s="20">
        <f t="shared" si="20"/>
        <v>-2.5099999999999997E-2</v>
      </c>
      <c r="D114" s="20">
        <f t="shared" si="20"/>
        <v>4.2199999999999994E-2</v>
      </c>
      <c r="E114" s="20">
        <f t="shared" si="20"/>
        <v>4.3E-3</v>
      </c>
      <c r="F114" s="20">
        <f>INDEX(US_data, MATCH($A114,US_time,0),MATCH(F$3,US_label,0))-E114</f>
        <v>3.6321699345721895E-2</v>
      </c>
      <c r="G114" s="24"/>
    </row>
    <row r="115" spans="1:7" x14ac:dyDescent="0.25">
      <c r="A115" s="19">
        <v>202404</v>
      </c>
      <c r="B115" s="20">
        <f t="shared" si="20"/>
        <v>-4.6699999999999998E-2</v>
      </c>
      <c r="C115" s="20">
        <f t="shared" si="20"/>
        <v>-2.3900000000000001E-2</v>
      </c>
      <c r="D115" s="20">
        <f t="shared" si="20"/>
        <v>-5.1999999999999998E-3</v>
      </c>
      <c r="E115" s="20">
        <f t="shared" si="20"/>
        <v>4.6999999999999993E-3</v>
      </c>
      <c r="F115" s="20">
        <f>INDEX(US_data, MATCH($A115,US_time,0),MATCH(F$3,US_label,0))-E115</f>
        <v>-0.14357217305824177</v>
      </c>
      <c r="G115" s="24"/>
    </row>
    <row r="116" spans="1:7" x14ac:dyDescent="0.25">
      <c r="A116" s="19">
        <v>202405</v>
      </c>
      <c r="B116" s="20">
        <f t="shared" si="20"/>
        <v>4.3400000000000001E-2</v>
      </c>
      <c r="C116" s="20">
        <f t="shared" si="20"/>
        <v>7.8000000000000005E-3</v>
      </c>
      <c r="D116" s="20">
        <f t="shared" si="20"/>
        <v>-1.67E-2</v>
      </c>
      <c r="E116" s="20">
        <f t="shared" si="20"/>
        <v>4.4000000000000003E-3</v>
      </c>
      <c r="F116" s="20">
        <f>INDEX(US_data, MATCH($A116,US_time,0),MATCH(F$3,US_label,0))-E116</f>
        <v>-4.9662469913657045E-4</v>
      </c>
      <c r="G116" s="24"/>
    </row>
    <row r="117" spans="1:7" x14ac:dyDescent="0.25">
      <c r="A117" s="19">
        <v>202406</v>
      </c>
      <c r="B117" s="20">
        <f t="shared" si="20"/>
        <v>2.7699999999999999E-2</v>
      </c>
      <c r="C117" s="20">
        <f t="shared" si="20"/>
        <v>-3.0600000000000002E-2</v>
      </c>
      <c r="D117" s="20">
        <f t="shared" si="20"/>
        <v>-3.3099999999999997E-2</v>
      </c>
      <c r="E117" s="20">
        <f t="shared" si="20"/>
        <v>4.0999999999999995E-3</v>
      </c>
      <c r="F117" s="20">
        <f>INDEX(US_data, MATCH($A117,US_time,0),MATCH(F$3,US_label,0))-E117</f>
        <v>4.1685266121623488E-2</v>
      </c>
      <c r="G117" s="24"/>
    </row>
    <row r="118" spans="1:7" x14ac:dyDescent="0.25">
      <c r="A118" s="19">
        <v>202407</v>
      </c>
      <c r="B118" s="20">
        <f t="shared" si="20"/>
        <v>1.24E-2</v>
      </c>
      <c r="C118" s="20">
        <f t="shared" si="20"/>
        <v>6.8000000000000005E-2</v>
      </c>
      <c r="D118" s="20">
        <f t="shared" si="20"/>
        <v>5.74E-2</v>
      </c>
      <c r="E118" s="20">
        <f t="shared" si="20"/>
        <v>4.5000000000000005E-3</v>
      </c>
      <c r="F118" s="20">
        <f>INDEX(US_data, MATCH($A118,US_time,0),MATCH(F$3,US_label,0))-E118</f>
        <v>0.10072170111107435</v>
      </c>
      <c r="G118" s="24"/>
    </row>
    <row r="119" spans="1:7" x14ac:dyDescent="0.25">
      <c r="A119" s="19">
        <v>202408</v>
      </c>
      <c r="B119" s="20">
        <f t="shared" si="20"/>
        <v>1.61E-2</v>
      </c>
      <c r="C119" s="20">
        <f t="shared" si="20"/>
        <v>-3.5499999999999997E-2</v>
      </c>
      <c r="D119" s="20">
        <f t="shared" si="20"/>
        <v>-1.1299999999999999E-2</v>
      </c>
      <c r="E119" s="20">
        <f t="shared" si="20"/>
        <v>4.7999999999999996E-3</v>
      </c>
      <c r="F119" s="20">
        <f>INDEX(US_data, MATCH($A119,US_time,0),MATCH(F$3,US_label,0))-E119</f>
        <v>4.5886835740674405E-2</v>
      </c>
      <c r="G119" s="24"/>
    </row>
    <row r="120" spans="1:7" x14ac:dyDescent="0.25">
      <c r="A120" s="19">
        <v>202409</v>
      </c>
      <c r="B120" s="20">
        <f t="shared" si="20"/>
        <v>1.7399999999999999E-2</v>
      </c>
      <c r="C120" s="20">
        <f t="shared" si="20"/>
        <v>-1.7000000000000001E-3</v>
      </c>
      <c r="D120" s="20">
        <f t="shared" si="20"/>
        <v>-2.5899999999999999E-2</v>
      </c>
      <c r="E120" s="20">
        <f t="shared" si="20"/>
        <v>4.0000000000000001E-3</v>
      </c>
      <c r="F120" s="20">
        <f>INDEX(US_data, MATCH($A120,US_time,0),MATCH(F$3,US_label,0))-E120</f>
        <v>9.4321768499582695E-2</v>
      </c>
      <c r="G120" s="24"/>
    </row>
    <row r="121" spans="1:7" x14ac:dyDescent="0.25">
      <c r="A121" s="19">
        <v>202410</v>
      </c>
      <c r="B121" s="20">
        <f t="shared" si="20"/>
        <v>-9.7000000000000003E-3</v>
      </c>
      <c r="C121" s="20">
        <f t="shared" si="20"/>
        <v>-1.01E-2</v>
      </c>
      <c r="D121" s="20">
        <f t="shared" si="20"/>
        <v>8.8999999999999999E-3</v>
      </c>
      <c r="E121" s="20">
        <f t="shared" si="20"/>
        <v>3.9000000000000003E-3</v>
      </c>
      <c r="F121" s="20">
        <f>INDEX(US_data, MATCH($A121,US_time,0),MATCH(F$3,US_label,0))-E121</f>
        <v>-7.1059438633512551E-2</v>
      </c>
      <c r="G121" s="24"/>
    </row>
    <row r="122" spans="1:7" x14ac:dyDescent="0.25">
      <c r="A122" s="19">
        <v>202411</v>
      </c>
      <c r="B122" s="20">
        <f t="shared" si="20"/>
        <v>6.5099999999999991E-2</v>
      </c>
      <c r="C122" s="20">
        <f t="shared" si="20"/>
        <v>4.6300000000000001E-2</v>
      </c>
      <c r="D122" s="20">
        <f t="shared" si="20"/>
        <v>-5.0000000000000001E-4</v>
      </c>
      <c r="E122" s="20">
        <f t="shared" si="20"/>
        <v>4.0000000000000001E-3</v>
      </c>
      <c r="F122" s="20">
        <f>INDEX(US_data, MATCH($A122,US_time,0),MATCH(F$3,US_label,0))-E122</f>
        <v>9.1389295791558953E-2</v>
      </c>
      <c r="G122" s="24"/>
    </row>
    <row r="123" spans="1:7" x14ac:dyDescent="0.25">
      <c r="A123" s="19">
        <v>202412</v>
      </c>
      <c r="B123" s="20">
        <f t="shared" si="20"/>
        <v>-3.1699999999999999E-2</v>
      </c>
      <c r="C123" s="20">
        <f t="shared" si="20"/>
        <v>-2.7300000000000001E-2</v>
      </c>
      <c r="D123" s="20">
        <f t="shared" si="20"/>
        <v>-2.9500000000000002E-2</v>
      </c>
      <c r="E123" s="20">
        <f t="shared" si="20"/>
        <v>3.7000000000000002E-3</v>
      </c>
      <c r="F123" s="20">
        <f>INDEX(US_data, MATCH($A123,US_time,0),MATCH(F$3,US_label,0))-E123</f>
        <v>-2.9749783209065482E-2</v>
      </c>
      <c r="G123" s="24"/>
    </row>
    <row r="124" spans="1:7" x14ac:dyDescent="0.25">
      <c r="G124" s="24"/>
    </row>
  </sheetData>
  <hyperlinks>
    <hyperlink ref="S4" r:id="rId1" xr:uid="{6A6E732A-027C-4D95-BECF-9CC264738C82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B2FF2-3E93-4682-A8AA-C60D5937A37C}">
  <sheetPr codeName="Sheet5"/>
  <dimension ref="A1:B1019"/>
  <sheetViews>
    <sheetView workbookViewId="0">
      <selection activeCell="A12" sqref="A12:A14"/>
    </sheetView>
  </sheetViews>
  <sheetFormatPr defaultRowHeight="15" x14ac:dyDescent="0.25"/>
  <cols>
    <col min="1" max="1" width="16.140625" customWidth="1"/>
  </cols>
  <sheetData>
    <row r="1" spans="1:2" ht="19.5" x14ac:dyDescent="0.35">
      <c r="A1" s="51" t="s">
        <v>101</v>
      </c>
      <c r="B1" s="52"/>
    </row>
    <row r="2" spans="1:2" x14ac:dyDescent="0.25">
      <c r="A2" s="53"/>
      <c r="B2" s="53"/>
    </row>
    <row r="3" spans="1:2" ht="15.75" x14ac:dyDescent="0.3">
      <c r="A3" s="54" t="s">
        <v>102</v>
      </c>
      <c r="B3" s="55"/>
    </row>
    <row r="4" spans="1:2" x14ac:dyDescent="0.25">
      <c r="A4" s="56" t="s">
        <v>37</v>
      </c>
      <c r="B4" s="57">
        <f>'LINEST (FF3)'!L5</f>
        <v>-2.9771598241460618E-3</v>
      </c>
    </row>
    <row r="5" spans="1:2" x14ac:dyDescent="0.25">
      <c r="A5" s="58" t="s">
        <v>103</v>
      </c>
      <c r="B5" s="57">
        <v>1.461281126311592E-2</v>
      </c>
    </row>
    <row r="6" spans="1:2" x14ac:dyDescent="0.25">
      <c r="A6" s="58" t="s">
        <v>65</v>
      </c>
      <c r="B6" s="57">
        <v>0.87532577831667213</v>
      </c>
    </row>
    <row r="7" spans="1:2" x14ac:dyDescent="0.25">
      <c r="A7" s="56" t="s">
        <v>111</v>
      </c>
      <c r="B7" s="57">
        <f>AVERAGE('LINEST (FF3)'!B4:B123)</f>
        <v>9.734166666666667E-3</v>
      </c>
    </row>
    <row r="8" spans="1:2" x14ac:dyDescent="0.25">
      <c r="A8" s="56" t="s">
        <v>112</v>
      </c>
      <c r="B8" s="57">
        <f>_xlfn.STDEV.S('LINEST (FF3)'!B4:B123)</f>
        <v>4.596545742849345E-2</v>
      </c>
    </row>
    <row r="9" spans="1:2" x14ac:dyDescent="0.25">
      <c r="A9" s="58" t="s">
        <v>66</v>
      </c>
      <c r="B9" s="57">
        <v>-0.18568658065656776</v>
      </c>
    </row>
    <row r="10" spans="1:2" x14ac:dyDescent="0.25">
      <c r="A10" s="56" t="s">
        <v>109</v>
      </c>
      <c r="B10" s="57">
        <f>AVERAGE('LINEST (FF3)'!C4:C123)</f>
        <v>-1.2791666666666669E-3</v>
      </c>
    </row>
    <row r="11" spans="1:2" x14ac:dyDescent="0.25">
      <c r="A11" s="56" t="s">
        <v>110</v>
      </c>
      <c r="B11" s="57">
        <f>_xlfn.STDEV.S('LINEST (FF3)'!C4:C123)</f>
        <v>2.8071864247408474E-2</v>
      </c>
    </row>
    <row r="12" spans="1:2" x14ac:dyDescent="0.25">
      <c r="A12" s="59" t="s">
        <v>67</v>
      </c>
      <c r="B12" s="57">
        <v>0.32123855273243845</v>
      </c>
    </row>
    <row r="13" spans="1:2" x14ac:dyDescent="0.25">
      <c r="A13" s="56" t="s">
        <v>113</v>
      </c>
      <c r="B13" s="57">
        <f>AVERAGE('LINEST (FF3)'!D4:D123)</f>
        <v>-1.8300000000000002E-3</v>
      </c>
    </row>
    <row r="14" spans="1:2" x14ac:dyDescent="0.25">
      <c r="A14" s="56" t="s">
        <v>114</v>
      </c>
      <c r="B14" s="57">
        <f>_xlfn.STDEV.S('LINEST (FF3)'!D4:D123)</f>
        <v>3.7827404587350774E-2</v>
      </c>
    </row>
    <row r="15" spans="1:2" x14ac:dyDescent="0.25">
      <c r="A15" s="56" t="s">
        <v>104</v>
      </c>
      <c r="B15" s="57">
        <f>'LINEST (FF3)'!E123</f>
        <v>3.7000000000000002E-3</v>
      </c>
    </row>
    <row r="16" spans="1:2" x14ac:dyDescent="0.25">
      <c r="A16" s="56" t="s">
        <v>105</v>
      </c>
      <c r="B16" s="60">
        <f>Historical_Data!F122</f>
        <v>218.37515258789063</v>
      </c>
    </row>
    <row r="17" spans="1:2" x14ac:dyDescent="0.25">
      <c r="A17" s="53"/>
      <c r="B17" s="53"/>
    </row>
    <row r="18" spans="1:2" x14ac:dyDescent="0.25">
      <c r="A18" s="61" t="s">
        <v>107</v>
      </c>
      <c r="B18" s="53"/>
    </row>
    <row r="19" spans="1:2" ht="45" x14ac:dyDescent="0.25">
      <c r="A19" s="62" t="s">
        <v>106</v>
      </c>
      <c r="B19" s="63" t="s">
        <v>108</v>
      </c>
    </row>
    <row r="20" spans="1:2" x14ac:dyDescent="0.25">
      <c r="A20">
        <v>1</v>
      </c>
      <c r="B20" s="64">
        <v>310.56411348067644</v>
      </c>
    </row>
    <row r="21" spans="1:2" x14ac:dyDescent="0.25">
      <c r="A21">
        <v>2</v>
      </c>
      <c r="B21" s="64">
        <v>234.15365776624435</v>
      </c>
    </row>
    <row r="22" spans="1:2" x14ac:dyDescent="0.25">
      <c r="A22">
        <v>3</v>
      </c>
      <c r="B22" s="64">
        <v>240.20996212444354</v>
      </c>
    </row>
    <row r="23" spans="1:2" x14ac:dyDescent="0.25">
      <c r="A23">
        <v>4</v>
      </c>
      <c r="B23" s="64">
        <v>253.40962845018231</v>
      </c>
    </row>
    <row r="24" spans="1:2" x14ac:dyDescent="0.25">
      <c r="A24">
        <v>5</v>
      </c>
      <c r="B24" s="64">
        <v>216.57692687290668</v>
      </c>
    </row>
    <row r="25" spans="1:2" x14ac:dyDescent="0.25">
      <c r="A25">
        <v>6</v>
      </c>
      <c r="B25" s="64">
        <v>250.38526897402554</v>
      </c>
    </row>
    <row r="26" spans="1:2" x14ac:dyDescent="0.25">
      <c r="A26">
        <v>7</v>
      </c>
      <c r="B26" s="64">
        <v>209.76157303825133</v>
      </c>
    </row>
    <row r="27" spans="1:2" x14ac:dyDescent="0.25">
      <c r="A27">
        <v>8</v>
      </c>
      <c r="B27" s="64">
        <v>199.14162649064232</v>
      </c>
    </row>
    <row r="28" spans="1:2" x14ac:dyDescent="0.25">
      <c r="A28">
        <v>9</v>
      </c>
      <c r="B28" s="64">
        <v>189.91342793101774</v>
      </c>
    </row>
    <row r="29" spans="1:2" x14ac:dyDescent="0.25">
      <c r="A29">
        <v>10</v>
      </c>
      <c r="B29" s="64">
        <v>274.99265465367557</v>
      </c>
    </row>
    <row r="30" spans="1:2" x14ac:dyDescent="0.25">
      <c r="A30">
        <v>11</v>
      </c>
      <c r="B30" s="64">
        <v>280.88030591318915</v>
      </c>
    </row>
    <row r="31" spans="1:2" x14ac:dyDescent="0.25">
      <c r="A31">
        <v>12</v>
      </c>
      <c r="B31" s="64">
        <v>257.63606307425056</v>
      </c>
    </row>
    <row r="32" spans="1:2" x14ac:dyDescent="0.25">
      <c r="A32">
        <v>13</v>
      </c>
      <c r="B32" s="64">
        <v>260.16808195053682</v>
      </c>
    </row>
    <row r="33" spans="1:2" x14ac:dyDescent="0.25">
      <c r="A33">
        <v>14</v>
      </c>
      <c r="B33" s="64">
        <v>163.35722927082298</v>
      </c>
    </row>
    <row r="34" spans="1:2" x14ac:dyDescent="0.25">
      <c r="A34">
        <v>15</v>
      </c>
      <c r="B34" s="64">
        <v>206.51060562470059</v>
      </c>
    </row>
    <row r="35" spans="1:2" x14ac:dyDescent="0.25">
      <c r="A35">
        <v>16</v>
      </c>
      <c r="B35" s="64">
        <v>285.45914842210203</v>
      </c>
    </row>
    <row r="36" spans="1:2" x14ac:dyDescent="0.25">
      <c r="A36">
        <v>17</v>
      </c>
      <c r="B36" s="64">
        <v>206.14388520002041</v>
      </c>
    </row>
    <row r="37" spans="1:2" x14ac:dyDescent="0.25">
      <c r="A37">
        <v>18</v>
      </c>
      <c r="B37" s="64">
        <v>297.20781569107822</v>
      </c>
    </row>
    <row r="38" spans="1:2" x14ac:dyDescent="0.25">
      <c r="A38">
        <v>19</v>
      </c>
      <c r="B38" s="64">
        <v>213.31603498591141</v>
      </c>
    </row>
    <row r="39" spans="1:2" x14ac:dyDescent="0.25">
      <c r="A39">
        <v>20</v>
      </c>
      <c r="B39" s="64">
        <v>188.47769534057051</v>
      </c>
    </row>
    <row r="40" spans="1:2" x14ac:dyDescent="0.25">
      <c r="A40">
        <v>21</v>
      </c>
      <c r="B40" s="64">
        <v>274.18729314367175</v>
      </c>
    </row>
    <row r="41" spans="1:2" x14ac:dyDescent="0.25">
      <c r="A41">
        <v>22</v>
      </c>
      <c r="B41" s="64">
        <v>185.90969217594551</v>
      </c>
    </row>
    <row r="42" spans="1:2" x14ac:dyDescent="0.25">
      <c r="A42">
        <v>23</v>
      </c>
      <c r="B42" s="64">
        <v>236.11412786220529</v>
      </c>
    </row>
    <row r="43" spans="1:2" x14ac:dyDescent="0.25">
      <c r="A43">
        <v>24</v>
      </c>
      <c r="B43" s="64">
        <v>256.35930477447681</v>
      </c>
    </row>
    <row r="44" spans="1:2" x14ac:dyDescent="0.25">
      <c r="A44">
        <v>25</v>
      </c>
      <c r="B44" s="64">
        <v>268.33885494797539</v>
      </c>
    </row>
    <row r="45" spans="1:2" x14ac:dyDescent="0.25">
      <c r="A45">
        <v>26</v>
      </c>
      <c r="B45" s="64">
        <v>282.90162487652685</v>
      </c>
    </row>
    <row r="46" spans="1:2" x14ac:dyDescent="0.25">
      <c r="A46">
        <v>27</v>
      </c>
      <c r="B46" s="64">
        <v>251.76352453240324</v>
      </c>
    </row>
    <row r="47" spans="1:2" x14ac:dyDescent="0.25">
      <c r="A47">
        <v>28</v>
      </c>
      <c r="B47" s="64">
        <v>215.15512868320334</v>
      </c>
    </row>
    <row r="48" spans="1:2" x14ac:dyDescent="0.25">
      <c r="A48">
        <v>29</v>
      </c>
      <c r="B48" s="64">
        <v>269.53159234039362</v>
      </c>
    </row>
    <row r="49" spans="1:2" x14ac:dyDescent="0.25">
      <c r="A49">
        <v>30</v>
      </c>
      <c r="B49" s="64">
        <v>267.7579343999688</v>
      </c>
    </row>
    <row r="50" spans="1:2" x14ac:dyDescent="0.25">
      <c r="A50">
        <v>31</v>
      </c>
      <c r="B50" s="64">
        <v>201.12230479520574</v>
      </c>
    </row>
    <row r="51" spans="1:2" x14ac:dyDescent="0.25">
      <c r="A51">
        <v>32</v>
      </c>
      <c r="B51" s="64">
        <v>222.61757132833213</v>
      </c>
    </row>
    <row r="52" spans="1:2" x14ac:dyDescent="0.25">
      <c r="A52">
        <v>33</v>
      </c>
      <c r="B52" s="64">
        <v>188.75285208276085</v>
      </c>
    </row>
    <row r="53" spans="1:2" x14ac:dyDescent="0.25">
      <c r="A53">
        <v>34</v>
      </c>
      <c r="B53" s="64">
        <v>290.1075463379197</v>
      </c>
    </row>
    <row r="54" spans="1:2" x14ac:dyDescent="0.25">
      <c r="A54">
        <v>35</v>
      </c>
      <c r="B54" s="64">
        <v>303.36573777688659</v>
      </c>
    </row>
    <row r="55" spans="1:2" x14ac:dyDescent="0.25">
      <c r="A55">
        <v>36</v>
      </c>
      <c r="B55" s="64">
        <v>211.97539113674208</v>
      </c>
    </row>
    <row r="56" spans="1:2" x14ac:dyDescent="0.25">
      <c r="A56">
        <v>37</v>
      </c>
      <c r="B56" s="64">
        <v>286.45786023309461</v>
      </c>
    </row>
    <row r="57" spans="1:2" x14ac:dyDescent="0.25">
      <c r="A57">
        <v>38</v>
      </c>
      <c r="B57" s="64">
        <v>211.80762765566411</v>
      </c>
    </row>
    <row r="58" spans="1:2" x14ac:dyDescent="0.25">
      <c r="A58">
        <v>39</v>
      </c>
      <c r="B58" s="64">
        <v>188.95063792590841</v>
      </c>
    </row>
    <row r="59" spans="1:2" x14ac:dyDescent="0.25">
      <c r="A59">
        <v>40</v>
      </c>
      <c r="B59" s="64">
        <v>281.69780024589505</v>
      </c>
    </row>
    <row r="60" spans="1:2" x14ac:dyDescent="0.25">
      <c r="A60">
        <v>41</v>
      </c>
      <c r="B60" s="64">
        <v>279.8579277862641</v>
      </c>
    </row>
    <row r="61" spans="1:2" x14ac:dyDescent="0.25">
      <c r="A61">
        <v>42</v>
      </c>
      <c r="B61" s="64">
        <v>222.77968560753496</v>
      </c>
    </row>
    <row r="62" spans="1:2" x14ac:dyDescent="0.25">
      <c r="A62">
        <v>43</v>
      </c>
      <c r="B62" s="64">
        <v>237.70407884823882</v>
      </c>
    </row>
    <row r="63" spans="1:2" x14ac:dyDescent="0.25">
      <c r="A63">
        <v>44</v>
      </c>
      <c r="B63" s="64">
        <v>273.31394358480128</v>
      </c>
    </row>
    <row r="64" spans="1:2" x14ac:dyDescent="0.25">
      <c r="A64">
        <v>45</v>
      </c>
      <c r="B64" s="64">
        <v>263.81056618892273</v>
      </c>
    </row>
    <row r="65" spans="1:2" x14ac:dyDescent="0.25">
      <c r="A65">
        <v>46</v>
      </c>
      <c r="B65" s="64">
        <v>296.08861712740998</v>
      </c>
    </row>
    <row r="66" spans="1:2" x14ac:dyDescent="0.25">
      <c r="A66">
        <v>47</v>
      </c>
      <c r="B66" s="64">
        <v>193.66944246691867</v>
      </c>
    </row>
    <row r="67" spans="1:2" x14ac:dyDescent="0.25">
      <c r="A67">
        <v>48</v>
      </c>
      <c r="B67" s="64">
        <v>253.32628253004438</v>
      </c>
    </row>
    <row r="68" spans="1:2" x14ac:dyDescent="0.25">
      <c r="A68">
        <v>49</v>
      </c>
      <c r="B68" s="64">
        <v>287.34261174869971</v>
      </c>
    </row>
    <row r="69" spans="1:2" x14ac:dyDescent="0.25">
      <c r="A69">
        <v>50</v>
      </c>
      <c r="B69" s="64">
        <v>243.82776465983159</v>
      </c>
    </row>
    <row r="70" spans="1:2" x14ac:dyDescent="0.25">
      <c r="A70">
        <v>51</v>
      </c>
      <c r="B70" s="64">
        <v>191.56259416983434</v>
      </c>
    </row>
    <row r="71" spans="1:2" x14ac:dyDescent="0.25">
      <c r="A71">
        <v>52</v>
      </c>
      <c r="B71" s="64">
        <v>336.60302057461581</v>
      </c>
    </row>
    <row r="72" spans="1:2" x14ac:dyDescent="0.25">
      <c r="A72">
        <v>53</v>
      </c>
      <c r="B72" s="64">
        <v>218.41682453454007</v>
      </c>
    </row>
    <row r="73" spans="1:2" x14ac:dyDescent="0.25">
      <c r="A73">
        <v>54</v>
      </c>
      <c r="B73" s="64">
        <v>338.75427284814168</v>
      </c>
    </row>
    <row r="74" spans="1:2" x14ac:dyDescent="0.25">
      <c r="A74">
        <v>55</v>
      </c>
      <c r="B74" s="64">
        <v>245.16931646007595</v>
      </c>
    </row>
    <row r="75" spans="1:2" x14ac:dyDescent="0.25">
      <c r="A75">
        <v>56</v>
      </c>
      <c r="B75" s="64">
        <v>253.75763148283806</v>
      </c>
    </row>
    <row r="76" spans="1:2" x14ac:dyDescent="0.25">
      <c r="A76">
        <v>57</v>
      </c>
      <c r="B76" s="64">
        <v>167.06019049890602</v>
      </c>
    </row>
    <row r="77" spans="1:2" x14ac:dyDescent="0.25">
      <c r="A77">
        <v>58</v>
      </c>
      <c r="B77" s="64">
        <v>197.53820628982356</v>
      </c>
    </row>
    <row r="78" spans="1:2" x14ac:dyDescent="0.25">
      <c r="A78">
        <v>59</v>
      </c>
      <c r="B78" s="64">
        <v>255.48555256069949</v>
      </c>
    </row>
    <row r="79" spans="1:2" x14ac:dyDescent="0.25">
      <c r="A79">
        <v>60</v>
      </c>
      <c r="B79" s="64">
        <v>234.63273460054705</v>
      </c>
    </row>
    <row r="80" spans="1:2" x14ac:dyDescent="0.25">
      <c r="A80">
        <v>61</v>
      </c>
      <c r="B80" s="64">
        <v>285.87259193991832</v>
      </c>
    </row>
    <row r="81" spans="1:2" x14ac:dyDescent="0.25">
      <c r="A81">
        <v>62</v>
      </c>
      <c r="B81" s="64">
        <v>186.79385350467112</v>
      </c>
    </row>
    <row r="82" spans="1:2" x14ac:dyDescent="0.25">
      <c r="A82">
        <v>63</v>
      </c>
      <c r="B82" s="64">
        <v>256.71283659870392</v>
      </c>
    </row>
    <row r="83" spans="1:2" x14ac:dyDescent="0.25">
      <c r="A83">
        <v>64</v>
      </c>
      <c r="B83" s="64">
        <v>205.67378486008934</v>
      </c>
    </row>
    <row r="84" spans="1:2" x14ac:dyDescent="0.25">
      <c r="A84">
        <v>65</v>
      </c>
      <c r="B84" s="64">
        <v>188.55830721290249</v>
      </c>
    </row>
    <row r="85" spans="1:2" x14ac:dyDescent="0.25">
      <c r="A85">
        <v>66</v>
      </c>
      <c r="B85" s="64">
        <v>184.23261916312109</v>
      </c>
    </row>
    <row r="86" spans="1:2" x14ac:dyDescent="0.25">
      <c r="A86">
        <v>67</v>
      </c>
      <c r="B86" s="64">
        <v>235.56782952220397</v>
      </c>
    </row>
    <row r="87" spans="1:2" x14ac:dyDescent="0.25">
      <c r="A87">
        <v>68</v>
      </c>
      <c r="B87" s="64">
        <v>209.32689088098851</v>
      </c>
    </row>
    <row r="88" spans="1:2" x14ac:dyDescent="0.25">
      <c r="A88">
        <v>69</v>
      </c>
      <c r="B88" s="64">
        <v>251.97450668535609</v>
      </c>
    </row>
    <row r="89" spans="1:2" x14ac:dyDescent="0.25">
      <c r="A89">
        <v>70</v>
      </c>
      <c r="B89" s="64">
        <v>230.30749970824911</v>
      </c>
    </row>
    <row r="90" spans="1:2" x14ac:dyDescent="0.25">
      <c r="A90">
        <v>71</v>
      </c>
      <c r="B90" s="64">
        <v>285.77203895672085</v>
      </c>
    </row>
    <row r="91" spans="1:2" x14ac:dyDescent="0.25">
      <c r="A91">
        <v>72</v>
      </c>
      <c r="B91" s="64">
        <v>229.01767125015741</v>
      </c>
    </row>
    <row r="92" spans="1:2" x14ac:dyDescent="0.25">
      <c r="A92">
        <v>73</v>
      </c>
      <c r="B92" s="64">
        <v>235.86272525046755</v>
      </c>
    </row>
    <row r="93" spans="1:2" x14ac:dyDescent="0.25">
      <c r="A93">
        <v>74</v>
      </c>
      <c r="B93" s="64">
        <v>344.74925303753145</v>
      </c>
    </row>
    <row r="94" spans="1:2" x14ac:dyDescent="0.25">
      <c r="A94">
        <v>75</v>
      </c>
      <c r="B94" s="64">
        <v>191.3620909575103</v>
      </c>
    </row>
    <row r="95" spans="1:2" x14ac:dyDescent="0.25">
      <c r="A95">
        <v>76</v>
      </c>
      <c r="B95" s="64">
        <v>211.42571678422357</v>
      </c>
    </row>
    <row r="96" spans="1:2" x14ac:dyDescent="0.25">
      <c r="A96">
        <v>77</v>
      </c>
      <c r="B96" s="64">
        <v>255.16071192585204</v>
      </c>
    </row>
    <row r="97" spans="1:2" x14ac:dyDescent="0.25">
      <c r="A97">
        <v>78</v>
      </c>
      <c r="B97" s="64">
        <v>326.39155944628925</v>
      </c>
    </row>
    <row r="98" spans="1:2" x14ac:dyDescent="0.25">
      <c r="A98">
        <v>79</v>
      </c>
      <c r="B98" s="64">
        <v>282.71763487099588</v>
      </c>
    </row>
    <row r="99" spans="1:2" x14ac:dyDescent="0.25">
      <c r="A99">
        <v>80</v>
      </c>
      <c r="B99" s="64">
        <v>291.04713532706342</v>
      </c>
    </row>
    <row r="100" spans="1:2" x14ac:dyDescent="0.25">
      <c r="A100">
        <v>81</v>
      </c>
      <c r="B100" s="64">
        <v>234.65602247370248</v>
      </c>
    </row>
    <row r="101" spans="1:2" x14ac:dyDescent="0.25">
      <c r="A101">
        <v>82</v>
      </c>
      <c r="B101" s="64">
        <v>188.93699423732207</v>
      </c>
    </row>
    <row r="102" spans="1:2" x14ac:dyDescent="0.25">
      <c r="A102">
        <v>83</v>
      </c>
      <c r="B102" s="64">
        <v>244.59301808347334</v>
      </c>
    </row>
    <row r="103" spans="1:2" x14ac:dyDescent="0.25">
      <c r="A103">
        <v>84</v>
      </c>
      <c r="B103" s="64">
        <v>244.87045949384617</v>
      </c>
    </row>
    <row r="104" spans="1:2" x14ac:dyDescent="0.25">
      <c r="A104">
        <v>85</v>
      </c>
      <c r="B104" s="64">
        <v>269.54239937863815</v>
      </c>
    </row>
    <row r="105" spans="1:2" x14ac:dyDescent="0.25">
      <c r="A105">
        <v>86</v>
      </c>
      <c r="B105" s="64">
        <v>261.29148972665445</v>
      </c>
    </row>
    <row r="106" spans="1:2" x14ac:dyDescent="0.25">
      <c r="A106">
        <v>87</v>
      </c>
      <c r="B106" s="64">
        <v>247.46896807342415</v>
      </c>
    </row>
    <row r="107" spans="1:2" x14ac:dyDescent="0.25">
      <c r="A107">
        <v>88</v>
      </c>
      <c r="B107" s="64">
        <v>252.68309375661602</v>
      </c>
    </row>
    <row r="108" spans="1:2" x14ac:dyDescent="0.25">
      <c r="A108">
        <v>89</v>
      </c>
      <c r="B108" s="64">
        <v>245.15942580769274</v>
      </c>
    </row>
    <row r="109" spans="1:2" x14ac:dyDescent="0.25">
      <c r="A109">
        <v>90</v>
      </c>
      <c r="B109" s="64">
        <v>196.86103520446457</v>
      </c>
    </row>
    <row r="110" spans="1:2" x14ac:dyDescent="0.25">
      <c r="A110">
        <v>91</v>
      </c>
      <c r="B110" s="64">
        <v>202.35334607355611</v>
      </c>
    </row>
    <row r="111" spans="1:2" x14ac:dyDescent="0.25">
      <c r="A111">
        <v>92</v>
      </c>
      <c r="B111" s="64">
        <v>235.2324724929949</v>
      </c>
    </row>
    <row r="112" spans="1:2" x14ac:dyDescent="0.25">
      <c r="A112">
        <v>93</v>
      </c>
      <c r="B112" s="64">
        <v>296.13971771373105</v>
      </c>
    </row>
    <row r="113" spans="1:2" x14ac:dyDescent="0.25">
      <c r="A113">
        <v>94</v>
      </c>
      <c r="B113" s="64">
        <v>242.19873408875935</v>
      </c>
    </row>
    <row r="114" spans="1:2" x14ac:dyDescent="0.25">
      <c r="A114">
        <v>95</v>
      </c>
      <c r="B114" s="64">
        <v>273.92621017891651</v>
      </c>
    </row>
    <row r="115" spans="1:2" x14ac:dyDescent="0.25">
      <c r="A115">
        <v>96</v>
      </c>
      <c r="B115" s="64">
        <v>211.06274037617942</v>
      </c>
    </row>
    <row r="116" spans="1:2" x14ac:dyDescent="0.25">
      <c r="A116">
        <v>97</v>
      </c>
      <c r="B116" s="64">
        <v>319.50407767939862</v>
      </c>
    </row>
    <row r="117" spans="1:2" x14ac:dyDescent="0.25">
      <c r="A117">
        <v>98</v>
      </c>
      <c r="B117" s="64">
        <v>235.05630847787577</v>
      </c>
    </row>
    <row r="118" spans="1:2" x14ac:dyDescent="0.25">
      <c r="A118">
        <v>99</v>
      </c>
      <c r="B118" s="64">
        <v>189.9925880049081</v>
      </c>
    </row>
    <row r="119" spans="1:2" x14ac:dyDescent="0.25">
      <c r="A119">
        <v>100</v>
      </c>
      <c r="B119" s="64">
        <v>161.7307662950343</v>
      </c>
    </row>
    <row r="120" spans="1:2" x14ac:dyDescent="0.25">
      <c r="A120">
        <v>101</v>
      </c>
      <c r="B120" s="64">
        <v>272.79956807010421</v>
      </c>
    </row>
    <row r="121" spans="1:2" x14ac:dyDescent="0.25">
      <c r="A121">
        <v>102</v>
      </c>
      <c r="B121" s="64">
        <v>224.46318313073687</v>
      </c>
    </row>
    <row r="122" spans="1:2" x14ac:dyDescent="0.25">
      <c r="A122">
        <v>103</v>
      </c>
      <c r="B122" s="64">
        <v>294.20101522842037</v>
      </c>
    </row>
    <row r="123" spans="1:2" x14ac:dyDescent="0.25">
      <c r="A123">
        <v>104</v>
      </c>
      <c r="B123" s="64">
        <v>174.53776382934728</v>
      </c>
    </row>
    <row r="124" spans="1:2" x14ac:dyDescent="0.25">
      <c r="A124">
        <v>105</v>
      </c>
      <c r="B124" s="64">
        <v>257.12609827545526</v>
      </c>
    </row>
    <row r="125" spans="1:2" x14ac:dyDescent="0.25">
      <c r="A125">
        <v>106</v>
      </c>
      <c r="B125" s="64">
        <v>224.81805045512891</v>
      </c>
    </row>
    <row r="126" spans="1:2" x14ac:dyDescent="0.25">
      <c r="A126">
        <v>107</v>
      </c>
      <c r="B126" s="64">
        <v>254.21102049050396</v>
      </c>
    </row>
    <row r="127" spans="1:2" x14ac:dyDescent="0.25">
      <c r="A127">
        <v>108</v>
      </c>
      <c r="B127" s="64">
        <v>198.3470251571739</v>
      </c>
    </row>
    <row r="128" spans="1:2" x14ac:dyDescent="0.25">
      <c r="A128">
        <v>109</v>
      </c>
      <c r="B128" s="64">
        <v>264.12555214896918</v>
      </c>
    </row>
    <row r="129" spans="1:2" x14ac:dyDescent="0.25">
      <c r="A129">
        <v>110</v>
      </c>
      <c r="B129" s="64">
        <v>236.89103899906053</v>
      </c>
    </row>
    <row r="130" spans="1:2" x14ac:dyDescent="0.25">
      <c r="A130">
        <v>111</v>
      </c>
      <c r="B130" s="64">
        <v>280.50412043164664</v>
      </c>
    </row>
    <row r="131" spans="1:2" x14ac:dyDescent="0.25">
      <c r="A131">
        <v>112</v>
      </c>
      <c r="B131" s="64">
        <v>289.60094852791917</v>
      </c>
    </row>
    <row r="132" spans="1:2" x14ac:dyDescent="0.25">
      <c r="A132">
        <v>113</v>
      </c>
      <c r="B132" s="64">
        <v>280.98299904065942</v>
      </c>
    </row>
    <row r="133" spans="1:2" x14ac:dyDescent="0.25">
      <c r="A133">
        <v>114</v>
      </c>
      <c r="B133" s="64">
        <v>223.27056110219578</v>
      </c>
    </row>
    <row r="134" spans="1:2" x14ac:dyDescent="0.25">
      <c r="A134">
        <v>115</v>
      </c>
      <c r="B134" s="64">
        <v>270.70141220402081</v>
      </c>
    </row>
    <row r="135" spans="1:2" x14ac:dyDescent="0.25">
      <c r="A135">
        <v>116</v>
      </c>
      <c r="B135" s="64">
        <v>223.91799523832341</v>
      </c>
    </row>
    <row r="136" spans="1:2" x14ac:dyDescent="0.25">
      <c r="A136">
        <v>117</v>
      </c>
      <c r="B136" s="64">
        <v>279.32013498165009</v>
      </c>
    </row>
    <row r="137" spans="1:2" x14ac:dyDescent="0.25">
      <c r="A137">
        <v>118</v>
      </c>
      <c r="B137" s="64">
        <v>198.75284747357884</v>
      </c>
    </row>
    <row r="138" spans="1:2" x14ac:dyDescent="0.25">
      <c r="A138">
        <v>119</v>
      </c>
      <c r="B138" s="64">
        <v>249.15355524949274</v>
      </c>
    </row>
    <row r="139" spans="1:2" x14ac:dyDescent="0.25">
      <c r="A139">
        <v>120</v>
      </c>
      <c r="B139" s="64">
        <v>247.10602789875719</v>
      </c>
    </row>
    <row r="140" spans="1:2" x14ac:dyDescent="0.25">
      <c r="A140">
        <v>121</v>
      </c>
      <c r="B140" s="64">
        <v>248.328400798476</v>
      </c>
    </row>
    <row r="141" spans="1:2" x14ac:dyDescent="0.25">
      <c r="A141">
        <v>122</v>
      </c>
      <c r="B141" s="64">
        <v>321.98820308181843</v>
      </c>
    </row>
    <row r="142" spans="1:2" x14ac:dyDescent="0.25">
      <c r="A142">
        <v>123</v>
      </c>
      <c r="B142" s="64">
        <v>196.04531772273049</v>
      </c>
    </row>
    <row r="143" spans="1:2" x14ac:dyDescent="0.25">
      <c r="A143">
        <v>124</v>
      </c>
      <c r="B143" s="64">
        <v>205.14173137517926</v>
      </c>
    </row>
    <row r="144" spans="1:2" x14ac:dyDescent="0.25">
      <c r="A144">
        <v>125</v>
      </c>
      <c r="B144" s="64">
        <v>240.49559734514403</v>
      </c>
    </row>
    <row r="145" spans="1:2" x14ac:dyDescent="0.25">
      <c r="A145">
        <v>126</v>
      </c>
      <c r="B145" s="64">
        <v>298.21092795852144</v>
      </c>
    </row>
    <row r="146" spans="1:2" x14ac:dyDescent="0.25">
      <c r="A146">
        <v>127</v>
      </c>
      <c r="B146" s="64">
        <v>244.12855932030675</v>
      </c>
    </row>
    <row r="147" spans="1:2" x14ac:dyDescent="0.25">
      <c r="A147">
        <v>128</v>
      </c>
      <c r="B147" s="64">
        <v>228.19120468082517</v>
      </c>
    </row>
    <row r="148" spans="1:2" x14ac:dyDescent="0.25">
      <c r="A148">
        <v>129</v>
      </c>
      <c r="B148" s="64">
        <v>271.83413198184417</v>
      </c>
    </row>
    <row r="149" spans="1:2" x14ac:dyDescent="0.25">
      <c r="A149">
        <v>130</v>
      </c>
      <c r="B149" s="64">
        <v>217.13429529683859</v>
      </c>
    </row>
    <row r="150" spans="1:2" x14ac:dyDescent="0.25">
      <c r="A150">
        <v>131</v>
      </c>
      <c r="B150" s="64">
        <v>299.89102727671548</v>
      </c>
    </row>
    <row r="151" spans="1:2" x14ac:dyDescent="0.25">
      <c r="A151">
        <v>132</v>
      </c>
      <c r="B151" s="64">
        <v>219.05508827206287</v>
      </c>
    </row>
    <row r="152" spans="1:2" x14ac:dyDescent="0.25">
      <c r="A152">
        <v>133</v>
      </c>
      <c r="B152" s="64">
        <v>217.05160332831042</v>
      </c>
    </row>
    <row r="153" spans="1:2" x14ac:dyDescent="0.25">
      <c r="A153">
        <v>134</v>
      </c>
      <c r="B153" s="64">
        <v>241.75378607936506</v>
      </c>
    </row>
    <row r="154" spans="1:2" x14ac:dyDescent="0.25">
      <c r="A154">
        <v>135</v>
      </c>
      <c r="B154" s="64">
        <v>237.12625914200689</v>
      </c>
    </row>
    <row r="155" spans="1:2" x14ac:dyDescent="0.25">
      <c r="A155">
        <v>136</v>
      </c>
      <c r="B155" s="64">
        <v>301.82469489534253</v>
      </c>
    </row>
    <row r="156" spans="1:2" x14ac:dyDescent="0.25">
      <c r="A156">
        <v>137</v>
      </c>
      <c r="B156" s="64">
        <v>241.42752913427378</v>
      </c>
    </row>
    <row r="157" spans="1:2" x14ac:dyDescent="0.25">
      <c r="A157">
        <v>138</v>
      </c>
      <c r="B157" s="64">
        <v>218.16309268358782</v>
      </c>
    </row>
    <row r="158" spans="1:2" x14ac:dyDescent="0.25">
      <c r="A158">
        <v>139</v>
      </c>
      <c r="B158" s="64">
        <v>316.43745301293268</v>
      </c>
    </row>
    <row r="159" spans="1:2" x14ac:dyDescent="0.25">
      <c r="A159">
        <v>140</v>
      </c>
      <c r="B159" s="64">
        <v>367.45288849588411</v>
      </c>
    </row>
    <row r="160" spans="1:2" x14ac:dyDescent="0.25">
      <c r="A160">
        <v>141</v>
      </c>
      <c r="B160" s="64">
        <v>205.42642420170665</v>
      </c>
    </row>
    <row r="161" spans="1:2" x14ac:dyDescent="0.25">
      <c r="A161">
        <v>142</v>
      </c>
      <c r="B161" s="64">
        <v>250.93336394942301</v>
      </c>
    </row>
    <row r="162" spans="1:2" x14ac:dyDescent="0.25">
      <c r="A162">
        <v>143</v>
      </c>
      <c r="B162" s="64">
        <v>238.76786091197923</v>
      </c>
    </row>
    <row r="163" spans="1:2" x14ac:dyDescent="0.25">
      <c r="A163">
        <v>144</v>
      </c>
      <c r="B163" s="64">
        <v>279.06724727681717</v>
      </c>
    </row>
    <row r="164" spans="1:2" x14ac:dyDescent="0.25">
      <c r="A164">
        <v>145</v>
      </c>
      <c r="B164" s="64">
        <v>207.69036530228502</v>
      </c>
    </row>
    <row r="165" spans="1:2" x14ac:dyDescent="0.25">
      <c r="A165">
        <v>146</v>
      </c>
      <c r="B165" s="64">
        <v>278.03048994428997</v>
      </c>
    </row>
    <row r="166" spans="1:2" x14ac:dyDescent="0.25">
      <c r="A166">
        <v>147</v>
      </c>
      <c r="B166" s="64">
        <v>242.86097913636726</v>
      </c>
    </row>
    <row r="167" spans="1:2" x14ac:dyDescent="0.25">
      <c r="A167">
        <v>148</v>
      </c>
      <c r="B167" s="64">
        <v>206.75862732466499</v>
      </c>
    </row>
    <row r="168" spans="1:2" x14ac:dyDescent="0.25">
      <c r="A168">
        <v>149</v>
      </c>
      <c r="B168" s="64">
        <v>257.14856143072615</v>
      </c>
    </row>
    <row r="169" spans="1:2" x14ac:dyDescent="0.25">
      <c r="A169">
        <v>150</v>
      </c>
      <c r="B169" s="64">
        <v>254.45408735149613</v>
      </c>
    </row>
    <row r="170" spans="1:2" x14ac:dyDescent="0.25">
      <c r="A170">
        <v>151</v>
      </c>
      <c r="B170" s="64">
        <v>233.99402065674121</v>
      </c>
    </row>
    <row r="171" spans="1:2" x14ac:dyDescent="0.25">
      <c r="A171">
        <v>152</v>
      </c>
      <c r="B171" s="64">
        <v>220.78284504440819</v>
      </c>
    </row>
    <row r="172" spans="1:2" x14ac:dyDescent="0.25">
      <c r="A172">
        <v>153</v>
      </c>
      <c r="B172" s="64">
        <v>229.27416299970966</v>
      </c>
    </row>
    <row r="173" spans="1:2" x14ac:dyDescent="0.25">
      <c r="A173">
        <v>154</v>
      </c>
      <c r="B173" s="64">
        <v>224.48992839425944</v>
      </c>
    </row>
    <row r="174" spans="1:2" x14ac:dyDescent="0.25">
      <c r="A174">
        <v>155</v>
      </c>
      <c r="B174" s="64">
        <v>284.9851496286775</v>
      </c>
    </row>
    <row r="175" spans="1:2" x14ac:dyDescent="0.25">
      <c r="A175">
        <v>156</v>
      </c>
      <c r="B175" s="64">
        <v>245.40011852896788</v>
      </c>
    </row>
    <row r="176" spans="1:2" x14ac:dyDescent="0.25">
      <c r="A176">
        <v>157</v>
      </c>
      <c r="B176" s="64">
        <v>299.65857181748038</v>
      </c>
    </row>
    <row r="177" spans="1:2" x14ac:dyDescent="0.25">
      <c r="A177">
        <v>158</v>
      </c>
      <c r="B177" s="64">
        <v>216.39954712096824</v>
      </c>
    </row>
    <row r="178" spans="1:2" x14ac:dyDescent="0.25">
      <c r="A178">
        <v>159</v>
      </c>
      <c r="B178" s="64">
        <v>248.56038597776663</v>
      </c>
    </row>
    <row r="179" spans="1:2" x14ac:dyDescent="0.25">
      <c r="A179">
        <v>160</v>
      </c>
      <c r="B179" s="64">
        <v>242.96665714856795</v>
      </c>
    </row>
    <row r="180" spans="1:2" x14ac:dyDescent="0.25">
      <c r="A180">
        <v>161</v>
      </c>
      <c r="B180" s="64">
        <v>198.34366963239756</v>
      </c>
    </row>
    <row r="181" spans="1:2" x14ac:dyDescent="0.25">
      <c r="A181">
        <v>162</v>
      </c>
      <c r="B181" s="64">
        <v>292.2451612065484</v>
      </c>
    </row>
    <row r="182" spans="1:2" x14ac:dyDescent="0.25">
      <c r="A182">
        <v>163</v>
      </c>
      <c r="B182" s="64">
        <v>317.9933542391899</v>
      </c>
    </row>
    <row r="183" spans="1:2" x14ac:dyDescent="0.25">
      <c r="A183">
        <v>164</v>
      </c>
      <c r="B183" s="64">
        <v>247.61894316430315</v>
      </c>
    </row>
    <row r="184" spans="1:2" x14ac:dyDescent="0.25">
      <c r="A184">
        <v>165</v>
      </c>
      <c r="B184" s="64">
        <v>262.06592920718612</v>
      </c>
    </row>
    <row r="185" spans="1:2" x14ac:dyDescent="0.25">
      <c r="A185">
        <v>166</v>
      </c>
      <c r="B185" s="64">
        <v>217.00169789655382</v>
      </c>
    </row>
    <row r="186" spans="1:2" x14ac:dyDescent="0.25">
      <c r="A186">
        <v>167</v>
      </c>
      <c r="B186" s="64">
        <v>222.93626872412079</v>
      </c>
    </row>
    <row r="187" spans="1:2" x14ac:dyDescent="0.25">
      <c r="A187">
        <v>168</v>
      </c>
      <c r="B187" s="64">
        <v>272.77366725692735</v>
      </c>
    </row>
    <row r="188" spans="1:2" x14ac:dyDescent="0.25">
      <c r="A188">
        <v>169</v>
      </c>
      <c r="B188" s="64">
        <v>195.11108635372165</v>
      </c>
    </row>
    <row r="189" spans="1:2" x14ac:dyDescent="0.25">
      <c r="A189">
        <v>170</v>
      </c>
      <c r="B189" s="64">
        <v>285.62058605382504</v>
      </c>
    </row>
    <row r="190" spans="1:2" x14ac:dyDescent="0.25">
      <c r="A190">
        <v>171</v>
      </c>
      <c r="B190" s="64">
        <v>235.90672610900296</v>
      </c>
    </row>
    <row r="191" spans="1:2" x14ac:dyDescent="0.25">
      <c r="A191">
        <v>172</v>
      </c>
      <c r="B191" s="64">
        <v>248.30433887252474</v>
      </c>
    </row>
    <row r="192" spans="1:2" x14ac:dyDescent="0.25">
      <c r="A192">
        <v>173</v>
      </c>
      <c r="B192" s="64">
        <v>271.56123600544026</v>
      </c>
    </row>
    <row r="193" spans="1:2" x14ac:dyDescent="0.25">
      <c r="A193">
        <v>174</v>
      </c>
      <c r="B193" s="64">
        <v>249.13547593238417</v>
      </c>
    </row>
    <row r="194" spans="1:2" x14ac:dyDescent="0.25">
      <c r="A194">
        <v>175</v>
      </c>
      <c r="B194" s="64">
        <v>234.41368198671535</v>
      </c>
    </row>
    <row r="195" spans="1:2" x14ac:dyDescent="0.25">
      <c r="A195">
        <v>176</v>
      </c>
      <c r="B195" s="64">
        <v>267.23693633145467</v>
      </c>
    </row>
    <row r="196" spans="1:2" x14ac:dyDescent="0.25">
      <c r="A196">
        <v>177</v>
      </c>
      <c r="B196" s="64">
        <v>234.59093181341689</v>
      </c>
    </row>
    <row r="197" spans="1:2" x14ac:dyDescent="0.25">
      <c r="A197">
        <v>178</v>
      </c>
      <c r="B197" s="64">
        <v>231.57008788420094</v>
      </c>
    </row>
    <row r="198" spans="1:2" x14ac:dyDescent="0.25">
      <c r="A198">
        <v>179</v>
      </c>
      <c r="B198" s="64">
        <v>309.88421955482971</v>
      </c>
    </row>
    <row r="199" spans="1:2" x14ac:dyDescent="0.25">
      <c r="A199">
        <v>180</v>
      </c>
      <c r="B199" s="64">
        <v>273.70387613742236</v>
      </c>
    </row>
    <row r="200" spans="1:2" x14ac:dyDescent="0.25">
      <c r="A200">
        <v>181</v>
      </c>
      <c r="B200" s="64">
        <v>251.32846118579388</v>
      </c>
    </row>
    <row r="201" spans="1:2" x14ac:dyDescent="0.25">
      <c r="A201">
        <v>182</v>
      </c>
      <c r="B201" s="64">
        <v>294.48947845767918</v>
      </c>
    </row>
    <row r="202" spans="1:2" x14ac:dyDescent="0.25">
      <c r="A202">
        <v>183</v>
      </c>
      <c r="B202" s="64">
        <v>241.78299095139172</v>
      </c>
    </row>
    <row r="203" spans="1:2" x14ac:dyDescent="0.25">
      <c r="A203">
        <v>184</v>
      </c>
      <c r="B203" s="64">
        <v>204.50831953208296</v>
      </c>
    </row>
    <row r="204" spans="1:2" x14ac:dyDescent="0.25">
      <c r="A204">
        <v>185</v>
      </c>
      <c r="B204" s="64">
        <v>291.99657129359929</v>
      </c>
    </row>
    <row r="205" spans="1:2" x14ac:dyDescent="0.25">
      <c r="A205">
        <v>186</v>
      </c>
      <c r="B205" s="64">
        <v>216.31763135704492</v>
      </c>
    </row>
    <row r="206" spans="1:2" x14ac:dyDescent="0.25">
      <c r="A206">
        <v>187</v>
      </c>
      <c r="B206" s="64">
        <v>296.62196449736717</v>
      </c>
    </row>
    <row r="207" spans="1:2" x14ac:dyDescent="0.25">
      <c r="A207">
        <v>188</v>
      </c>
      <c r="B207" s="64">
        <v>240.60538671972688</v>
      </c>
    </row>
    <row r="208" spans="1:2" x14ac:dyDescent="0.25">
      <c r="A208">
        <v>189</v>
      </c>
      <c r="B208" s="64">
        <v>218.43919539021121</v>
      </c>
    </row>
    <row r="209" spans="1:2" x14ac:dyDescent="0.25">
      <c r="A209">
        <v>190</v>
      </c>
      <c r="B209" s="64">
        <v>289.8946767174404</v>
      </c>
    </row>
    <row r="210" spans="1:2" x14ac:dyDescent="0.25">
      <c r="A210">
        <v>191</v>
      </c>
      <c r="B210" s="64">
        <v>243.72361191243849</v>
      </c>
    </row>
    <row r="211" spans="1:2" x14ac:dyDescent="0.25">
      <c r="A211">
        <v>192</v>
      </c>
      <c r="B211" s="64">
        <v>269.22544332772941</v>
      </c>
    </row>
    <row r="212" spans="1:2" x14ac:dyDescent="0.25">
      <c r="A212">
        <v>193</v>
      </c>
      <c r="B212" s="64">
        <v>239.76181948607001</v>
      </c>
    </row>
    <row r="213" spans="1:2" x14ac:dyDescent="0.25">
      <c r="A213">
        <v>194</v>
      </c>
      <c r="B213" s="64">
        <v>179.31693397222051</v>
      </c>
    </row>
    <row r="214" spans="1:2" x14ac:dyDescent="0.25">
      <c r="A214">
        <v>195</v>
      </c>
      <c r="B214" s="64">
        <v>208.62592257034015</v>
      </c>
    </row>
    <row r="215" spans="1:2" x14ac:dyDescent="0.25">
      <c r="A215">
        <v>196</v>
      </c>
      <c r="B215" s="64">
        <v>242.93115196919379</v>
      </c>
    </row>
    <row r="216" spans="1:2" x14ac:dyDescent="0.25">
      <c r="A216">
        <v>197</v>
      </c>
      <c r="B216" s="64">
        <v>218.90233948611774</v>
      </c>
    </row>
    <row r="217" spans="1:2" x14ac:dyDescent="0.25">
      <c r="A217">
        <v>198</v>
      </c>
      <c r="B217" s="64">
        <v>229.26261117836398</v>
      </c>
    </row>
    <row r="218" spans="1:2" x14ac:dyDescent="0.25">
      <c r="A218">
        <v>199</v>
      </c>
      <c r="B218" s="64">
        <v>274.46411636820261</v>
      </c>
    </row>
    <row r="219" spans="1:2" x14ac:dyDescent="0.25">
      <c r="A219">
        <v>200</v>
      </c>
      <c r="B219" s="64">
        <v>227.78263347136894</v>
      </c>
    </row>
    <row r="220" spans="1:2" x14ac:dyDescent="0.25">
      <c r="A220">
        <v>201</v>
      </c>
      <c r="B220" s="64">
        <v>220.18985467805561</v>
      </c>
    </row>
    <row r="221" spans="1:2" x14ac:dyDescent="0.25">
      <c r="A221">
        <v>202</v>
      </c>
      <c r="B221" s="64">
        <v>206.4633886609119</v>
      </c>
    </row>
    <row r="222" spans="1:2" x14ac:dyDescent="0.25">
      <c r="A222">
        <v>203</v>
      </c>
      <c r="B222" s="64">
        <v>275.95357750718193</v>
      </c>
    </row>
    <row r="223" spans="1:2" x14ac:dyDescent="0.25">
      <c r="A223">
        <v>204</v>
      </c>
      <c r="B223" s="64">
        <v>170.18651403307356</v>
      </c>
    </row>
    <row r="224" spans="1:2" x14ac:dyDescent="0.25">
      <c r="A224">
        <v>205</v>
      </c>
      <c r="B224" s="64">
        <v>204.40826084113542</v>
      </c>
    </row>
    <row r="225" spans="1:2" x14ac:dyDescent="0.25">
      <c r="A225">
        <v>206</v>
      </c>
      <c r="B225" s="64">
        <v>239.48426683397139</v>
      </c>
    </row>
    <row r="226" spans="1:2" x14ac:dyDescent="0.25">
      <c r="A226">
        <v>207</v>
      </c>
      <c r="B226" s="64">
        <v>250.61976119705005</v>
      </c>
    </row>
    <row r="227" spans="1:2" x14ac:dyDescent="0.25">
      <c r="A227">
        <v>208</v>
      </c>
      <c r="B227" s="64">
        <v>183.5421958104038</v>
      </c>
    </row>
    <row r="228" spans="1:2" x14ac:dyDescent="0.25">
      <c r="A228">
        <v>209</v>
      </c>
      <c r="B228" s="64">
        <v>275.75391450133105</v>
      </c>
    </row>
    <row r="229" spans="1:2" x14ac:dyDescent="0.25">
      <c r="A229">
        <v>210</v>
      </c>
      <c r="B229" s="64">
        <v>259.4371985439783</v>
      </c>
    </row>
    <row r="230" spans="1:2" x14ac:dyDescent="0.25">
      <c r="A230">
        <v>211</v>
      </c>
      <c r="B230" s="64">
        <v>338.60036840046337</v>
      </c>
    </row>
    <row r="231" spans="1:2" x14ac:dyDescent="0.25">
      <c r="A231">
        <v>212</v>
      </c>
      <c r="B231" s="64">
        <v>248.95358422464918</v>
      </c>
    </row>
    <row r="232" spans="1:2" x14ac:dyDescent="0.25">
      <c r="A232">
        <v>213</v>
      </c>
      <c r="B232" s="64">
        <v>275.49039098389716</v>
      </c>
    </row>
    <row r="233" spans="1:2" x14ac:dyDescent="0.25">
      <c r="A233">
        <v>214</v>
      </c>
      <c r="B233" s="64">
        <v>239.20117301464106</v>
      </c>
    </row>
    <row r="234" spans="1:2" x14ac:dyDescent="0.25">
      <c r="A234">
        <v>215</v>
      </c>
      <c r="B234" s="64">
        <v>219.38798247695826</v>
      </c>
    </row>
    <row r="235" spans="1:2" x14ac:dyDescent="0.25">
      <c r="A235">
        <v>216</v>
      </c>
      <c r="B235" s="64">
        <v>223.31697668347209</v>
      </c>
    </row>
    <row r="236" spans="1:2" x14ac:dyDescent="0.25">
      <c r="A236">
        <v>217</v>
      </c>
      <c r="B236" s="64">
        <v>278.88647563590524</v>
      </c>
    </row>
    <row r="237" spans="1:2" x14ac:dyDescent="0.25">
      <c r="A237">
        <v>218</v>
      </c>
      <c r="B237" s="64">
        <v>196.90904082941506</v>
      </c>
    </row>
    <row r="238" spans="1:2" x14ac:dyDescent="0.25">
      <c r="A238">
        <v>219</v>
      </c>
      <c r="B238" s="64">
        <v>221.18432106373959</v>
      </c>
    </row>
    <row r="239" spans="1:2" x14ac:dyDescent="0.25">
      <c r="A239">
        <v>220</v>
      </c>
      <c r="B239" s="64">
        <v>284.67595647981472</v>
      </c>
    </row>
    <row r="240" spans="1:2" x14ac:dyDescent="0.25">
      <c r="A240">
        <v>221</v>
      </c>
      <c r="B240" s="64">
        <v>209.17398425217567</v>
      </c>
    </row>
    <row r="241" spans="1:2" x14ac:dyDescent="0.25">
      <c r="A241">
        <v>222</v>
      </c>
      <c r="B241" s="64">
        <v>296.67575877203035</v>
      </c>
    </row>
    <row r="242" spans="1:2" x14ac:dyDescent="0.25">
      <c r="A242">
        <v>223</v>
      </c>
      <c r="B242" s="64">
        <v>313.18080789339467</v>
      </c>
    </row>
    <row r="243" spans="1:2" x14ac:dyDescent="0.25">
      <c r="A243">
        <v>224</v>
      </c>
      <c r="B243" s="64">
        <v>252.18209335760656</v>
      </c>
    </row>
    <row r="244" spans="1:2" x14ac:dyDescent="0.25">
      <c r="A244">
        <v>225</v>
      </c>
      <c r="B244" s="64">
        <v>266.85501946237474</v>
      </c>
    </row>
    <row r="245" spans="1:2" x14ac:dyDescent="0.25">
      <c r="A245">
        <v>226</v>
      </c>
      <c r="B245" s="64">
        <v>224.83577353118068</v>
      </c>
    </row>
    <row r="246" spans="1:2" x14ac:dyDescent="0.25">
      <c r="A246">
        <v>227</v>
      </c>
      <c r="B246" s="64">
        <v>288.14254640769803</v>
      </c>
    </row>
    <row r="247" spans="1:2" x14ac:dyDescent="0.25">
      <c r="A247">
        <v>228</v>
      </c>
      <c r="B247" s="64">
        <v>263.66055614882782</v>
      </c>
    </row>
    <row r="248" spans="1:2" x14ac:dyDescent="0.25">
      <c r="A248">
        <v>229</v>
      </c>
      <c r="B248" s="64">
        <v>309.44787014572586</v>
      </c>
    </row>
    <row r="249" spans="1:2" x14ac:dyDescent="0.25">
      <c r="A249">
        <v>230</v>
      </c>
      <c r="B249" s="64">
        <v>213.48425923081737</v>
      </c>
    </row>
    <row r="250" spans="1:2" x14ac:dyDescent="0.25">
      <c r="A250">
        <v>231</v>
      </c>
      <c r="B250" s="64">
        <v>278.45777937449975</v>
      </c>
    </row>
    <row r="251" spans="1:2" x14ac:dyDescent="0.25">
      <c r="A251">
        <v>232</v>
      </c>
      <c r="B251" s="64">
        <v>257.77936325669896</v>
      </c>
    </row>
    <row r="252" spans="1:2" x14ac:dyDescent="0.25">
      <c r="A252">
        <v>233</v>
      </c>
      <c r="B252" s="64">
        <v>264.35135028148954</v>
      </c>
    </row>
    <row r="253" spans="1:2" x14ac:dyDescent="0.25">
      <c r="A253">
        <v>234</v>
      </c>
      <c r="B253" s="64">
        <v>184.20335893209878</v>
      </c>
    </row>
    <row r="254" spans="1:2" x14ac:dyDescent="0.25">
      <c r="A254">
        <v>235</v>
      </c>
      <c r="B254" s="64">
        <v>354.23305963428709</v>
      </c>
    </row>
    <row r="255" spans="1:2" x14ac:dyDescent="0.25">
      <c r="A255">
        <v>236</v>
      </c>
      <c r="B255" s="64">
        <v>238.32144149755914</v>
      </c>
    </row>
    <row r="256" spans="1:2" x14ac:dyDescent="0.25">
      <c r="A256">
        <v>237</v>
      </c>
      <c r="B256" s="64">
        <v>286.62098024567536</v>
      </c>
    </row>
    <row r="257" spans="1:2" x14ac:dyDescent="0.25">
      <c r="A257">
        <v>238</v>
      </c>
      <c r="B257" s="64">
        <v>176.13373114023642</v>
      </c>
    </row>
    <row r="258" spans="1:2" x14ac:dyDescent="0.25">
      <c r="A258">
        <v>239</v>
      </c>
      <c r="B258" s="64">
        <v>285.97628241446688</v>
      </c>
    </row>
    <row r="259" spans="1:2" x14ac:dyDescent="0.25">
      <c r="A259">
        <v>240</v>
      </c>
      <c r="B259" s="64">
        <v>212.17195882955343</v>
      </c>
    </row>
    <row r="260" spans="1:2" x14ac:dyDescent="0.25">
      <c r="A260">
        <v>241</v>
      </c>
      <c r="B260" s="64">
        <v>251.59309357423837</v>
      </c>
    </row>
    <row r="261" spans="1:2" x14ac:dyDescent="0.25">
      <c r="A261">
        <v>242</v>
      </c>
      <c r="B261" s="64">
        <v>267.97070189571815</v>
      </c>
    </row>
    <row r="262" spans="1:2" x14ac:dyDescent="0.25">
      <c r="A262">
        <v>243</v>
      </c>
      <c r="B262" s="64">
        <v>193.10727403203856</v>
      </c>
    </row>
    <row r="263" spans="1:2" x14ac:dyDescent="0.25">
      <c r="A263">
        <v>244</v>
      </c>
      <c r="B263" s="64">
        <v>217.61465634040644</v>
      </c>
    </row>
    <row r="264" spans="1:2" x14ac:dyDescent="0.25">
      <c r="A264">
        <v>245</v>
      </c>
      <c r="B264" s="64">
        <v>192.89776102677911</v>
      </c>
    </row>
    <row r="265" spans="1:2" x14ac:dyDescent="0.25">
      <c r="A265">
        <v>246</v>
      </c>
      <c r="B265" s="64">
        <v>199.28097468195443</v>
      </c>
    </row>
    <row r="266" spans="1:2" x14ac:dyDescent="0.25">
      <c r="A266">
        <v>247</v>
      </c>
      <c r="B266" s="64">
        <v>251.4907414476408</v>
      </c>
    </row>
    <row r="267" spans="1:2" x14ac:dyDescent="0.25">
      <c r="A267">
        <v>248</v>
      </c>
      <c r="B267" s="64">
        <v>221.31911299145372</v>
      </c>
    </row>
    <row r="268" spans="1:2" x14ac:dyDescent="0.25">
      <c r="A268">
        <v>249</v>
      </c>
      <c r="B268" s="64">
        <v>230.21029758878453</v>
      </c>
    </row>
    <row r="269" spans="1:2" x14ac:dyDescent="0.25">
      <c r="A269">
        <v>250</v>
      </c>
      <c r="B269" s="64">
        <v>268.75039919019207</v>
      </c>
    </row>
    <row r="270" spans="1:2" x14ac:dyDescent="0.25">
      <c r="A270">
        <v>251</v>
      </c>
      <c r="B270" s="64">
        <v>207.05075290009202</v>
      </c>
    </row>
    <row r="271" spans="1:2" x14ac:dyDescent="0.25">
      <c r="A271">
        <v>252</v>
      </c>
      <c r="B271" s="64">
        <v>191.60906350136773</v>
      </c>
    </row>
    <row r="272" spans="1:2" x14ac:dyDescent="0.25">
      <c r="A272">
        <v>253</v>
      </c>
      <c r="B272" s="64">
        <v>285.03174797105328</v>
      </c>
    </row>
    <row r="273" spans="1:2" x14ac:dyDescent="0.25">
      <c r="A273">
        <v>254</v>
      </c>
      <c r="B273" s="64">
        <v>234.41679932523579</v>
      </c>
    </row>
    <row r="274" spans="1:2" x14ac:dyDescent="0.25">
      <c r="A274">
        <v>255</v>
      </c>
      <c r="B274" s="64">
        <v>226.22389070115472</v>
      </c>
    </row>
    <row r="275" spans="1:2" x14ac:dyDescent="0.25">
      <c r="A275">
        <v>256</v>
      </c>
      <c r="B275" s="64">
        <v>205.51538639298852</v>
      </c>
    </row>
    <row r="276" spans="1:2" x14ac:dyDescent="0.25">
      <c r="A276">
        <v>257</v>
      </c>
      <c r="B276" s="64">
        <v>282.68126168846072</v>
      </c>
    </row>
    <row r="277" spans="1:2" x14ac:dyDescent="0.25">
      <c r="A277">
        <v>258</v>
      </c>
      <c r="B277" s="64">
        <v>246.2536798767832</v>
      </c>
    </row>
    <row r="278" spans="1:2" x14ac:dyDescent="0.25">
      <c r="A278">
        <v>259</v>
      </c>
      <c r="B278" s="64">
        <v>258.70767816638147</v>
      </c>
    </row>
    <row r="279" spans="1:2" x14ac:dyDescent="0.25">
      <c r="A279">
        <v>260</v>
      </c>
      <c r="B279" s="64">
        <v>207.35944961949565</v>
      </c>
    </row>
    <row r="280" spans="1:2" x14ac:dyDescent="0.25">
      <c r="A280">
        <v>261</v>
      </c>
      <c r="B280" s="64">
        <v>332.58622445407212</v>
      </c>
    </row>
    <row r="281" spans="1:2" x14ac:dyDescent="0.25">
      <c r="A281">
        <v>262</v>
      </c>
      <c r="B281" s="64">
        <v>214.19122740346532</v>
      </c>
    </row>
    <row r="282" spans="1:2" x14ac:dyDescent="0.25">
      <c r="A282">
        <v>263</v>
      </c>
      <c r="B282" s="64">
        <v>220.17517153093178</v>
      </c>
    </row>
    <row r="283" spans="1:2" x14ac:dyDescent="0.25">
      <c r="A283">
        <v>264</v>
      </c>
      <c r="B283" s="64">
        <v>328.46987241615415</v>
      </c>
    </row>
    <row r="284" spans="1:2" x14ac:dyDescent="0.25">
      <c r="A284">
        <v>265</v>
      </c>
      <c r="B284" s="64">
        <v>297.31066696899654</v>
      </c>
    </row>
    <row r="285" spans="1:2" x14ac:dyDescent="0.25">
      <c r="A285">
        <v>266</v>
      </c>
      <c r="B285" s="64">
        <v>217.00102137903747</v>
      </c>
    </row>
    <row r="286" spans="1:2" x14ac:dyDescent="0.25">
      <c r="A286">
        <v>267</v>
      </c>
      <c r="B286" s="64">
        <v>326.94492134615695</v>
      </c>
    </row>
    <row r="287" spans="1:2" x14ac:dyDescent="0.25">
      <c r="A287">
        <v>268</v>
      </c>
      <c r="B287" s="64">
        <v>374.01111885053928</v>
      </c>
    </row>
    <row r="288" spans="1:2" x14ac:dyDescent="0.25">
      <c r="A288">
        <v>269</v>
      </c>
      <c r="B288" s="64">
        <v>195.86393444453267</v>
      </c>
    </row>
    <row r="289" spans="1:2" x14ac:dyDescent="0.25">
      <c r="A289">
        <v>270</v>
      </c>
      <c r="B289" s="64">
        <v>225.60558870118831</v>
      </c>
    </row>
    <row r="290" spans="1:2" x14ac:dyDescent="0.25">
      <c r="A290">
        <v>271</v>
      </c>
      <c r="B290" s="64">
        <v>261.8092794274483</v>
      </c>
    </row>
    <row r="291" spans="1:2" x14ac:dyDescent="0.25">
      <c r="A291">
        <v>272</v>
      </c>
      <c r="B291" s="64">
        <v>257.51571247716964</v>
      </c>
    </row>
    <row r="292" spans="1:2" x14ac:dyDescent="0.25">
      <c r="A292">
        <v>273</v>
      </c>
      <c r="B292" s="64">
        <v>299.73416162935104</v>
      </c>
    </row>
    <row r="293" spans="1:2" x14ac:dyDescent="0.25">
      <c r="A293">
        <v>274</v>
      </c>
      <c r="B293" s="64">
        <v>250.46732098115584</v>
      </c>
    </row>
    <row r="294" spans="1:2" x14ac:dyDescent="0.25">
      <c r="A294">
        <v>275</v>
      </c>
      <c r="B294" s="64">
        <v>287.24517926579119</v>
      </c>
    </row>
    <row r="295" spans="1:2" x14ac:dyDescent="0.25">
      <c r="A295">
        <v>276</v>
      </c>
      <c r="B295" s="64">
        <v>217.69486886525786</v>
      </c>
    </row>
    <row r="296" spans="1:2" x14ac:dyDescent="0.25">
      <c r="A296">
        <v>277</v>
      </c>
      <c r="B296" s="64">
        <v>284.89866810077456</v>
      </c>
    </row>
    <row r="297" spans="1:2" x14ac:dyDescent="0.25">
      <c r="A297">
        <v>278</v>
      </c>
      <c r="B297" s="64">
        <v>224.54313848020755</v>
      </c>
    </row>
    <row r="298" spans="1:2" x14ac:dyDescent="0.25">
      <c r="A298">
        <v>279</v>
      </c>
      <c r="B298" s="64">
        <v>231.8645769340325</v>
      </c>
    </row>
    <row r="299" spans="1:2" x14ac:dyDescent="0.25">
      <c r="A299">
        <v>280</v>
      </c>
      <c r="B299" s="64">
        <v>244.42189138363474</v>
      </c>
    </row>
    <row r="300" spans="1:2" x14ac:dyDescent="0.25">
      <c r="A300">
        <v>281</v>
      </c>
      <c r="B300" s="64">
        <v>177.55506463862466</v>
      </c>
    </row>
    <row r="301" spans="1:2" x14ac:dyDescent="0.25">
      <c r="A301">
        <v>282</v>
      </c>
      <c r="B301" s="64">
        <v>267.13474570669018</v>
      </c>
    </row>
    <row r="302" spans="1:2" x14ac:dyDescent="0.25">
      <c r="A302">
        <v>283</v>
      </c>
      <c r="B302" s="64">
        <v>285.23400153693115</v>
      </c>
    </row>
    <row r="303" spans="1:2" x14ac:dyDescent="0.25">
      <c r="A303">
        <v>284</v>
      </c>
      <c r="B303" s="64">
        <v>208.85889362724294</v>
      </c>
    </row>
    <row r="304" spans="1:2" x14ac:dyDescent="0.25">
      <c r="A304">
        <v>285</v>
      </c>
      <c r="B304" s="64">
        <v>228.02764548876851</v>
      </c>
    </row>
    <row r="305" spans="1:2" x14ac:dyDescent="0.25">
      <c r="A305">
        <v>286</v>
      </c>
      <c r="B305" s="64">
        <v>201.71027103651397</v>
      </c>
    </row>
    <row r="306" spans="1:2" x14ac:dyDescent="0.25">
      <c r="A306">
        <v>287</v>
      </c>
      <c r="B306" s="64">
        <v>180.53316448531612</v>
      </c>
    </row>
    <row r="307" spans="1:2" x14ac:dyDescent="0.25">
      <c r="A307">
        <v>288</v>
      </c>
      <c r="B307" s="64">
        <v>257.02259858458626</v>
      </c>
    </row>
    <row r="308" spans="1:2" x14ac:dyDescent="0.25">
      <c r="A308">
        <v>289</v>
      </c>
      <c r="B308" s="64">
        <v>221.22747557680907</v>
      </c>
    </row>
    <row r="309" spans="1:2" x14ac:dyDescent="0.25">
      <c r="A309">
        <v>290</v>
      </c>
      <c r="B309" s="64">
        <v>224.25594117843914</v>
      </c>
    </row>
    <row r="310" spans="1:2" x14ac:dyDescent="0.25">
      <c r="A310">
        <v>291</v>
      </c>
      <c r="B310" s="64">
        <v>220.38343111429549</v>
      </c>
    </row>
    <row r="311" spans="1:2" x14ac:dyDescent="0.25">
      <c r="A311">
        <v>292</v>
      </c>
      <c r="B311" s="64">
        <v>221.35236564096689</v>
      </c>
    </row>
    <row r="312" spans="1:2" x14ac:dyDescent="0.25">
      <c r="A312">
        <v>293</v>
      </c>
      <c r="B312" s="64">
        <v>247.65520199306727</v>
      </c>
    </row>
    <row r="313" spans="1:2" x14ac:dyDescent="0.25">
      <c r="A313">
        <v>294</v>
      </c>
      <c r="B313" s="64">
        <v>295.6602747831235</v>
      </c>
    </row>
    <row r="314" spans="1:2" x14ac:dyDescent="0.25">
      <c r="A314">
        <v>295</v>
      </c>
      <c r="B314" s="64">
        <v>217.50447176370736</v>
      </c>
    </row>
    <row r="315" spans="1:2" x14ac:dyDescent="0.25">
      <c r="A315">
        <v>296</v>
      </c>
      <c r="B315" s="64">
        <v>260.73034631696902</v>
      </c>
    </row>
    <row r="316" spans="1:2" x14ac:dyDescent="0.25">
      <c r="A316">
        <v>297</v>
      </c>
      <c r="B316" s="64">
        <v>226.45857356904858</v>
      </c>
    </row>
    <row r="317" spans="1:2" x14ac:dyDescent="0.25">
      <c r="A317">
        <v>298</v>
      </c>
      <c r="B317" s="64">
        <v>263.56020840590213</v>
      </c>
    </row>
    <row r="318" spans="1:2" x14ac:dyDescent="0.25">
      <c r="A318">
        <v>299</v>
      </c>
      <c r="B318" s="64">
        <v>242.63123149785241</v>
      </c>
    </row>
    <row r="319" spans="1:2" x14ac:dyDescent="0.25">
      <c r="A319">
        <v>300</v>
      </c>
      <c r="B319" s="64">
        <v>259.33925313188155</v>
      </c>
    </row>
    <row r="320" spans="1:2" x14ac:dyDescent="0.25">
      <c r="A320">
        <v>301</v>
      </c>
      <c r="B320" s="64">
        <v>215.50693044714387</v>
      </c>
    </row>
    <row r="321" spans="1:2" x14ac:dyDescent="0.25">
      <c r="A321">
        <v>302</v>
      </c>
      <c r="B321" s="64">
        <v>260.36776173929667</v>
      </c>
    </row>
    <row r="322" spans="1:2" x14ac:dyDescent="0.25">
      <c r="A322">
        <v>303</v>
      </c>
      <c r="B322" s="64">
        <v>273.44493155402449</v>
      </c>
    </row>
    <row r="323" spans="1:2" x14ac:dyDescent="0.25">
      <c r="A323">
        <v>304</v>
      </c>
      <c r="B323" s="64">
        <v>293.89641294800157</v>
      </c>
    </row>
    <row r="324" spans="1:2" x14ac:dyDescent="0.25">
      <c r="A324">
        <v>305</v>
      </c>
      <c r="B324" s="64">
        <v>209.23310288994395</v>
      </c>
    </row>
    <row r="325" spans="1:2" x14ac:dyDescent="0.25">
      <c r="A325">
        <v>306</v>
      </c>
      <c r="B325" s="64">
        <v>247.92070719281719</v>
      </c>
    </row>
    <row r="326" spans="1:2" x14ac:dyDescent="0.25">
      <c r="A326">
        <v>307</v>
      </c>
      <c r="B326" s="64">
        <v>304.61621531207948</v>
      </c>
    </row>
    <row r="327" spans="1:2" x14ac:dyDescent="0.25">
      <c r="A327">
        <v>308</v>
      </c>
      <c r="B327" s="64">
        <v>278.19625399008532</v>
      </c>
    </row>
    <row r="328" spans="1:2" x14ac:dyDescent="0.25">
      <c r="A328">
        <v>309</v>
      </c>
      <c r="B328" s="64">
        <v>289.63573692181626</v>
      </c>
    </row>
    <row r="329" spans="1:2" x14ac:dyDescent="0.25">
      <c r="A329">
        <v>310</v>
      </c>
      <c r="B329" s="64">
        <v>202.57443044163566</v>
      </c>
    </row>
    <row r="330" spans="1:2" x14ac:dyDescent="0.25">
      <c r="A330">
        <v>311</v>
      </c>
      <c r="B330" s="64">
        <v>230.24070801138217</v>
      </c>
    </row>
    <row r="331" spans="1:2" x14ac:dyDescent="0.25">
      <c r="A331">
        <v>312</v>
      </c>
      <c r="B331" s="64">
        <v>296.35412576142733</v>
      </c>
    </row>
    <row r="332" spans="1:2" x14ac:dyDescent="0.25">
      <c r="A332">
        <v>313</v>
      </c>
      <c r="B332" s="64">
        <v>346.98786968481545</v>
      </c>
    </row>
    <row r="333" spans="1:2" x14ac:dyDescent="0.25">
      <c r="A333">
        <v>314</v>
      </c>
      <c r="B333" s="64">
        <v>233.22545736468913</v>
      </c>
    </row>
    <row r="334" spans="1:2" x14ac:dyDescent="0.25">
      <c r="A334">
        <v>315</v>
      </c>
      <c r="B334" s="64">
        <v>282.84385510143932</v>
      </c>
    </row>
    <row r="335" spans="1:2" x14ac:dyDescent="0.25">
      <c r="A335">
        <v>316</v>
      </c>
      <c r="B335" s="64">
        <v>255.47956525397387</v>
      </c>
    </row>
    <row r="336" spans="1:2" x14ac:dyDescent="0.25">
      <c r="A336">
        <v>317</v>
      </c>
      <c r="B336" s="64">
        <v>210.84752707519525</v>
      </c>
    </row>
    <row r="337" spans="1:2" x14ac:dyDescent="0.25">
      <c r="A337">
        <v>318</v>
      </c>
      <c r="B337" s="64">
        <v>290.27418286709752</v>
      </c>
    </row>
    <row r="338" spans="1:2" x14ac:dyDescent="0.25">
      <c r="A338">
        <v>319</v>
      </c>
      <c r="B338" s="64">
        <v>238.29808236509098</v>
      </c>
    </row>
    <row r="339" spans="1:2" x14ac:dyDescent="0.25">
      <c r="A339">
        <v>320</v>
      </c>
      <c r="B339" s="64">
        <v>288.51266695859437</v>
      </c>
    </row>
    <row r="340" spans="1:2" x14ac:dyDescent="0.25">
      <c r="A340">
        <v>321</v>
      </c>
      <c r="B340" s="64">
        <v>222.11695947780444</v>
      </c>
    </row>
    <row r="341" spans="1:2" x14ac:dyDescent="0.25">
      <c r="A341">
        <v>322</v>
      </c>
      <c r="B341" s="64">
        <v>340.82837184586947</v>
      </c>
    </row>
    <row r="342" spans="1:2" x14ac:dyDescent="0.25">
      <c r="A342">
        <v>323</v>
      </c>
      <c r="B342" s="64">
        <v>249.86932307465509</v>
      </c>
    </row>
    <row r="343" spans="1:2" x14ac:dyDescent="0.25">
      <c r="A343">
        <v>324</v>
      </c>
      <c r="B343" s="64">
        <v>244.46892698318743</v>
      </c>
    </row>
    <row r="344" spans="1:2" x14ac:dyDescent="0.25">
      <c r="A344">
        <v>325</v>
      </c>
      <c r="B344" s="64">
        <v>245.19468451735807</v>
      </c>
    </row>
    <row r="345" spans="1:2" x14ac:dyDescent="0.25">
      <c r="A345">
        <v>326</v>
      </c>
      <c r="B345" s="64">
        <v>259.46970371663502</v>
      </c>
    </row>
    <row r="346" spans="1:2" x14ac:dyDescent="0.25">
      <c r="A346">
        <v>327</v>
      </c>
      <c r="B346" s="64">
        <v>252.24500334166169</v>
      </c>
    </row>
    <row r="347" spans="1:2" x14ac:dyDescent="0.25">
      <c r="A347">
        <v>328</v>
      </c>
      <c r="B347" s="64">
        <v>189.28928677794806</v>
      </c>
    </row>
    <row r="348" spans="1:2" x14ac:dyDescent="0.25">
      <c r="A348">
        <v>329</v>
      </c>
      <c r="B348" s="64">
        <v>190.67526968130164</v>
      </c>
    </row>
    <row r="349" spans="1:2" x14ac:dyDescent="0.25">
      <c r="A349">
        <v>330</v>
      </c>
      <c r="B349" s="64">
        <v>226.37743364394368</v>
      </c>
    </row>
    <row r="350" spans="1:2" x14ac:dyDescent="0.25">
      <c r="A350">
        <v>331</v>
      </c>
      <c r="B350" s="64">
        <v>260.49515272914488</v>
      </c>
    </row>
    <row r="351" spans="1:2" x14ac:dyDescent="0.25">
      <c r="A351">
        <v>332</v>
      </c>
      <c r="B351" s="64">
        <v>165.45586890584204</v>
      </c>
    </row>
    <row r="352" spans="1:2" x14ac:dyDescent="0.25">
      <c r="A352">
        <v>333</v>
      </c>
      <c r="B352" s="64">
        <v>259.42254154446056</v>
      </c>
    </row>
    <row r="353" spans="1:2" x14ac:dyDescent="0.25">
      <c r="A353">
        <v>334</v>
      </c>
      <c r="B353" s="64">
        <v>222.26270231705305</v>
      </c>
    </row>
    <row r="354" spans="1:2" x14ac:dyDescent="0.25">
      <c r="A354">
        <v>335</v>
      </c>
      <c r="B354" s="64">
        <v>237.87143950234599</v>
      </c>
    </row>
    <row r="355" spans="1:2" x14ac:dyDescent="0.25">
      <c r="A355">
        <v>336</v>
      </c>
      <c r="B355" s="64">
        <v>225.30464926577261</v>
      </c>
    </row>
    <row r="356" spans="1:2" x14ac:dyDescent="0.25">
      <c r="A356">
        <v>337</v>
      </c>
      <c r="B356" s="64">
        <v>259.59449534312887</v>
      </c>
    </row>
    <row r="357" spans="1:2" x14ac:dyDescent="0.25">
      <c r="A357">
        <v>338</v>
      </c>
      <c r="B357" s="64">
        <v>262.64005157513759</v>
      </c>
    </row>
    <row r="358" spans="1:2" x14ac:dyDescent="0.25">
      <c r="A358">
        <v>339</v>
      </c>
      <c r="B358" s="64">
        <v>299.4614897683818</v>
      </c>
    </row>
    <row r="359" spans="1:2" x14ac:dyDescent="0.25">
      <c r="A359">
        <v>340</v>
      </c>
      <c r="B359" s="64">
        <v>188.73682467961916</v>
      </c>
    </row>
    <row r="360" spans="1:2" x14ac:dyDescent="0.25">
      <c r="A360">
        <v>341</v>
      </c>
      <c r="B360" s="64">
        <v>246.52192936805406</v>
      </c>
    </row>
    <row r="361" spans="1:2" x14ac:dyDescent="0.25">
      <c r="A361">
        <v>342</v>
      </c>
      <c r="B361" s="64">
        <v>284.62236847263728</v>
      </c>
    </row>
    <row r="362" spans="1:2" x14ac:dyDescent="0.25">
      <c r="A362">
        <v>343</v>
      </c>
      <c r="B362" s="64">
        <v>220.55473747720279</v>
      </c>
    </row>
    <row r="363" spans="1:2" x14ac:dyDescent="0.25">
      <c r="A363">
        <v>344</v>
      </c>
      <c r="B363" s="64">
        <v>275.66804565500308</v>
      </c>
    </row>
    <row r="364" spans="1:2" x14ac:dyDescent="0.25">
      <c r="A364">
        <v>345</v>
      </c>
      <c r="B364" s="64">
        <v>249.08835182697075</v>
      </c>
    </row>
    <row r="365" spans="1:2" x14ac:dyDescent="0.25">
      <c r="A365">
        <v>346</v>
      </c>
      <c r="B365" s="64">
        <v>273.88534186334795</v>
      </c>
    </row>
    <row r="366" spans="1:2" x14ac:dyDescent="0.25">
      <c r="A366">
        <v>347</v>
      </c>
      <c r="B366" s="64">
        <v>167.20995983713243</v>
      </c>
    </row>
    <row r="367" spans="1:2" x14ac:dyDescent="0.25">
      <c r="A367">
        <v>348</v>
      </c>
      <c r="B367" s="64">
        <v>256.22124281821527</v>
      </c>
    </row>
    <row r="368" spans="1:2" x14ac:dyDescent="0.25">
      <c r="A368">
        <v>349</v>
      </c>
      <c r="B368" s="64">
        <v>239.16096307215571</v>
      </c>
    </row>
    <row r="369" spans="1:2" x14ac:dyDescent="0.25">
      <c r="A369">
        <v>350</v>
      </c>
      <c r="B369" s="64">
        <v>327.26132885272483</v>
      </c>
    </row>
    <row r="370" spans="1:2" x14ac:dyDescent="0.25">
      <c r="A370">
        <v>351</v>
      </c>
      <c r="B370" s="64">
        <v>296.30511972611038</v>
      </c>
    </row>
    <row r="371" spans="1:2" x14ac:dyDescent="0.25">
      <c r="A371">
        <v>352</v>
      </c>
      <c r="B371" s="64">
        <v>301.76660620208253</v>
      </c>
    </row>
    <row r="372" spans="1:2" x14ac:dyDescent="0.25">
      <c r="A372">
        <v>353</v>
      </c>
      <c r="B372" s="64">
        <v>274.07496823836453</v>
      </c>
    </row>
    <row r="373" spans="1:2" x14ac:dyDescent="0.25">
      <c r="A373">
        <v>354</v>
      </c>
      <c r="B373" s="64">
        <v>228.67785870806125</v>
      </c>
    </row>
    <row r="374" spans="1:2" x14ac:dyDescent="0.25">
      <c r="A374">
        <v>355</v>
      </c>
      <c r="B374" s="64">
        <v>276.00209445246554</v>
      </c>
    </row>
    <row r="375" spans="1:2" x14ac:dyDescent="0.25">
      <c r="A375">
        <v>356</v>
      </c>
      <c r="B375" s="64">
        <v>285.30516309049568</v>
      </c>
    </row>
    <row r="376" spans="1:2" x14ac:dyDescent="0.25">
      <c r="A376">
        <v>357</v>
      </c>
      <c r="B376" s="64">
        <v>238.91963523231777</v>
      </c>
    </row>
    <row r="377" spans="1:2" x14ac:dyDescent="0.25">
      <c r="A377">
        <v>358</v>
      </c>
      <c r="B377" s="64">
        <v>284.22907168418647</v>
      </c>
    </row>
    <row r="378" spans="1:2" x14ac:dyDescent="0.25">
      <c r="A378">
        <v>359</v>
      </c>
      <c r="B378" s="64">
        <v>226.05479498982476</v>
      </c>
    </row>
    <row r="379" spans="1:2" x14ac:dyDescent="0.25">
      <c r="A379">
        <v>360</v>
      </c>
      <c r="B379" s="64">
        <v>355.51217064458245</v>
      </c>
    </row>
    <row r="380" spans="1:2" x14ac:dyDescent="0.25">
      <c r="A380">
        <v>361</v>
      </c>
      <c r="B380" s="64">
        <v>267.02620999138622</v>
      </c>
    </row>
    <row r="381" spans="1:2" x14ac:dyDescent="0.25">
      <c r="A381">
        <v>362</v>
      </c>
      <c r="B381" s="64">
        <v>249.20083270346828</v>
      </c>
    </row>
    <row r="382" spans="1:2" x14ac:dyDescent="0.25">
      <c r="A382">
        <v>363</v>
      </c>
      <c r="B382" s="64">
        <v>275.40138994925786</v>
      </c>
    </row>
    <row r="383" spans="1:2" x14ac:dyDescent="0.25">
      <c r="A383">
        <v>364</v>
      </c>
      <c r="B383" s="64">
        <v>265.8106387047244</v>
      </c>
    </row>
    <row r="384" spans="1:2" x14ac:dyDescent="0.25">
      <c r="A384">
        <v>365</v>
      </c>
      <c r="B384" s="64">
        <v>314.29240195426678</v>
      </c>
    </row>
    <row r="385" spans="1:2" x14ac:dyDescent="0.25">
      <c r="A385">
        <v>366</v>
      </c>
      <c r="B385" s="64">
        <v>186.30404486886081</v>
      </c>
    </row>
    <row r="386" spans="1:2" x14ac:dyDescent="0.25">
      <c r="A386">
        <v>367</v>
      </c>
      <c r="B386" s="64">
        <v>253.41991547979981</v>
      </c>
    </row>
    <row r="387" spans="1:2" x14ac:dyDescent="0.25">
      <c r="A387">
        <v>368</v>
      </c>
      <c r="B387" s="64">
        <v>247.60188071116406</v>
      </c>
    </row>
    <row r="388" spans="1:2" x14ac:dyDescent="0.25">
      <c r="A388">
        <v>369</v>
      </c>
      <c r="B388" s="64">
        <v>243.63959113493078</v>
      </c>
    </row>
    <row r="389" spans="1:2" x14ac:dyDescent="0.25">
      <c r="A389">
        <v>370</v>
      </c>
      <c r="B389" s="64">
        <v>229.67704273236097</v>
      </c>
    </row>
    <row r="390" spans="1:2" x14ac:dyDescent="0.25">
      <c r="A390">
        <v>371</v>
      </c>
      <c r="B390" s="64">
        <v>189.55654654361922</v>
      </c>
    </row>
    <row r="391" spans="1:2" x14ac:dyDescent="0.25">
      <c r="A391">
        <v>372</v>
      </c>
      <c r="B391" s="64">
        <v>214.53641641643563</v>
      </c>
    </row>
    <row r="392" spans="1:2" x14ac:dyDescent="0.25">
      <c r="A392">
        <v>373</v>
      </c>
      <c r="B392" s="64">
        <v>236.92321511747497</v>
      </c>
    </row>
    <row r="393" spans="1:2" x14ac:dyDescent="0.25">
      <c r="A393">
        <v>374</v>
      </c>
      <c r="B393" s="64">
        <v>177.02948022574523</v>
      </c>
    </row>
    <row r="394" spans="1:2" x14ac:dyDescent="0.25">
      <c r="A394">
        <v>375</v>
      </c>
      <c r="B394" s="64">
        <v>294.52761319145611</v>
      </c>
    </row>
    <row r="395" spans="1:2" x14ac:dyDescent="0.25">
      <c r="A395">
        <v>376</v>
      </c>
      <c r="B395" s="64">
        <v>230.21224869805599</v>
      </c>
    </row>
    <row r="396" spans="1:2" x14ac:dyDescent="0.25">
      <c r="A396">
        <v>377</v>
      </c>
      <c r="B396" s="64">
        <v>181.49997129758037</v>
      </c>
    </row>
    <row r="397" spans="1:2" x14ac:dyDescent="0.25">
      <c r="A397">
        <v>378</v>
      </c>
      <c r="B397" s="64">
        <v>245.67154806531141</v>
      </c>
    </row>
    <row r="398" spans="1:2" x14ac:dyDescent="0.25">
      <c r="A398">
        <v>379</v>
      </c>
      <c r="B398" s="64">
        <v>268.83571539659704</v>
      </c>
    </row>
    <row r="399" spans="1:2" x14ac:dyDescent="0.25">
      <c r="A399">
        <v>380</v>
      </c>
      <c r="B399" s="64">
        <v>216.08661107394448</v>
      </c>
    </row>
    <row r="400" spans="1:2" x14ac:dyDescent="0.25">
      <c r="A400">
        <v>381</v>
      </c>
      <c r="B400" s="64">
        <v>268.65456607409112</v>
      </c>
    </row>
    <row r="401" spans="1:2" x14ac:dyDescent="0.25">
      <c r="A401">
        <v>382</v>
      </c>
      <c r="B401" s="64">
        <v>226.4035451134541</v>
      </c>
    </row>
    <row r="402" spans="1:2" x14ac:dyDescent="0.25">
      <c r="A402">
        <v>383</v>
      </c>
      <c r="B402" s="64">
        <v>243.67183663272579</v>
      </c>
    </row>
    <row r="403" spans="1:2" x14ac:dyDescent="0.25">
      <c r="A403">
        <v>384</v>
      </c>
      <c r="B403" s="64">
        <v>184.52997706881558</v>
      </c>
    </row>
    <row r="404" spans="1:2" x14ac:dyDescent="0.25">
      <c r="A404">
        <v>385</v>
      </c>
      <c r="B404" s="64">
        <v>277.07132627157841</v>
      </c>
    </row>
    <row r="405" spans="1:2" x14ac:dyDescent="0.25">
      <c r="A405">
        <v>386</v>
      </c>
      <c r="B405" s="64">
        <v>240.35225969218286</v>
      </c>
    </row>
    <row r="406" spans="1:2" x14ac:dyDescent="0.25">
      <c r="A406">
        <v>387</v>
      </c>
      <c r="B406" s="64">
        <v>263.64257144540204</v>
      </c>
    </row>
    <row r="407" spans="1:2" x14ac:dyDescent="0.25">
      <c r="A407">
        <v>388</v>
      </c>
      <c r="B407" s="64">
        <v>222.66328889020846</v>
      </c>
    </row>
    <row r="408" spans="1:2" x14ac:dyDescent="0.25">
      <c r="A408">
        <v>389</v>
      </c>
      <c r="B408" s="64">
        <v>302.49575891283575</v>
      </c>
    </row>
    <row r="409" spans="1:2" x14ac:dyDescent="0.25">
      <c r="A409">
        <v>390</v>
      </c>
      <c r="B409" s="64">
        <v>195.34715753818517</v>
      </c>
    </row>
    <row r="410" spans="1:2" x14ac:dyDescent="0.25">
      <c r="A410">
        <v>391</v>
      </c>
      <c r="B410" s="64">
        <v>224.8842886693273</v>
      </c>
    </row>
    <row r="411" spans="1:2" x14ac:dyDescent="0.25">
      <c r="A411">
        <v>392</v>
      </c>
      <c r="B411" s="64">
        <v>273.33203076375372</v>
      </c>
    </row>
    <row r="412" spans="1:2" x14ac:dyDescent="0.25">
      <c r="A412">
        <v>393</v>
      </c>
      <c r="B412" s="64">
        <v>289.98864804655204</v>
      </c>
    </row>
    <row r="413" spans="1:2" x14ac:dyDescent="0.25">
      <c r="A413">
        <v>394</v>
      </c>
      <c r="B413" s="64">
        <v>206.39987031052823</v>
      </c>
    </row>
    <row r="414" spans="1:2" x14ac:dyDescent="0.25">
      <c r="A414">
        <v>395</v>
      </c>
      <c r="B414" s="64">
        <v>223.48854712675106</v>
      </c>
    </row>
    <row r="415" spans="1:2" x14ac:dyDescent="0.25">
      <c r="A415">
        <v>396</v>
      </c>
      <c r="B415" s="64">
        <v>255.21474338398721</v>
      </c>
    </row>
    <row r="416" spans="1:2" x14ac:dyDescent="0.25">
      <c r="A416">
        <v>397</v>
      </c>
      <c r="B416" s="64">
        <v>226.54032501272903</v>
      </c>
    </row>
    <row r="417" spans="1:2" x14ac:dyDescent="0.25">
      <c r="A417">
        <v>398</v>
      </c>
      <c r="B417" s="64">
        <v>304.31542989741718</v>
      </c>
    </row>
    <row r="418" spans="1:2" x14ac:dyDescent="0.25">
      <c r="A418">
        <v>399</v>
      </c>
      <c r="B418" s="64">
        <v>241.13318772296128</v>
      </c>
    </row>
    <row r="419" spans="1:2" x14ac:dyDescent="0.25">
      <c r="A419">
        <v>400</v>
      </c>
      <c r="B419" s="64">
        <v>286.63701697661236</v>
      </c>
    </row>
    <row r="420" spans="1:2" x14ac:dyDescent="0.25">
      <c r="A420">
        <v>401</v>
      </c>
      <c r="B420" s="64">
        <v>300.68417872402495</v>
      </c>
    </row>
    <row r="421" spans="1:2" x14ac:dyDescent="0.25">
      <c r="A421">
        <v>402</v>
      </c>
      <c r="B421" s="64">
        <v>285.82587021446528</v>
      </c>
    </row>
    <row r="422" spans="1:2" x14ac:dyDescent="0.25">
      <c r="A422">
        <v>403</v>
      </c>
      <c r="B422" s="64">
        <v>289.91828218406647</v>
      </c>
    </row>
    <row r="423" spans="1:2" x14ac:dyDescent="0.25">
      <c r="A423">
        <v>404</v>
      </c>
      <c r="B423" s="64">
        <v>263.69396273787345</v>
      </c>
    </row>
    <row r="424" spans="1:2" x14ac:dyDescent="0.25">
      <c r="A424">
        <v>405</v>
      </c>
      <c r="B424" s="64">
        <v>265.14784416305628</v>
      </c>
    </row>
    <row r="425" spans="1:2" x14ac:dyDescent="0.25">
      <c r="A425">
        <v>406</v>
      </c>
      <c r="B425" s="64">
        <v>323.09067729244998</v>
      </c>
    </row>
    <row r="426" spans="1:2" x14ac:dyDescent="0.25">
      <c r="A426">
        <v>407</v>
      </c>
      <c r="B426" s="64">
        <v>256.32281180949627</v>
      </c>
    </row>
    <row r="427" spans="1:2" x14ac:dyDescent="0.25">
      <c r="A427">
        <v>408</v>
      </c>
      <c r="B427" s="64">
        <v>229.57782777139056</v>
      </c>
    </row>
    <row r="428" spans="1:2" x14ac:dyDescent="0.25">
      <c r="A428">
        <v>409</v>
      </c>
      <c r="B428" s="64">
        <v>269.92203959892026</v>
      </c>
    </row>
    <row r="429" spans="1:2" x14ac:dyDescent="0.25">
      <c r="A429">
        <v>410</v>
      </c>
      <c r="B429" s="64">
        <v>201.67258723408872</v>
      </c>
    </row>
    <row r="430" spans="1:2" x14ac:dyDescent="0.25">
      <c r="A430">
        <v>411</v>
      </c>
      <c r="B430" s="64">
        <v>284.81549055483737</v>
      </c>
    </row>
    <row r="431" spans="1:2" x14ac:dyDescent="0.25">
      <c r="A431">
        <v>412</v>
      </c>
      <c r="B431" s="64">
        <v>224.88310543161779</v>
      </c>
    </row>
    <row r="432" spans="1:2" x14ac:dyDescent="0.25">
      <c r="A432">
        <v>413</v>
      </c>
      <c r="B432" s="64">
        <v>274.02322913536938</v>
      </c>
    </row>
    <row r="433" spans="1:2" x14ac:dyDescent="0.25">
      <c r="A433">
        <v>414</v>
      </c>
      <c r="B433" s="64">
        <v>150.3188637405155</v>
      </c>
    </row>
    <row r="434" spans="1:2" x14ac:dyDescent="0.25">
      <c r="A434">
        <v>415</v>
      </c>
      <c r="B434" s="64">
        <v>205.98426532014014</v>
      </c>
    </row>
    <row r="435" spans="1:2" x14ac:dyDescent="0.25">
      <c r="A435">
        <v>416</v>
      </c>
      <c r="B435" s="64">
        <v>239.49084656210667</v>
      </c>
    </row>
    <row r="436" spans="1:2" x14ac:dyDescent="0.25">
      <c r="A436">
        <v>417</v>
      </c>
      <c r="B436" s="64">
        <v>229.75501621467438</v>
      </c>
    </row>
    <row r="437" spans="1:2" x14ac:dyDescent="0.25">
      <c r="A437">
        <v>418</v>
      </c>
      <c r="B437" s="64">
        <v>191.20332189390362</v>
      </c>
    </row>
    <row r="438" spans="1:2" x14ac:dyDescent="0.25">
      <c r="A438">
        <v>419</v>
      </c>
      <c r="B438" s="64">
        <v>234.68238417022729</v>
      </c>
    </row>
    <row r="439" spans="1:2" x14ac:dyDescent="0.25">
      <c r="A439">
        <v>420</v>
      </c>
      <c r="B439" s="64">
        <v>275.86720555050425</v>
      </c>
    </row>
    <row r="440" spans="1:2" x14ac:dyDescent="0.25">
      <c r="A440">
        <v>421</v>
      </c>
      <c r="B440" s="64">
        <v>232.57602399241409</v>
      </c>
    </row>
    <row r="441" spans="1:2" x14ac:dyDescent="0.25">
      <c r="A441">
        <v>422</v>
      </c>
      <c r="B441" s="64">
        <v>220.02402663258059</v>
      </c>
    </row>
    <row r="442" spans="1:2" x14ac:dyDescent="0.25">
      <c r="A442">
        <v>423</v>
      </c>
      <c r="B442" s="64">
        <v>245.22052526261331</v>
      </c>
    </row>
    <row r="443" spans="1:2" x14ac:dyDescent="0.25">
      <c r="A443">
        <v>424</v>
      </c>
      <c r="B443" s="64">
        <v>225.03401623586433</v>
      </c>
    </row>
    <row r="444" spans="1:2" x14ac:dyDescent="0.25">
      <c r="A444">
        <v>425</v>
      </c>
      <c r="B444" s="64">
        <v>215.71961428400465</v>
      </c>
    </row>
    <row r="445" spans="1:2" x14ac:dyDescent="0.25">
      <c r="A445">
        <v>426</v>
      </c>
      <c r="B445" s="64">
        <v>243.88562887097871</v>
      </c>
    </row>
    <row r="446" spans="1:2" x14ac:dyDescent="0.25">
      <c r="A446">
        <v>427</v>
      </c>
      <c r="B446" s="64">
        <v>221.46713462075408</v>
      </c>
    </row>
    <row r="447" spans="1:2" x14ac:dyDescent="0.25">
      <c r="A447">
        <v>428</v>
      </c>
      <c r="B447" s="64">
        <v>183.1506553793771</v>
      </c>
    </row>
    <row r="448" spans="1:2" x14ac:dyDescent="0.25">
      <c r="A448">
        <v>429</v>
      </c>
      <c r="B448" s="64">
        <v>243.7756923469378</v>
      </c>
    </row>
    <row r="449" spans="1:2" x14ac:dyDescent="0.25">
      <c r="A449">
        <v>430</v>
      </c>
      <c r="B449" s="64">
        <v>271.05329651131234</v>
      </c>
    </row>
    <row r="450" spans="1:2" x14ac:dyDescent="0.25">
      <c r="A450">
        <v>431</v>
      </c>
      <c r="B450" s="64">
        <v>273.31656482520145</v>
      </c>
    </row>
    <row r="451" spans="1:2" x14ac:dyDescent="0.25">
      <c r="A451">
        <v>432</v>
      </c>
      <c r="B451" s="64">
        <v>268.10440711317415</v>
      </c>
    </row>
    <row r="452" spans="1:2" x14ac:dyDescent="0.25">
      <c r="A452">
        <v>433</v>
      </c>
      <c r="B452" s="64">
        <v>266.58200774475154</v>
      </c>
    </row>
    <row r="453" spans="1:2" x14ac:dyDescent="0.25">
      <c r="A453">
        <v>434</v>
      </c>
      <c r="B453" s="64">
        <v>239.69578228110808</v>
      </c>
    </row>
    <row r="454" spans="1:2" x14ac:dyDescent="0.25">
      <c r="A454">
        <v>435</v>
      </c>
      <c r="B454" s="64">
        <v>283.07913911425408</v>
      </c>
    </row>
    <row r="455" spans="1:2" x14ac:dyDescent="0.25">
      <c r="A455">
        <v>436</v>
      </c>
      <c r="B455" s="64">
        <v>271.98969800462271</v>
      </c>
    </row>
    <row r="456" spans="1:2" x14ac:dyDescent="0.25">
      <c r="A456">
        <v>437</v>
      </c>
      <c r="B456" s="64">
        <v>209.76985619656361</v>
      </c>
    </row>
    <row r="457" spans="1:2" x14ac:dyDescent="0.25">
      <c r="A457">
        <v>438</v>
      </c>
      <c r="B457" s="64">
        <v>207.58470811254639</v>
      </c>
    </row>
    <row r="458" spans="1:2" x14ac:dyDescent="0.25">
      <c r="A458">
        <v>439</v>
      </c>
      <c r="B458" s="64">
        <v>287.38186931276772</v>
      </c>
    </row>
    <row r="459" spans="1:2" x14ac:dyDescent="0.25">
      <c r="A459">
        <v>440</v>
      </c>
      <c r="B459" s="64">
        <v>320.74329378818902</v>
      </c>
    </row>
    <row r="460" spans="1:2" x14ac:dyDescent="0.25">
      <c r="A460">
        <v>441</v>
      </c>
      <c r="B460" s="64">
        <v>274.53252551342433</v>
      </c>
    </row>
    <row r="461" spans="1:2" x14ac:dyDescent="0.25">
      <c r="A461">
        <v>442</v>
      </c>
      <c r="B461" s="64">
        <v>237.25423065286958</v>
      </c>
    </row>
    <row r="462" spans="1:2" x14ac:dyDescent="0.25">
      <c r="A462">
        <v>443</v>
      </c>
      <c r="B462" s="64">
        <v>277.58450252601057</v>
      </c>
    </row>
    <row r="463" spans="1:2" x14ac:dyDescent="0.25">
      <c r="A463">
        <v>444</v>
      </c>
      <c r="B463" s="64">
        <v>274.78425099584047</v>
      </c>
    </row>
    <row r="464" spans="1:2" x14ac:dyDescent="0.25">
      <c r="A464">
        <v>445</v>
      </c>
      <c r="B464" s="64">
        <v>193.82849029428266</v>
      </c>
    </row>
    <row r="465" spans="1:2" x14ac:dyDescent="0.25">
      <c r="A465">
        <v>446</v>
      </c>
      <c r="B465" s="64">
        <v>296.82294035435251</v>
      </c>
    </row>
    <row r="466" spans="1:2" x14ac:dyDescent="0.25">
      <c r="A466">
        <v>447</v>
      </c>
      <c r="B466" s="64">
        <v>254.38168940235849</v>
      </c>
    </row>
    <row r="467" spans="1:2" x14ac:dyDescent="0.25">
      <c r="A467">
        <v>448</v>
      </c>
      <c r="B467" s="64">
        <v>225.14854078388748</v>
      </c>
    </row>
    <row r="468" spans="1:2" x14ac:dyDescent="0.25">
      <c r="A468">
        <v>449</v>
      </c>
      <c r="B468" s="64">
        <v>233.45169752784795</v>
      </c>
    </row>
    <row r="469" spans="1:2" x14ac:dyDescent="0.25">
      <c r="A469">
        <v>450</v>
      </c>
      <c r="B469" s="64">
        <v>323.13754353682418</v>
      </c>
    </row>
    <row r="470" spans="1:2" x14ac:dyDescent="0.25">
      <c r="A470">
        <v>451</v>
      </c>
      <c r="B470" s="64">
        <v>218.1352912835695</v>
      </c>
    </row>
    <row r="471" spans="1:2" x14ac:dyDescent="0.25">
      <c r="A471">
        <v>452</v>
      </c>
      <c r="B471" s="64">
        <v>213.53126315812355</v>
      </c>
    </row>
    <row r="472" spans="1:2" x14ac:dyDescent="0.25">
      <c r="A472">
        <v>453</v>
      </c>
      <c r="B472" s="64">
        <v>261.02703838465629</v>
      </c>
    </row>
    <row r="473" spans="1:2" x14ac:dyDescent="0.25">
      <c r="A473">
        <v>454</v>
      </c>
      <c r="B473" s="64">
        <v>288.08831391944284</v>
      </c>
    </row>
    <row r="474" spans="1:2" x14ac:dyDescent="0.25">
      <c r="A474">
        <v>455</v>
      </c>
      <c r="B474" s="64">
        <v>219.08804725839741</v>
      </c>
    </row>
    <row r="475" spans="1:2" x14ac:dyDescent="0.25">
      <c r="A475">
        <v>456</v>
      </c>
      <c r="B475" s="64">
        <v>210.4608759272831</v>
      </c>
    </row>
    <row r="476" spans="1:2" x14ac:dyDescent="0.25">
      <c r="A476">
        <v>457</v>
      </c>
      <c r="B476" s="64">
        <v>214.40788578856109</v>
      </c>
    </row>
    <row r="477" spans="1:2" x14ac:dyDescent="0.25">
      <c r="A477">
        <v>458</v>
      </c>
      <c r="B477" s="64">
        <v>206.5576287682901</v>
      </c>
    </row>
    <row r="478" spans="1:2" x14ac:dyDescent="0.25">
      <c r="A478">
        <v>459</v>
      </c>
      <c r="B478" s="64">
        <v>283.1224510459665</v>
      </c>
    </row>
    <row r="479" spans="1:2" x14ac:dyDescent="0.25">
      <c r="A479">
        <v>460</v>
      </c>
      <c r="B479" s="64">
        <v>212.69146401880747</v>
      </c>
    </row>
    <row r="480" spans="1:2" x14ac:dyDescent="0.25">
      <c r="A480">
        <v>461</v>
      </c>
      <c r="B480" s="64">
        <v>331.20168267197897</v>
      </c>
    </row>
    <row r="481" spans="1:2" x14ac:dyDescent="0.25">
      <c r="A481">
        <v>462</v>
      </c>
      <c r="B481" s="64">
        <v>178.58530178678211</v>
      </c>
    </row>
    <row r="482" spans="1:2" x14ac:dyDescent="0.25">
      <c r="A482">
        <v>463</v>
      </c>
      <c r="B482" s="64">
        <v>209.3998182259248</v>
      </c>
    </row>
    <row r="483" spans="1:2" x14ac:dyDescent="0.25">
      <c r="A483">
        <v>464</v>
      </c>
      <c r="B483" s="64">
        <v>222.44188586210336</v>
      </c>
    </row>
    <row r="484" spans="1:2" x14ac:dyDescent="0.25">
      <c r="A484">
        <v>465</v>
      </c>
      <c r="B484" s="64">
        <v>235.97487839312893</v>
      </c>
    </row>
    <row r="485" spans="1:2" x14ac:dyDescent="0.25">
      <c r="A485">
        <v>466</v>
      </c>
      <c r="B485" s="64">
        <v>207.52348624255043</v>
      </c>
    </row>
    <row r="486" spans="1:2" x14ac:dyDescent="0.25">
      <c r="A486">
        <v>467</v>
      </c>
      <c r="B486" s="64">
        <v>190.71980660785445</v>
      </c>
    </row>
    <row r="487" spans="1:2" x14ac:dyDescent="0.25">
      <c r="A487">
        <v>468</v>
      </c>
      <c r="B487" s="64">
        <v>232.53407279753796</v>
      </c>
    </row>
    <row r="488" spans="1:2" x14ac:dyDescent="0.25">
      <c r="A488">
        <v>469</v>
      </c>
      <c r="B488" s="64">
        <v>235.56192611641472</v>
      </c>
    </row>
    <row r="489" spans="1:2" x14ac:dyDescent="0.25">
      <c r="A489">
        <v>470</v>
      </c>
      <c r="B489" s="64">
        <v>298.31865941197191</v>
      </c>
    </row>
    <row r="490" spans="1:2" x14ac:dyDescent="0.25">
      <c r="A490">
        <v>471</v>
      </c>
      <c r="B490" s="64">
        <v>222.46661125424058</v>
      </c>
    </row>
    <row r="491" spans="1:2" x14ac:dyDescent="0.25">
      <c r="A491">
        <v>472</v>
      </c>
      <c r="B491" s="64">
        <v>275.6596710404952</v>
      </c>
    </row>
    <row r="492" spans="1:2" x14ac:dyDescent="0.25">
      <c r="A492">
        <v>473</v>
      </c>
      <c r="B492" s="64">
        <v>222.83661927007239</v>
      </c>
    </row>
    <row r="493" spans="1:2" x14ac:dyDescent="0.25">
      <c r="A493">
        <v>474</v>
      </c>
      <c r="B493" s="64">
        <v>269.15878379977056</v>
      </c>
    </row>
    <row r="494" spans="1:2" x14ac:dyDescent="0.25">
      <c r="A494">
        <v>475</v>
      </c>
      <c r="B494" s="64">
        <v>153.5864658677377</v>
      </c>
    </row>
    <row r="495" spans="1:2" x14ac:dyDescent="0.25">
      <c r="A495">
        <v>476</v>
      </c>
      <c r="B495" s="64">
        <v>258.81530256772606</v>
      </c>
    </row>
    <row r="496" spans="1:2" x14ac:dyDescent="0.25">
      <c r="A496">
        <v>477</v>
      </c>
      <c r="B496" s="64">
        <v>250.03067362647749</v>
      </c>
    </row>
    <row r="497" spans="1:2" x14ac:dyDescent="0.25">
      <c r="A497">
        <v>478</v>
      </c>
      <c r="B497" s="64">
        <v>311.18349954167405</v>
      </c>
    </row>
    <row r="498" spans="1:2" x14ac:dyDescent="0.25">
      <c r="A498">
        <v>479</v>
      </c>
      <c r="B498" s="64">
        <v>273.25069565518413</v>
      </c>
    </row>
    <row r="499" spans="1:2" x14ac:dyDescent="0.25">
      <c r="A499">
        <v>480</v>
      </c>
      <c r="B499" s="64">
        <v>230.71469682116995</v>
      </c>
    </row>
    <row r="500" spans="1:2" x14ac:dyDescent="0.25">
      <c r="A500">
        <v>481</v>
      </c>
      <c r="B500" s="64">
        <v>231.76363938816374</v>
      </c>
    </row>
    <row r="501" spans="1:2" x14ac:dyDescent="0.25">
      <c r="A501">
        <v>482</v>
      </c>
      <c r="B501" s="64">
        <v>209.56975096267891</v>
      </c>
    </row>
    <row r="502" spans="1:2" x14ac:dyDescent="0.25">
      <c r="A502">
        <v>483</v>
      </c>
      <c r="B502" s="64">
        <v>298.52147434738851</v>
      </c>
    </row>
    <row r="503" spans="1:2" x14ac:dyDescent="0.25">
      <c r="A503">
        <v>484</v>
      </c>
      <c r="B503" s="64">
        <v>261.46012435934409</v>
      </c>
    </row>
    <row r="504" spans="1:2" x14ac:dyDescent="0.25">
      <c r="A504">
        <v>485</v>
      </c>
      <c r="B504" s="64">
        <v>207.00764427033832</v>
      </c>
    </row>
    <row r="505" spans="1:2" x14ac:dyDescent="0.25">
      <c r="A505">
        <v>486</v>
      </c>
      <c r="B505" s="64">
        <v>285.3365057562508</v>
      </c>
    </row>
    <row r="506" spans="1:2" x14ac:dyDescent="0.25">
      <c r="A506">
        <v>487</v>
      </c>
      <c r="B506" s="64">
        <v>223.57533432487591</v>
      </c>
    </row>
    <row r="507" spans="1:2" x14ac:dyDescent="0.25">
      <c r="A507">
        <v>488</v>
      </c>
      <c r="B507" s="64">
        <v>341.88093463060579</v>
      </c>
    </row>
    <row r="508" spans="1:2" x14ac:dyDescent="0.25">
      <c r="A508">
        <v>489</v>
      </c>
      <c r="B508" s="64">
        <v>302.13425840036933</v>
      </c>
    </row>
    <row r="509" spans="1:2" x14ac:dyDescent="0.25">
      <c r="A509">
        <v>490</v>
      </c>
      <c r="B509" s="64">
        <v>316.59649627270829</v>
      </c>
    </row>
    <row r="510" spans="1:2" x14ac:dyDescent="0.25">
      <c r="A510">
        <v>491</v>
      </c>
      <c r="B510" s="64">
        <v>294.43519739990705</v>
      </c>
    </row>
    <row r="511" spans="1:2" x14ac:dyDescent="0.25">
      <c r="A511">
        <v>492</v>
      </c>
      <c r="B511" s="64">
        <v>321.590551022189</v>
      </c>
    </row>
    <row r="512" spans="1:2" x14ac:dyDescent="0.25">
      <c r="A512">
        <v>493</v>
      </c>
      <c r="B512" s="64">
        <v>279.32902347185768</v>
      </c>
    </row>
    <row r="513" spans="1:2" x14ac:dyDescent="0.25">
      <c r="A513">
        <v>494</v>
      </c>
      <c r="B513" s="64">
        <v>255.15743734449461</v>
      </c>
    </row>
    <row r="514" spans="1:2" x14ac:dyDescent="0.25">
      <c r="A514">
        <v>495</v>
      </c>
      <c r="B514" s="64">
        <v>202.16324512675544</v>
      </c>
    </row>
    <row r="515" spans="1:2" x14ac:dyDescent="0.25">
      <c r="A515">
        <v>496</v>
      </c>
      <c r="B515" s="64">
        <v>269.95306259498545</v>
      </c>
    </row>
    <row r="516" spans="1:2" x14ac:dyDescent="0.25">
      <c r="A516">
        <v>497</v>
      </c>
      <c r="B516" s="64">
        <v>222.51987220575899</v>
      </c>
    </row>
    <row r="517" spans="1:2" x14ac:dyDescent="0.25">
      <c r="A517">
        <v>498</v>
      </c>
      <c r="B517" s="64">
        <v>265.75481946626519</v>
      </c>
    </row>
    <row r="518" spans="1:2" x14ac:dyDescent="0.25">
      <c r="A518">
        <v>499</v>
      </c>
      <c r="B518" s="64">
        <v>150.05785125432044</v>
      </c>
    </row>
    <row r="519" spans="1:2" x14ac:dyDescent="0.25">
      <c r="A519">
        <v>500</v>
      </c>
      <c r="B519" s="64">
        <v>180.56794349910913</v>
      </c>
    </row>
    <row r="520" spans="1:2" x14ac:dyDescent="0.25">
      <c r="A520">
        <v>501</v>
      </c>
      <c r="B520" s="64">
        <v>222.28789354365912</v>
      </c>
    </row>
    <row r="521" spans="1:2" x14ac:dyDescent="0.25">
      <c r="A521">
        <v>502</v>
      </c>
      <c r="B521" s="64">
        <v>209.27664144738316</v>
      </c>
    </row>
    <row r="522" spans="1:2" x14ac:dyDescent="0.25">
      <c r="A522">
        <v>503</v>
      </c>
      <c r="B522" s="64">
        <v>291.14671666074753</v>
      </c>
    </row>
    <row r="523" spans="1:2" x14ac:dyDescent="0.25">
      <c r="A523">
        <v>504</v>
      </c>
      <c r="B523" s="64">
        <v>238.12018072841241</v>
      </c>
    </row>
    <row r="524" spans="1:2" x14ac:dyDescent="0.25">
      <c r="A524">
        <v>505</v>
      </c>
      <c r="B524" s="64">
        <v>206.80760334224234</v>
      </c>
    </row>
    <row r="525" spans="1:2" x14ac:dyDescent="0.25">
      <c r="A525">
        <v>506</v>
      </c>
      <c r="B525" s="64">
        <v>223.23913005920701</v>
      </c>
    </row>
    <row r="526" spans="1:2" x14ac:dyDescent="0.25">
      <c r="A526">
        <v>507</v>
      </c>
      <c r="B526" s="64">
        <v>233.44238686855005</v>
      </c>
    </row>
    <row r="527" spans="1:2" x14ac:dyDescent="0.25">
      <c r="A527">
        <v>508</v>
      </c>
      <c r="B527" s="64">
        <v>283.18316291383746</v>
      </c>
    </row>
    <row r="528" spans="1:2" x14ac:dyDescent="0.25">
      <c r="A528">
        <v>509</v>
      </c>
      <c r="B528" s="64">
        <v>266.27924473705224</v>
      </c>
    </row>
    <row r="529" spans="1:2" x14ac:dyDescent="0.25">
      <c r="A529">
        <v>510</v>
      </c>
      <c r="B529" s="64">
        <v>199.29541081172837</v>
      </c>
    </row>
    <row r="530" spans="1:2" x14ac:dyDescent="0.25">
      <c r="A530">
        <v>511</v>
      </c>
      <c r="B530" s="64">
        <v>291.31787109568279</v>
      </c>
    </row>
    <row r="531" spans="1:2" x14ac:dyDescent="0.25">
      <c r="A531">
        <v>512</v>
      </c>
      <c r="B531" s="64">
        <v>255.92598556423283</v>
      </c>
    </row>
    <row r="532" spans="1:2" x14ac:dyDescent="0.25">
      <c r="A532">
        <v>513</v>
      </c>
      <c r="B532" s="64">
        <v>253.82661348405304</v>
      </c>
    </row>
    <row r="533" spans="1:2" x14ac:dyDescent="0.25">
      <c r="A533">
        <v>514</v>
      </c>
      <c r="B533" s="64">
        <v>222.75915843973937</v>
      </c>
    </row>
    <row r="534" spans="1:2" x14ac:dyDescent="0.25">
      <c r="A534">
        <v>515</v>
      </c>
      <c r="B534" s="64">
        <v>200.44941450532895</v>
      </c>
    </row>
    <row r="535" spans="1:2" x14ac:dyDescent="0.25">
      <c r="A535">
        <v>516</v>
      </c>
      <c r="B535" s="64">
        <v>209.45211151714884</v>
      </c>
    </row>
    <row r="536" spans="1:2" x14ac:dyDescent="0.25">
      <c r="A536">
        <v>517</v>
      </c>
      <c r="B536" s="64">
        <v>246.87968825726202</v>
      </c>
    </row>
    <row r="537" spans="1:2" x14ac:dyDescent="0.25">
      <c r="A537">
        <v>518</v>
      </c>
      <c r="B537" s="64">
        <v>235.58214313142645</v>
      </c>
    </row>
    <row r="538" spans="1:2" x14ac:dyDescent="0.25">
      <c r="A538">
        <v>519</v>
      </c>
      <c r="B538" s="64">
        <v>229.45576391459272</v>
      </c>
    </row>
    <row r="539" spans="1:2" x14ac:dyDescent="0.25">
      <c r="A539">
        <v>520</v>
      </c>
      <c r="B539" s="64">
        <v>283.29856837816914</v>
      </c>
    </row>
    <row r="540" spans="1:2" x14ac:dyDescent="0.25">
      <c r="A540">
        <v>521</v>
      </c>
      <c r="B540" s="64">
        <v>291.7752498447116</v>
      </c>
    </row>
    <row r="541" spans="1:2" x14ac:dyDescent="0.25">
      <c r="A541">
        <v>522</v>
      </c>
      <c r="B541" s="64">
        <v>232.7603076359415</v>
      </c>
    </row>
    <row r="542" spans="1:2" x14ac:dyDescent="0.25">
      <c r="A542">
        <v>523</v>
      </c>
      <c r="B542" s="64">
        <v>190.23231901039665</v>
      </c>
    </row>
    <row r="543" spans="1:2" x14ac:dyDescent="0.25">
      <c r="A543">
        <v>524</v>
      </c>
      <c r="B543" s="64">
        <v>190.13634552516092</v>
      </c>
    </row>
    <row r="544" spans="1:2" x14ac:dyDescent="0.25">
      <c r="A544">
        <v>525</v>
      </c>
      <c r="B544" s="64">
        <v>329.09359027142256</v>
      </c>
    </row>
    <row r="545" spans="1:2" x14ac:dyDescent="0.25">
      <c r="A545">
        <v>526</v>
      </c>
      <c r="B545" s="64">
        <v>290.98175792248315</v>
      </c>
    </row>
    <row r="546" spans="1:2" x14ac:dyDescent="0.25">
      <c r="A546">
        <v>527</v>
      </c>
      <c r="B546" s="64">
        <v>243.17664456750475</v>
      </c>
    </row>
    <row r="547" spans="1:2" x14ac:dyDescent="0.25">
      <c r="A547">
        <v>528</v>
      </c>
      <c r="B547" s="64">
        <v>264.27519616206797</v>
      </c>
    </row>
    <row r="548" spans="1:2" x14ac:dyDescent="0.25">
      <c r="A548">
        <v>529</v>
      </c>
      <c r="B548" s="64">
        <v>258.78288620526024</v>
      </c>
    </row>
    <row r="549" spans="1:2" x14ac:dyDescent="0.25">
      <c r="A549">
        <v>530</v>
      </c>
      <c r="B549" s="64">
        <v>230.67852362879461</v>
      </c>
    </row>
    <row r="550" spans="1:2" x14ac:dyDescent="0.25">
      <c r="A550">
        <v>531</v>
      </c>
      <c r="B550" s="64">
        <v>238.61796736055575</v>
      </c>
    </row>
    <row r="551" spans="1:2" x14ac:dyDescent="0.25">
      <c r="A551">
        <v>532</v>
      </c>
      <c r="B551" s="64">
        <v>234.92869700345281</v>
      </c>
    </row>
    <row r="552" spans="1:2" x14ac:dyDescent="0.25">
      <c r="A552">
        <v>533</v>
      </c>
      <c r="B552" s="64">
        <v>246.56228285969885</v>
      </c>
    </row>
    <row r="553" spans="1:2" x14ac:dyDescent="0.25">
      <c r="A553">
        <v>534</v>
      </c>
      <c r="B553" s="64">
        <v>279.85438329526164</v>
      </c>
    </row>
    <row r="554" spans="1:2" x14ac:dyDescent="0.25">
      <c r="A554">
        <v>535</v>
      </c>
      <c r="B554" s="64">
        <v>244.22277900056696</v>
      </c>
    </row>
    <row r="555" spans="1:2" x14ac:dyDescent="0.25">
      <c r="A555">
        <v>536</v>
      </c>
      <c r="B555" s="64">
        <v>363.45416341496036</v>
      </c>
    </row>
    <row r="556" spans="1:2" x14ac:dyDescent="0.25">
      <c r="A556">
        <v>537</v>
      </c>
      <c r="B556" s="64">
        <v>213.28338100014929</v>
      </c>
    </row>
    <row r="557" spans="1:2" x14ac:dyDescent="0.25">
      <c r="A557">
        <v>538</v>
      </c>
      <c r="B557" s="64">
        <v>198.9448359230602</v>
      </c>
    </row>
    <row r="558" spans="1:2" x14ac:dyDescent="0.25">
      <c r="A558">
        <v>539</v>
      </c>
      <c r="B558" s="64">
        <v>299.32823813721473</v>
      </c>
    </row>
    <row r="559" spans="1:2" x14ac:dyDescent="0.25">
      <c r="A559">
        <v>540</v>
      </c>
      <c r="B559" s="64">
        <v>230.58160377478623</v>
      </c>
    </row>
    <row r="560" spans="1:2" x14ac:dyDescent="0.25">
      <c r="A560">
        <v>541</v>
      </c>
      <c r="B560" s="64">
        <v>232.25292642214185</v>
      </c>
    </row>
    <row r="561" spans="1:2" x14ac:dyDescent="0.25">
      <c r="A561">
        <v>542</v>
      </c>
      <c r="B561" s="64">
        <v>203.1888051429062</v>
      </c>
    </row>
    <row r="562" spans="1:2" x14ac:dyDescent="0.25">
      <c r="A562">
        <v>543</v>
      </c>
      <c r="B562" s="64">
        <v>253.11963896547789</v>
      </c>
    </row>
    <row r="563" spans="1:2" x14ac:dyDescent="0.25">
      <c r="A563">
        <v>544</v>
      </c>
      <c r="B563" s="64">
        <v>293.09072043591277</v>
      </c>
    </row>
    <row r="564" spans="1:2" x14ac:dyDescent="0.25">
      <c r="A564">
        <v>545</v>
      </c>
      <c r="B564" s="64">
        <v>303.89637976614216</v>
      </c>
    </row>
    <row r="565" spans="1:2" x14ac:dyDescent="0.25">
      <c r="A565">
        <v>546</v>
      </c>
      <c r="B565" s="64">
        <v>226.43882220393891</v>
      </c>
    </row>
    <row r="566" spans="1:2" x14ac:dyDescent="0.25">
      <c r="A566">
        <v>547</v>
      </c>
      <c r="B566" s="64">
        <v>210.03649600911442</v>
      </c>
    </row>
    <row r="567" spans="1:2" x14ac:dyDescent="0.25">
      <c r="A567">
        <v>548</v>
      </c>
      <c r="B567" s="64">
        <v>240.13992352648833</v>
      </c>
    </row>
    <row r="568" spans="1:2" x14ac:dyDescent="0.25">
      <c r="A568">
        <v>549</v>
      </c>
      <c r="B568" s="64">
        <v>271.91819788897556</v>
      </c>
    </row>
    <row r="569" spans="1:2" x14ac:dyDescent="0.25">
      <c r="A569">
        <v>550</v>
      </c>
      <c r="B569" s="64">
        <v>250.12953287478601</v>
      </c>
    </row>
    <row r="570" spans="1:2" x14ac:dyDescent="0.25">
      <c r="A570">
        <v>551</v>
      </c>
      <c r="B570" s="64">
        <v>304.78297755250662</v>
      </c>
    </row>
    <row r="571" spans="1:2" x14ac:dyDescent="0.25">
      <c r="A571">
        <v>552</v>
      </c>
      <c r="B571" s="64">
        <v>205.22582154941534</v>
      </c>
    </row>
    <row r="572" spans="1:2" x14ac:dyDescent="0.25">
      <c r="A572">
        <v>553</v>
      </c>
      <c r="B572" s="64">
        <v>170.81429477813643</v>
      </c>
    </row>
    <row r="573" spans="1:2" x14ac:dyDescent="0.25">
      <c r="A573">
        <v>554</v>
      </c>
      <c r="B573" s="64">
        <v>236.60197149509366</v>
      </c>
    </row>
    <row r="574" spans="1:2" x14ac:dyDescent="0.25">
      <c r="A574">
        <v>555</v>
      </c>
      <c r="B574" s="64">
        <v>169.29609931494858</v>
      </c>
    </row>
    <row r="575" spans="1:2" x14ac:dyDescent="0.25">
      <c r="A575">
        <v>556</v>
      </c>
      <c r="B575" s="64">
        <v>234.89675777762542</v>
      </c>
    </row>
    <row r="576" spans="1:2" x14ac:dyDescent="0.25">
      <c r="A576">
        <v>557</v>
      </c>
      <c r="B576" s="64">
        <v>281.07205590911218</v>
      </c>
    </row>
    <row r="577" spans="1:2" x14ac:dyDescent="0.25">
      <c r="A577">
        <v>558</v>
      </c>
      <c r="B577" s="64">
        <v>229.82571895673806</v>
      </c>
    </row>
    <row r="578" spans="1:2" x14ac:dyDescent="0.25">
      <c r="A578">
        <v>559</v>
      </c>
      <c r="B578" s="64">
        <v>266.19260352136013</v>
      </c>
    </row>
    <row r="579" spans="1:2" x14ac:dyDescent="0.25">
      <c r="A579">
        <v>560</v>
      </c>
      <c r="B579" s="64">
        <v>280.75483838685744</v>
      </c>
    </row>
    <row r="580" spans="1:2" x14ac:dyDescent="0.25">
      <c r="A580">
        <v>561</v>
      </c>
      <c r="B580" s="64">
        <v>255.87456151313873</v>
      </c>
    </row>
    <row r="581" spans="1:2" x14ac:dyDescent="0.25">
      <c r="A581">
        <v>562</v>
      </c>
      <c r="B581" s="64">
        <v>185.40074979671607</v>
      </c>
    </row>
    <row r="582" spans="1:2" x14ac:dyDescent="0.25">
      <c r="A582">
        <v>563</v>
      </c>
      <c r="B582" s="64">
        <v>246.14225908642373</v>
      </c>
    </row>
    <row r="583" spans="1:2" x14ac:dyDescent="0.25">
      <c r="A583">
        <v>564</v>
      </c>
      <c r="B583" s="64">
        <v>202.24796038989402</v>
      </c>
    </row>
    <row r="584" spans="1:2" x14ac:dyDescent="0.25">
      <c r="A584">
        <v>565</v>
      </c>
      <c r="B584" s="64">
        <v>234.48585982364489</v>
      </c>
    </row>
    <row r="585" spans="1:2" x14ac:dyDescent="0.25">
      <c r="A585">
        <v>566</v>
      </c>
      <c r="B585" s="64">
        <v>177.39887461371117</v>
      </c>
    </row>
    <row r="586" spans="1:2" x14ac:dyDescent="0.25">
      <c r="A586">
        <v>567</v>
      </c>
      <c r="B586" s="64">
        <v>276.18524737674744</v>
      </c>
    </row>
    <row r="587" spans="1:2" x14ac:dyDescent="0.25">
      <c r="A587">
        <v>568</v>
      </c>
      <c r="B587" s="64">
        <v>283.29083330668755</v>
      </c>
    </row>
    <row r="588" spans="1:2" x14ac:dyDescent="0.25">
      <c r="A588">
        <v>569</v>
      </c>
      <c r="B588" s="64">
        <v>296.38282735857274</v>
      </c>
    </row>
    <row r="589" spans="1:2" x14ac:dyDescent="0.25">
      <c r="A589">
        <v>570</v>
      </c>
      <c r="B589" s="64">
        <v>285.54061481458359</v>
      </c>
    </row>
    <row r="590" spans="1:2" x14ac:dyDescent="0.25">
      <c r="A590">
        <v>571</v>
      </c>
      <c r="B590" s="64">
        <v>268.31649919225163</v>
      </c>
    </row>
    <row r="591" spans="1:2" x14ac:dyDescent="0.25">
      <c r="A591">
        <v>572</v>
      </c>
      <c r="B591" s="64">
        <v>265.49134584602763</v>
      </c>
    </row>
    <row r="592" spans="1:2" x14ac:dyDescent="0.25">
      <c r="A592">
        <v>573</v>
      </c>
      <c r="B592" s="64">
        <v>168.57416043784619</v>
      </c>
    </row>
    <row r="593" spans="1:2" x14ac:dyDescent="0.25">
      <c r="A593">
        <v>574</v>
      </c>
      <c r="B593" s="64">
        <v>293.03000640618637</v>
      </c>
    </row>
    <row r="594" spans="1:2" x14ac:dyDescent="0.25">
      <c r="A594">
        <v>575</v>
      </c>
      <c r="B594" s="64">
        <v>218.38857839497769</v>
      </c>
    </row>
    <row r="595" spans="1:2" x14ac:dyDescent="0.25">
      <c r="A595">
        <v>576</v>
      </c>
      <c r="B595" s="64">
        <v>212.64087982340462</v>
      </c>
    </row>
    <row r="596" spans="1:2" x14ac:dyDescent="0.25">
      <c r="A596">
        <v>577</v>
      </c>
      <c r="B596" s="64">
        <v>224.55949081540135</v>
      </c>
    </row>
    <row r="597" spans="1:2" x14ac:dyDescent="0.25">
      <c r="A597">
        <v>578</v>
      </c>
      <c r="B597" s="64">
        <v>206.62938145434936</v>
      </c>
    </row>
    <row r="598" spans="1:2" x14ac:dyDescent="0.25">
      <c r="A598">
        <v>579</v>
      </c>
      <c r="B598" s="64">
        <v>238.72067761613394</v>
      </c>
    </row>
    <row r="599" spans="1:2" x14ac:dyDescent="0.25">
      <c r="A599">
        <v>580</v>
      </c>
      <c r="B599" s="64">
        <v>291.84555407686059</v>
      </c>
    </row>
    <row r="600" spans="1:2" x14ac:dyDescent="0.25">
      <c r="A600">
        <v>581</v>
      </c>
      <c r="B600" s="64">
        <v>175.4119483401511</v>
      </c>
    </row>
    <row r="601" spans="1:2" x14ac:dyDescent="0.25">
      <c r="A601">
        <v>582</v>
      </c>
      <c r="B601" s="64">
        <v>258.40071676150586</v>
      </c>
    </row>
    <row r="602" spans="1:2" x14ac:dyDescent="0.25">
      <c r="A602">
        <v>583</v>
      </c>
      <c r="B602" s="64">
        <v>214.74332568033495</v>
      </c>
    </row>
    <row r="603" spans="1:2" x14ac:dyDescent="0.25">
      <c r="A603">
        <v>584</v>
      </c>
      <c r="B603" s="64">
        <v>297.45053730204188</v>
      </c>
    </row>
    <row r="604" spans="1:2" x14ac:dyDescent="0.25">
      <c r="A604">
        <v>585</v>
      </c>
      <c r="B604" s="64">
        <v>305.6465631447619</v>
      </c>
    </row>
    <row r="605" spans="1:2" x14ac:dyDescent="0.25">
      <c r="A605">
        <v>586</v>
      </c>
      <c r="B605" s="64">
        <v>252.82344692961553</v>
      </c>
    </row>
    <row r="606" spans="1:2" x14ac:dyDescent="0.25">
      <c r="A606">
        <v>587</v>
      </c>
      <c r="B606" s="64">
        <v>247.74496419645189</v>
      </c>
    </row>
    <row r="607" spans="1:2" x14ac:dyDescent="0.25">
      <c r="A607">
        <v>588</v>
      </c>
      <c r="B607" s="64">
        <v>286.99569446075043</v>
      </c>
    </row>
    <row r="608" spans="1:2" x14ac:dyDescent="0.25">
      <c r="A608">
        <v>589</v>
      </c>
      <c r="B608" s="64">
        <v>234.04566984273521</v>
      </c>
    </row>
    <row r="609" spans="1:2" x14ac:dyDescent="0.25">
      <c r="A609">
        <v>590</v>
      </c>
      <c r="B609" s="64">
        <v>206.77709984662548</v>
      </c>
    </row>
    <row r="610" spans="1:2" x14ac:dyDescent="0.25">
      <c r="A610">
        <v>591</v>
      </c>
      <c r="B610" s="64">
        <v>204.58107864345982</v>
      </c>
    </row>
    <row r="611" spans="1:2" x14ac:dyDescent="0.25">
      <c r="A611">
        <v>592</v>
      </c>
      <c r="B611" s="64">
        <v>239.72120541001578</v>
      </c>
    </row>
    <row r="612" spans="1:2" x14ac:dyDescent="0.25">
      <c r="A612">
        <v>593</v>
      </c>
      <c r="B612" s="64">
        <v>256.99225214289186</v>
      </c>
    </row>
    <row r="613" spans="1:2" x14ac:dyDescent="0.25">
      <c r="A613">
        <v>594</v>
      </c>
      <c r="B613" s="64">
        <v>273.60041676926483</v>
      </c>
    </row>
    <row r="614" spans="1:2" x14ac:dyDescent="0.25">
      <c r="A614">
        <v>595</v>
      </c>
      <c r="B614" s="64">
        <v>255.42836044703969</v>
      </c>
    </row>
    <row r="615" spans="1:2" x14ac:dyDescent="0.25">
      <c r="A615">
        <v>596</v>
      </c>
      <c r="B615" s="64">
        <v>205.10111866942617</v>
      </c>
    </row>
    <row r="616" spans="1:2" x14ac:dyDescent="0.25">
      <c r="A616">
        <v>597</v>
      </c>
      <c r="B616" s="64">
        <v>253.41983597652819</v>
      </c>
    </row>
    <row r="617" spans="1:2" x14ac:dyDescent="0.25">
      <c r="A617">
        <v>598</v>
      </c>
      <c r="B617" s="64">
        <v>242.58838876182554</v>
      </c>
    </row>
    <row r="618" spans="1:2" x14ac:dyDescent="0.25">
      <c r="A618">
        <v>599</v>
      </c>
      <c r="B618" s="64">
        <v>229.14275013730537</v>
      </c>
    </row>
    <row r="619" spans="1:2" x14ac:dyDescent="0.25">
      <c r="A619">
        <v>600</v>
      </c>
      <c r="B619" s="64">
        <v>200.71375868484915</v>
      </c>
    </row>
    <row r="620" spans="1:2" x14ac:dyDescent="0.25">
      <c r="A620">
        <v>601</v>
      </c>
      <c r="B620" s="64">
        <v>189.95006854324825</v>
      </c>
    </row>
    <row r="621" spans="1:2" x14ac:dyDescent="0.25">
      <c r="A621">
        <v>602</v>
      </c>
      <c r="B621" s="64">
        <v>243.31322921660092</v>
      </c>
    </row>
    <row r="622" spans="1:2" x14ac:dyDescent="0.25">
      <c r="A622">
        <v>603</v>
      </c>
      <c r="B622" s="64">
        <v>228.30706582771731</v>
      </c>
    </row>
    <row r="623" spans="1:2" x14ac:dyDescent="0.25">
      <c r="A623">
        <v>604</v>
      </c>
      <c r="B623" s="64">
        <v>213.25138854426993</v>
      </c>
    </row>
    <row r="624" spans="1:2" x14ac:dyDescent="0.25">
      <c r="A624">
        <v>605</v>
      </c>
      <c r="B624" s="64">
        <v>262.717974490811</v>
      </c>
    </row>
    <row r="625" spans="1:2" x14ac:dyDescent="0.25">
      <c r="A625">
        <v>606</v>
      </c>
      <c r="B625" s="64">
        <v>299.7002775974895</v>
      </c>
    </row>
    <row r="626" spans="1:2" x14ac:dyDescent="0.25">
      <c r="A626">
        <v>607</v>
      </c>
      <c r="B626" s="64">
        <v>236.99160964485839</v>
      </c>
    </row>
    <row r="627" spans="1:2" x14ac:dyDescent="0.25">
      <c r="A627">
        <v>608</v>
      </c>
      <c r="B627" s="64">
        <v>221.46185730056402</v>
      </c>
    </row>
    <row r="628" spans="1:2" x14ac:dyDescent="0.25">
      <c r="A628">
        <v>609</v>
      </c>
      <c r="B628" s="64">
        <v>238.32412020059837</v>
      </c>
    </row>
    <row r="629" spans="1:2" x14ac:dyDescent="0.25">
      <c r="A629">
        <v>610</v>
      </c>
      <c r="B629" s="64">
        <v>258.091464928037</v>
      </c>
    </row>
    <row r="630" spans="1:2" x14ac:dyDescent="0.25">
      <c r="A630">
        <v>611</v>
      </c>
      <c r="B630" s="64">
        <v>269.02025126042884</v>
      </c>
    </row>
    <row r="631" spans="1:2" x14ac:dyDescent="0.25">
      <c r="A631">
        <v>612</v>
      </c>
      <c r="B631" s="64">
        <v>261.10769841937127</v>
      </c>
    </row>
    <row r="632" spans="1:2" x14ac:dyDescent="0.25">
      <c r="A632">
        <v>613</v>
      </c>
      <c r="B632" s="64">
        <v>304.9473202217801</v>
      </c>
    </row>
    <row r="633" spans="1:2" x14ac:dyDescent="0.25">
      <c r="A633">
        <v>614</v>
      </c>
      <c r="B633" s="64">
        <v>205.04808146023794</v>
      </c>
    </row>
    <row r="634" spans="1:2" x14ac:dyDescent="0.25">
      <c r="A634">
        <v>615</v>
      </c>
      <c r="B634" s="64">
        <v>224.31403726531639</v>
      </c>
    </row>
    <row r="635" spans="1:2" x14ac:dyDescent="0.25">
      <c r="A635">
        <v>616</v>
      </c>
      <c r="B635" s="64">
        <v>223.85867236053249</v>
      </c>
    </row>
    <row r="636" spans="1:2" x14ac:dyDescent="0.25">
      <c r="A636">
        <v>617</v>
      </c>
      <c r="B636" s="64">
        <v>243.68459449122398</v>
      </c>
    </row>
    <row r="637" spans="1:2" x14ac:dyDescent="0.25">
      <c r="A637">
        <v>618</v>
      </c>
      <c r="B637" s="64">
        <v>267.54412793981754</v>
      </c>
    </row>
    <row r="638" spans="1:2" x14ac:dyDescent="0.25">
      <c r="A638">
        <v>619</v>
      </c>
      <c r="B638" s="64">
        <v>198.74884540381598</v>
      </c>
    </row>
    <row r="639" spans="1:2" x14ac:dyDescent="0.25">
      <c r="A639">
        <v>620</v>
      </c>
      <c r="B639" s="64">
        <v>304.52903790741499</v>
      </c>
    </row>
    <row r="640" spans="1:2" x14ac:dyDescent="0.25">
      <c r="A640">
        <v>621</v>
      </c>
      <c r="B640" s="64">
        <v>245.59819597217711</v>
      </c>
    </row>
    <row r="641" spans="1:2" x14ac:dyDescent="0.25">
      <c r="A641">
        <v>622</v>
      </c>
      <c r="B641" s="64">
        <v>305.24186124568485</v>
      </c>
    </row>
    <row r="642" spans="1:2" x14ac:dyDescent="0.25">
      <c r="A642">
        <v>623</v>
      </c>
      <c r="B642" s="64">
        <v>278.20507448295626</v>
      </c>
    </row>
    <row r="643" spans="1:2" x14ac:dyDescent="0.25">
      <c r="A643">
        <v>624</v>
      </c>
      <c r="B643" s="64">
        <v>266.45798543180274</v>
      </c>
    </row>
    <row r="644" spans="1:2" x14ac:dyDescent="0.25">
      <c r="A644">
        <v>625</v>
      </c>
      <c r="B644" s="64">
        <v>210.49621279977208</v>
      </c>
    </row>
    <row r="645" spans="1:2" x14ac:dyDescent="0.25">
      <c r="A645">
        <v>626</v>
      </c>
      <c r="B645" s="64">
        <v>273.57700019227184</v>
      </c>
    </row>
    <row r="646" spans="1:2" x14ac:dyDescent="0.25">
      <c r="A646">
        <v>627</v>
      </c>
      <c r="B646" s="64">
        <v>171.77716474090948</v>
      </c>
    </row>
    <row r="647" spans="1:2" x14ac:dyDescent="0.25">
      <c r="A647">
        <v>628</v>
      </c>
      <c r="B647" s="64">
        <v>303.44852183338111</v>
      </c>
    </row>
    <row r="648" spans="1:2" x14ac:dyDescent="0.25">
      <c r="A648">
        <v>629</v>
      </c>
      <c r="B648" s="64">
        <v>225.67690532183823</v>
      </c>
    </row>
    <row r="649" spans="1:2" x14ac:dyDescent="0.25">
      <c r="A649">
        <v>630</v>
      </c>
      <c r="B649" s="64">
        <v>373.97786458060978</v>
      </c>
    </row>
    <row r="650" spans="1:2" x14ac:dyDescent="0.25">
      <c r="A650">
        <v>631</v>
      </c>
      <c r="B650" s="64">
        <v>211.22629902334771</v>
      </c>
    </row>
    <row r="651" spans="1:2" x14ac:dyDescent="0.25">
      <c r="A651">
        <v>632</v>
      </c>
      <c r="B651" s="64">
        <v>259.78003152883093</v>
      </c>
    </row>
    <row r="652" spans="1:2" x14ac:dyDescent="0.25">
      <c r="A652">
        <v>633</v>
      </c>
      <c r="B652" s="64">
        <v>174.461930616187</v>
      </c>
    </row>
    <row r="653" spans="1:2" x14ac:dyDescent="0.25">
      <c r="A653">
        <v>634</v>
      </c>
      <c r="B653" s="64">
        <v>292.92714278984397</v>
      </c>
    </row>
    <row r="654" spans="1:2" x14ac:dyDescent="0.25">
      <c r="A654">
        <v>635</v>
      </c>
      <c r="B654" s="64">
        <v>284.68964193364997</v>
      </c>
    </row>
    <row r="655" spans="1:2" x14ac:dyDescent="0.25">
      <c r="A655">
        <v>636</v>
      </c>
      <c r="B655" s="64">
        <v>263.5102564612165</v>
      </c>
    </row>
    <row r="656" spans="1:2" x14ac:dyDescent="0.25">
      <c r="A656">
        <v>637</v>
      </c>
      <c r="B656" s="64">
        <v>200.85419947802009</v>
      </c>
    </row>
    <row r="657" spans="1:2" x14ac:dyDescent="0.25">
      <c r="A657">
        <v>638</v>
      </c>
      <c r="B657" s="64">
        <v>176.46457558084103</v>
      </c>
    </row>
    <row r="658" spans="1:2" x14ac:dyDescent="0.25">
      <c r="A658">
        <v>639</v>
      </c>
      <c r="B658" s="64">
        <v>251.93570239238863</v>
      </c>
    </row>
    <row r="659" spans="1:2" x14ac:dyDescent="0.25">
      <c r="A659">
        <v>640</v>
      </c>
      <c r="B659" s="64">
        <v>205.93575253799179</v>
      </c>
    </row>
    <row r="660" spans="1:2" x14ac:dyDescent="0.25">
      <c r="A660">
        <v>641</v>
      </c>
      <c r="B660" s="64">
        <v>221.5740586004614</v>
      </c>
    </row>
    <row r="661" spans="1:2" x14ac:dyDescent="0.25">
      <c r="A661">
        <v>642</v>
      </c>
      <c r="B661" s="64">
        <v>197.55603956786857</v>
      </c>
    </row>
    <row r="662" spans="1:2" x14ac:dyDescent="0.25">
      <c r="A662">
        <v>643</v>
      </c>
      <c r="B662" s="64">
        <v>207.45097873835201</v>
      </c>
    </row>
    <row r="663" spans="1:2" x14ac:dyDescent="0.25">
      <c r="A663">
        <v>644</v>
      </c>
      <c r="B663" s="64">
        <v>270.67104936506905</v>
      </c>
    </row>
    <row r="664" spans="1:2" x14ac:dyDescent="0.25">
      <c r="A664">
        <v>645</v>
      </c>
      <c r="B664" s="64">
        <v>236.45794896145509</v>
      </c>
    </row>
    <row r="665" spans="1:2" x14ac:dyDescent="0.25">
      <c r="A665">
        <v>646</v>
      </c>
      <c r="B665" s="64">
        <v>228.98333393647411</v>
      </c>
    </row>
    <row r="666" spans="1:2" x14ac:dyDescent="0.25">
      <c r="A666">
        <v>647</v>
      </c>
      <c r="B666" s="64">
        <v>310.71621222294527</v>
      </c>
    </row>
    <row r="667" spans="1:2" x14ac:dyDescent="0.25">
      <c r="A667">
        <v>648</v>
      </c>
      <c r="B667" s="64">
        <v>238.51911249831178</v>
      </c>
    </row>
    <row r="668" spans="1:2" x14ac:dyDescent="0.25">
      <c r="A668">
        <v>649</v>
      </c>
      <c r="B668" s="64">
        <v>215.00725369722426</v>
      </c>
    </row>
    <row r="669" spans="1:2" x14ac:dyDescent="0.25">
      <c r="A669">
        <v>650</v>
      </c>
      <c r="B669" s="64">
        <v>241.70279241485974</v>
      </c>
    </row>
    <row r="670" spans="1:2" x14ac:dyDescent="0.25">
      <c r="A670">
        <v>651</v>
      </c>
      <c r="B670" s="64">
        <v>262.45021233003945</v>
      </c>
    </row>
    <row r="671" spans="1:2" x14ac:dyDescent="0.25">
      <c r="A671">
        <v>652</v>
      </c>
      <c r="B671" s="64">
        <v>212.18223553548026</v>
      </c>
    </row>
    <row r="672" spans="1:2" x14ac:dyDescent="0.25">
      <c r="A672">
        <v>653</v>
      </c>
      <c r="B672" s="64">
        <v>225.62455687748025</v>
      </c>
    </row>
    <row r="673" spans="1:2" x14ac:dyDescent="0.25">
      <c r="A673">
        <v>654</v>
      </c>
      <c r="B673" s="64">
        <v>290.88260996292053</v>
      </c>
    </row>
    <row r="674" spans="1:2" x14ac:dyDescent="0.25">
      <c r="A674">
        <v>655</v>
      </c>
      <c r="B674" s="64">
        <v>251.45569251157661</v>
      </c>
    </row>
    <row r="675" spans="1:2" x14ac:dyDescent="0.25">
      <c r="A675">
        <v>656</v>
      </c>
      <c r="B675" s="64">
        <v>231.59128223649046</v>
      </c>
    </row>
    <row r="676" spans="1:2" x14ac:dyDescent="0.25">
      <c r="A676">
        <v>657</v>
      </c>
      <c r="B676" s="64">
        <v>274.8776214732477</v>
      </c>
    </row>
    <row r="677" spans="1:2" x14ac:dyDescent="0.25">
      <c r="A677">
        <v>658</v>
      </c>
      <c r="B677" s="64">
        <v>192.74680418857045</v>
      </c>
    </row>
    <row r="678" spans="1:2" x14ac:dyDescent="0.25">
      <c r="A678">
        <v>659</v>
      </c>
      <c r="B678" s="64">
        <v>217.29892661650152</v>
      </c>
    </row>
    <row r="679" spans="1:2" x14ac:dyDescent="0.25">
      <c r="A679">
        <v>660</v>
      </c>
      <c r="B679" s="64">
        <v>273.89804082383699</v>
      </c>
    </row>
    <row r="680" spans="1:2" x14ac:dyDescent="0.25">
      <c r="A680">
        <v>661</v>
      </c>
      <c r="B680" s="64">
        <v>248.52145681064587</v>
      </c>
    </row>
    <row r="681" spans="1:2" x14ac:dyDescent="0.25">
      <c r="A681">
        <v>662</v>
      </c>
      <c r="B681" s="64">
        <v>269.43171790157987</v>
      </c>
    </row>
    <row r="682" spans="1:2" x14ac:dyDescent="0.25">
      <c r="A682">
        <v>663</v>
      </c>
      <c r="B682" s="64">
        <v>244.58725258176875</v>
      </c>
    </row>
    <row r="683" spans="1:2" x14ac:dyDescent="0.25">
      <c r="A683">
        <v>664</v>
      </c>
      <c r="B683" s="64">
        <v>255.05555608722386</v>
      </c>
    </row>
    <row r="684" spans="1:2" x14ac:dyDescent="0.25">
      <c r="A684">
        <v>665</v>
      </c>
      <c r="B684" s="64">
        <v>303.38592092787718</v>
      </c>
    </row>
    <row r="685" spans="1:2" x14ac:dyDescent="0.25">
      <c r="A685">
        <v>666</v>
      </c>
      <c r="B685" s="64">
        <v>186.42020664709403</v>
      </c>
    </row>
    <row r="686" spans="1:2" x14ac:dyDescent="0.25">
      <c r="A686">
        <v>667</v>
      </c>
      <c r="B686" s="64">
        <v>204.54449903651795</v>
      </c>
    </row>
    <row r="687" spans="1:2" x14ac:dyDescent="0.25">
      <c r="A687">
        <v>668</v>
      </c>
      <c r="B687" s="64">
        <v>260.91932885992793</v>
      </c>
    </row>
    <row r="688" spans="1:2" x14ac:dyDescent="0.25">
      <c r="A688">
        <v>669</v>
      </c>
      <c r="B688" s="64">
        <v>174.81801834675238</v>
      </c>
    </row>
    <row r="689" spans="1:2" x14ac:dyDescent="0.25">
      <c r="A689">
        <v>670</v>
      </c>
      <c r="B689" s="64">
        <v>334.45446119665877</v>
      </c>
    </row>
    <row r="690" spans="1:2" x14ac:dyDescent="0.25">
      <c r="A690">
        <v>671</v>
      </c>
      <c r="B690" s="64">
        <v>258.45194988066766</v>
      </c>
    </row>
    <row r="691" spans="1:2" x14ac:dyDescent="0.25">
      <c r="A691">
        <v>672</v>
      </c>
      <c r="B691" s="64">
        <v>280.38860390507932</v>
      </c>
    </row>
    <row r="692" spans="1:2" x14ac:dyDescent="0.25">
      <c r="A692">
        <v>673</v>
      </c>
      <c r="B692" s="64">
        <v>333.40350982352555</v>
      </c>
    </row>
    <row r="693" spans="1:2" x14ac:dyDescent="0.25">
      <c r="A693">
        <v>674</v>
      </c>
      <c r="B693" s="64">
        <v>252.357622736927</v>
      </c>
    </row>
    <row r="694" spans="1:2" x14ac:dyDescent="0.25">
      <c r="A694">
        <v>675</v>
      </c>
      <c r="B694" s="64">
        <v>186.3542507928403</v>
      </c>
    </row>
    <row r="695" spans="1:2" x14ac:dyDescent="0.25">
      <c r="A695">
        <v>676</v>
      </c>
      <c r="B695" s="64">
        <v>236.63329470103136</v>
      </c>
    </row>
    <row r="696" spans="1:2" x14ac:dyDescent="0.25">
      <c r="A696">
        <v>677</v>
      </c>
      <c r="B696" s="64">
        <v>233.77055526392817</v>
      </c>
    </row>
    <row r="697" spans="1:2" x14ac:dyDescent="0.25">
      <c r="A697">
        <v>678</v>
      </c>
      <c r="B697" s="64">
        <v>182.80196312125838</v>
      </c>
    </row>
    <row r="698" spans="1:2" x14ac:dyDescent="0.25">
      <c r="A698">
        <v>679</v>
      </c>
      <c r="B698" s="64">
        <v>291.25876855026019</v>
      </c>
    </row>
    <row r="699" spans="1:2" x14ac:dyDescent="0.25">
      <c r="A699">
        <v>680</v>
      </c>
      <c r="B699" s="64">
        <v>196.2294338559262</v>
      </c>
    </row>
    <row r="700" spans="1:2" x14ac:dyDescent="0.25">
      <c r="A700">
        <v>681</v>
      </c>
      <c r="B700" s="64">
        <v>292.2367213485428</v>
      </c>
    </row>
    <row r="701" spans="1:2" x14ac:dyDescent="0.25">
      <c r="A701">
        <v>682</v>
      </c>
      <c r="B701" s="64">
        <v>217.66031818418574</v>
      </c>
    </row>
    <row r="702" spans="1:2" x14ac:dyDescent="0.25">
      <c r="A702">
        <v>683</v>
      </c>
      <c r="B702" s="64">
        <v>381.43136842318859</v>
      </c>
    </row>
    <row r="703" spans="1:2" x14ac:dyDescent="0.25">
      <c r="A703">
        <v>684</v>
      </c>
      <c r="B703" s="64">
        <v>191.70224229132725</v>
      </c>
    </row>
    <row r="704" spans="1:2" x14ac:dyDescent="0.25">
      <c r="A704">
        <v>685</v>
      </c>
      <c r="B704" s="64">
        <v>238.70830796463665</v>
      </c>
    </row>
    <row r="705" spans="1:2" x14ac:dyDescent="0.25">
      <c r="A705">
        <v>686</v>
      </c>
      <c r="B705" s="64">
        <v>207.91374711093417</v>
      </c>
    </row>
    <row r="706" spans="1:2" x14ac:dyDescent="0.25">
      <c r="A706">
        <v>687</v>
      </c>
      <c r="B706" s="64">
        <v>268.40425425456471</v>
      </c>
    </row>
    <row r="707" spans="1:2" x14ac:dyDescent="0.25">
      <c r="A707">
        <v>688</v>
      </c>
      <c r="B707" s="64">
        <v>267.8082894911409</v>
      </c>
    </row>
    <row r="708" spans="1:2" x14ac:dyDescent="0.25">
      <c r="A708">
        <v>689</v>
      </c>
      <c r="B708" s="64">
        <v>256.96077991541273</v>
      </c>
    </row>
    <row r="709" spans="1:2" x14ac:dyDescent="0.25">
      <c r="A709">
        <v>690</v>
      </c>
      <c r="B709" s="64">
        <v>242.62844435570781</v>
      </c>
    </row>
    <row r="710" spans="1:2" x14ac:dyDescent="0.25">
      <c r="A710">
        <v>691</v>
      </c>
      <c r="B710" s="64">
        <v>294.28946810747732</v>
      </c>
    </row>
    <row r="711" spans="1:2" x14ac:dyDescent="0.25">
      <c r="A711">
        <v>692</v>
      </c>
      <c r="B711" s="64">
        <v>240.39008598562251</v>
      </c>
    </row>
    <row r="712" spans="1:2" x14ac:dyDescent="0.25">
      <c r="A712">
        <v>693</v>
      </c>
      <c r="B712" s="64">
        <v>270.36952822294467</v>
      </c>
    </row>
    <row r="713" spans="1:2" x14ac:dyDescent="0.25">
      <c r="A713">
        <v>694</v>
      </c>
      <c r="B713" s="64">
        <v>220.2945675197987</v>
      </c>
    </row>
    <row r="714" spans="1:2" x14ac:dyDescent="0.25">
      <c r="A714">
        <v>695</v>
      </c>
      <c r="B714" s="64">
        <v>244.42419635996498</v>
      </c>
    </row>
    <row r="715" spans="1:2" x14ac:dyDescent="0.25">
      <c r="A715">
        <v>696</v>
      </c>
      <c r="B715" s="64">
        <v>254.26585916650745</v>
      </c>
    </row>
    <row r="716" spans="1:2" x14ac:dyDescent="0.25">
      <c r="A716">
        <v>697</v>
      </c>
      <c r="B716" s="64">
        <v>249.24876706651685</v>
      </c>
    </row>
    <row r="717" spans="1:2" x14ac:dyDescent="0.25">
      <c r="A717">
        <v>698</v>
      </c>
      <c r="B717" s="64">
        <v>243.61097438127774</v>
      </c>
    </row>
    <row r="718" spans="1:2" x14ac:dyDescent="0.25">
      <c r="A718">
        <v>699</v>
      </c>
      <c r="B718" s="64">
        <v>258.59551335102839</v>
      </c>
    </row>
    <row r="719" spans="1:2" x14ac:dyDescent="0.25">
      <c r="A719">
        <v>700</v>
      </c>
      <c r="B719" s="64">
        <v>195.69190347617899</v>
      </c>
    </row>
    <row r="720" spans="1:2" x14ac:dyDescent="0.25">
      <c r="A720">
        <v>701</v>
      </c>
      <c r="B720" s="64">
        <v>270.86116345746211</v>
      </c>
    </row>
    <row r="721" spans="1:2" x14ac:dyDescent="0.25">
      <c r="A721">
        <v>702</v>
      </c>
      <c r="B721" s="64">
        <v>264.27412485815273</v>
      </c>
    </row>
    <row r="722" spans="1:2" x14ac:dyDescent="0.25">
      <c r="A722">
        <v>703</v>
      </c>
      <c r="B722" s="64">
        <v>265.17982502814192</v>
      </c>
    </row>
    <row r="723" spans="1:2" x14ac:dyDescent="0.25">
      <c r="A723">
        <v>704</v>
      </c>
      <c r="B723" s="64">
        <v>222.21559883336172</v>
      </c>
    </row>
    <row r="724" spans="1:2" x14ac:dyDescent="0.25">
      <c r="A724">
        <v>705</v>
      </c>
      <c r="B724" s="64">
        <v>251.82504869507477</v>
      </c>
    </row>
    <row r="725" spans="1:2" x14ac:dyDescent="0.25">
      <c r="A725">
        <v>706</v>
      </c>
      <c r="B725" s="64">
        <v>233.10263811997478</v>
      </c>
    </row>
    <row r="726" spans="1:2" x14ac:dyDescent="0.25">
      <c r="A726">
        <v>707</v>
      </c>
      <c r="B726" s="64">
        <v>292.48573131861082</v>
      </c>
    </row>
    <row r="727" spans="1:2" x14ac:dyDescent="0.25">
      <c r="A727">
        <v>708</v>
      </c>
      <c r="B727" s="64">
        <v>274.42495104682877</v>
      </c>
    </row>
    <row r="728" spans="1:2" x14ac:dyDescent="0.25">
      <c r="A728">
        <v>709</v>
      </c>
      <c r="B728" s="64">
        <v>225.75984472432259</v>
      </c>
    </row>
    <row r="729" spans="1:2" x14ac:dyDescent="0.25">
      <c r="A729">
        <v>710</v>
      </c>
      <c r="B729" s="64">
        <v>282.14595467255901</v>
      </c>
    </row>
    <row r="730" spans="1:2" x14ac:dyDescent="0.25">
      <c r="A730">
        <v>711</v>
      </c>
      <c r="B730" s="64">
        <v>255.48529806424008</v>
      </c>
    </row>
    <row r="731" spans="1:2" x14ac:dyDescent="0.25">
      <c r="A731">
        <v>712</v>
      </c>
      <c r="B731" s="64">
        <v>202.40570126522707</v>
      </c>
    </row>
    <row r="732" spans="1:2" x14ac:dyDescent="0.25">
      <c r="A732">
        <v>713</v>
      </c>
      <c r="B732" s="64">
        <v>239.90136733976809</v>
      </c>
    </row>
    <row r="733" spans="1:2" x14ac:dyDescent="0.25">
      <c r="A733">
        <v>714</v>
      </c>
      <c r="B733" s="64">
        <v>182.83843893893015</v>
      </c>
    </row>
    <row r="734" spans="1:2" x14ac:dyDescent="0.25">
      <c r="A734">
        <v>715</v>
      </c>
      <c r="B734" s="64">
        <v>293.23448609462997</v>
      </c>
    </row>
    <row r="735" spans="1:2" x14ac:dyDescent="0.25">
      <c r="A735">
        <v>716</v>
      </c>
      <c r="B735" s="64">
        <v>353.32102175456572</v>
      </c>
    </row>
    <row r="736" spans="1:2" x14ac:dyDescent="0.25">
      <c r="A736">
        <v>717</v>
      </c>
      <c r="B736" s="64">
        <v>227.09972934114978</v>
      </c>
    </row>
    <row r="737" spans="1:2" x14ac:dyDescent="0.25">
      <c r="A737">
        <v>718</v>
      </c>
      <c r="B737" s="64">
        <v>204.2161645109301</v>
      </c>
    </row>
    <row r="738" spans="1:2" x14ac:dyDescent="0.25">
      <c r="A738">
        <v>719</v>
      </c>
      <c r="B738" s="64">
        <v>247.27945809026022</v>
      </c>
    </row>
    <row r="739" spans="1:2" x14ac:dyDescent="0.25">
      <c r="A739">
        <v>720</v>
      </c>
      <c r="B739" s="64">
        <v>252.28080097278365</v>
      </c>
    </row>
    <row r="740" spans="1:2" x14ac:dyDescent="0.25">
      <c r="A740">
        <v>721</v>
      </c>
      <c r="B740" s="64">
        <v>286.47364810625857</v>
      </c>
    </row>
    <row r="741" spans="1:2" x14ac:dyDescent="0.25">
      <c r="A741">
        <v>722</v>
      </c>
      <c r="B741" s="64">
        <v>231.54558557806283</v>
      </c>
    </row>
    <row r="742" spans="1:2" x14ac:dyDescent="0.25">
      <c r="A742">
        <v>723</v>
      </c>
      <c r="B742" s="64">
        <v>268.10145155819117</v>
      </c>
    </row>
    <row r="743" spans="1:2" x14ac:dyDescent="0.25">
      <c r="A743">
        <v>724</v>
      </c>
      <c r="B743" s="64">
        <v>206.48043385899621</v>
      </c>
    </row>
    <row r="744" spans="1:2" x14ac:dyDescent="0.25">
      <c r="A744">
        <v>725</v>
      </c>
      <c r="B744" s="64">
        <v>251.50582396038743</v>
      </c>
    </row>
    <row r="745" spans="1:2" x14ac:dyDescent="0.25">
      <c r="A745">
        <v>726</v>
      </c>
      <c r="B745" s="64">
        <v>269.10730700318078</v>
      </c>
    </row>
    <row r="746" spans="1:2" x14ac:dyDescent="0.25">
      <c r="A746">
        <v>727</v>
      </c>
      <c r="B746" s="64">
        <v>275.07716466069161</v>
      </c>
    </row>
    <row r="747" spans="1:2" x14ac:dyDescent="0.25">
      <c r="A747">
        <v>728</v>
      </c>
      <c r="B747" s="64">
        <v>273.56968932069606</v>
      </c>
    </row>
    <row r="748" spans="1:2" x14ac:dyDescent="0.25">
      <c r="A748">
        <v>729</v>
      </c>
      <c r="B748" s="64">
        <v>231.88771288881063</v>
      </c>
    </row>
    <row r="749" spans="1:2" x14ac:dyDescent="0.25">
      <c r="A749">
        <v>730</v>
      </c>
      <c r="B749" s="64">
        <v>277.49534795786445</v>
      </c>
    </row>
    <row r="750" spans="1:2" x14ac:dyDescent="0.25">
      <c r="A750">
        <v>731</v>
      </c>
      <c r="B750" s="64">
        <v>284.89767397061991</v>
      </c>
    </row>
    <row r="751" spans="1:2" x14ac:dyDescent="0.25">
      <c r="A751">
        <v>732</v>
      </c>
      <c r="B751" s="64">
        <v>179.2896298603323</v>
      </c>
    </row>
    <row r="752" spans="1:2" x14ac:dyDescent="0.25">
      <c r="A752">
        <v>733</v>
      </c>
      <c r="B752" s="64">
        <v>260.55037064210427</v>
      </c>
    </row>
    <row r="753" spans="1:2" x14ac:dyDescent="0.25">
      <c r="A753">
        <v>734</v>
      </c>
      <c r="B753" s="64">
        <v>265.31294421991697</v>
      </c>
    </row>
    <row r="754" spans="1:2" x14ac:dyDescent="0.25">
      <c r="A754">
        <v>735</v>
      </c>
      <c r="B754" s="64">
        <v>228.72694128831472</v>
      </c>
    </row>
    <row r="755" spans="1:2" x14ac:dyDescent="0.25">
      <c r="A755">
        <v>736</v>
      </c>
      <c r="B755" s="64">
        <v>229.57745640260396</v>
      </c>
    </row>
    <row r="756" spans="1:2" x14ac:dyDescent="0.25">
      <c r="A756">
        <v>737</v>
      </c>
      <c r="B756" s="64">
        <v>272.33064355177771</v>
      </c>
    </row>
    <row r="757" spans="1:2" x14ac:dyDescent="0.25">
      <c r="A757">
        <v>738</v>
      </c>
      <c r="B757" s="64">
        <v>246.61017687424354</v>
      </c>
    </row>
    <row r="758" spans="1:2" x14ac:dyDescent="0.25">
      <c r="A758">
        <v>739</v>
      </c>
      <c r="B758" s="64">
        <v>251.52383849022681</v>
      </c>
    </row>
    <row r="759" spans="1:2" x14ac:dyDescent="0.25">
      <c r="A759">
        <v>740</v>
      </c>
      <c r="B759" s="64">
        <v>234.62086881618148</v>
      </c>
    </row>
    <row r="760" spans="1:2" x14ac:dyDescent="0.25">
      <c r="A760">
        <v>741</v>
      </c>
      <c r="B760" s="64">
        <v>282.63043752900472</v>
      </c>
    </row>
    <row r="761" spans="1:2" x14ac:dyDescent="0.25">
      <c r="A761">
        <v>742</v>
      </c>
      <c r="B761" s="64">
        <v>190.65598238847875</v>
      </c>
    </row>
    <row r="762" spans="1:2" x14ac:dyDescent="0.25">
      <c r="A762">
        <v>743</v>
      </c>
      <c r="B762" s="64">
        <v>200.33644506752373</v>
      </c>
    </row>
    <row r="763" spans="1:2" x14ac:dyDescent="0.25">
      <c r="A763">
        <v>744</v>
      </c>
      <c r="B763" s="64">
        <v>206.40744942319733</v>
      </c>
    </row>
    <row r="764" spans="1:2" x14ac:dyDescent="0.25">
      <c r="A764">
        <v>745</v>
      </c>
      <c r="B764" s="64">
        <v>273.11022299873008</v>
      </c>
    </row>
    <row r="765" spans="1:2" x14ac:dyDescent="0.25">
      <c r="A765">
        <v>746</v>
      </c>
      <c r="B765" s="64">
        <v>248.64991740547941</v>
      </c>
    </row>
    <row r="766" spans="1:2" x14ac:dyDescent="0.25">
      <c r="A766">
        <v>747</v>
      </c>
      <c r="B766" s="64">
        <v>217.55125542195083</v>
      </c>
    </row>
    <row r="767" spans="1:2" x14ac:dyDescent="0.25">
      <c r="A767">
        <v>748</v>
      </c>
      <c r="B767" s="64">
        <v>251.4909935884705</v>
      </c>
    </row>
    <row r="768" spans="1:2" x14ac:dyDescent="0.25">
      <c r="A768">
        <v>749</v>
      </c>
      <c r="B768" s="64">
        <v>230.80942957117338</v>
      </c>
    </row>
    <row r="769" spans="1:2" x14ac:dyDescent="0.25">
      <c r="A769">
        <v>750</v>
      </c>
      <c r="B769" s="64">
        <v>284.27586640988613</v>
      </c>
    </row>
    <row r="770" spans="1:2" x14ac:dyDescent="0.25">
      <c r="A770">
        <v>751</v>
      </c>
      <c r="B770" s="64">
        <v>270.6992658938978</v>
      </c>
    </row>
    <row r="771" spans="1:2" x14ac:dyDescent="0.25">
      <c r="A771">
        <v>752</v>
      </c>
      <c r="B771" s="64">
        <v>235.75920234345111</v>
      </c>
    </row>
    <row r="772" spans="1:2" x14ac:dyDescent="0.25">
      <c r="A772">
        <v>753</v>
      </c>
      <c r="B772" s="64">
        <v>255.72534821684715</v>
      </c>
    </row>
    <row r="773" spans="1:2" x14ac:dyDescent="0.25">
      <c r="A773">
        <v>754</v>
      </c>
      <c r="B773" s="64">
        <v>179.17908019054107</v>
      </c>
    </row>
    <row r="774" spans="1:2" x14ac:dyDescent="0.25">
      <c r="A774">
        <v>755</v>
      </c>
      <c r="B774" s="64">
        <v>383.21428690878201</v>
      </c>
    </row>
    <row r="775" spans="1:2" x14ac:dyDescent="0.25">
      <c r="A775">
        <v>756</v>
      </c>
      <c r="B775" s="64">
        <v>296.90112878575957</v>
      </c>
    </row>
    <row r="776" spans="1:2" x14ac:dyDescent="0.25">
      <c r="A776">
        <v>757</v>
      </c>
      <c r="B776" s="64">
        <v>246.33388296854403</v>
      </c>
    </row>
    <row r="777" spans="1:2" x14ac:dyDescent="0.25">
      <c r="A777">
        <v>758</v>
      </c>
      <c r="B777" s="64">
        <v>257.31590452535528</v>
      </c>
    </row>
    <row r="778" spans="1:2" x14ac:dyDescent="0.25">
      <c r="A778">
        <v>759</v>
      </c>
      <c r="B778" s="64">
        <v>181.43549691348699</v>
      </c>
    </row>
    <row r="779" spans="1:2" x14ac:dyDescent="0.25">
      <c r="A779">
        <v>760</v>
      </c>
      <c r="B779" s="64">
        <v>265.83094127520218</v>
      </c>
    </row>
    <row r="780" spans="1:2" x14ac:dyDescent="0.25">
      <c r="A780">
        <v>761</v>
      </c>
      <c r="B780" s="64">
        <v>256.48753120571217</v>
      </c>
    </row>
    <row r="781" spans="1:2" x14ac:dyDescent="0.25">
      <c r="A781">
        <v>762</v>
      </c>
      <c r="B781" s="64">
        <v>253.40070730127752</v>
      </c>
    </row>
    <row r="782" spans="1:2" x14ac:dyDescent="0.25">
      <c r="A782">
        <v>763</v>
      </c>
      <c r="B782" s="64">
        <v>290.1909268023802</v>
      </c>
    </row>
    <row r="783" spans="1:2" x14ac:dyDescent="0.25">
      <c r="A783">
        <v>764</v>
      </c>
      <c r="B783" s="64">
        <v>246.82257032108208</v>
      </c>
    </row>
    <row r="784" spans="1:2" x14ac:dyDescent="0.25">
      <c r="A784">
        <v>765</v>
      </c>
      <c r="B784" s="64">
        <v>259.04080934090592</v>
      </c>
    </row>
    <row r="785" spans="1:2" x14ac:dyDescent="0.25">
      <c r="A785">
        <v>766</v>
      </c>
      <c r="B785" s="64">
        <v>260.05490356996387</v>
      </c>
    </row>
    <row r="786" spans="1:2" x14ac:dyDescent="0.25">
      <c r="A786">
        <v>767</v>
      </c>
      <c r="B786" s="64">
        <v>236.19579522050046</v>
      </c>
    </row>
    <row r="787" spans="1:2" x14ac:dyDescent="0.25">
      <c r="A787">
        <v>768</v>
      </c>
      <c r="B787" s="64">
        <v>227.96531454250402</v>
      </c>
    </row>
    <row r="788" spans="1:2" x14ac:dyDescent="0.25">
      <c r="A788">
        <v>769</v>
      </c>
      <c r="B788" s="64">
        <v>294.44370223750286</v>
      </c>
    </row>
    <row r="789" spans="1:2" x14ac:dyDescent="0.25">
      <c r="A789">
        <v>770</v>
      </c>
      <c r="B789" s="64">
        <v>277.15564678054807</v>
      </c>
    </row>
    <row r="790" spans="1:2" x14ac:dyDescent="0.25">
      <c r="A790">
        <v>771</v>
      </c>
      <c r="B790" s="64">
        <v>189.85979160742122</v>
      </c>
    </row>
    <row r="791" spans="1:2" x14ac:dyDescent="0.25">
      <c r="A791">
        <v>772</v>
      </c>
      <c r="B791" s="64">
        <v>248.63360135599993</v>
      </c>
    </row>
    <row r="792" spans="1:2" x14ac:dyDescent="0.25">
      <c r="A792">
        <v>773</v>
      </c>
      <c r="B792" s="64">
        <v>218.94269742120935</v>
      </c>
    </row>
    <row r="793" spans="1:2" x14ac:dyDescent="0.25">
      <c r="A793">
        <v>774</v>
      </c>
      <c r="B793" s="64">
        <v>242.02899981663072</v>
      </c>
    </row>
    <row r="794" spans="1:2" x14ac:dyDescent="0.25">
      <c r="A794">
        <v>775</v>
      </c>
      <c r="B794" s="64">
        <v>249.62819790754656</v>
      </c>
    </row>
    <row r="795" spans="1:2" x14ac:dyDescent="0.25">
      <c r="A795">
        <v>776</v>
      </c>
      <c r="B795" s="64">
        <v>215.26204493452229</v>
      </c>
    </row>
    <row r="796" spans="1:2" x14ac:dyDescent="0.25">
      <c r="A796">
        <v>777</v>
      </c>
      <c r="B796" s="64">
        <v>257.12098961946828</v>
      </c>
    </row>
    <row r="797" spans="1:2" x14ac:dyDescent="0.25">
      <c r="A797">
        <v>778</v>
      </c>
      <c r="B797" s="64">
        <v>206.8986853718643</v>
      </c>
    </row>
    <row r="798" spans="1:2" x14ac:dyDescent="0.25">
      <c r="A798">
        <v>779</v>
      </c>
      <c r="B798" s="64">
        <v>198.38348550530424</v>
      </c>
    </row>
    <row r="799" spans="1:2" x14ac:dyDescent="0.25">
      <c r="A799">
        <v>780</v>
      </c>
      <c r="B799" s="64">
        <v>258.69149812002792</v>
      </c>
    </row>
    <row r="800" spans="1:2" x14ac:dyDescent="0.25">
      <c r="A800">
        <v>781</v>
      </c>
      <c r="B800" s="64">
        <v>224.78819462460453</v>
      </c>
    </row>
    <row r="801" spans="1:2" x14ac:dyDescent="0.25">
      <c r="A801">
        <v>782</v>
      </c>
      <c r="B801" s="64">
        <v>275.90870720132767</v>
      </c>
    </row>
    <row r="802" spans="1:2" x14ac:dyDescent="0.25">
      <c r="A802">
        <v>783</v>
      </c>
      <c r="B802" s="64">
        <v>262.28565884705682</v>
      </c>
    </row>
    <row r="803" spans="1:2" x14ac:dyDescent="0.25">
      <c r="A803">
        <v>784</v>
      </c>
      <c r="B803" s="64">
        <v>193.17536358583843</v>
      </c>
    </row>
    <row r="804" spans="1:2" x14ac:dyDescent="0.25">
      <c r="A804">
        <v>785</v>
      </c>
      <c r="B804" s="64">
        <v>215.88575979472364</v>
      </c>
    </row>
    <row r="805" spans="1:2" x14ac:dyDescent="0.25">
      <c r="A805">
        <v>786</v>
      </c>
      <c r="B805" s="64">
        <v>234.83915404508855</v>
      </c>
    </row>
    <row r="806" spans="1:2" x14ac:dyDescent="0.25">
      <c r="A806">
        <v>787</v>
      </c>
      <c r="B806" s="64">
        <v>275.43226838893054</v>
      </c>
    </row>
    <row r="807" spans="1:2" x14ac:dyDescent="0.25">
      <c r="A807">
        <v>788</v>
      </c>
      <c r="B807" s="64">
        <v>269.19596427716482</v>
      </c>
    </row>
    <row r="808" spans="1:2" x14ac:dyDescent="0.25">
      <c r="A808">
        <v>789</v>
      </c>
      <c r="B808" s="64">
        <v>236.406212808606</v>
      </c>
    </row>
    <row r="809" spans="1:2" x14ac:dyDescent="0.25">
      <c r="A809">
        <v>790</v>
      </c>
      <c r="B809" s="64">
        <v>236.64743663749601</v>
      </c>
    </row>
    <row r="810" spans="1:2" x14ac:dyDescent="0.25">
      <c r="A810">
        <v>791</v>
      </c>
      <c r="B810" s="64">
        <v>233.86730327634098</v>
      </c>
    </row>
    <row r="811" spans="1:2" x14ac:dyDescent="0.25">
      <c r="A811">
        <v>792</v>
      </c>
      <c r="B811" s="64">
        <v>276.62103205878202</v>
      </c>
    </row>
    <row r="812" spans="1:2" x14ac:dyDescent="0.25">
      <c r="A812">
        <v>793</v>
      </c>
      <c r="B812" s="64">
        <v>261.00172625257972</v>
      </c>
    </row>
    <row r="813" spans="1:2" x14ac:dyDescent="0.25">
      <c r="A813">
        <v>794</v>
      </c>
      <c r="B813" s="64">
        <v>287.48655331705157</v>
      </c>
    </row>
    <row r="814" spans="1:2" x14ac:dyDescent="0.25">
      <c r="A814">
        <v>795</v>
      </c>
      <c r="B814" s="64">
        <v>215.82321062583441</v>
      </c>
    </row>
    <row r="815" spans="1:2" x14ac:dyDescent="0.25">
      <c r="A815">
        <v>796</v>
      </c>
      <c r="B815" s="64">
        <v>255.89799961719763</v>
      </c>
    </row>
    <row r="816" spans="1:2" x14ac:dyDescent="0.25">
      <c r="A816">
        <v>797</v>
      </c>
      <c r="B816" s="64">
        <v>235.25114050271904</v>
      </c>
    </row>
    <row r="817" spans="1:2" x14ac:dyDescent="0.25">
      <c r="A817">
        <v>798</v>
      </c>
      <c r="B817" s="64">
        <v>319.59153086943115</v>
      </c>
    </row>
    <row r="818" spans="1:2" x14ac:dyDescent="0.25">
      <c r="A818">
        <v>799</v>
      </c>
      <c r="B818" s="64">
        <v>224.40298510112831</v>
      </c>
    </row>
    <row r="819" spans="1:2" x14ac:dyDescent="0.25">
      <c r="A819">
        <v>800</v>
      </c>
      <c r="B819" s="64">
        <v>297.14341911787068</v>
      </c>
    </row>
    <row r="820" spans="1:2" x14ac:dyDescent="0.25">
      <c r="A820">
        <v>801</v>
      </c>
      <c r="B820" s="64">
        <v>254.08294101871215</v>
      </c>
    </row>
    <row r="821" spans="1:2" x14ac:dyDescent="0.25">
      <c r="A821">
        <v>802</v>
      </c>
      <c r="B821" s="64">
        <v>261.26212791412109</v>
      </c>
    </row>
    <row r="822" spans="1:2" x14ac:dyDescent="0.25">
      <c r="A822">
        <v>803</v>
      </c>
      <c r="B822" s="64">
        <v>211.59306121001319</v>
      </c>
    </row>
    <row r="823" spans="1:2" x14ac:dyDescent="0.25">
      <c r="A823">
        <v>804</v>
      </c>
      <c r="B823" s="64">
        <v>245.42287514495271</v>
      </c>
    </row>
    <row r="824" spans="1:2" x14ac:dyDescent="0.25">
      <c r="A824">
        <v>805</v>
      </c>
      <c r="B824" s="64">
        <v>301.45779811258643</v>
      </c>
    </row>
    <row r="825" spans="1:2" x14ac:dyDescent="0.25">
      <c r="A825">
        <v>806</v>
      </c>
      <c r="B825" s="64">
        <v>343.22483499768873</v>
      </c>
    </row>
    <row r="826" spans="1:2" x14ac:dyDescent="0.25">
      <c r="A826">
        <v>807</v>
      </c>
      <c r="B826" s="64">
        <v>267.7505220353068</v>
      </c>
    </row>
    <row r="827" spans="1:2" x14ac:dyDescent="0.25">
      <c r="A827">
        <v>808</v>
      </c>
      <c r="B827" s="64">
        <v>213.7114187453972</v>
      </c>
    </row>
    <row r="828" spans="1:2" x14ac:dyDescent="0.25">
      <c r="A828">
        <v>809</v>
      </c>
      <c r="B828" s="64">
        <v>278.44008801886463</v>
      </c>
    </row>
    <row r="829" spans="1:2" x14ac:dyDescent="0.25">
      <c r="A829">
        <v>810</v>
      </c>
      <c r="B829" s="64">
        <v>284.81412259297917</v>
      </c>
    </row>
    <row r="830" spans="1:2" x14ac:dyDescent="0.25">
      <c r="A830">
        <v>811</v>
      </c>
      <c r="B830" s="64">
        <v>311.09225018787453</v>
      </c>
    </row>
    <row r="831" spans="1:2" x14ac:dyDescent="0.25">
      <c r="A831">
        <v>812</v>
      </c>
      <c r="B831" s="64">
        <v>290.41060227979818</v>
      </c>
    </row>
    <row r="832" spans="1:2" x14ac:dyDescent="0.25">
      <c r="A832">
        <v>813</v>
      </c>
      <c r="B832" s="64">
        <v>265.73144079635125</v>
      </c>
    </row>
    <row r="833" spans="1:2" x14ac:dyDescent="0.25">
      <c r="A833">
        <v>814</v>
      </c>
      <c r="B833" s="64">
        <v>142.07609124551419</v>
      </c>
    </row>
    <row r="834" spans="1:2" x14ac:dyDescent="0.25">
      <c r="A834">
        <v>815</v>
      </c>
      <c r="B834" s="64">
        <v>259.21551875164965</v>
      </c>
    </row>
    <row r="835" spans="1:2" x14ac:dyDescent="0.25">
      <c r="A835">
        <v>816</v>
      </c>
      <c r="B835" s="64">
        <v>289.24672977530236</v>
      </c>
    </row>
    <row r="836" spans="1:2" x14ac:dyDescent="0.25">
      <c r="A836">
        <v>817</v>
      </c>
      <c r="B836" s="64">
        <v>210.10255090304605</v>
      </c>
    </row>
    <row r="837" spans="1:2" x14ac:dyDescent="0.25">
      <c r="A837">
        <v>818</v>
      </c>
      <c r="B837" s="64">
        <v>264.25658529063287</v>
      </c>
    </row>
    <row r="838" spans="1:2" x14ac:dyDescent="0.25">
      <c r="A838">
        <v>819</v>
      </c>
      <c r="B838" s="64">
        <v>197.41558349611148</v>
      </c>
    </row>
    <row r="839" spans="1:2" x14ac:dyDescent="0.25">
      <c r="A839">
        <v>820</v>
      </c>
      <c r="B839" s="64">
        <v>262.70916025558739</v>
      </c>
    </row>
    <row r="840" spans="1:2" x14ac:dyDescent="0.25">
      <c r="A840">
        <v>821</v>
      </c>
      <c r="B840" s="64">
        <v>255.87595305242382</v>
      </c>
    </row>
    <row r="841" spans="1:2" x14ac:dyDescent="0.25">
      <c r="A841">
        <v>822</v>
      </c>
      <c r="B841" s="64">
        <v>207.03182093596706</v>
      </c>
    </row>
    <row r="842" spans="1:2" x14ac:dyDescent="0.25">
      <c r="A842">
        <v>823</v>
      </c>
      <c r="B842" s="64">
        <v>267.52738468349145</v>
      </c>
    </row>
    <row r="843" spans="1:2" x14ac:dyDescent="0.25">
      <c r="A843">
        <v>824</v>
      </c>
      <c r="B843" s="64">
        <v>209.72787869108288</v>
      </c>
    </row>
    <row r="844" spans="1:2" x14ac:dyDescent="0.25">
      <c r="A844">
        <v>825</v>
      </c>
      <c r="B844" s="64">
        <v>229.33357056639454</v>
      </c>
    </row>
    <row r="845" spans="1:2" x14ac:dyDescent="0.25">
      <c r="A845">
        <v>826</v>
      </c>
      <c r="B845" s="64">
        <v>283.8923510314969</v>
      </c>
    </row>
    <row r="846" spans="1:2" x14ac:dyDescent="0.25">
      <c r="A846">
        <v>827</v>
      </c>
      <c r="B846" s="64">
        <v>181.02234843152391</v>
      </c>
    </row>
    <row r="847" spans="1:2" x14ac:dyDescent="0.25">
      <c r="A847">
        <v>828</v>
      </c>
      <c r="B847" s="64">
        <v>198.32270655431014</v>
      </c>
    </row>
    <row r="848" spans="1:2" x14ac:dyDescent="0.25">
      <c r="A848">
        <v>829</v>
      </c>
      <c r="B848" s="64">
        <v>307.76070645898892</v>
      </c>
    </row>
    <row r="849" spans="1:2" x14ac:dyDescent="0.25">
      <c r="A849">
        <v>830</v>
      </c>
      <c r="B849" s="64">
        <v>245.97122395710591</v>
      </c>
    </row>
    <row r="850" spans="1:2" x14ac:dyDescent="0.25">
      <c r="A850">
        <v>831</v>
      </c>
      <c r="B850" s="64">
        <v>256.68905766337144</v>
      </c>
    </row>
    <row r="851" spans="1:2" x14ac:dyDescent="0.25">
      <c r="A851">
        <v>832</v>
      </c>
      <c r="B851" s="64">
        <v>201.44368394249892</v>
      </c>
    </row>
    <row r="852" spans="1:2" x14ac:dyDescent="0.25">
      <c r="A852">
        <v>833</v>
      </c>
      <c r="B852" s="64">
        <v>323.00223126850909</v>
      </c>
    </row>
    <row r="853" spans="1:2" x14ac:dyDescent="0.25">
      <c r="A853">
        <v>834</v>
      </c>
      <c r="B853" s="64">
        <v>238.53432448749547</v>
      </c>
    </row>
    <row r="854" spans="1:2" x14ac:dyDescent="0.25">
      <c r="A854">
        <v>835</v>
      </c>
      <c r="B854" s="64">
        <v>259.47273610982916</v>
      </c>
    </row>
    <row r="855" spans="1:2" x14ac:dyDescent="0.25">
      <c r="A855">
        <v>836</v>
      </c>
      <c r="B855" s="64">
        <v>294.1068274118004</v>
      </c>
    </row>
    <row r="856" spans="1:2" x14ac:dyDescent="0.25">
      <c r="A856">
        <v>837</v>
      </c>
      <c r="B856" s="64">
        <v>188.17821242088408</v>
      </c>
    </row>
    <row r="857" spans="1:2" x14ac:dyDescent="0.25">
      <c r="A857">
        <v>838</v>
      </c>
      <c r="B857" s="64">
        <v>250.66490140774155</v>
      </c>
    </row>
    <row r="858" spans="1:2" x14ac:dyDescent="0.25">
      <c r="A858">
        <v>839</v>
      </c>
      <c r="B858" s="64">
        <v>185.46222185200477</v>
      </c>
    </row>
    <row r="859" spans="1:2" x14ac:dyDescent="0.25">
      <c r="A859">
        <v>840</v>
      </c>
      <c r="B859" s="64">
        <v>307.52731032600133</v>
      </c>
    </row>
    <row r="860" spans="1:2" x14ac:dyDescent="0.25">
      <c r="A860">
        <v>841</v>
      </c>
      <c r="B860" s="64">
        <v>237.50494219846115</v>
      </c>
    </row>
    <row r="861" spans="1:2" x14ac:dyDescent="0.25">
      <c r="A861">
        <v>842</v>
      </c>
      <c r="B861" s="64">
        <v>229.81357109934282</v>
      </c>
    </row>
    <row r="862" spans="1:2" x14ac:dyDescent="0.25">
      <c r="A862">
        <v>843</v>
      </c>
      <c r="B862" s="64">
        <v>275.67960492834078</v>
      </c>
    </row>
    <row r="863" spans="1:2" x14ac:dyDescent="0.25">
      <c r="A863">
        <v>844</v>
      </c>
      <c r="B863" s="64">
        <v>326.40048096988335</v>
      </c>
    </row>
    <row r="864" spans="1:2" x14ac:dyDescent="0.25">
      <c r="A864">
        <v>845</v>
      </c>
      <c r="B864" s="64">
        <v>233.15750048879275</v>
      </c>
    </row>
    <row r="865" spans="1:2" x14ac:dyDescent="0.25">
      <c r="A865">
        <v>846</v>
      </c>
      <c r="B865" s="64">
        <v>273.70011168853551</v>
      </c>
    </row>
    <row r="866" spans="1:2" x14ac:dyDescent="0.25">
      <c r="A866">
        <v>847</v>
      </c>
      <c r="B866" s="64">
        <v>269.31197245457059</v>
      </c>
    </row>
    <row r="867" spans="1:2" x14ac:dyDescent="0.25">
      <c r="A867">
        <v>848</v>
      </c>
      <c r="B867" s="64">
        <v>246.67988259900665</v>
      </c>
    </row>
    <row r="868" spans="1:2" x14ac:dyDescent="0.25">
      <c r="A868">
        <v>849</v>
      </c>
      <c r="B868" s="64">
        <v>247.28944697368638</v>
      </c>
    </row>
    <row r="869" spans="1:2" x14ac:dyDescent="0.25">
      <c r="A869">
        <v>850</v>
      </c>
      <c r="B869" s="64">
        <v>273.61830019058317</v>
      </c>
    </row>
    <row r="870" spans="1:2" x14ac:dyDescent="0.25">
      <c r="A870">
        <v>851</v>
      </c>
      <c r="B870" s="64">
        <v>343.53292886228189</v>
      </c>
    </row>
    <row r="871" spans="1:2" x14ac:dyDescent="0.25">
      <c r="A871">
        <v>852</v>
      </c>
      <c r="B871" s="64">
        <v>253.36252195712552</v>
      </c>
    </row>
    <row r="872" spans="1:2" x14ac:dyDescent="0.25">
      <c r="A872">
        <v>853</v>
      </c>
      <c r="B872" s="64">
        <v>304.826024120748</v>
      </c>
    </row>
    <row r="873" spans="1:2" x14ac:dyDescent="0.25">
      <c r="A873">
        <v>854</v>
      </c>
      <c r="B873" s="64">
        <v>229.25167048772215</v>
      </c>
    </row>
    <row r="874" spans="1:2" x14ac:dyDescent="0.25">
      <c r="A874">
        <v>855</v>
      </c>
      <c r="B874" s="64">
        <v>257.21047773594972</v>
      </c>
    </row>
    <row r="875" spans="1:2" x14ac:dyDescent="0.25">
      <c r="A875">
        <v>856</v>
      </c>
      <c r="B875" s="64">
        <v>234.18320726053466</v>
      </c>
    </row>
    <row r="876" spans="1:2" x14ac:dyDescent="0.25">
      <c r="A876">
        <v>857</v>
      </c>
      <c r="B876" s="64">
        <v>225.73520963720938</v>
      </c>
    </row>
    <row r="877" spans="1:2" x14ac:dyDescent="0.25">
      <c r="A877">
        <v>858</v>
      </c>
      <c r="B877" s="64">
        <v>211.02075435881571</v>
      </c>
    </row>
    <row r="878" spans="1:2" x14ac:dyDescent="0.25">
      <c r="A878">
        <v>859</v>
      </c>
      <c r="B878" s="64">
        <v>244.86283159784347</v>
      </c>
    </row>
    <row r="879" spans="1:2" x14ac:dyDescent="0.25">
      <c r="A879">
        <v>860</v>
      </c>
      <c r="B879" s="64">
        <v>251.75919366855263</v>
      </c>
    </row>
    <row r="880" spans="1:2" x14ac:dyDescent="0.25">
      <c r="A880">
        <v>861</v>
      </c>
      <c r="B880" s="64">
        <v>271.88758122604014</v>
      </c>
    </row>
    <row r="881" spans="1:2" x14ac:dyDescent="0.25">
      <c r="A881">
        <v>862</v>
      </c>
      <c r="B881" s="64">
        <v>214.35429814203803</v>
      </c>
    </row>
    <row r="882" spans="1:2" x14ac:dyDescent="0.25">
      <c r="A882">
        <v>863</v>
      </c>
      <c r="B882" s="64">
        <v>226.46918226088687</v>
      </c>
    </row>
    <row r="883" spans="1:2" x14ac:dyDescent="0.25">
      <c r="A883">
        <v>864</v>
      </c>
      <c r="B883" s="64">
        <v>212.63496939655789</v>
      </c>
    </row>
    <row r="884" spans="1:2" x14ac:dyDescent="0.25">
      <c r="A884">
        <v>865</v>
      </c>
      <c r="B884" s="64">
        <v>218.88827072449459</v>
      </c>
    </row>
    <row r="885" spans="1:2" x14ac:dyDescent="0.25">
      <c r="A885">
        <v>866</v>
      </c>
      <c r="B885" s="64">
        <v>219.51091316807626</v>
      </c>
    </row>
    <row r="886" spans="1:2" x14ac:dyDescent="0.25">
      <c r="A886">
        <v>867</v>
      </c>
      <c r="B886" s="64">
        <v>181.70142895907588</v>
      </c>
    </row>
    <row r="887" spans="1:2" x14ac:dyDescent="0.25">
      <c r="A887">
        <v>868</v>
      </c>
      <c r="B887" s="64">
        <v>254.59000393942927</v>
      </c>
    </row>
    <row r="888" spans="1:2" x14ac:dyDescent="0.25">
      <c r="A888">
        <v>869</v>
      </c>
      <c r="B888" s="64">
        <v>258.39833940044173</v>
      </c>
    </row>
    <row r="889" spans="1:2" x14ac:dyDescent="0.25">
      <c r="A889">
        <v>870</v>
      </c>
      <c r="B889" s="64">
        <v>230.33755100014477</v>
      </c>
    </row>
    <row r="890" spans="1:2" x14ac:dyDescent="0.25">
      <c r="A890">
        <v>871</v>
      </c>
      <c r="B890" s="64">
        <v>221.32995715018578</v>
      </c>
    </row>
    <row r="891" spans="1:2" x14ac:dyDescent="0.25">
      <c r="A891">
        <v>872</v>
      </c>
      <c r="B891" s="64">
        <v>230.97507638983078</v>
      </c>
    </row>
    <row r="892" spans="1:2" x14ac:dyDescent="0.25">
      <c r="A892">
        <v>873</v>
      </c>
      <c r="B892" s="64">
        <v>242.99788938014211</v>
      </c>
    </row>
    <row r="893" spans="1:2" x14ac:dyDescent="0.25">
      <c r="A893">
        <v>874</v>
      </c>
      <c r="B893" s="64">
        <v>287.65484244349778</v>
      </c>
    </row>
    <row r="894" spans="1:2" x14ac:dyDescent="0.25">
      <c r="A894">
        <v>875</v>
      </c>
      <c r="B894" s="64">
        <v>196.64823246400417</v>
      </c>
    </row>
    <row r="895" spans="1:2" x14ac:dyDescent="0.25">
      <c r="A895">
        <v>876</v>
      </c>
      <c r="B895" s="64">
        <v>305.73600396189835</v>
      </c>
    </row>
    <row r="896" spans="1:2" x14ac:dyDescent="0.25">
      <c r="A896">
        <v>877</v>
      </c>
      <c r="B896" s="64">
        <v>172.39018502727168</v>
      </c>
    </row>
    <row r="897" spans="1:2" x14ac:dyDescent="0.25">
      <c r="A897">
        <v>878</v>
      </c>
      <c r="B897" s="64">
        <v>241.42857143379132</v>
      </c>
    </row>
    <row r="898" spans="1:2" x14ac:dyDescent="0.25">
      <c r="A898">
        <v>879</v>
      </c>
      <c r="B898" s="64">
        <v>290.00058616710436</v>
      </c>
    </row>
    <row r="899" spans="1:2" x14ac:dyDescent="0.25">
      <c r="A899">
        <v>880</v>
      </c>
      <c r="B899" s="64">
        <v>215.11286589648711</v>
      </c>
    </row>
    <row r="900" spans="1:2" x14ac:dyDescent="0.25">
      <c r="A900">
        <v>881</v>
      </c>
      <c r="B900" s="64">
        <v>250.16406657988887</v>
      </c>
    </row>
    <row r="901" spans="1:2" x14ac:dyDescent="0.25">
      <c r="A901">
        <v>882</v>
      </c>
      <c r="B901" s="64">
        <v>161.02329371460007</v>
      </c>
    </row>
    <row r="902" spans="1:2" x14ac:dyDescent="0.25">
      <c r="A902">
        <v>883</v>
      </c>
      <c r="B902" s="64">
        <v>374.5767372103731</v>
      </c>
    </row>
    <row r="903" spans="1:2" x14ac:dyDescent="0.25">
      <c r="A903">
        <v>884</v>
      </c>
      <c r="B903" s="64">
        <v>306.27378812601489</v>
      </c>
    </row>
    <row r="904" spans="1:2" x14ac:dyDescent="0.25">
      <c r="A904">
        <v>885</v>
      </c>
      <c r="B904" s="64">
        <v>252.40535936893622</v>
      </c>
    </row>
    <row r="905" spans="1:2" x14ac:dyDescent="0.25">
      <c r="A905">
        <v>886</v>
      </c>
      <c r="B905" s="64">
        <v>272.83841225397168</v>
      </c>
    </row>
    <row r="906" spans="1:2" x14ac:dyDescent="0.25">
      <c r="A906">
        <v>887</v>
      </c>
      <c r="B906" s="64">
        <v>250.12710278698577</v>
      </c>
    </row>
    <row r="907" spans="1:2" x14ac:dyDescent="0.25">
      <c r="A907">
        <v>888</v>
      </c>
      <c r="B907" s="64">
        <v>249.8805403945218</v>
      </c>
    </row>
    <row r="908" spans="1:2" x14ac:dyDescent="0.25">
      <c r="A908">
        <v>889</v>
      </c>
      <c r="B908" s="64">
        <v>197.77715836772842</v>
      </c>
    </row>
    <row r="909" spans="1:2" x14ac:dyDescent="0.25">
      <c r="A909">
        <v>890</v>
      </c>
      <c r="B909" s="64">
        <v>258.52805938044844</v>
      </c>
    </row>
    <row r="910" spans="1:2" x14ac:dyDescent="0.25">
      <c r="A910">
        <v>891</v>
      </c>
      <c r="B910" s="64">
        <v>255.08725941913798</v>
      </c>
    </row>
    <row r="911" spans="1:2" x14ac:dyDescent="0.25">
      <c r="A911">
        <v>892</v>
      </c>
      <c r="B911" s="64">
        <v>202.09036105028969</v>
      </c>
    </row>
    <row r="912" spans="1:2" x14ac:dyDescent="0.25">
      <c r="A912">
        <v>893</v>
      </c>
      <c r="B912" s="64">
        <v>221.25923531431224</v>
      </c>
    </row>
    <row r="913" spans="1:2" x14ac:dyDescent="0.25">
      <c r="A913">
        <v>894</v>
      </c>
      <c r="B913" s="64">
        <v>289.00669533638762</v>
      </c>
    </row>
    <row r="914" spans="1:2" x14ac:dyDescent="0.25">
      <c r="A914">
        <v>895</v>
      </c>
      <c r="B914" s="64">
        <v>250.80877227468093</v>
      </c>
    </row>
    <row r="915" spans="1:2" x14ac:dyDescent="0.25">
      <c r="A915">
        <v>896</v>
      </c>
      <c r="B915" s="64">
        <v>357.41547289585532</v>
      </c>
    </row>
    <row r="916" spans="1:2" x14ac:dyDescent="0.25">
      <c r="A916">
        <v>897</v>
      </c>
      <c r="B916" s="64">
        <v>214.2587820298464</v>
      </c>
    </row>
    <row r="917" spans="1:2" x14ac:dyDescent="0.25">
      <c r="A917">
        <v>898</v>
      </c>
      <c r="B917" s="64">
        <v>282.47234738766895</v>
      </c>
    </row>
    <row r="918" spans="1:2" x14ac:dyDescent="0.25">
      <c r="A918">
        <v>899</v>
      </c>
      <c r="B918" s="64">
        <v>194.25296426300775</v>
      </c>
    </row>
    <row r="919" spans="1:2" x14ac:dyDescent="0.25">
      <c r="A919">
        <v>900</v>
      </c>
      <c r="B919" s="64">
        <v>213.72527496441231</v>
      </c>
    </row>
    <row r="920" spans="1:2" x14ac:dyDescent="0.25">
      <c r="A920">
        <v>901</v>
      </c>
      <c r="B920" s="64">
        <v>238.29974599987233</v>
      </c>
    </row>
    <row r="921" spans="1:2" x14ac:dyDescent="0.25">
      <c r="A921">
        <v>902</v>
      </c>
      <c r="B921" s="64">
        <v>285.90296315919932</v>
      </c>
    </row>
    <row r="922" spans="1:2" x14ac:dyDescent="0.25">
      <c r="A922">
        <v>903</v>
      </c>
      <c r="B922" s="64">
        <v>248.01136363632472</v>
      </c>
    </row>
    <row r="923" spans="1:2" x14ac:dyDescent="0.25">
      <c r="A923">
        <v>904</v>
      </c>
      <c r="B923" s="64">
        <v>220.98782852837491</v>
      </c>
    </row>
    <row r="924" spans="1:2" x14ac:dyDescent="0.25">
      <c r="A924">
        <v>905</v>
      </c>
      <c r="B924" s="64">
        <v>243.81214145335611</v>
      </c>
    </row>
    <row r="925" spans="1:2" x14ac:dyDescent="0.25">
      <c r="A925">
        <v>906</v>
      </c>
      <c r="B925" s="64">
        <v>333.47003881200482</v>
      </c>
    </row>
    <row r="926" spans="1:2" x14ac:dyDescent="0.25">
      <c r="A926">
        <v>907</v>
      </c>
      <c r="B926" s="64">
        <v>186.92493165834259</v>
      </c>
    </row>
    <row r="927" spans="1:2" x14ac:dyDescent="0.25">
      <c r="A927">
        <v>908</v>
      </c>
      <c r="B927" s="64">
        <v>230.2850928884221</v>
      </c>
    </row>
    <row r="928" spans="1:2" x14ac:dyDescent="0.25">
      <c r="A928">
        <v>909</v>
      </c>
      <c r="B928" s="64">
        <v>235.48107130048106</v>
      </c>
    </row>
    <row r="929" spans="1:2" x14ac:dyDescent="0.25">
      <c r="A929">
        <v>910</v>
      </c>
      <c r="B929" s="64">
        <v>268.52863298646957</v>
      </c>
    </row>
    <row r="930" spans="1:2" x14ac:dyDescent="0.25">
      <c r="A930">
        <v>911</v>
      </c>
      <c r="B930" s="64">
        <v>226.88387481349992</v>
      </c>
    </row>
    <row r="931" spans="1:2" x14ac:dyDescent="0.25">
      <c r="A931">
        <v>912</v>
      </c>
      <c r="B931" s="64">
        <v>191.31323783383056</v>
      </c>
    </row>
    <row r="932" spans="1:2" x14ac:dyDescent="0.25">
      <c r="A932">
        <v>913</v>
      </c>
      <c r="B932" s="64">
        <v>188.31579642036945</v>
      </c>
    </row>
    <row r="933" spans="1:2" x14ac:dyDescent="0.25">
      <c r="A933">
        <v>914</v>
      </c>
      <c r="B933" s="64">
        <v>238.57945192148534</v>
      </c>
    </row>
    <row r="934" spans="1:2" x14ac:dyDescent="0.25">
      <c r="A934">
        <v>915</v>
      </c>
      <c r="B934" s="64">
        <v>211.14727225563033</v>
      </c>
    </row>
    <row r="935" spans="1:2" x14ac:dyDescent="0.25">
      <c r="A935">
        <v>916</v>
      </c>
      <c r="B935" s="64">
        <v>201.01024821076678</v>
      </c>
    </row>
    <row r="936" spans="1:2" x14ac:dyDescent="0.25">
      <c r="A936">
        <v>917</v>
      </c>
      <c r="B936" s="64">
        <v>263.92062606920342</v>
      </c>
    </row>
    <row r="937" spans="1:2" x14ac:dyDescent="0.25">
      <c r="A937">
        <v>918</v>
      </c>
      <c r="B937" s="64">
        <v>285.15397848907458</v>
      </c>
    </row>
    <row r="938" spans="1:2" x14ac:dyDescent="0.25">
      <c r="A938">
        <v>919</v>
      </c>
      <c r="B938" s="64">
        <v>218.18464206236271</v>
      </c>
    </row>
    <row r="939" spans="1:2" x14ac:dyDescent="0.25">
      <c r="A939">
        <v>920</v>
      </c>
      <c r="B939" s="64">
        <v>250.91649071312557</v>
      </c>
    </row>
    <row r="940" spans="1:2" x14ac:dyDescent="0.25">
      <c r="A940">
        <v>921</v>
      </c>
      <c r="B940" s="64">
        <v>264.81555612912791</v>
      </c>
    </row>
    <row r="941" spans="1:2" x14ac:dyDescent="0.25">
      <c r="A941">
        <v>922</v>
      </c>
      <c r="B941" s="64">
        <v>166.82726373642848</v>
      </c>
    </row>
    <row r="942" spans="1:2" x14ac:dyDescent="0.25">
      <c r="A942">
        <v>923</v>
      </c>
      <c r="B942" s="64">
        <v>235.65608832690268</v>
      </c>
    </row>
    <row r="943" spans="1:2" x14ac:dyDescent="0.25">
      <c r="A943">
        <v>924</v>
      </c>
      <c r="B943" s="64">
        <v>283.25186990204315</v>
      </c>
    </row>
    <row r="944" spans="1:2" x14ac:dyDescent="0.25">
      <c r="A944">
        <v>925</v>
      </c>
      <c r="B944" s="64">
        <v>233.45286757422369</v>
      </c>
    </row>
    <row r="945" spans="1:2" x14ac:dyDescent="0.25">
      <c r="A945">
        <v>926</v>
      </c>
      <c r="B945" s="64">
        <v>238.2659787176824</v>
      </c>
    </row>
    <row r="946" spans="1:2" x14ac:dyDescent="0.25">
      <c r="A946">
        <v>927</v>
      </c>
      <c r="B946" s="64">
        <v>284.90330318083619</v>
      </c>
    </row>
    <row r="947" spans="1:2" x14ac:dyDescent="0.25">
      <c r="A947">
        <v>928</v>
      </c>
      <c r="B947" s="64">
        <v>271.48970989709392</v>
      </c>
    </row>
    <row r="948" spans="1:2" x14ac:dyDescent="0.25">
      <c r="A948">
        <v>929</v>
      </c>
      <c r="B948" s="64">
        <v>289.77962787432153</v>
      </c>
    </row>
    <row r="949" spans="1:2" x14ac:dyDescent="0.25">
      <c r="A949">
        <v>930</v>
      </c>
      <c r="B949" s="64">
        <v>199.74811195474982</v>
      </c>
    </row>
    <row r="950" spans="1:2" x14ac:dyDescent="0.25">
      <c r="A950">
        <v>931</v>
      </c>
      <c r="B950" s="64">
        <v>342.33369968170229</v>
      </c>
    </row>
    <row r="951" spans="1:2" x14ac:dyDescent="0.25">
      <c r="A951">
        <v>932</v>
      </c>
      <c r="B951" s="64">
        <v>295.71159577175354</v>
      </c>
    </row>
    <row r="952" spans="1:2" x14ac:dyDescent="0.25">
      <c r="A952">
        <v>933</v>
      </c>
      <c r="B952" s="64">
        <v>185.07363729701828</v>
      </c>
    </row>
    <row r="953" spans="1:2" x14ac:dyDescent="0.25">
      <c r="A953">
        <v>934</v>
      </c>
      <c r="B953" s="64">
        <v>294.91168866233215</v>
      </c>
    </row>
    <row r="954" spans="1:2" x14ac:dyDescent="0.25">
      <c r="A954">
        <v>935</v>
      </c>
      <c r="B954" s="64">
        <v>218.36431400109029</v>
      </c>
    </row>
    <row r="955" spans="1:2" x14ac:dyDescent="0.25">
      <c r="A955">
        <v>936</v>
      </c>
      <c r="B955" s="64">
        <v>305.0764010969022</v>
      </c>
    </row>
    <row r="956" spans="1:2" x14ac:dyDescent="0.25">
      <c r="A956">
        <v>937</v>
      </c>
      <c r="B956" s="64">
        <v>226.7115846771913</v>
      </c>
    </row>
    <row r="957" spans="1:2" x14ac:dyDescent="0.25">
      <c r="A957">
        <v>938</v>
      </c>
      <c r="B957" s="64">
        <v>259.05355433958397</v>
      </c>
    </row>
    <row r="958" spans="1:2" x14ac:dyDescent="0.25">
      <c r="A958">
        <v>939</v>
      </c>
      <c r="B958" s="64">
        <v>203.27323753457284</v>
      </c>
    </row>
    <row r="959" spans="1:2" x14ac:dyDescent="0.25">
      <c r="A959">
        <v>940</v>
      </c>
      <c r="B959" s="64">
        <v>287.53567966668658</v>
      </c>
    </row>
    <row r="960" spans="1:2" x14ac:dyDescent="0.25">
      <c r="A960">
        <v>941</v>
      </c>
      <c r="B960" s="64">
        <v>204.35876883361621</v>
      </c>
    </row>
    <row r="961" spans="1:2" x14ac:dyDescent="0.25">
      <c r="A961">
        <v>942</v>
      </c>
      <c r="B961" s="64">
        <v>163.51302079097667</v>
      </c>
    </row>
    <row r="962" spans="1:2" x14ac:dyDescent="0.25">
      <c r="A962">
        <v>943</v>
      </c>
      <c r="B962" s="64">
        <v>271.62314560576868</v>
      </c>
    </row>
    <row r="963" spans="1:2" x14ac:dyDescent="0.25">
      <c r="A963">
        <v>944</v>
      </c>
      <c r="B963" s="64">
        <v>232.81032216607073</v>
      </c>
    </row>
    <row r="964" spans="1:2" x14ac:dyDescent="0.25">
      <c r="A964">
        <v>945</v>
      </c>
      <c r="B964" s="64">
        <v>236.68725250180285</v>
      </c>
    </row>
    <row r="965" spans="1:2" x14ac:dyDescent="0.25">
      <c r="A965">
        <v>946</v>
      </c>
      <c r="B965" s="64">
        <v>279.99784261235152</v>
      </c>
    </row>
    <row r="966" spans="1:2" x14ac:dyDescent="0.25">
      <c r="A966">
        <v>947</v>
      </c>
      <c r="B966" s="64">
        <v>205.71914135661575</v>
      </c>
    </row>
    <row r="967" spans="1:2" x14ac:dyDescent="0.25">
      <c r="A967">
        <v>948</v>
      </c>
      <c r="B967" s="64">
        <v>216.48216663752169</v>
      </c>
    </row>
    <row r="968" spans="1:2" x14ac:dyDescent="0.25">
      <c r="A968">
        <v>949</v>
      </c>
      <c r="B968" s="64">
        <v>260.60882684091564</v>
      </c>
    </row>
    <row r="969" spans="1:2" x14ac:dyDescent="0.25">
      <c r="A969">
        <v>950</v>
      </c>
      <c r="B969" s="64">
        <v>251.36626378528427</v>
      </c>
    </row>
    <row r="970" spans="1:2" x14ac:dyDescent="0.25">
      <c r="A970">
        <v>951</v>
      </c>
      <c r="B970" s="64">
        <v>324.41449042954798</v>
      </c>
    </row>
    <row r="971" spans="1:2" x14ac:dyDescent="0.25">
      <c r="A971">
        <v>952</v>
      </c>
      <c r="B971" s="64">
        <v>229.82671021987812</v>
      </c>
    </row>
    <row r="972" spans="1:2" x14ac:dyDescent="0.25">
      <c r="A972">
        <v>953</v>
      </c>
      <c r="B972" s="64">
        <v>201.40177919633894</v>
      </c>
    </row>
    <row r="973" spans="1:2" x14ac:dyDescent="0.25">
      <c r="A973">
        <v>954</v>
      </c>
      <c r="B973" s="64">
        <v>300.86109079621497</v>
      </c>
    </row>
    <row r="974" spans="1:2" x14ac:dyDescent="0.25">
      <c r="A974">
        <v>955</v>
      </c>
      <c r="B974" s="64">
        <v>193.51528562185786</v>
      </c>
    </row>
    <row r="975" spans="1:2" x14ac:dyDescent="0.25">
      <c r="A975">
        <v>956</v>
      </c>
      <c r="B975" s="64">
        <v>181.31826537560798</v>
      </c>
    </row>
    <row r="976" spans="1:2" x14ac:dyDescent="0.25">
      <c r="A976">
        <v>957</v>
      </c>
      <c r="B976" s="64">
        <v>326.69340165165619</v>
      </c>
    </row>
    <row r="977" spans="1:2" x14ac:dyDescent="0.25">
      <c r="A977">
        <v>958</v>
      </c>
      <c r="B977" s="64">
        <v>230.03037136540553</v>
      </c>
    </row>
    <row r="978" spans="1:2" x14ac:dyDescent="0.25">
      <c r="A978">
        <v>959</v>
      </c>
      <c r="B978" s="64">
        <v>242.8808579564554</v>
      </c>
    </row>
    <row r="979" spans="1:2" x14ac:dyDescent="0.25">
      <c r="A979">
        <v>960</v>
      </c>
      <c r="B979" s="64">
        <v>203.19096377997289</v>
      </c>
    </row>
    <row r="980" spans="1:2" x14ac:dyDescent="0.25">
      <c r="A980">
        <v>961</v>
      </c>
      <c r="B980" s="64">
        <v>287.73500313066739</v>
      </c>
    </row>
    <row r="981" spans="1:2" x14ac:dyDescent="0.25">
      <c r="A981">
        <v>962</v>
      </c>
      <c r="B981" s="64">
        <v>215.63906363739343</v>
      </c>
    </row>
    <row r="982" spans="1:2" x14ac:dyDescent="0.25">
      <c r="A982">
        <v>963</v>
      </c>
      <c r="B982" s="64">
        <v>252.33885875435061</v>
      </c>
    </row>
    <row r="983" spans="1:2" x14ac:dyDescent="0.25">
      <c r="A983">
        <v>964</v>
      </c>
      <c r="B983" s="64">
        <v>240.97950562141494</v>
      </c>
    </row>
    <row r="984" spans="1:2" x14ac:dyDescent="0.25">
      <c r="A984">
        <v>965</v>
      </c>
      <c r="B984" s="64">
        <v>280.16461748719462</v>
      </c>
    </row>
    <row r="985" spans="1:2" x14ac:dyDescent="0.25">
      <c r="A985">
        <v>966</v>
      </c>
      <c r="B985" s="64">
        <v>223.02096310691562</v>
      </c>
    </row>
    <row r="986" spans="1:2" x14ac:dyDescent="0.25">
      <c r="A986">
        <v>967</v>
      </c>
      <c r="B986" s="64">
        <v>196.47255870468962</v>
      </c>
    </row>
    <row r="987" spans="1:2" x14ac:dyDescent="0.25">
      <c r="A987">
        <v>968</v>
      </c>
      <c r="B987" s="64">
        <v>287.43143865678377</v>
      </c>
    </row>
    <row r="988" spans="1:2" x14ac:dyDescent="0.25">
      <c r="A988">
        <v>969</v>
      </c>
      <c r="B988" s="64">
        <v>308.68366901637285</v>
      </c>
    </row>
    <row r="989" spans="1:2" x14ac:dyDescent="0.25">
      <c r="A989">
        <v>970</v>
      </c>
      <c r="B989" s="64">
        <v>261.23229915708458</v>
      </c>
    </row>
    <row r="990" spans="1:2" x14ac:dyDescent="0.25">
      <c r="A990">
        <v>971</v>
      </c>
      <c r="B990" s="64">
        <v>201.07207646189011</v>
      </c>
    </row>
    <row r="991" spans="1:2" x14ac:dyDescent="0.25">
      <c r="A991">
        <v>972</v>
      </c>
      <c r="B991" s="64">
        <v>225.5820763138436</v>
      </c>
    </row>
    <row r="992" spans="1:2" x14ac:dyDescent="0.25">
      <c r="A992">
        <v>973</v>
      </c>
      <c r="B992" s="64">
        <v>294.78183393597271</v>
      </c>
    </row>
    <row r="993" spans="1:2" x14ac:dyDescent="0.25">
      <c r="A993">
        <v>974</v>
      </c>
      <c r="B993" s="64">
        <v>264.31035247060873</v>
      </c>
    </row>
    <row r="994" spans="1:2" x14ac:dyDescent="0.25">
      <c r="A994">
        <v>975</v>
      </c>
      <c r="B994" s="64">
        <v>261.31761071925803</v>
      </c>
    </row>
    <row r="995" spans="1:2" x14ac:dyDescent="0.25">
      <c r="A995">
        <v>976</v>
      </c>
      <c r="B995" s="64">
        <v>245.97298069386935</v>
      </c>
    </row>
    <row r="996" spans="1:2" x14ac:dyDescent="0.25">
      <c r="A996">
        <v>977</v>
      </c>
      <c r="B996" s="64">
        <v>265.35209882441615</v>
      </c>
    </row>
    <row r="997" spans="1:2" x14ac:dyDescent="0.25">
      <c r="A997">
        <v>978</v>
      </c>
      <c r="B997" s="64">
        <v>252.29614586678491</v>
      </c>
    </row>
    <row r="998" spans="1:2" x14ac:dyDescent="0.25">
      <c r="A998">
        <v>979</v>
      </c>
      <c r="B998" s="64">
        <v>340.49948637485375</v>
      </c>
    </row>
    <row r="999" spans="1:2" x14ac:dyDescent="0.25">
      <c r="A999">
        <v>980</v>
      </c>
      <c r="B999" s="64">
        <v>254.56315924286289</v>
      </c>
    </row>
    <row r="1000" spans="1:2" x14ac:dyDescent="0.25">
      <c r="A1000">
        <v>981</v>
      </c>
      <c r="B1000" s="64">
        <v>265.9622236339082</v>
      </c>
    </row>
    <row r="1001" spans="1:2" x14ac:dyDescent="0.25">
      <c r="A1001">
        <v>982</v>
      </c>
      <c r="B1001" s="64">
        <v>256.09320107458626</v>
      </c>
    </row>
    <row r="1002" spans="1:2" x14ac:dyDescent="0.25">
      <c r="A1002">
        <v>983</v>
      </c>
      <c r="B1002" s="64">
        <v>273.25058013644696</v>
      </c>
    </row>
    <row r="1003" spans="1:2" x14ac:dyDescent="0.25">
      <c r="A1003">
        <v>984</v>
      </c>
      <c r="B1003" s="64">
        <v>262.26271128985115</v>
      </c>
    </row>
    <row r="1004" spans="1:2" x14ac:dyDescent="0.25">
      <c r="A1004">
        <v>985</v>
      </c>
      <c r="B1004" s="64">
        <v>303.08572087225838</v>
      </c>
    </row>
    <row r="1005" spans="1:2" x14ac:dyDescent="0.25">
      <c r="A1005">
        <v>986</v>
      </c>
      <c r="B1005" s="64">
        <v>227.48643437658382</v>
      </c>
    </row>
    <row r="1006" spans="1:2" x14ac:dyDescent="0.25">
      <c r="A1006">
        <v>987</v>
      </c>
      <c r="B1006" s="64">
        <v>311.82655529121143</v>
      </c>
    </row>
    <row r="1007" spans="1:2" x14ac:dyDescent="0.25">
      <c r="A1007">
        <v>988</v>
      </c>
      <c r="B1007" s="64">
        <v>233.69828475340884</v>
      </c>
    </row>
    <row r="1008" spans="1:2" x14ac:dyDescent="0.25">
      <c r="A1008">
        <v>989</v>
      </c>
      <c r="B1008" s="64">
        <v>236.98518049240687</v>
      </c>
    </row>
    <row r="1009" spans="1:2" x14ac:dyDescent="0.25">
      <c r="A1009">
        <v>990</v>
      </c>
      <c r="B1009" s="64">
        <v>183.10069571505502</v>
      </c>
    </row>
    <row r="1010" spans="1:2" x14ac:dyDescent="0.25">
      <c r="A1010">
        <v>991</v>
      </c>
      <c r="B1010" s="64">
        <v>206.55859389234345</v>
      </c>
    </row>
    <row r="1011" spans="1:2" x14ac:dyDescent="0.25">
      <c r="A1011">
        <v>992</v>
      </c>
      <c r="B1011" s="64">
        <v>237.09977822752495</v>
      </c>
    </row>
    <row r="1012" spans="1:2" x14ac:dyDescent="0.25">
      <c r="A1012">
        <v>993</v>
      </c>
      <c r="B1012" s="64">
        <v>231.44230211963603</v>
      </c>
    </row>
    <row r="1013" spans="1:2" x14ac:dyDescent="0.25">
      <c r="A1013">
        <v>994</v>
      </c>
      <c r="B1013" s="64">
        <v>228.6589130662353</v>
      </c>
    </row>
    <row r="1014" spans="1:2" x14ac:dyDescent="0.25">
      <c r="A1014">
        <v>995</v>
      </c>
      <c r="B1014" s="64">
        <v>219.62272926203005</v>
      </c>
    </row>
    <row r="1015" spans="1:2" x14ac:dyDescent="0.25">
      <c r="A1015">
        <v>996</v>
      </c>
      <c r="B1015" s="64">
        <v>207.55338408402045</v>
      </c>
    </row>
    <row r="1016" spans="1:2" x14ac:dyDescent="0.25">
      <c r="A1016">
        <v>997</v>
      </c>
      <c r="B1016" s="64">
        <v>266.25858548176558</v>
      </c>
    </row>
    <row r="1017" spans="1:2" x14ac:dyDescent="0.25">
      <c r="A1017">
        <v>998</v>
      </c>
      <c r="B1017" s="64">
        <v>230.26046130160219</v>
      </c>
    </row>
    <row r="1018" spans="1:2" x14ac:dyDescent="0.25">
      <c r="A1018">
        <v>999</v>
      </c>
      <c r="B1018" s="64">
        <v>235.55772388010007</v>
      </c>
    </row>
    <row r="1019" spans="1:2" x14ac:dyDescent="0.25">
      <c r="A1019">
        <v>1000</v>
      </c>
      <c r="B1019" s="64">
        <v>259.11732419621029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Factor_mcm">
                <anchor moveWithCells="1" sizeWithCells="1">
                  <from>
                    <xdr:col>4</xdr:col>
                    <xdr:colOff>9525</xdr:colOff>
                    <xdr:row>19</xdr:row>
                    <xdr:rowOff>9525</xdr:rowOff>
                  </from>
                  <to>
                    <xdr:col>5</xdr:col>
                    <xdr:colOff>590550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109B5D021B36C45A90FD68FF5FA580F" ma:contentTypeVersion="18" ma:contentTypeDescription="Create a new document." ma:contentTypeScope="" ma:versionID="6bf73aa9722f15232f9ca772ae63f833">
  <xsd:schema xmlns:xsd="http://www.w3.org/2001/XMLSchema" xmlns:xs="http://www.w3.org/2001/XMLSchema" xmlns:p="http://schemas.microsoft.com/office/2006/metadata/properties" xmlns:ns3="a2144aef-1027-4d2a-a2df-31c7d14b7b82" xmlns:ns4="eb906773-87b2-48fa-aed4-96ab51a1020d" targetNamespace="http://schemas.microsoft.com/office/2006/metadata/properties" ma:root="true" ma:fieldsID="8c0cf21f0db27ad6a5989b3559ac3e4f" ns3:_="" ns4:_="">
    <xsd:import namespace="a2144aef-1027-4d2a-a2df-31c7d14b7b82"/>
    <xsd:import namespace="eb906773-87b2-48fa-aed4-96ab51a1020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_activity" minOccurs="0"/>
                <xsd:element ref="ns3:MediaServiceObjectDetectorVersions" minOccurs="0"/>
                <xsd:element ref="ns3:MediaServiceSearchProperties" minOccurs="0"/>
                <xsd:element ref="ns3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144aef-1027-4d2a-a2df-31c7d14b7b8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internalName="MediaServiceLocation" ma:readOnly="true">
      <xsd:simpleType>
        <xsd:restriction base="dms:Text"/>
      </xsd:simpleType>
    </xsd:element>
    <xsd:element name="MediaServiceOCR" ma:index="13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25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906773-87b2-48fa-aed4-96ab51a1020d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2144aef-1027-4d2a-a2df-31c7d14b7b82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7CC3437-EBC5-44F8-A843-F37A1666F4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2144aef-1027-4d2a-a2df-31c7d14b7b82"/>
    <ds:schemaRef ds:uri="eb906773-87b2-48fa-aed4-96ab51a1020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C31587A-20F3-426F-884E-0939B54DEC8B}">
  <ds:schemaRefs>
    <ds:schemaRef ds:uri="http://schemas.openxmlformats.org/package/2006/metadata/core-properties"/>
    <ds:schemaRef ds:uri="http://purl.org/dc/dcmitype/"/>
    <ds:schemaRef ds:uri="http://schemas.microsoft.com/office/2006/documentManagement/types"/>
    <ds:schemaRef ds:uri="http://purl.org/dc/elements/1.1/"/>
    <ds:schemaRef ds:uri="http://purl.org/dc/terms/"/>
    <ds:schemaRef ds:uri="http://schemas.microsoft.com/office/2006/metadata/properties"/>
    <ds:schemaRef ds:uri="eb906773-87b2-48fa-aed4-96ab51a1020d"/>
    <ds:schemaRef ds:uri="http://schemas.microsoft.com/office/infopath/2007/PartnerControls"/>
    <ds:schemaRef ds:uri="a2144aef-1027-4d2a-a2df-31c7d14b7b82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DF86FC54-9AC3-4FC5-83ED-C8018EADA74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Instructions</vt:lpstr>
      <vt:lpstr>FF3 Factor</vt:lpstr>
      <vt:lpstr>Inputs</vt:lpstr>
      <vt:lpstr>Historical_Data</vt:lpstr>
      <vt:lpstr>Log_return</vt:lpstr>
      <vt:lpstr>LINEST (FF3)</vt:lpstr>
      <vt:lpstr>MCM_VBA</vt:lpstr>
      <vt:lpstr>FF3_data</vt:lpstr>
      <vt:lpstr>FF3_label</vt:lpstr>
      <vt:lpstr>FF3_time</vt:lpstr>
      <vt:lpstr>US_data</vt:lpstr>
      <vt:lpstr>US_label</vt:lpstr>
      <vt:lpstr>US_time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Frankie HO</dc:creator>
  <cp:lastModifiedBy>Frankie HO</cp:lastModifiedBy>
  <dcterms:created xsi:type="dcterms:W3CDTF">2025-04-21T02:21:19Z</dcterms:created>
  <dcterms:modified xsi:type="dcterms:W3CDTF">2025-04-24T16:42:27Z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0x0101008109B5D021B36C45A90FD68FF5FA580F</vt:lpwstr>
  </property>
</Properties>
</file>